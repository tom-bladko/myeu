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zBłądkowski\Documents\eu\EU\mods\ftg\db\"/>
    </mc:Choice>
  </mc:AlternateContent>
  <xr:revisionPtr revIDLastSave="0" documentId="13_ncr:1_{C63B8F94-0B1F-470A-8BF1-BCEC731A388C}" xr6:coauthVersionLast="47" xr6:coauthVersionMax="47" xr10:uidLastSave="{00000000-0000-0000-0000-000000000000}"/>
  <bookViews>
    <workbookView xWindow="-1695" yWindow="-17865" windowWidth="28770" windowHeight="17250" tabRatio="558" xr2:uid="{D01E58F1-7D31-45D8-B6A2-A204B82637AC}"/>
  </bookViews>
  <sheets>
    <sheet name="moje" sheetId="7" r:id="rId1"/>
    <sheet name="provsorg" sheetId="2" r:id="rId2"/>
    <sheet name="Trans" sheetId="5" r:id="rId3"/>
    <sheet name="prov_color" sheetId="4" r:id="rId4"/>
    <sheet name="provsagcp" sheetId="3" r:id="rId5"/>
  </sheets>
  <definedNames>
    <definedName name="_xlnm._FilterDatabase" localSheetId="0" hidden="1">moje!$A$1:$N$1641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O1380" i="2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P1380" i="7"/>
  <c r="P1382" i="7"/>
  <c r="P1500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267" i="7"/>
  <c r="P1268" i="7"/>
  <c r="P1269" i="7"/>
  <c r="P1270" i="7"/>
  <c r="P1271" i="7"/>
  <c r="P1272" i="7"/>
  <c r="P1273" i="7"/>
  <c r="P1274" i="7"/>
  <c r="P1275" i="7"/>
  <c r="P1276" i="7"/>
  <c r="P1277" i="7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P1294" i="7"/>
  <c r="P1295" i="7"/>
  <c r="P1296" i="7"/>
  <c r="P1297" i="7"/>
  <c r="P1298" i="7"/>
  <c r="P1299" i="7"/>
  <c r="P1300" i="7"/>
  <c r="P1301" i="7"/>
  <c r="P1302" i="7"/>
  <c r="P1303" i="7"/>
  <c r="P1304" i="7"/>
  <c r="P1305" i="7"/>
  <c r="P1306" i="7"/>
  <c r="P1307" i="7"/>
  <c r="P1308" i="7"/>
  <c r="P1309" i="7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1" i="7"/>
  <c r="P1383" i="7"/>
  <c r="P1384" i="7"/>
  <c r="P1385" i="7"/>
  <c r="P1386" i="7"/>
  <c r="P1387" i="7"/>
  <c r="P1388" i="7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P1442" i="7"/>
  <c r="P1443" i="7"/>
  <c r="P1444" i="7"/>
  <c r="P1445" i="7"/>
  <c r="P1446" i="7"/>
  <c r="P1447" i="7"/>
  <c r="P1448" i="7"/>
  <c r="P1449" i="7"/>
  <c r="P1450" i="7"/>
  <c r="P1451" i="7"/>
  <c r="P1452" i="7"/>
  <c r="P1453" i="7"/>
  <c r="P1454" i="7"/>
  <c r="P1455" i="7"/>
  <c r="P1456" i="7"/>
  <c r="P1457" i="7"/>
  <c r="P1458" i="7"/>
  <c r="P1459" i="7"/>
  <c r="P1460" i="7"/>
  <c r="P1461" i="7"/>
  <c r="P1462" i="7"/>
  <c r="P1463" i="7"/>
  <c r="P1464" i="7"/>
  <c r="P1465" i="7"/>
  <c r="P1466" i="7"/>
  <c r="P1467" i="7"/>
  <c r="P1468" i="7"/>
  <c r="P1469" i="7"/>
  <c r="P1470" i="7"/>
  <c r="P1471" i="7"/>
  <c r="P1472" i="7"/>
  <c r="P1473" i="7"/>
  <c r="P1474" i="7"/>
  <c r="P1475" i="7"/>
  <c r="P1476" i="7"/>
  <c r="P1477" i="7"/>
  <c r="P1478" i="7"/>
  <c r="P1479" i="7"/>
  <c r="P1480" i="7"/>
  <c r="P1481" i="7"/>
  <c r="P1482" i="7"/>
  <c r="P1483" i="7"/>
  <c r="P1484" i="7"/>
  <c r="P1485" i="7"/>
  <c r="P1486" i="7"/>
  <c r="P1487" i="7"/>
  <c r="P1488" i="7"/>
  <c r="P1489" i="7"/>
  <c r="P1490" i="7"/>
  <c r="P1491" i="7"/>
  <c r="P1492" i="7"/>
  <c r="P1493" i="7"/>
  <c r="P1494" i="7"/>
  <c r="P1495" i="7"/>
  <c r="P1496" i="7"/>
  <c r="P1497" i="7"/>
  <c r="P1498" i="7"/>
  <c r="P1499" i="7"/>
  <c r="P1501" i="7"/>
  <c r="P1502" i="7"/>
  <c r="P1503" i="7"/>
  <c r="P1504" i="7"/>
  <c r="P1505" i="7"/>
  <c r="P1506" i="7"/>
  <c r="P1507" i="7"/>
  <c r="P1508" i="7"/>
  <c r="P1509" i="7"/>
  <c r="P1510" i="7"/>
  <c r="P1511" i="7"/>
  <c r="P1512" i="7"/>
  <c r="P1513" i="7"/>
  <c r="P1514" i="7"/>
  <c r="P1515" i="7"/>
  <c r="P1516" i="7"/>
  <c r="P1517" i="7"/>
  <c r="P1518" i="7"/>
  <c r="P1519" i="7"/>
  <c r="P1520" i="7"/>
  <c r="P1521" i="7"/>
  <c r="P1522" i="7"/>
  <c r="P1523" i="7"/>
  <c r="P1524" i="7"/>
  <c r="P1525" i="7"/>
  <c r="P1526" i="7"/>
  <c r="P1527" i="7"/>
  <c r="P1528" i="7"/>
  <c r="P1529" i="7"/>
  <c r="P1530" i="7"/>
  <c r="P1531" i="7"/>
  <c r="P1532" i="7"/>
  <c r="P1533" i="7"/>
  <c r="P1534" i="7"/>
  <c r="P1535" i="7"/>
  <c r="P1536" i="7"/>
  <c r="P1537" i="7"/>
  <c r="P1538" i="7"/>
  <c r="P1539" i="7"/>
  <c r="P1540" i="7"/>
  <c r="P1541" i="7"/>
  <c r="P1542" i="7"/>
  <c r="P1543" i="7"/>
  <c r="P1544" i="7"/>
  <c r="P1545" i="7"/>
  <c r="P1546" i="7"/>
  <c r="P1547" i="7"/>
  <c r="P1548" i="7"/>
  <c r="P1549" i="7"/>
  <c r="P1550" i="7"/>
  <c r="P1551" i="7"/>
  <c r="P1552" i="7"/>
  <c r="P1553" i="7"/>
  <c r="P1554" i="7"/>
  <c r="P1555" i="7"/>
  <c r="P1556" i="7"/>
  <c r="P1557" i="7"/>
  <c r="P1558" i="7"/>
  <c r="P1559" i="7"/>
  <c r="P1560" i="7"/>
  <c r="P1561" i="7"/>
  <c r="P1562" i="7"/>
  <c r="P1563" i="7"/>
  <c r="P1564" i="7"/>
  <c r="P1565" i="7"/>
  <c r="P1566" i="7"/>
  <c r="P1567" i="7"/>
  <c r="P1568" i="7"/>
  <c r="P1569" i="7"/>
  <c r="P1570" i="7"/>
  <c r="P1571" i="7"/>
  <c r="P1572" i="7"/>
  <c r="P1573" i="7"/>
  <c r="P1574" i="7"/>
  <c r="P1575" i="7"/>
  <c r="P1576" i="7"/>
  <c r="P1577" i="7"/>
  <c r="P1578" i="7"/>
  <c r="P1579" i="7"/>
  <c r="P1580" i="7"/>
  <c r="P1581" i="7"/>
  <c r="P1582" i="7"/>
  <c r="P1583" i="7"/>
  <c r="P1584" i="7"/>
  <c r="P1585" i="7"/>
  <c r="P1586" i="7"/>
  <c r="P1587" i="7"/>
  <c r="P1588" i="7"/>
  <c r="P1589" i="7"/>
  <c r="P1590" i="7"/>
  <c r="P1591" i="7"/>
  <c r="P1592" i="7"/>
  <c r="P1593" i="7"/>
  <c r="P1594" i="7"/>
  <c r="P1595" i="7"/>
  <c r="P1596" i="7"/>
  <c r="P1597" i="7"/>
  <c r="P1598" i="7"/>
  <c r="P1599" i="7"/>
  <c r="P1600" i="7"/>
  <c r="P1601" i="7"/>
  <c r="P1602" i="7"/>
  <c r="P1603" i="7"/>
  <c r="P1604" i="7"/>
  <c r="P1605" i="7"/>
  <c r="P1606" i="7"/>
  <c r="P1607" i="7"/>
  <c r="P1608" i="7"/>
  <c r="P1609" i="7"/>
  <c r="P1610" i="7"/>
  <c r="P1611" i="7"/>
  <c r="P1612" i="7"/>
  <c r="P1613" i="7"/>
  <c r="P1614" i="7"/>
  <c r="P1615" i="7"/>
  <c r="P1616" i="7"/>
  <c r="P1617" i="7"/>
  <c r="P1618" i="7"/>
  <c r="P1619" i="7"/>
  <c r="P1620" i="7"/>
  <c r="P1621" i="7"/>
  <c r="P1622" i="7"/>
  <c r="P1623" i="7"/>
  <c r="P1624" i="7"/>
  <c r="P1625" i="7"/>
  <c r="P1626" i="7"/>
  <c r="P1627" i="7"/>
  <c r="P1628" i="7"/>
  <c r="P1629" i="7"/>
  <c r="P1630" i="7"/>
  <c r="P1631" i="7"/>
  <c r="P1632" i="7"/>
  <c r="P1633" i="7"/>
  <c r="P1634" i="7"/>
  <c r="P1635" i="7"/>
  <c r="P1636" i="7"/>
  <c r="P1637" i="7"/>
  <c r="P1638" i="7"/>
  <c r="P1639" i="7"/>
  <c r="P1640" i="7"/>
  <c r="P1641" i="7"/>
  <c r="P1642" i="7"/>
  <c r="P1643" i="7"/>
  <c r="P1644" i="7"/>
  <c r="P1645" i="7"/>
  <c r="P1646" i="7"/>
  <c r="P1647" i="7"/>
  <c r="P1648" i="7"/>
  <c r="P1649" i="7"/>
  <c r="P1650" i="7"/>
  <c r="P1651" i="7"/>
  <c r="P1652" i="7"/>
  <c r="P1653" i="7"/>
  <c r="P1654" i="7"/>
  <c r="P1655" i="7"/>
  <c r="P1656" i="7"/>
  <c r="P1657" i="7"/>
  <c r="P1658" i="7"/>
  <c r="P1659" i="7"/>
  <c r="P1660" i="7"/>
  <c r="P1661" i="7"/>
  <c r="P1662" i="7"/>
  <c r="P1663" i="7"/>
  <c r="P1664" i="7"/>
  <c r="P1665" i="7"/>
  <c r="P1666" i="7"/>
  <c r="P1667" i="7"/>
  <c r="P1668" i="7"/>
  <c r="P1669" i="7"/>
  <c r="P1670" i="7"/>
  <c r="P1671" i="7"/>
  <c r="P1672" i="7"/>
  <c r="P1673" i="7"/>
  <c r="P1674" i="7"/>
  <c r="P1675" i="7"/>
  <c r="P1676" i="7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964" i="2"/>
  <c r="Q1001" i="2"/>
  <c r="Q1012" i="2"/>
  <c r="Q1079" i="2"/>
  <c r="Q828" i="2"/>
  <c r="Q827" i="2"/>
  <c r="Q1020" i="2"/>
  <c r="Q884" i="2"/>
  <c r="Q1078" i="2"/>
  <c r="Q1342" i="2"/>
  <c r="Q1594" i="2"/>
  <c r="Q1106" i="2"/>
  <c r="Q1055" i="2"/>
  <c r="Q1105" i="2"/>
  <c r="Q1126" i="2"/>
  <c r="Q1365" i="2"/>
  <c r="Q1264" i="2"/>
  <c r="Q1265" i="2"/>
  <c r="Q1063" i="2"/>
  <c r="Q1336" i="2"/>
  <c r="Q1149" i="2"/>
  <c r="Q877" i="2"/>
  <c r="Q928" i="2"/>
  <c r="Q987" i="2"/>
  <c r="Q1313" i="2"/>
  <c r="Q845" i="2"/>
  <c r="Q1005" i="2"/>
  <c r="Q854" i="2"/>
  <c r="Q1108" i="2"/>
  <c r="Q1142" i="2"/>
  <c r="Q924" i="2"/>
  <c r="Q1039" i="2"/>
  <c r="Q865" i="2"/>
  <c r="Q848" i="2"/>
  <c r="Q846" i="2"/>
  <c r="Q995" i="2"/>
  <c r="Q853" i="2"/>
  <c r="Q852" i="2"/>
  <c r="Q965" i="2"/>
  <c r="Q826" i="2"/>
  <c r="Q911" i="2"/>
  <c r="Q1225" i="2"/>
  <c r="Q901" i="2"/>
  <c r="Q1352" i="2"/>
  <c r="Q1058" i="2"/>
  <c r="Q921" i="2"/>
  <c r="Q991" i="2"/>
  <c r="Q908" i="2"/>
  <c r="Q1281" i="2"/>
  <c r="Q910" i="2"/>
  <c r="Q1241" i="2"/>
  <c r="Q1314" i="2"/>
  <c r="Q1269" i="2"/>
  <c r="Q1253" i="2"/>
  <c r="Q850" i="2"/>
  <c r="Q1295" i="2"/>
  <c r="Q1256" i="2"/>
  <c r="Q1122" i="2"/>
  <c r="Q1275" i="2"/>
  <c r="Q1045" i="2"/>
  <c r="Q1159" i="2"/>
  <c r="Q856" i="2"/>
  <c r="Q971" i="2"/>
  <c r="Q972" i="2"/>
  <c r="Q973" i="2"/>
  <c r="Q974" i="2"/>
  <c r="Q975" i="2"/>
  <c r="Q976" i="2"/>
  <c r="Q978" i="2"/>
  <c r="Q979" i="2"/>
  <c r="Q982" i="2"/>
  <c r="Q1050" i="2"/>
  <c r="Q1051" i="2"/>
  <c r="Q1052" i="2"/>
  <c r="Q1053" i="2"/>
  <c r="Q1054" i="2"/>
  <c r="Q1056" i="2"/>
  <c r="Q1110" i="2"/>
  <c r="Q1369" i="2"/>
  <c r="Q1143" i="2"/>
  <c r="Q1190" i="2"/>
  <c r="Q1191" i="2"/>
  <c r="Q1193" i="2"/>
  <c r="Q1194" i="2"/>
  <c r="Q1195" i="2"/>
  <c r="Q1196" i="2"/>
  <c r="Q1198" i="2"/>
  <c r="Q1199" i="2"/>
  <c r="Q1200" i="2"/>
  <c r="Q1201" i="2"/>
  <c r="Q1202" i="2"/>
  <c r="Q1203" i="2"/>
  <c r="Q1204" i="2"/>
  <c r="Q1205" i="2"/>
  <c r="Q1261" i="2"/>
  <c r="Q1262" i="2"/>
  <c r="Q1263" i="2"/>
  <c r="Q1030" i="2"/>
  <c r="Q1031" i="2"/>
  <c r="Q1032" i="2"/>
  <c r="Q1095" i="2"/>
  <c r="Q1096" i="2"/>
  <c r="Q1097" i="2"/>
  <c r="Q1098" i="2"/>
  <c r="Q1099" i="2"/>
  <c r="Q1100" i="2"/>
  <c r="Q1101" i="2"/>
  <c r="Q1103" i="2"/>
  <c r="Q1333" i="2"/>
  <c r="Q1140" i="2"/>
  <c r="Q863" i="2"/>
  <c r="Q1356" i="2"/>
  <c r="Q1359" i="2"/>
  <c r="Q1184" i="2"/>
  <c r="Q1084" i="2"/>
  <c r="Q1111" i="2"/>
  <c r="Q926" i="2"/>
  <c r="Q1351" i="2"/>
  <c r="Q900" i="2"/>
  <c r="Q1133" i="2"/>
  <c r="Q909" i="2"/>
  <c r="Q1169" i="2"/>
  <c r="Q1329" i="2"/>
  <c r="Q862" i="2"/>
  <c r="Q1073" i="2"/>
  <c r="Q1042" i="2"/>
  <c r="Q1129" i="2"/>
  <c r="Q836" i="2"/>
  <c r="Q1070" i="2"/>
  <c r="Q939" i="2"/>
  <c r="Q837" i="2"/>
  <c r="Q1355" i="2"/>
  <c r="Q849" i="2"/>
  <c r="Q1153" i="2"/>
  <c r="Q1072" i="2"/>
  <c r="Q1065" i="2"/>
  <c r="Q1059" i="2"/>
  <c r="Q1252" i="2"/>
  <c r="Q1254" i="2"/>
  <c r="Q1268" i="2"/>
  <c r="Q1224" i="2"/>
  <c r="Q861" i="2"/>
  <c r="Q1074" i="2"/>
  <c r="Q1006" i="2"/>
  <c r="Q1170" i="2"/>
  <c r="Q1134" i="2"/>
  <c r="Q1114" i="2"/>
  <c r="Q1102" i="2"/>
  <c r="Q1113" i="2"/>
  <c r="Q1614" i="2"/>
  <c r="Q886" i="2"/>
  <c r="Q1208" i="2"/>
  <c r="Q1145" i="2"/>
  <c r="Q1207" i="2"/>
  <c r="Q1325" i="2"/>
  <c r="Q1361" i="2"/>
  <c r="Q1141" i="2"/>
  <c r="Q1139" i="2"/>
  <c r="Q1319" i="2"/>
  <c r="Q1276" i="2"/>
  <c r="Q1009" i="2"/>
  <c r="Q922" i="2"/>
  <c r="Q989" i="2"/>
  <c r="Q1197" i="2"/>
  <c r="Q1326" i="2"/>
  <c r="Q936" i="2"/>
  <c r="Q929" i="2"/>
  <c r="Q1337" i="2"/>
  <c r="Q1069" i="2"/>
  <c r="Q1273" i="2"/>
  <c r="Q1017" i="2"/>
  <c r="Q1089" i="2"/>
  <c r="Q1008" i="2"/>
  <c r="Q870" i="2"/>
  <c r="Q1244" i="2"/>
  <c r="Q1163" i="2"/>
  <c r="Q920" i="2"/>
  <c r="Q933" i="2"/>
  <c r="Q966" i="2"/>
  <c r="Q1035" i="2"/>
  <c r="Q1075" i="2"/>
  <c r="Q940" i="2"/>
  <c r="Q1162" i="2"/>
  <c r="Q1233" i="2"/>
  <c r="Q1130" i="2"/>
  <c r="Q1128" i="2"/>
  <c r="Q1271" i="2"/>
  <c r="Q1339" i="2"/>
  <c r="Q1376" i="2"/>
  <c r="Q867" i="2"/>
  <c r="Q829" i="2"/>
  <c r="Q984" i="2"/>
  <c r="Q1076" i="2"/>
  <c r="Q883" i="2"/>
  <c r="Q981" i="2"/>
  <c r="Q992" i="2"/>
  <c r="Q1343" i="2"/>
  <c r="Q1183" i="2"/>
  <c r="Q1007" i="2"/>
  <c r="Q1044" i="2"/>
  <c r="Q880" i="2"/>
  <c r="Q1041" i="2"/>
  <c r="Q1132" i="2"/>
  <c r="Q1067" i="2"/>
  <c r="Q847" i="2"/>
  <c r="Q1152" i="2"/>
  <c r="Q988" i="2"/>
  <c r="Q986" i="2"/>
  <c r="Q905" i="2"/>
  <c r="Q1131" i="2"/>
  <c r="Q1015" i="2"/>
  <c r="Q1040" i="2"/>
  <c r="Q879" i="2"/>
  <c r="Q834" i="2"/>
  <c r="Q1082" i="2"/>
  <c r="Q998" i="2"/>
  <c r="Q1060" i="2"/>
  <c r="Q999" i="2"/>
  <c r="Q1109" i="2"/>
  <c r="Q1004" i="2"/>
  <c r="Q1083" i="2"/>
  <c r="Q882" i="2"/>
  <c r="Q985" i="2"/>
  <c r="Q1014" i="2"/>
  <c r="Q1000" i="2"/>
  <c r="Q1188" i="2"/>
  <c r="Q1107" i="2"/>
  <c r="Q958" i="2"/>
  <c r="Q931" i="2"/>
  <c r="Q1135" i="2"/>
  <c r="Q830" i="2"/>
  <c r="Q831" i="2"/>
  <c r="Q838" i="2"/>
  <c r="Q1003" i="2"/>
  <c r="Q930" i="2"/>
  <c r="Q1080" i="2"/>
  <c r="Q1366" i="2"/>
  <c r="Q1023" i="2"/>
  <c r="Q967" i="2"/>
  <c r="Q839" i="2"/>
  <c r="Q1209" i="2"/>
  <c r="Q1104" i="2"/>
  <c r="Q878" i="2"/>
  <c r="Q1272" i="2"/>
  <c r="Q1354" i="2"/>
  <c r="Q1344" i="2"/>
  <c r="Q1341" i="2"/>
  <c r="Q851" i="2"/>
  <c r="Q941" i="2"/>
  <c r="Q1071" i="2"/>
  <c r="Q1371" i="2"/>
  <c r="Q1372" i="2"/>
  <c r="Q1370" i="2"/>
  <c r="Q1373" i="2"/>
  <c r="Q881" i="2"/>
  <c r="Q927" i="2"/>
  <c r="Q1048" i="2"/>
  <c r="Q1379" i="2"/>
  <c r="Q993" i="2"/>
  <c r="Q1230" i="2"/>
  <c r="Q980" i="2"/>
  <c r="Q1240" i="2"/>
  <c r="Q1147" i="2"/>
  <c r="Q997" i="2"/>
  <c r="Q1353" i="2"/>
  <c r="Q963" i="2"/>
  <c r="Q1091" i="2"/>
  <c r="Q1158" i="2"/>
  <c r="Q1161" i="2"/>
  <c r="Q1066" i="2"/>
  <c r="Q864" i="2"/>
  <c r="Q1057" i="2"/>
  <c r="Q902" i="2"/>
  <c r="Q1357" i="2"/>
  <c r="Q1228" i="2"/>
  <c r="Q1227" i="2"/>
  <c r="Q1081" i="2"/>
  <c r="Q1160" i="2"/>
  <c r="Q957" i="2"/>
  <c r="Q1338" i="2"/>
  <c r="Q906" i="2"/>
  <c r="Q907" i="2"/>
  <c r="Q932" i="2"/>
  <c r="Q1349" i="2"/>
  <c r="Q1043" i="2"/>
  <c r="Q1185" i="2"/>
  <c r="Q1231" i="2"/>
  <c r="Q1279" i="2"/>
  <c r="Q1245" i="2"/>
  <c r="Q1221" i="2"/>
  <c r="Q866" i="2"/>
  <c r="Q1358" i="2"/>
  <c r="Q843" i="2"/>
  <c r="Q944" i="2"/>
  <c r="Q1154" i="2"/>
  <c r="Q1213" i="2"/>
  <c r="Q959" i="2"/>
  <c r="Q960" i="2"/>
  <c r="Q961" i="2"/>
  <c r="Q962" i="2"/>
  <c r="Q1033" i="2"/>
  <c r="Q1034" i="2"/>
  <c r="Q1036" i="2"/>
  <c r="Q1037" i="2"/>
  <c r="Q1038" i="2"/>
  <c r="Q912" i="2"/>
  <c r="Q914" i="2"/>
  <c r="Q915" i="2"/>
  <c r="Q916" i="2"/>
  <c r="Q917" i="2"/>
  <c r="Q918" i="2"/>
  <c r="Q1077" i="2"/>
  <c r="Q1327" i="2"/>
  <c r="Q949" i="2"/>
  <c r="Q1094" i="2"/>
  <c r="Q859" i="2"/>
  <c r="Q890" i="2"/>
  <c r="Q891" i="2"/>
  <c r="Q892" i="2"/>
  <c r="Q893" i="2"/>
  <c r="Q894" i="2"/>
  <c r="Q895" i="2"/>
  <c r="Q896" i="2"/>
  <c r="Q897" i="2"/>
  <c r="Q899" i="2"/>
  <c r="Q953" i="2"/>
  <c r="Q954" i="2"/>
  <c r="Q955" i="2"/>
  <c r="Q956" i="2"/>
  <c r="Q1322" i="2"/>
  <c r="Q858" i="2"/>
  <c r="Q860" i="2"/>
  <c r="Q1024" i="2"/>
  <c r="Q1025" i="2"/>
  <c r="Q1026" i="2"/>
  <c r="Q1027" i="2"/>
  <c r="Q1028" i="2"/>
  <c r="Q1029" i="2"/>
  <c r="Q873" i="2"/>
  <c r="Q885" i="2"/>
  <c r="Q1137" i="2"/>
  <c r="Q1157" i="2"/>
  <c r="Q1340" i="2"/>
  <c r="Q1085" i="2"/>
  <c r="Q1242" i="2"/>
  <c r="Q1364" i="2"/>
  <c r="Q1156" i="2"/>
  <c r="Q923" i="2"/>
  <c r="Q1270" i="2"/>
  <c r="Q1061" i="2"/>
  <c r="Q1116" i="2"/>
  <c r="Q1174" i="2"/>
  <c r="Q1182" i="2"/>
  <c r="Q919" i="2"/>
  <c r="Q1186" i="2"/>
  <c r="Q1090" i="2"/>
  <c r="Q946" i="2"/>
  <c r="Q1332" i="2"/>
  <c r="Q1165" i="2"/>
  <c r="Q1164" i="2"/>
  <c r="Q1274" i="2"/>
  <c r="Q898" i="2"/>
  <c r="Q977" i="2"/>
  <c r="Q1018" i="2"/>
  <c r="Q832" i="2"/>
  <c r="Q1222" i="2"/>
  <c r="Q874" i="2"/>
  <c r="Q1212" i="2"/>
  <c r="Q947" i="2"/>
  <c r="Q1215" i="2"/>
  <c r="Q1216" i="2"/>
  <c r="Q835" i="2"/>
  <c r="Q1013" i="2"/>
  <c r="Q1350" i="2"/>
  <c r="Q969" i="2"/>
  <c r="Q875" i="2"/>
  <c r="Q1088" i="2"/>
  <c r="Q1223" i="2"/>
  <c r="Q1347" i="2"/>
  <c r="Q1021" i="2"/>
  <c r="Q1267" i="2"/>
  <c r="Q871" i="2"/>
  <c r="Q872" i="2"/>
  <c r="Q1166" i="2"/>
  <c r="Q1136" i="2"/>
  <c r="Q1219" i="2"/>
  <c r="Q857" i="2"/>
  <c r="Q1246" i="2"/>
  <c r="Q1112" i="2"/>
  <c r="Q1119" i="2"/>
  <c r="Q1120" i="2"/>
  <c r="Q1121" i="2"/>
  <c r="Q1123" i="2"/>
  <c r="Q1124" i="2"/>
  <c r="Q1127" i="2"/>
  <c r="Q1375" i="2"/>
  <c r="Q1148" i="2"/>
  <c r="Q1150" i="2"/>
  <c r="Q1277" i="2"/>
  <c r="Q1278" i="2"/>
  <c r="Q1280" i="2"/>
  <c r="Q1282" i="2"/>
  <c r="Q869" i="2"/>
  <c r="Q1296" i="2"/>
  <c r="Q943" i="2"/>
  <c r="Q1167" i="2"/>
  <c r="Q1168" i="2"/>
  <c r="Q1180" i="2"/>
  <c r="Q1234" i="2"/>
  <c r="Q1235" i="2"/>
  <c r="Q1236" i="2"/>
  <c r="Q1237" i="2"/>
  <c r="Q1238" i="2"/>
  <c r="Q1239" i="2"/>
  <c r="Q1283" i="2"/>
  <c r="Q1284" i="2"/>
  <c r="Q1285" i="2"/>
  <c r="Q1286" i="2"/>
  <c r="Q1287" i="2"/>
  <c r="Q1288" i="2"/>
  <c r="Q1289" i="2"/>
  <c r="Q1320" i="2"/>
  <c r="Q1321" i="2"/>
  <c r="Q1323" i="2"/>
  <c r="Q1334" i="2"/>
  <c r="Q1345" i="2"/>
  <c r="Q1117" i="2"/>
  <c r="Q1118" i="2"/>
  <c r="Q1125" i="2"/>
  <c r="Q1171" i="2"/>
  <c r="Q1172" i="2"/>
  <c r="Q1173" i="2"/>
  <c r="Q1175" i="2"/>
  <c r="Q1176" i="2"/>
  <c r="Q1177" i="2"/>
  <c r="Q1178" i="2"/>
  <c r="Q1181" i="2"/>
  <c r="Q1243" i="2"/>
  <c r="Q1247" i="2"/>
  <c r="Q1249" i="2"/>
  <c r="Q1250" i="2"/>
  <c r="Q1290" i="2"/>
  <c r="Q1291" i="2"/>
  <c r="Q1292" i="2"/>
  <c r="Q1293" i="2"/>
  <c r="Q1294" i="2"/>
  <c r="Q1331" i="2"/>
  <c r="Q1335" i="2"/>
  <c r="Q1367" i="2"/>
  <c r="Q1368" i="2"/>
  <c r="Q1377" i="2"/>
  <c r="Q1378" i="2"/>
  <c r="Q1328" i="2"/>
  <c r="Q1255" i="2"/>
  <c r="Q1257" i="2"/>
  <c r="Q1258" i="2"/>
  <c r="Q1259" i="2"/>
  <c r="Q1260" i="2"/>
  <c r="Q1297" i="2"/>
  <c r="Q1298" i="2"/>
  <c r="Q1299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888" i="2"/>
  <c r="Q840" i="2"/>
  <c r="Q1179" i="2"/>
  <c r="Q833" i="2"/>
  <c r="Q1087" i="2"/>
  <c r="Q1211" i="2"/>
  <c r="Q938" i="2"/>
  <c r="Q983" i="2"/>
  <c r="Q1146" i="2"/>
  <c r="Q1348" i="2"/>
  <c r="Q1144" i="2"/>
  <c r="Q996" i="2"/>
  <c r="Q1062" i="2"/>
  <c r="Q1064" i="2"/>
  <c r="Q1002" i="2"/>
  <c r="Q1047" i="2"/>
  <c r="Q1206" i="2"/>
  <c r="Q1220" i="2"/>
  <c r="Q1151" i="2"/>
  <c r="Q1330" i="2"/>
  <c r="Q951" i="2"/>
  <c r="Q952" i="2"/>
  <c r="Q1086" i="2"/>
  <c r="Q1374" i="2"/>
  <c r="Q903" i="2"/>
  <c r="Q1218" i="2"/>
  <c r="Q1315" i="2"/>
  <c r="Q1316" i="2"/>
  <c r="Q1317" i="2"/>
  <c r="Q1318" i="2"/>
  <c r="Q887" i="2"/>
  <c r="Q968" i="2"/>
  <c r="Q913" i="2"/>
  <c r="Q937" i="2"/>
  <c r="Q1189" i="2"/>
  <c r="Q1011" i="2"/>
  <c r="Q1010" i="2"/>
  <c r="Q889" i="2"/>
  <c r="Q842" i="2"/>
  <c r="Q1138" i="2"/>
  <c r="Q1324" i="2"/>
  <c r="Q1214" i="2"/>
  <c r="Q934" i="2"/>
  <c r="Q1300" i="2"/>
  <c r="Q1192" i="2"/>
  <c r="Q1363" i="2"/>
  <c r="Q1232" i="2"/>
  <c r="Q876" i="2"/>
  <c r="Q841" i="2"/>
  <c r="Q1210" i="2"/>
  <c r="Q1217" i="2"/>
  <c r="Q1346" i="2"/>
  <c r="Q1092" i="2"/>
  <c r="Q1115" i="2"/>
  <c r="Q1022" i="2"/>
  <c r="Q970" i="2"/>
  <c r="Q1248" i="2"/>
  <c r="Q1229" i="2"/>
  <c r="Q950" i="2"/>
  <c r="Q945" i="2"/>
  <c r="Q935" i="2"/>
  <c r="Q994" i="2"/>
  <c r="Q1046" i="2"/>
  <c r="Q1362" i="2"/>
  <c r="Q1226" i="2"/>
  <c r="Q1093" i="2"/>
  <c r="Q1251" i="2"/>
  <c r="Q855" i="2"/>
  <c r="Q925" i="2"/>
  <c r="Q1068" i="2"/>
  <c r="Q1266" i="2"/>
  <c r="Q1016" i="2"/>
  <c r="Q868" i="2"/>
  <c r="Q948" i="2"/>
  <c r="Q990" i="2"/>
  <c r="Q1360" i="2"/>
  <c r="Q844" i="2"/>
  <c r="Q1049" i="2"/>
  <c r="Q1019" i="2"/>
  <c r="Q1155" i="2"/>
  <c r="Q942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90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187" i="2"/>
  <c r="Q1615" i="2"/>
  <c r="O964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1001" i="2"/>
  <c r="O1012" i="2"/>
  <c r="O1079" i="2"/>
  <c r="O828" i="2"/>
  <c r="O827" i="2"/>
  <c r="O1020" i="2"/>
  <c r="O884" i="2"/>
  <c r="O1078" i="2"/>
  <c r="O1342" i="2"/>
  <c r="O1594" i="2"/>
  <c r="O1106" i="2"/>
  <c r="O1055" i="2"/>
  <c r="O1105" i="2"/>
  <c r="O1126" i="2"/>
  <c r="O1365" i="2"/>
  <c r="O1264" i="2"/>
  <c r="O1265" i="2"/>
  <c r="O1063" i="2"/>
  <c r="O1336" i="2"/>
  <c r="O1149" i="2"/>
  <c r="O877" i="2"/>
  <c r="O928" i="2"/>
  <c r="O987" i="2"/>
  <c r="O1313" i="2"/>
  <c r="O845" i="2"/>
  <c r="O1005" i="2"/>
  <c r="O854" i="2"/>
  <c r="O1108" i="2"/>
  <c r="O1142" i="2"/>
  <c r="O924" i="2"/>
  <c r="O1039" i="2"/>
  <c r="O865" i="2"/>
  <c r="O848" i="2"/>
  <c r="O846" i="2"/>
  <c r="O995" i="2"/>
  <c r="O853" i="2"/>
  <c r="O852" i="2"/>
  <c r="O965" i="2"/>
  <c r="O826" i="2"/>
  <c r="O911" i="2"/>
  <c r="O1225" i="2"/>
  <c r="O901" i="2"/>
  <c r="O1352" i="2"/>
  <c r="O1058" i="2"/>
  <c r="O921" i="2"/>
  <c r="O991" i="2"/>
  <c r="O908" i="2"/>
  <c r="O1281" i="2"/>
  <c r="O910" i="2"/>
  <c r="O1241" i="2"/>
  <c r="O1314" i="2"/>
  <c r="O1269" i="2"/>
  <c r="O1253" i="2"/>
  <c r="O850" i="2"/>
  <c r="O1295" i="2"/>
  <c r="O1256" i="2"/>
  <c r="O1122" i="2"/>
  <c r="O1275" i="2"/>
  <c r="O1045" i="2"/>
  <c r="O1159" i="2"/>
  <c r="O856" i="2"/>
  <c r="O971" i="2"/>
  <c r="O972" i="2"/>
  <c r="O973" i="2"/>
  <c r="O974" i="2"/>
  <c r="O975" i="2"/>
  <c r="O976" i="2"/>
  <c r="O978" i="2"/>
  <c r="O979" i="2"/>
  <c r="O982" i="2"/>
  <c r="O1050" i="2"/>
  <c r="O1051" i="2"/>
  <c r="O1052" i="2"/>
  <c r="O1053" i="2"/>
  <c r="O1054" i="2"/>
  <c r="O1056" i="2"/>
  <c r="O1110" i="2"/>
  <c r="O1369" i="2"/>
  <c r="O1143" i="2"/>
  <c r="O1190" i="2"/>
  <c r="O1191" i="2"/>
  <c r="O1193" i="2"/>
  <c r="O1194" i="2"/>
  <c r="O1195" i="2"/>
  <c r="O1196" i="2"/>
  <c r="O1198" i="2"/>
  <c r="O1199" i="2"/>
  <c r="O1200" i="2"/>
  <c r="O1201" i="2"/>
  <c r="O1202" i="2"/>
  <c r="O1203" i="2"/>
  <c r="O1204" i="2"/>
  <c r="O1205" i="2"/>
  <c r="O1261" i="2"/>
  <c r="O1262" i="2"/>
  <c r="O1263" i="2"/>
  <c r="O1030" i="2"/>
  <c r="O1031" i="2"/>
  <c r="O1032" i="2"/>
  <c r="O1095" i="2"/>
  <c r="O1096" i="2"/>
  <c r="O1097" i="2"/>
  <c r="O1098" i="2"/>
  <c r="O1099" i="2"/>
  <c r="O1100" i="2"/>
  <c r="O1101" i="2"/>
  <c r="O1103" i="2"/>
  <c r="O1333" i="2"/>
  <c r="O1140" i="2"/>
  <c r="O863" i="2"/>
  <c r="O1356" i="2"/>
  <c r="O1359" i="2"/>
  <c r="O1184" i="2"/>
  <c r="O1084" i="2"/>
  <c r="O1111" i="2"/>
  <c r="O926" i="2"/>
  <c r="O1351" i="2"/>
  <c r="O900" i="2"/>
  <c r="O1133" i="2"/>
  <c r="O909" i="2"/>
  <c r="O1169" i="2"/>
  <c r="O1329" i="2"/>
  <c r="O862" i="2"/>
  <c r="O1073" i="2"/>
  <c r="O1042" i="2"/>
  <c r="O1129" i="2"/>
  <c r="O836" i="2"/>
  <c r="O1070" i="2"/>
  <c r="O939" i="2"/>
  <c r="O837" i="2"/>
  <c r="O1355" i="2"/>
  <c r="O849" i="2"/>
  <c r="O1153" i="2"/>
  <c r="O1072" i="2"/>
  <c r="O1065" i="2"/>
  <c r="O1059" i="2"/>
  <c r="O1252" i="2"/>
  <c r="O1254" i="2"/>
  <c r="O1268" i="2"/>
  <c r="O1224" i="2"/>
  <c r="O861" i="2"/>
  <c r="O1074" i="2"/>
  <c r="O1006" i="2"/>
  <c r="O1170" i="2"/>
  <c r="O1134" i="2"/>
  <c r="O1114" i="2"/>
  <c r="O1102" i="2"/>
  <c r="O1113" i="2"/>
  <c r="O1614" i="2"/>
  <c r="O886" i="2"/>
  <c r="O1208" i="2"/>
  <c r="O1145" i="2"/>
  <c r="O1207" i="2"/>
  <c r="O1325" i="2"/>
  <c r="O1361" i="2"/>
  <c r="O1141" i="2"/>
  <c r="O1139" i="2"/>
  <c r="O1319" i="2"/>
  <c r="O1276" i="2"/>
  <c r="O1009" i="2"/>
  <c r="O922" i="2"/>
  <c r="O989" i="2"/>
  <c r="O1197" i="2"/>
  <c r="O1326" i="2"/>
  <c r="O936" i="2"/>
  <c r="O929" i="2"/>
  <c r="O1337" i="2"/>
  <c r="O1069" i="2"/>
  <c r="O1273" i="2"/>
  <c r="O1017" i="2"/>
  <c r="O1089" i="2"/>
  <c r="O1008" i="2"/>
  <c r="O870" i="2"/>
  <c r="O1244" i="2"/>
  <c r="O1163" i="2"/>
  <c r="O920" i="2"/>
  <c r="O933" i="2"/>
  <c r="O966" i="2"/>
  <c r="O1035" i="2"/>
  <c r="O1075" i="2"/>
  <c r="O940" i="2"/>
  <c r="O1162" i="2"/>
  <c r="O1233" i="2"/>
  <c r="O1130" i="2"/>
  <c r="O1128" i="2"/>
  <c r="O1271" i="2"/>
  <c r="O1339" i="2"/>
  <c r="O1376" i="2"/>
  <c r="O867" i="2"/>
  <c r="O829" i="2"/>
  <c r="O984" i="2"/>
  <c r="O1076" i="2"/>
  <c r="O883" i="2"/>
  <c r="O981" i="2"/>
  <c r="O992" i="2"/>
  <c r="O1343" i="2"/>
  <c r="O1183" i="2"/>
  <c r="O1007" i="2"/>
  <c r="O1044" i="2"/>
  <c r="O880" i="2"/>
  <c r="O1041" i="2"/>
  <c r="O1132" i="2"/>
  <c r="O1067" i="2"/>
  <c r="O847" i="2"/>
  <c r="O1152" i="2"/>
  <c r="O988" i="2"/>
  <c r="O986" i="2"/>
  <c r="O905" i="2"/>
  <c r="O1131" i="2"/>
  <c r="O1015" i="2"/>
  <c r="O1040" i="2"/>
  <c r="O879" i="2"/>
  <c r="O834" i="2"/>
  <c r="O1082" i="2"/>
  <c r="O998" i="2"/>
  <c r="O1060" i="2"/>
  <c r="O999" i="2"/>
  <c r="O1109" i="2"/>
  <c r="O1004" i="2"/>
  <c r="O1083" i="2"/>
  <c r="O882" i="2"/>
  <c r="O985" i="2"/>
  <c r="O1014" i="2"/>
  <c r="O1000" i="2"/>
  <c r="O1188" i="2"/>
  <c r="O1107" i="2"/>
  <c r="O958" i="2"/>
  <c r="O931" i="2"/>
  <c r="O1135" i="2"/>
  <c r="O830" i="2"/>
  <c r="O831" i="2"/>
  <c r="O838" i="2"/>
  <c r="O1003" i="2"/>
  <c r="O930" i="2"/>
  <c r="O1080" i="2"/>
  <c r="O1366" i="2"/>
  <c r="O1023" i="2"/>
  <c r="O967" i="2"/>
  <c r="O839" i="2"/>
  <c r="O1209" i="2"/>
  <c r="O1104" i="2"/>
  <c r="O878" i="2"/>
  <c r="O1272" i="2"/>
  <c r="O1354" i="2"/>
  <c r="O1344" i="2"/>
  <c r="O1341" i="2"/>
  <c r="O851" i="2"/>
  <c r="O941" i="2"/>
  <c r="O1071" i="2"/>
  <c r="O1371" i="2"/>
  <c r="O1372" i="2"/>
  <c r="O1370" i="2"/>
  <c r="O1373" i="2"/>
  <c r="O881" i="2"/>
  <c r="O927" i="2"/>
  <c r="O1048" i="2"/>
  <c r="O1379" i="2"/>
  <c r="O993" i="2"/>
  <c r="O1230" i="2"/>
  <c r="O980" i="2"/>
  <c r="O1240" i="2"/>
  <c r="O1147" i="2"/>
  <c r="O997" i="2"/>
  <c r="O1353" i="2"/>
  <c r="O963" i="2"/>
  <c r="O1091" i="2"/>
  <c r="O1158" i="2"/>
  <c r="O1161" i="2"/>
  <c r="O1066" i="2"/>
  <c r="O864" i="2"/>
  <c r="O1057" i="2"/>
  <c r="O902" i="2"/>
  <c r="O1357" i="2"/>
  <c r="O1228" i="2"/>
  <c r="O1227" i="2"/>
  <c r="O1081" i="2"/>
  <c r="O1160" i="2"/>
  <c r="O957" i="2"/>
  <c r="O1338" i="2"/>
  <c r="O906" i="2"/>
  <c r="O907" i="2"/>
  <c r="O932" i="2"/>
  <c r="O1349" i="2"/>
  <c r="O1043" i="2"/>
  <c r="O1185" i="2"/>
  <c r="O1231" i="2"/>
  <c r="O1279" i="2"/>
  <c r="O1245" i="2"/>
  <c r="O1221" i="2"/>
  <c r="O866" i="2"/>
  <c r="O1358" i="2"/>
  <c r="O843" i="2"/>
  <c r="O944" i="2"/>
  <c r="O1154" i="2"/>
  <c r="O1213" i="2"/>
  <c r="O959" i="2"/>
  <c r="O960" i="2"/>
  <c r="O961" i="2"/>
  <c r="O962" i="2"/>
  <c r="O1033" i="2"/>
  <c r="O1034" i="2"/>
  <c r="O1036" i="2"/>
  <c r="O1037" i="2"/>
  <c r="O1038" i="2"/>
  <c r="O912" i="2"/>
  <c r="O914" i="2"/>
  <c r="O915" i="2"/>
  <c r="O916" i="2"/>
  <c r="O917" i="2"/>
  <c r="O918" i="2"/>
  <c r="O1077" i="2"/>
  <c r="O1327" i="2"/>
  <c r="O949" i="2"/>
  <c r="O1094" i="2"/>
  <c r="O859" i="2"/>
  <c r="O890" i="2"/>
  <c r="O891" i="2"/>
  <c r="O892" i="2"/>
  <c r="O893" i="2"/>
  <c r="O894" i="2"/>
  <c r="O895" i="2"/>
  <c r="O896" i="2"/>
  <c r="O897" i="2"/>
  <c r="O899" i="2"/>
  <c r="O953" i="2"/>
  <c r="O954" i="2"/>
  <c r="O955" i="2"/>
  <c r="O956" i="2"/>
  <c r="O1322" i="2"/>
  <c r="O858" i="2"/>
  <c r="O860" i="2"/>
  <c r="O1024" i="2"/>
  <c r="O1025" i="2"/>
  <c r="O1026" i="2"/>
  <c r="O1027" i="2"/>
  <c r="O1028" i="2"/>
  <c r="O1029" i="2"/>
  <c r="O873" i="2"/>
  <c r="O885" i="2"/>
  <c r="O1137" i="2"/>
  <c r="O1157" i="2"/>
  <c r="O1340" i="2"/>
  <c r="O1085" i="2"/>
  <c r="O1242" i="2"/>
  <c r="O1364" i="2"/>
  <c r="O1156" i="2"/>
  <c r="O923" i="2"/>
  <c r="O1270" i="2"/>
  <c r="O1061" i="2"/>
  <c r="O1116" i="2"/>
  <c r="O1174" i="2"/>
  <c r="O1182" i="2"/>
  <c r="O919" i="2"/>
  <c r="O1186" i="2"/>
  <c r="O1090" i="2"/>
  <c r="O946" i="2"/>
  <c r="O1332" i="2"/>
  <c r="O1165" i="2"/>
  <c r="O1164" i="2"/>
  <c r="O1274" i="2"/>
  <c r="O898" i="2"/>
  <c r="O977" i="2"/>
  <c r="O1018" i="2"/>
  <c r="O832" i="2"/>
  <c r="O1222" i="2"/>
  <c r="O874" i="2"/>
  <c r="O1212" i="2"/>
  <c r="O947" i="2"/>
  <c r="O1215" i="2"/>
  <c r="O1216" i="2"/>
  <c r="O835" i="2"/>
  <c r="O1013" i="2"/>
  <c r="O1350" i="2"/>
  <c r="O969" i="2"/>
  <c r="O875" i="2"/>
  <c r="O1088" i="2"/>
  <c r="O1223" i="2"/>
  <c r="O1347" i="2"/>
  <c r="O1021" i="2"/>
  <c r="O1267" i="2"/>
  <c r="O871" i="2"/>
  <c r="O872" i="2"/>
  <c r="O1166" i="2"/>
  <c r="O1136" i="2"/>
  <c r="O1219" i="2"/>
  <c r="O857" i="2"/>
  <c r="O1246" i="2"/>
  <c r="O1112" i="2"/>
  <c r="O1119" i="2"/>
  <c r="O1120" i="2"/>
  <c r="O1121" i="2"/>
  <c r="O1123" i="2"/>
  <c r="O1124" i="2"/>
  <c r="O1127" i="2"/>
  <c r="O1375" i="2"/>
  <c r="O1148" i="2"/>
  <c r="O1150" i="2"/>
  <c r="O1277" i="2"/>
  <c r="O1278" i="2"/>
  <c r="O1280" i="2"/>
  <c r="O1282" i="2"/>
  <c r="O869" i="2"/>
  <c r="O1296" i="2"/>
  <c r="O943" i="2"/>
  <c r="O1167" i="2"/>
  <c r="O1168" i="2"/>
  <c r="O1180" i="2"/>
  <c r="O1234" i="2"/>
  <c r="O1235" i="2"/>
  <c r="O1236" i="2"/>
  <c r="O1237" i="2"/>
  <c r="O1238" i="2"/>
  <c r="O1239" i="2"/>
  <c r="O1283" i="2"/>
  <c r="O1284" i="2"/>
  <c r="O1285" i="2"/>
  <c r="O1286" i="2"/>
  <c r="O1287" i="2"/>
  <c r="O1288" i="2"/>
  <c r="O1289" i="2"/>
  <c r="O1320" i="2"/>
  <c r="O1321" i="2"/>
  <c r="O1323" i="2"/>
  <c r="O1334" i="2"/>
  <c r="O1345" i="2"/>
  <c r="O1117" i="2"/>
  <c r="O1118" i="2"/>
  <c r="O1125" i="2"/>
  <c r="O1171" i="2"/>
  <c r="O1172" i="2"/>
  <c r="O1173" i="2"/>
  <c r="O1175" i="2"/>
  <c r="O1176" i="2"/>
  <c r="O1177" i="2"/>
  <c r="O1178" i="2"/>
  <c r="O1181" i="2"/>
  <c r="O1243" i="2"/>
  <c r="O1247" i="2"/>
  <c r="O1249" i="2"/>
  <c r="O1250" i="2"/>
  <c r="O1290" i="2"/>
  <c r="O1291" i="2"/>
  <c r="O1292" i="2"/>
  <c r="O1293" i="2"/>
  <c r="O1294" i="2"/>
  <c r="O1331" i="2"/>
  <c r="O1335" i="2"/>
  <c r="O1367" i="2"/>
  <c r="O1368" i="2"/>
  <c r="O1377" i="2"/>
  <c r="O1378" i="2"/>
  <c r="O1328" i="2"/>
  <c r="O1255" i="2"/>
  <c r="O1257" i="2"/>
  <c r="O1258" i="2"/>
  <c r="O1259" i="2"/>
  <c r="O1260" i="2"/>
  <c r="O1297" i="2"/>
  <c r="O1298" i="2"/>
  <c r="O1299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888" i="2"/>
  <c r="O840" i="2"/>
  <c r="O1179" i="2"/>
  <c r="O833" i="2"/>
  <c r="O1087" i="2"/>
  <c r="O1211" i="2"/>
  <c r="O938" i="2"/>
  <c r="O983" i="2"/>
  <c r="O1146" i="2"/>
  <c r="O1348" i="2"/>
  <c r="O1144" i="2"/>
  <c r="O996" i="2"/>
  <c r="O1062" i="2"/>
  <c r="O1064" i="2"/>
  <c r="O1002" i="2"/>
  <c r="O1047" i="2"/>
  <c r="O1206" i="2"/>
  <c r="O1220" i="2"/>
  <c r="O1151" i="2"/>
  <c r="O1330" i="2"/>
  <c r="O951" i="2"/>
  <c r="O952" i="2"/>
  <c r="O1086" i="2"/>
  <c r="O1374" i="2"/>
  <c r="O903" i="2"/>
  <c r="O1218" i="2"/>
  <c r="O1315" i="2"/>
  <c r="O1316" i="2"/>
  <c r="O1317" i="2"/>
  <c r="O1318" i="2"/>
  <c r="O887" i="2"/>
  <c r="O968" i="2"/>
  <c r="O913" i="2"/>
  <c r="O937" i="2"/>
  <c r="O1189" i="2"/>
  <c r="O1011" i="2"/>
  <c r="O1010" i="2"/>
  <c r="O889" i="2"/>
  <c r="O842" i="2"/>
  <c r="O1138" i="2"/>
  <c r="O1324" i="2"/>
  <c r="O1214" i="2"/>
  <c r="O934" i="2"/>
  <c r="O1300" i="2"/>
  <c r="O1192" i="2"/>
  <c r="O1363" i="2"/>
  <c r="O1232" i="2"/>
  <c r="O876" i="2"/>
  <c r="O841" i="2"/>
  <c r="O1210" i="2"/>
  <c r="O1217" i="2"/>
  <c r="O1346" i="2"/>
  <c r="O1092" i="2"/>
  <c r="O1115" i="2"/>
  <c r="O1022" i="2"/>
  <c r="O970" i="2"/>
  <c r="O1248" i="2"/>
  <c r="O1229" i="2"/>
  <c r="O950" i="2"/>
  <c r="O945" i="2"/>
  <c r="O935" i="2"/>
  <c r="O994" i="2"/>
  <c r="O1046" i="2"/>
  <c r="O1362" i="2"/>
  <c r="O1226" i="2"/>
  <c r="O1093" i="2"/>
  <c r="O1251" i="2"/>
  <c r="O855" i="2"/>
  <c r="O925" i="2"/>
  <c r="O1068" i="2"/>
  <c r="O1266" i="2"/>
  <c r="O1016" i="2"/>
  <c r="O868" i="2"/>
  <c r="O948" i="2"/>
  <c r="O990" i="2"/>
  <c r="O1360" i="2"/>
  <c r="O844" i="2"/>
  <c r="O1049" i="2"/>
  <c r="O1019" i="2"/>
  <c r="O1155" i="2"/>
  <c r="O942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90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187" i="2"/>
  <c r="O1615" i="2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R2" i="3" s="1"/>
  <c r="Q2" i="3" a="1"/>
  <c r="Q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<sst xmlns="http://schemas.openxmlformats.org/spreadsheetml/2006/main" count="51693" uniqueCount="6480">
  <si>
    <t>id</t>
  </si>
  <si>
    <t>continent</t>
  </si>
  <si>
    <t>region</t>
  </si>
  <si>
    <t>area</t>
  </si>
  <si>
    <t>terrain</t>
  </si>
  <si>
    <t>religion</t>
  </si>
  <si>
    <t>climate</t>
  </si>
  <si>
    <t>culture</t>
  </si>
  <si>
    <t>goods</t>
  </si>
  <si>
    <t>name</t>
  </si>
  <si>
    <t>colonization difficulty</t>
  </si>
  <si>
    <t>America</t>
  </si>
  <si>
    <t>North America</t>
  </si>
  <si>
    <t>Alaska</t>
  </si>
  <si>
    <t>mountain</t>
  </si>
  <si>
    <t>pagan</t>
  </si>
  <si>
    <t>arctic</t>
  </si>
  <si>
    <t>inuit</t>
  </si>
  <si>
    <t>gold</t>
  </si>
  <si>
    <t>Yukon</t>
  </si>
  <si>
    <t>fur</t>
  </si>
  <si>
    <t>Kitimat</t>
  </si>
  <si>
    <t>forest</t>
  </si>
  <si>
    <t>salishan</t>
  </si>
  <si>
    <t>Sitka</t>
  </si>
  <si>
    <t>Oregon</t>
  </si>
  <si>
    <t>ncontinental</t>
  </si>
  <si>
    <t>fish</t>
  </si>
  <si>
    <t>Nanaimo</t>
  </si>
  <si>
    <t>naval supplies</t>
  </si>
  <si>
    <t>Olympia</t>
  </si>
  <si>
    <t>Columbia</t>
  </si>
  <si>
    <t>Nehalem</t>
  </si>
  <si>
    <t>California</t>
  </si>
  <si>
    <t>plains</t>
  </si>
  <si>
    <t>temperate</t>
  </si>
  <si>
    <t>miwok</t>
  </si>
  <si>
    <t>wine</t>
  </si>
  <si>
    <t>Sacramento</t>
  </si>
  <si>
    <t>Monterey</t>
  </si>
  <si>
    <t>takic</t>
  </si>
  <si>
    <t>wool</t>
  </si>
  <si>
    <t>Sierra Madre</t>
  </si>
  <si>
    <t>grain</t>
  </si>
  <si>
    <t>San Bernardino</t>
  </si>
  <si>
    <t>Central America</t>
  </si>
  <si>
    <t>Sonora</t>
  </si>
  <si>
    <t>desertic</t>
  </si>
  <si>
    <t>hokan</t>
  </si>
  <si>
    <t>Ensenada</t>
  </si>
  <si>
    <t>Baja</t>
  </si>
  <si>
    <t>Nevada</t>
  </si>
  <si>
    <t>desert</t>
  </si>
  <si>
    <t>salt</t>
  </si>
  <si>
    <t>Salton</t>
  </si>
  <si>
    <t>Altar</t>
  </si>
  <si>
    <t>Canyon</t>
  </si>
  <si>
    <t>tarahumara</t>
  </si>
  <si>
    <t>Empalme</t>
  </si>
  <si>
    <t>apache</t>
  </si>
  <si>
    <t>Arizona</t>
  </si>
  <si>
    <t>Pinalero</t>
  </si>
  <si>
    <t>Chihuahua</t>
  </si>
  <si>
    <t>Mazatlan</t>
  </si>
  <si>
    <t>Texas</t>
  </si>
  <si>
    <t>El Paso</t>
  </si>
  <si>
    <t>Coahuilha</t>
  </si>
  <si>
    <t>Azteca</t>
  </si>
  <si>
    <t>aztec</t>
  </si>
  <si>
    <t>Jalisco</t>
  </si>
  <si>
    <t>Saltillo</t>
  </si>
  <si>
    <t>Michoagan</t>
  </si>
  <si>
    <t>Tenochtitlan</t>
  </si>
  <si>
    <t>sugar</t>
  </si>
  <si>
    <t>Tampico</t>
  </si>
  <si>
    <t>tropical</t>
  </si>
  <si>
    <t>zapotec</t>
  </si>
  <si>
    <t>Tlaxcala</t>
  </si>
  <si>
    <t>Atlixco</t>
  </si>
  <si>
    <t>Tehuantepec</t>
  </si>
  <si>
    <t>marsh</t>
  </si>
  <si>
    <t>mayan</t>
  </si>
  <si>
    <t>Tehuacan</t>
  </si>
  <si>
    <t>Costa Rica</t>
  </si>
  <si>
    <t>coffee</t>
  </si>
  <si>
    <t>Guatemala</t>
  </si>
  <si>
    <t>Campeche</t>
  </si>
  <si>
    <t>Yucatan</t>
  </si>
  <si>
    <t>mesoamerican</t>
  </si>
  <si>
    <t>Honduras</t>
  </si>
  <si>
    <t>Nicaragua</t>
  </si>
  <si>
    <t>chibcha</t>
  </si>
  <si>
    <t>Mosquitos</t>
  </si>
  <si>
    <t>Panama</t>
  </si>
  <si>
    <t>Isthmus</t>
  </si>
  <si>
    <t>Pecos</t>
  </si>
  <si>
    <t>karankawa</t>
  </si>
  <si>
    <t>Rio Grande</t>
  </si>
  <si>
    <t>Concho</t>
  </si>
  <si>
    <t>Matagorda</t>
  </si>
  <si>
    <t>Louisiane</t>
  </si>
  <si>
    <t>Wichita</t>
  </si>
  <si>
    <t>creek</t>
  </si>
  <si>
    <t>cotton</t>
  </si>
  <si>
    <t>Bayou</t>
  </si>
  <si>
    <t>Biloxi</t>
  </si>
  <si>
    <t>Mobile</t>
  </si>
  <si>
    <t>Florida</t>
  </si>
  <si>
    <t>Talahassee</t>
  </si>
  <si>
    <t>Seminole</t>
  </si>
  <si>
    <t>Everglades</t>
  </si>
  <si>
    <t>mississippian</t>
  </si>
  <si>
    <t>Arkansas</t>
  </si>
  <si>
    <t>cherokee</t>
  </si>
  <si>
    <t>Yazoo</t>
  </si>
  <si>
    <t>Tuscaloosa</t>
  </si>
  <si>
    <t>Georgia</t>
  </si>
  <si>
    <t>Savannah</t>
  </si>
  <si>
    <t>Alabama</t>
  </si>
  <si>
    <t>Tennessee</t>
  </si>
  <si>
    <t>Mississippi</t>
  </si>
  <si>
    <t>Kansas</t>
  </si>
  <si>
    <t>tundra</t>
  </si>
  <si>
    <t>Missouri</t>
  </si>
  <si>
    <t>Illinois</t>
  </si>
  <si>
    <t>shawnee</t>
  </si>
  <si>
    <t>Miamis</t>
  </si>
  <si>
    <t>Appalachia</t>
  </si>
  <si>
    <t>Alleghany</t>
  </si>
  <si>
    <t>Carolina</t>
  </si>
  <si>
    <t>Santee</t>
  </si>
  <si>
    <t>tobacco</t>
  </si>
  <si>
    <t>Roanoke</t>
  </si>
  <si>
    <t>Catawba</t>
  </si>
  <si>
    <t>Appalache</t>
  </si>
  <si>
    <t>Ohio</t>
  </si>
  <si>
    <t>Kentucky</t>
  </si>
  <si>
    <t>lenape</t>
  </si>
  <si>
    <t>Chesapeake</t>
  </si>
  <si>
    <t>iroquois</t>
  </si>
  <si>
    <t>Powhatan</t>
  </si>
  <si>
    <t>iron</t>
  </si>
  <si>
    <t>Shenandoah</t>
  </si>
  <si>
    <t>Erie</t>
  </si>
  <si>
    <t>Grand Lacs</t>
  </si>
  <si>
    <t>Hindua</t>
  </si>
  <si>
    <t>Fox</t>
  </si>
  <si>
    <t>sioux</t>
  </si>
  <si>
    <t>Milwaukee</t>
  </si>
  <si>
    <t>Iowa</t>
  </si>
  <si>
    <t>Minnesota</t>
  </si>
  <si>
    <t>Plaines</t>
  </si>
  <si>
    <t>Mesabi</t>
  </si>
  <si>
    <t>Duluth</t>
  </si>
  <si>
    <t>Wisconsin</t>
  </si>
  <si>
    <t>Oskosh</t>
  </si>
  <si>
    <t>Michilimakinak</t>
  </si>
  <si>
    <t>Detroit</t>
  </si>
  <si>
    <t>Irondekoit</t>
  </si>
  <si>
    <t>Tuscarora</t>
  </si>
  <si>
    <t>Susquehanna</t>
  </si>
  <si>
    <t>Delaware</t>
  </si>
  <si>
    <t>Manhattan</t>
  </si>
  <si>
    <t>Catskill</t>
  </si>
  <si>
    <t>Oswego</t>
  </si>
  <si>
    <t>Mohawk</t>
  </si>
  <si>
    <t>Onondaga</t>
  </si>
  <si>
    <t>huron</t>
  </si>
  <si>
    <t>Niagara</t>
  </si>
  <si>
    <t>Sault</t>
  </si>
  <si>
    <t>Superior</t>
  </si>
  <si>
    <t>Nipigon</t>
  </si>
  <si>
    <t>Nipissing</t>
  </si>
  <si>
    <t>Oshawa</t>
  </si>
  <si>
    <t>Huron</t>
  </si>
  <si>
    <t>Ticonderoga</t>
  </si>
  <si>
    <t>Adirondak</t>
  </si>
  <si>
    <t>Maine</t>
  </si>
  <si>
    <t>Sebago</t>
  </si>
  <si>
    <t>Connecticut</t>
  </si>
  <si>
    <t>Massachussetts</t>
  </si>
  <si>
    <t>abenaki</t>
  </si>
  <si>
    <t>Penobscot</t>
  </si>
  <si>
    <t>Quebec</t>
  </si>
  <si>
    <t>Megantic</t>
  </si>
  <si>
    <t>Hochelaga</t>
  </si>
  <si>
    <t>Ottawa</t>
  </si>
  <si>
    <t>naskapi</t>
  </si>
  <si>
    <t>Laurentia</t>
  </si>
  <si>
    <t>Shawinigan</t>
  </si>
  <si>
    <t>Stadacone</t>
  </si>
  <si>
    <t>Bas St-Laurent</t>
  </si>
  <si>
    <t>Bangor</t>
  </si>
  <si>
    <t>Acadie</t>
  </si>
  <si>
    <t>Micmac</t>
  </si>
  <si>
    <t>Gaspesie</t>
  </si>
  <si>
    <t>Nova Scotia</t>
  </si>
  <si>
    <t>Isle Royale</t>
  </si>
  <si>
    <t>Newfoundland</t>
  </si>
  <si>
    <t>Gander</t>
  </si>
  <si>
    <t>Placentia</t>
  </si>
  <si>
    <t>Wabana</t>
  </si>
  <si>
    <t>Saguenay</t>
  </si>
  <si>
    <t>Manicouagan</t>
  </si>
  <si>
    <t>Labrador</t>
  </si>
  <si>
    <t>Anticosti</t>
  </si>
  <si>
    <t>Belle Isle</t>
  </si>
  <si>
    <t>Caniapiscau</t>
  </si>
  <si>
    <t>Nain</t>
  </si>
  <si>
    <t>Torngat</t>
  </si>
  <si>
    <t>Hudson Bay</t>
  </si>
  <si>
    <t>Ungava</t>
  </si>
  <si>
    <t>copper</t>
  </si>
  <si>
    <t>Minto</t>
  </si>
  <si>
    <t>Chisasibi</t>
  </si>
  <si>
    <t>Attawapiskat</t>
  </si>
  <si>
    <t>cree</t>
  </si>
  <si>
    <t>Winisk</t>
  </si>
  <si>
    <t>Athabaska</t>
  </si>
  <si>
    <t>Chimo</t>
  </si>
  <si>
    <t>Eskimalt</t>
  </si>
  <si>
    <t>Nueltin</t>
  </si>
  <si>
    <t>Caribbean</t>
  </si>
  <si>
    <t>Cuba</t>
  </si>
  <si>
    <t>arawak</t>
  </si>
  <si>
    <t>Havana</t>
  </si>
  <si>
    <t>Moron</t>
  </si>
  <si>
    <t>Guantanamo</t>
  </si>
  <si>
    <t>Jamaica</t>
  </si>
  <si>
    <t>Haiti</t>
  </si>
  <si>
    <t>Les Cayes</t>
  </si>
  <si>
    <t>Tortuga</t>
  </si>
  <si>
    <t>Barahona</t>
  </si>
  <si>
    <t>Antilles</t>
  </si>
  <si>
    <t>Puerto Rico</t>
  </si>
  <si>
    <t>carib</t>
  </si>
  <si>
    <t>St. Thomas</t>
  </si>
  <si>
    <t>St. Martin</t>
  </si>
  <si>
    <t>Antigua</t>
  </si>
  <si>
    <t>Dominica</t>
  </si>
  <si>
    <t>Guadeloupe</t>
  </si>
  <si>
    <t>Martinique</t>
  </si>
  <si>
    <t>Tobago &amp; Trinidad</t>
  </si>
  <si>
    <t>Barbados</t>
  </si>
  <si>
    <t>South America</t>
  </si>
  <si>
    <t>Orenoque</t>
  </si>
  <si>
    <t>Curacao</t>
  </si>
  <si>
    <t>Yaraguay</t>
  </si>
  <si>
    <t>Apure</t>
  </si>
  <si>
    <t>Tocuvo</t>
  </si>
  <si>
    <t>Maracaibo</t>
  </si>
  <si>
    <t>Cartagena</t>
  </si>
  <si>
    <t>Yarumal</t>
  </si>
  <si>
    <t>Bogota</t>
  </si>
  <si>
    <t>Cupica</t>
  </si>
  <si>
    <t>Ecuador</t>
  </si>
  <si>
    <t>quechua</t>
  </si>
  <si>
    <t>Cali</t>
  </si>
  <si>
    <t>Azuay</t>
  </si>
  <si>
    <t>Guayaquil</t>
  </si>
  <si>
    <t>Inca</t>
  </si>
  <si>
    <t>Cajamarca</t>
  </si>
  <si>
    <t>Huanuco</t>
  </si>
  <si>
    <t>Ayacucho</t>
  </si>
  <si>
    <t>Lima</t>
  </si>
  <si>
    <t>Cuzco</t>
  </si>
  <si>
    <t>aymara</t>
  </si>
  <si>
    <t>Arequipa</t>
  </si>
  <si>
    <t>Moquega</t>
  </si>
  <si>
    <t>Arica</t>
  </si>
  <si>
    <t>Chili</t>
  </si>
  <si>
    <t>mapuche</t>
  </si>
  <si>
    <t>Atacama</t>
  </si>
  <si>
    <t>Coquimbo</t>
  </si>
  <si>
    <t>Valparaiso</t>
  </si>
  <si>
    <t>Talca</t>
  </si>
  <si>
    <t>scontinental</t>
  </si>
  <si>
    <t>Aisen</t>
  </si>
  <si>
    <t>Caribe</t>
  </si>
  <si>
    <t>Guiana</t>
  </si>
  <si>
    <t>Cuyuni</t>
  </si>
  <si>
    <t>Guyana</t>
  </si>
  <si>
    <t>Surinam</t>
  </si>
  <si>
    <t>Maroni</t>
  </si>
  <si>
    <t>Amapa</t>
  </si>
  <si>
    <t>Amazonia</t>
  </si>
  <si>
    <t>amazonian</t>
  </si>
  <si>
    <t>Manaus</t>
  </si>
  <si>
    <t>Solimoes</t>
  </si>
  <si>
    <t>Aleutes</t>
  </si>
  <si>
    <t>Pastaza</t>
  </si>
  <si>
    <t>Mirim</t>
  </si>
  <si>
    <t>Macacos</t>
  </si>
  <si>
    <t>Japura</t>
  </si>
  <si>
    <t>Canuma</t>
  </si>
  <si>
    <t>Taqari</t>
  </si>
  <si>
    <t>Titicaca</t>
  </si>
  <si>
    <t>Potosi</t>
  </si>
  <si>
    <t>tapuia</t>
  </si>
  <si>
    <t>Mato Grosso</t>
  </si>
  <si>
    <t>Goias</t>
  </si>
  <si>
    <t>Caracas</t>
  </si>
  <si>
    <t>Belem</t>
  </si>
  <si>
    <t>tupi</t>
  </si>
  <si>
    <t>Marajo</t>
  </si>
  <si>
    <t>Para</t>
  </si>
  <si>
    <t>Recife</t>
  </si>
  <si>
    <t>Tiracambu</t>
  </si>
  <si>
    <t>Maranhao</t>
  </si>
  <si>
    <t>Parnaiba</t>
  </si>
  <si>
    <t>Iguato</t>
  </si>
  <si>
    <t>Pernambuc</t>
  </si>
  <si>
    <t>Bahia</t>
  </si>
  <si>
    <t>Alagoas</t>
  </si>
  <si>
    <t>Diamentina</t>
  </si>
  <si>
    <t>Minas Gerais</t>
  </si>
  <si>
    <t>Salvador</t>
  </si>
  <si>
    <t>Itaimas</t>
  </si>
  <si>
    <t>Rio</t>
  </si>
  <si>
    <t>Niteroi</t>
  </si>
  <si>
    <t>Araxa</t>
  </si>
  <si>
    <t>Curitiba</t>
  </si>
  <si>
    <t>Cangucu</t>
  </si>
  <si>
    <t>La Plata</t>
  </si>
  <si>
    <t>Uruguay</t>
  </si>
  <si>
    <t>Paraguay</t>
  </si>
  <si>
    <t>guarani</t>
  </si>
  <si>
    <t>Artigas</t>
  </si>
  <si>
    <t>Parana</t>
  </si>
  <si>
    <t>Neembucu</t>
  </si>
  <si>
    <t>wichi</t>
  </si>
  <si>
    <t>Tucuman</t>
  </si>
  <si>
    <t>Jujuy</t>
  </si>
  <si>
    <t>Corrientes</t>
  </si>
  <si>
    <t>Rosario</t>
  </si>
  <si>
    <t>Aires</t>
  </si>
  <si>
    <t>Copetonas</t>
  </si>
  <si>
    <t>Patagonia</t>
  </si>
  <si>
    <t>tehuelche</t>
  </si>
  <si>
    <t>San Matias</t>
  </si>
  <si>
    <t>Chubut</t>
  </si>
  <si>
    <t>Santa Cruz</t>
  </si>
  <si>
    <t>Magallanes</t>
  </si>
  <si>
    <t>Tierra del Fuego</t>
  </si>
  <si>
    <t>Falklands</t>
  </si>
  <si>
    <t>The Falklands</t>
  </si>
  <si>
    <t>Europe</t>
  </si>
  <si>
    <t>British Isles</t>
  </si>
  <si>
    <t>Ireland</t>
  </si>
  <si>
    <t>catholic</t>
  </si>
  <si>
    <t>celtic</t>
  </si>
  <si>
    <t>Connaught</t>
  </si>
  <si>
    <t>cloth</t>
  </si>
  <si>
    <t>Ulster</t>
  </si>
  <si>
    <t>Meath</t>
  </si>
  <si>
    <t>Leinster</t>
  </si>
  <si>
    <t>Munster</t>
  </si>
  <si>
    <t>Scotland</t>
  </si>
  <si>
    <t>The Highlands</t>
  </si>
  <si>
    <t>The Grampians</t>
  </si>
  <si>
    <t>english</t>
  </si>
  <si>
    <t>Lothian</t>
  </si>
  <si>
    <t>Strathclyde</t>
  </si>
  <si>
    <t>England</t>
  </si>
  <si>
    <t>Northumberland</t>
  </si>
  <si>
    <t>Yorkshire</t>
  </si>
  <si>
    <t>Lancashire</t>
  </si>
  <si>
    <t>Wales</t>
  </si>
  <si>
    <t>Midlands</t>
  </si>
  <si>
    <t>Lincoln</t>
  </si>
  <si>
    <t>Bristol</t>
  </si>
  <si>
    <t>Anglia</t>
  </si>
  <si>
    <t>Kent</t>
  </si>
  <si>
    <t>Wessex</t>
  </si>
  <si>
    <t>Cornwall</t>
  </si>
  <si>
    <t>Scandinavia</t>
  </si>
  <si>
    <t>Denmark</t>
  </si>
  <si>
    <t>nordic</t>
  </si>
  <si>
    <t>Skane</t>
  </si>
  <si>
    <t>Sweden</t>
  </si>
  <si>
    <t>Smaland</t>
  </si>
  <si>
    <t>Vaster gotland</t>
  </si>
  <si>
    <t>Svealand</t>
  </si>
  <si>
    <t>Norway</t>
  </si>
  <si>
    <t>Ostlandet</t>
  </si>
  <si>
    <t>Bergenshus</t>
  </si>
  <si>
    <t>Bergslagen</t>
  </si>
  <si>
    <t>Trondelag</t>
  </si>
  <si>
    <t>ugric</t>
  </si>
  <si>
    <t>Narvik</t>
  </si>
  <si>
    <t>Lappland</t>
  </si>
  <si>
    <t>Finnmark</t>
  </si>
  <si>
    <t>Eastern Europe</t>
  </si>
  <si>
    <t>Russian North</t>
  </si>
  <si>
    <t>orthodox</t>
  </si>
  <si>
    <t>Kola</t>
  </si>
  <si>
    <t>Finland</t>
  </si>
  <si>
    <t>Osterbotten</t>
  </si>
  <si>
    <t>Tavastland</t>
  </si>
  <si>
    <t>Nyland</t>
  </si>
  <si>
    <t>Kexholm</t>
  </si>
  <si>
    <t>Olonets</t>
  </si>
  <si>
    <t>Russia</t>
  </si>
  <si>
    <t>russian</t>
  </si>
  <si>
    <t>Vologda</t>
  </si>
  <si>
    <t>Arkhangelsk</t>
  </si>
  <si>
    <t>Moscow</t>
  </si>
  <si>
    <t>Vladimir</t>
  </si>
  <si>
    <t>Nizhgorod</t>
  </si>
  <si>
    <t>Savolaks</t>
  </si>
  <si>
    <t>Novgorod</t>
  </si>
  <si>
    <t>Baltic</t>
  </si>
  <si>
    <t>Ingermanland</t>
  </si>
  <si>
    <t>Estland</t>
  </si>
  <si>
    <t>Pskov</t>
  </si>
  <si>
    <t>Tver</t>
  </si>
  <si>
    <t>Tula</t>
  </si>
  <si>
    <t>Welikia</t>
  </si>
  <si>
    <t>lithuanian</t>
  </si>
  <si>
    <t>Polotsk</t>
  </si>
  <si>
    <t>Livland</t>
  </si>
  <si>
    <t>baltic</t>
  </si>
  <si>
    <t>Kurland</t>
  </si>
  <si>
    <t>Belarus</t>
  </si>
  <si>
    <t>Smolensk</t>
  </si>
  <si>
    <t>Kursk</t>
  </si>
  <si>
    <t>Mozyr</t>
  </si>
  <si>
    <t>Poland</t>
  </si>
  <si>
    <t>Lithuania</t>
  </si>
  <si>
    <t>Memel</t>
  </si>
  <si>
    <t>Prussia</t>
  </si>
  <si>
    <t>polish</t>
  </si>
  <si>
    <t>Mazovia</t>
  </si>
  <si>
    <t>Podlasia</t>
  </si>
  <si>
    <t>Volyn</t>
  </si>
  <si>
    <t>Ukraine</t>
  </si>
  <si>
    <t>ruthenian</t>
  </si>
  <si>
    <t>Chernigov</t>
  </si>
  <si>
    <t>Ukraina</t>
  </si>
  <si>
    <t>vlach</t>
  </si>
  <si>
    <t>Jedisan</t>
  </si>
  <si>
    <t>Podolia</t>
  </si>
  <si>
    <t>Galizien</t>
  </si>
  <si>
    <t>Krakow</t>
  </si>
  <si>
    <t>Wielkopolska</t>
  </si>
  <si>
    <t>german</t>
  </si>
  <si>
    <t>Danzig</t>
  </si>
  <si>
    <t>HRE</t>
  </si>
  <si>
    <t>Hansa</t>
  </si>
  <si>
    <t>Hinterpommern</t>
  </si>
  <si>
    <t>Poznan</t>
  </si>
  <si>
    <t>Vorpommern</t>
  </si>
  <si>
    <t>Mecklemburg</t>
  </si>
  <si>
    <t>Holstein</t>
  </si>
  <si>
    <t>Sjalland</t>
  </si>
  <si>
    <t>Gotland</t>
  </si>
  <si>
    <t>Jylland</t>
  </si>
  <si>
    <t>Germany</t>
  </si>
  <si>
    <t>Hannover</t>
  </si>
  <si>
    <t>Magdeburg</t>
  </si>
  <si>
    <t>Brandenburg</t>
  </si>
  <si>
    <t>Kustrin</t>
  </si>
  <si>
    <t>Silesia</t>
  </si>
  <si>
    <t>Central Europe</t>
  </si>
  <si>
    <t>Danube</t>
  </si>
  <si>
    <t>czech</t>
  </si>
  <si>
    <t>Moravia</t>
  </si>
  <si>
    <t>slovak</t>
  </si>
  <si>
    <t>Carpathia</t>
  </si>
  <si>
    <t>magyar</t>
  </si>
  <si>
    <t>Ruthenia</t>
  </si>
  <si>
    <t>Moldova</t>
  </si>
  <si>
    <t>Bujak</t>
  </si>
  <si>
    <t>slavonic</t>
  </si>
  <si>
    <t>Dobrudja</t>
  </si>
  <si>
    <t>Balkans</t>
  </si>
  <si>
    <t>Rumelia</t>
  </si>
  <si>
    <t>Wallachia</t>
  </si>
  <si>
    <t>Transylvania</t>
  </si>
  <si>
    <t>Maros</t>
  </si>
  <si>
    <t>Magyar</t>
  </si>
  <si>
    <t>Presburg</t>
  </si>
  <si>
    <t>Ostmarch</t>
  </si>
  <si>
    <t>Bohemia</t>
  </si>
  <si>
    <t>Erz</t>
  </si>
  <si>
    <t>Sudeten</t>
  </si>
  <si>
    <t>Sachsen</t>
  </si>
  <si>
    <t>Anhalt</t>
  </si>
  <si>
    <t>Hessen</t>
  </si>
  <si>
    <t>Oldenburg</t>
  </si>
  <si>
    <t>Bremen</t>
  </si>
  <si>
    <t>Western Europe</t>
  </si>
  <si>
    <t>Low Countries</t>
  </si>
  <si>
    <t>dutch</t>
  </si>
  <si>
    <t>Friesen</t>
  </si>
  <si>
    <t>Geldre</t>
  </si>
  <si>
    <t>Holland</t>
  </si>
  <si>
    <t>Zeeland</t>
  </si>
  <si>
    <t>Vusterbotten</t>
  </si>
  <si>
    <t>Kleves</t>
  </si>
  <si>
    <t>Koln</t>
  </si>
  <si>
    <t>Pfalz</t>
  </si>
  <si>
    <t>Mainz</t>
  </si>
  <si>
    <t>Wurzburg</t>
  </si>
  <si>
    <t>Ansbach</t>
  </si>
  <si>
    <t>Bayern</t>
  </si>
  <si>
    <t>Salzburg</t>
  </si>
  <si>
    <t>Austria</t>
  </si>
  <si>
    <t>Odenburg</t>
  </si>
  <si>
    <t>Pest</t>
  </si>
  <si>
    <t>Banat</t>
  </si>
  <si>
    <t>Serbia</t>
  </si>
  <si>
    <t>Bulgaria</t>
  </si>
  <si>
    <t>greek</t>
  </si>
  <si>
    <t>Byzantium</t>
  </si>
  <si>
    <t>Macedonia</t>
  </si>
  <si>
    <t>Southern Europe</t>
  </si>
  <si>
    <t>Mediterranean</t>
  </si>
  <si>
    <t>Hellas</t>
  </si>
  <si>
    <t>Morea</t>
  </si>
  <si>
    <t>albanian</t>
  </si>
  <si>
    <t>Albania</t>
  </si>
  <si>
    <t>Ragusa</t>
  </si>
  <si>
    <t>Kosovo</t>
  </si>
  <si>
    <t>Bosnia</t>
  </si>
  <si>
    <t>Dalmatia</t>
  </si>
  <si>
    <t>Croatia</t>
  </si>
  <si>
    <t>Krain</t>
  </si>
  <si>
    <t>Italy</t>
  </si>
  <si>
    <t>italian</t>
  </si>
  <si>
    <t>Istria</t>
  </si>
  <si>
    <t>Steiermark</t>
  </si>
  <si>
    <t>Veneto</t>
  </si>
  <si>
    <t>Tirol</t>
  </si>
  <si>
    <t>Wurttemberg</t>
  </si>
  <si>
    <t>Baden</t>
  </si>
  <si>
    <t>Lotharingia</t>
  </si>
  <si>
    <t>Alsace</t>
  </si>
  <si>
    <t>french</t>
  </si>
  <si>
    <t>Lorraine</t>
  </si>
  <si>
    <t>France</t>
  </si>
  <si>
    <t>Champagne</t>
  </si>
  <si>
    <t>Luxembourg</t>
  </si>
  <si>
    <t>Brabant</t>
  </si>
  <si>
    <t>Artois</t>
  </si>
  <si>
    <t>Flandern</t>
  </si>
  <si>
    <t>Jamtland</t>
  </si>
  <si>
    <t>Calais</t>
  </si>
  <si>
    <t>Picardie</t>
  </si>
  <si>
    <t>Caux</t>
  </si>
  <si>
    <t>Ile de France</t>
  </si>
  <si>
    <t>Nivernais</t>
  </si>
  <si>
    <t>Franche Comte</t>
  </si>
  <si>
    <t>Switzerland</t>
  </si>
  <si>
    <t>swiss</t>
  </si>
  <si>
    <t>Bern</t>
  </si>
  <si>
    <t>Lombardia</t>
  </si>
  <si>
    <t>Mantua</t>
  </si>
  <si>
    <t>Romagna</t>
  </si>
  <si>
    <t>Marche</t>
  </si>
  <si>
    <t>Napoli</t>
  </si>
  <si>
    <t>Apulia</t>
  </si>
  <si>
    <t>Messina</t>
  </si>
  <si>
    <t>Sicily</t>
  </si>
  <si>
    <t>Sardinia</t>
  </si>
  <si>
    <t>Corsica</t>
  </si>
  <si>
    <t>Roma</t>
  </si>
  <si>
    <t>Siena</t>
  </si>
  <si>
    <t>Firenze</t>
  </si>
  <si>
    <t>Emilia</t>
  </si>
  <si>
    <t>Liguria</t>
  </si>
  <si>
    <t>Piemonte</t>
  </si>
  <si>
    <t>Savoie</t>
  </si>
  <si>
    <t>occitan</t>
  </si>
  <si>
    <t>Provence</t>
  </si>
  <si>
    <t>Dauphine</t>
  </si>
  <si>
    <t>Lyonnais</t>
  </si>
  <si>
    <t>Bourgogne</t>
  </si>
  <si>
    <t>Berri</t>
  </si>
  <si>
    <t>Orleanais</t>
  </si>
  <si>
    <t>Normandie</t>
  </si>
  <si>
    <t>Armor</t>
  </si>
  <si>
    <t>Bretagne</t>
  </si>
  <si>
    <t>Morbihan</t>
  </si>
  <si>
    <t>Vendee</t>
  </si>
  <si>
    <t>Poitou</t>
  </si>
  <si>
    <t>Limousin</t>
  </si>
  <si>
    <t>Auvergne</t>
  </si>
  <si>
    <t>Cevennes</t>
  </si>
  <si>
    <t>Languedoc</t>
  </si>
  <si>
    <t>Guyenne</t>
  </si>
  <si>
    <t>Gascogne</t>
  </si>
  <si>
    <t>Bearn</t>
  </si>
  <si>
    <t>Roussillon</t>
  </si>
  <si>
    <t>Iberia</t>
  </si>
  <si>
    <t>iberian</t>
  </si>
  <si>
    <t>Gerona</t>
  </si>
  <si>
    <t>basque</t>
  </si>
  <si>
    <t>Navarra</t>
  </si>
  <si>
    <t>Catalonia</t>
  </si>
  <si>
    <t>Aragon</t>
  </si>
  <si>
    <t>Cantabria</t>
  </si>
  <si>
    <t>Asturias</t>
  </si>
  <si>
    <t>Galicia</t>
  </si>
  <si>
    <t>portuguese</t>
  </si>
  <si>
    <t>Oporto</t>
  </si>
  <si>
    <t>Leon</t>
  </si>
  <si>
    <t>Castilla</t>
  </si>
  <si>
    <t>Valencia</t>
  </si>
  <si>
    <t>sunni</t>
  </si>
  <si>
    <t>Murcia</t>
  </si>
  <si>
    <t>Toledo</t>
  </si>
  <si>
    <t>Estramadura</t>
  </si>
  <si>
    <t>Tago</t>
  </si>
  <si>
    <t>Algarve</t>
  </si>
  <si>
    <t>Andalusia</t>
  </si>
  <si>
    <t>berber</t>
  </si>
  <si>
    <t>Granada</t>
  </si>
  <si>
    <t>Gibraltar</t>
  </si>
  <si>
    <t>Steppe</t>
  </si>
  <si>
    <t>tatar</t>
  </si>
  <si>
    <t>Kazan</t>
  </si>
  <si>
    <t>Tambow</t>
  </si>
  <si>
    <t>Ryazan</t>
  </si>
  <si>
    <t>Vorones</t>
  </si>
  <si>
    <t>Belgorod</t>
  </si>
  <si>
    <t>Bogutjar</t>
  </si>
  <si>
    <t>Saratow</t>
  </si>
  <si>
    <t>Ufa</t>
  </si>
  <si>
    <t>Samara</t>
  </si>
  <si>
    <t>Uralsk</t>
  </si>
  <si>
    <t>Orenburg</t>
  </si>
  <si>
    <t>Astrakhan</t>
  </si>
  <si>
    <t>Volgograd</t>
  </si>
  <si>
    <t>Lugansk</t>
  </si>
  <si>
    <t>Donetsk</t>
  </si>
  <si>
    <t>Poltava</t>
  </si>
  <si>
    <t>Krementjug</t>
  </si>
  <si>
    <t>Crimea</t>
  </si>
  <si>
    <t>Kaffa</t>
  </si>
  <si>
    <t>Kerch</t>
  </si>
  <si>
    <t>Caucasus</t>
  </si>
  <si>
    <t>Azow</t>
  </si>
  <si>
    <t>Kalmuk</t>
  </si>
  <si>
    <t>circassian</t>
  </si>
  <si>
    <t>Kouban</t>
  </si>
  <si>
    <t>georgian</t>
  </si>
  <si>
    <t>Sochi</t>
  </si>
  <si>
    <t>turkish</t>
  </si>
  <si>
    <t>Daghestan</t>
  </si>
  <si>
    <t>miaphysite</t>
  </si>
  <si>
    <t>armenian</t>
  </si>
  <si>
    <t>Armenia</t>
  </si>
  <si>
    <t>Asia</t>
  </si>
  <si>
    <t>Middle East</t>
  </si>
  <si>
    <t>Levant</t>
  </si>
  <si>
    <t>kurdish</t>
  </si>
  <si>
    <t>Kurdistan</t>
  </si>
  <si>
    <t>Anatolia</t>
  </si>
  <si>
    <t>Sivas</t>
  </si>
  <si>
    <t>Trabzon</t>
  </si>
  <si>
    <t>Angora</t>
  </si>
  <si>
    <t>Smyrna</t>
  </si>
  <si>
    <t>Ionia</t>
  </si>
  <si>
    <t>Crete</t>
  </si>
  <si>
    <t>Rhodes</t>
  </si>
  <si>
    <t>Konya</t>
  </si>
  <si>
    <t>Adana</t>
  </si>
  <si>
    <t>Cyprus</t>
  </si>
  <si>
    <t>arab</t>
  </si>
  <si>
    <t>Aleppo</t>
  </si>
  <si>
    <t>Nuyssaybin</t>
  </si>
  <si>
    <t>Central Asia</t>
  </si>
  <si>
    <t>Persia</t>
  </si>
  <si>
    <t>Azerbaijan</t>
  </si>
  <si>
    <t>Kirkuk</t>
  </si>
  <si>
    <t>Iraq</t>
  </si>
  <si>
    <t>Syria</t>
  </si>
  <si>
    <t>Lebanon</t>
  </si>
  <si>
    <t>Samaria</t>
  </si>
  <si>
    <t>Judea</t>
  </si>
  <si>
    <t>Sinai</t>
  </si>
  <si>
    <t>Jordan</t>
  </si>
  <si>
    <t>Arabia</t>
  </si>
  <si>
    <t>Nefud</t>
  </si>
  <si>
    <t>chinaware</t>
  </si>
  <si>
    <t>Medina</t>
  </si>
  <si>
    <t>spices</t>
  </si>
  <si>
    <t>Mekkah</t>
  </si>
  <si>
    <t>Aden</t>
  </si>
  <si>
    <t>Yemen</t>
  </si>
  <si>
    <t>Hadramut</t>
  </si>
  <si>
    <t>Dofhar</t>
  </si>
  <si>
    <t>Oman</t>
  </si>
  <si>
    <t>Masirah</t>
  </si>
  <si>
    <t>Mascate</t>
  </si>
  <si>
    <t>Al Kharam</t>
  </si>
  <si>
    <t>Quatar</t>
  </si>
  <si>
    <t>Damman</t>
  </si>
  <si>
    <t>Basrah</t>
  </si>
  <si>
    <t>Bahrein</t>
  </si>
  <si>
    <t>Siberia</t>
  </si>
  <si>
    <t>Sibir</t>
  </si>
  <si>
    <t>altai</t>
  </si>
  <si>
    <t>Kurgan</t>
  </si>
  <si>
    <t>Kustanai</t>
  </si>
  <si>
    <t>Tenghiz</t>
  </si>
  <si>
    <t>nogai</t>
  </si>
  <si>
    <t>Orsk</t>
  </si>
  <si>
    <t>Irgiz</t>
  </si>
  <si>
    <t>Alga</t>
  </si>
  <si>
    <t>Kazakhstan</t>
  </si>
  <si>
    <t>uzbek</t>
  </si>
  <si>
    <t>Aralsk</t>
  </si>
  <si>
    <t>kazakh</t>
  </si>
  <si>
    <t>Turgai</t>
  </si>
  <si>
    <t>Ust Urt</t>
  </si>
  <si>
    <t>Emba</t>
  </si>
  <si>
    <t>Bouzatchi</t>
  </si>
  <si>
    <t>persian</t>
  </si>
  <si>
    <t>Karabogaz</t>
  </si>
  <si>
    <t>Khwarizm</t>
  </si>
  <si>
    <t>Kara Kum</t>
  </si>
  <si>
    <t>Turkmenistan</t>
  </si>
  <si>
    <t>Elbruz</t>
  </si>
  <si>
    <t>Meched</t>
  </si>
  <si>
    <t>Kerman</t>
  </si>
  <si>
    <t>Lut</t>
  </si>
  <si>
    <t>Tabaristan</t>
  </si>
  <si>
    <t>Tabriz</t>
  </si>
  <si>
    <t>Hamadan</t>
  </si>
  <si>
    <t>Ahwaz</t>
  </si>
  <si>
    <t>Isfahan</t>
  </si>
  <si>
    <t>Fars</t>
  </si>
  <si>
    <t>Hormouz</t>
  </si>
  <si>
    <t>Bahk</t>
  </si>
  <si>
    <t>baluchi</t>
  </si>
  <si>
    <t>Mekran</t>
  </si>
  <si>
    <t>Baluchistan</t>
  </si>
  <si>
    <t>Kalat</t>
  </si>
  <si>
    <t>India</t>
  </si>
  <si>
    <t>Lahore</t>
  </si>
  <si>
    <t>gujarati</t>
  </si>
  <si>
    <t>Indus</t>
  </si>
  <si>
    <t>Sindh</t>
  </si>
  <si>
    <t>Gujarat</t>
  </si>
  <si>
    <t>Kutch</t>
  </si>
  <si>
    <t>Punjab</t>
  </si>
  <si>
    <t>hindu</t>
  </si>
  <si>
    <t>rajput</t>
  </si>
  <si>
    <t>Rajputana</t>
  </si>
  <si>
    <t>Delhi</t>
  </si>
  <si>
    <t>hindi</t>
  </si>
  <si>
    <t>Awadh</t>
  </si>
  <si>
    <t>Bundelkhand</t>
  </si>
  <si>
    <t>Malwa</t>
  </si>
  <si>
    <t>marathi</t>
  </si>
  <si>
    <t>Bombay</t>
  </si>
  <si>
    <t>Malabar</t>
  </si>
  <si>
    <t>Goa</t>
  </si>
  <si>
    <t>Hyderabad</t>
  </si>
  <si>
    <t>Maharashtra</t>
  </si>
  <si>
    <t>Khandesh</t>
  </si>
  <si>
    <t>gondi</t>
  </si>
  <si>
    <t>Gondwana</t>
  </si>
  <si>
    <t>Mahratti</t>
  </si>
  <si>
    <t>Raipur</t>
  </si>
  <si>
    <t>Oudh</t>
  </si>
  <si>
    <t>nepali</t>
  </si>
  <si>
    <t>Tirhut</t>
  </si>
  <si>
    <t>bengali</t>
  </si>
  <si>
    <t>Koch</t>
  </si>
  <si>
    <t>Bengal</t>
  </si>
  <si>
    <t>Santal</t>
  </si>
  <si>
    <t>Ganges</t>
  </si>
  <si>
    <t>Howrah</t>
  </si>
  <si>
    <t>tea</t>
  </si>
  <si>
    <t>Bihar</t>
  </si>
  <si>
    <t>Orissa</t>
  </si>
  <si>
    <t>Odisa</t>
  </si>
  <si>
    <t>Berhampur</t>
  </si>
  <si>
    <t>Sambalpur</t>
  </si>
  <si>
    <t>telugu</t>
  </si>
  <si>
    <t>Bastar</t>
  </si>
  <si>
    <t>Palakimedi</t>
  </si>
  <si>
    <t>Yanam</t>
  </si>
  <si>
    <t>Mysore</t>
  </si>
  <si>
    <t>kannadiga</t>
  </si>
  <si>
    <t>Bangalore</t>
  </si>
  <si>
    <t>Mangalore</t>
  </si>
  <si>
    <t>Kerala</t>
  </si>
  <si>
    <t>Carnatic</t>
  </si>
  <si>
    <t>Madras</t>
  </si>
  <si>
    <t>tamil</t>
  </si>
  <si>
    <t>Pondicherry</t>
  </si>
  <si>
    <t>Cochin</t>
  </si>
  <si>
    <t>Trivandrum</t>
  </si>
  <si>
    <t>Madurai</t>
  </si>
  <si>
    <t>Ceylon</t>
  </si>
  <si>
    <t>buddhist</t>
  </si>
  <si>
    <t>Colombo</t>
  </si>
  <si>
    <t>Jaffna</t>
  </si>
  <si>
    <t>Ichim</t>
  </si>
  <si>
    <t>Omsk</t>
  </si>
  <si>
    <t>Karaganda</t>
  </si>
  <si>
    <t>Tchany</t>
  </si>
  <si>
    <t>Semipalatinsk</t>
  </si>
  <si>
    <t>Irtych</t>
  </si>
  <si>
    <t>Novosibirsk</t>
  </si>
  <si>
    <t>Altai</t>
  </si>
  <si>
    <t>Demianka</t>
  </si>
  <si>
    <t>Barabinsk</t>
  </si>
  <si>
    <t>Ob</t>
  </si>
  <si>
    <t>Tomsk</t>
  </si>
  <si>
    <t>Jenisej</t>
  </si>
  <si>
    <t>Angara</t>
  </si>
  <si>
    <t>Krasnoyarsk</t>
  </si>
  <si>
    <t>Balakhta</t>
  </si>
  <si>
    <t>Tchuma</t>
  </si>
  <si>
    <t>Bratsk</t>
  </si>
  <si>
    <t>Lena</t>
  </si>
  <si>
    <t>mongol</t>
  </si>
  <si>
    <t>Oka</t>
  </si>
  <si>
    <t>Touva</t>
  </si>
  <si>
    <t>Saian</t>
  </si>
  <si>
    <t>Zima</t>
  </si>
  <si>
    <t>Tannu Ola</t>
  </si>
  <si>
    <t>Irkutsk</t>
  </si>
  <si>
    <t>Chatga</t>
  </si>
  <si>
    <t>Selenga</t>
  </si>
  <si>
    <t>Ulan Ude</t>
  </si>
  <si>
    <t>Buriat</t>
  </si>
  <si>
    <t>Tchita</t>
  </si>
  <si>
    <t>Kalakan</t>
  </si>
  <si>
    <t>Baikal</t>
  </si>
  <si>
    <t>Sretensk</t>
  </si>
  <si>
    <t>Kalar</t>
  </si>
  <si>
    <t>Mogotcha</t>
  </si>
  <si>
    <t>Djagdi</t>
  </si>
  <si>
    <t>Chilka</t>
  </si>
  <si>
    <t>Stanovoe</t>
  </si>
  <si>
    <t>Amur</t>
  </si>
  <si>
    <t>Baladok</t>
  </si>
  <si>
    <t>Djugdjur</t>
  </si>
  <si>
    <t>Enkan</t>
  </si>
  <si>
    <t>Okhotsk</t>
  </si>
  <si>
    <t>Magadan</t>
  </si>
  <si>
    <t>Kamchatka</t>
  </si>
  <si>
    <t>Kolyma</t>
  </si>
  <si>
    <t>Chelekov</t>
  </si>
  <si>
    <t>Kamenkoie</t>
  </si>
  <si>
    <t>Korfa</t>
  </si>
  <si>
    <t>Palana</t>
  </si>
  <si>
    <t>Tchumkan</t>
  </si>
  <si>
    <t>Amgoun</t>
  </si>
  <si>
    <t>ainu</t>
  </si>
  <si>
    <t>Bogorodsk</t>
  </si>
  <si>
    <t>Vanin</t>
  </si>
  <si>
    <t>confucian</t>
  </si>
  <si>
    <t>manchu</t>
  </si>
  <si>
    <t>Sofiisk</t>
  </si>
  <si>
    <t>Amour</t>
  </si>
  <si>
    <t>Tchekunda</t>
  </si>
  <si>
    <t>Boureia</t>
  </si>
  <si>
    <t>Ekimcan</t>
  </si>
  <si>
    <t>Nerchiinsk</t>
  </si>
  <si>
    <t>Norsk</t>
  </si>
  <si>
    <t>Birobidjan</t>
  </si>
  <si>
    <t>China</t>
  </si>
  <si>
    <t>Manchuria</t>
  </si>
  <si>
    <t>Heilongjiang</t>
  </si>
  <si>
    <t>Viazemski</t>
  </si>
  <si>
    <t>Sikhote</t>
  </si>
  <si>
    <t>Nelma</t>
  </si>
  <si>
    <t>Olga</t>
  </si>
  <si>
    <t>Nakhodka</t>
  </si>
  <si>
    <t>Korea</t>
  </si>
  <si>
    <t>Joseon</t>
  </si>
  <si>
    <t>korean</t>
  </si>
  <si>
    <t>Kyongju</t>
  </si>
  <si>
    <t>Yalu</t>
  </si>
  <si>
    <t>Jilin</t>
  </si>
  <si>
    <t>Baicheng</t>
  </si>
  <si>
    <t>Jehol</t>
  </si>
  <si>
    <t>Liaotung</t>
  </si>
  <si>
    <t>Peking</t>
  </si>
  <si>
    <t>han</t>
  </si>
  <si>
    <t>Liaoning</t>
  </si>
  <si>
    <t>Hepei</t>
  </si>
  <si>
    <t>Hebei</t>
  </si>
  <si>
    <t>Shandong</t>
  </si>
  <si>
    <t>Jinan</t>
  </si>
  <si>
    <t>Shanghai</t>
  </si>
  <si>
    <t>Jiangsu</t>
  </si>
  <si>
    <t>Anhui</t>
  </si>
  <si>
    <t>Zhejiang</t>
  </si>
  <si>
    <t>Canton</t>
  </si>
  <si>
    <t>Fujian</t>
  </si>
  <si>
    <t>zhuang</t>
  </si>
  <si>
    <t>Kowloon</t>
  </si>
  <si>
    <t>Guangzhou</t>
  </si>
  <si>
    <t>Guangdong</t>
  </si>
  <si>
    <t>Hainan</t>
  </si>
  <si>
    <t>Guangxi</t>
  </si>
  <si>
    <t>Indochina</t>
  </si>
  <si>
    <t>Annam</t>
  </si>
  <si>
    <t>vietnamese</t>
  </si>
  <si>
    <t>Hanoi</t>
  </si>
  <si>
    <t>Tanh Noah</t>
  </si>
  <si>
    <t>cham</t>
  </si>
  <si>
    <t>Da Nang</t>
  </si>
  <si>
    <t>Da Lat</t>
  </si>
  <si>
    <t>khmer</t>
  </si>
  <si>
    <t>Mekong Delta</t>
  </si>
  <si>
    <t>Siam</t>
  </si>
  <si>
    <t>ivory</t>
  </si>
  <si>
    <t>Khmer</t>
  </si>
  <si>
    <t>Cambodia</t>
  </si>
  <si>
    <t>siamese</t>
  </si>
  <si>
    <t>Laos</t>
  </si>
  <si>
    <t>Bangkok</t>
  </si>
  <si>
    <t>Assam</t>
  </si>
  <si>
    <t>burmese</t>
  </si>
  <si>
    <t>Chin</t>
  </si>
  <si>
    <t>Burma</t>
  </si>
  <si>
    <t>Tarakan</t>
  </si>
  <si>
    <t>mon</t>
  </si>
  <si>
    <t>Irrawady</t>
  </si>
  <si>
    <t>Kwai</t>
  </si>
  <si>
    <t>Phuket</t>
  </si>
  <si>
    <t>Malaya</t>
  </si>
  <si>
    <t>malay</t>
  </si>
  <si>
    <t>Perak</t>
  </si>
  <si>
    <t>Malacca</t>
  </si>
  <si>
    <t>Johor</t>
  </si>
  <si>
    <t>Indonesia</t>
  </si>
  <si>
    <t>Ajeh</t>
  </si>
  <si>
    <t>Riau</t>
  </si>
  <si>
    <t>Sumatra</t>
  </si>
  <si>
    <t>Jambi</t>
  </si>
  <si>
    <t>Palembang</t>
  </si>
  <si>
    <t>Japan</t>
  </si>
  <si>
    <t>Nippon</t>
  </si>
  <si>
    <t>Ezochi</t>
  </si>
  <si>
    <t>shinto</t>
  </si>
  <si>
    <t>japanese</t>
  </si>
  <si>
    <t>Tohoku</t>
  </si>
  <si>
    <t>Kanto</t>
  </si>
  <si>
    <t>Kansai</t>
  </si>
  <si>
    <t>Shikoku</t>
  </si>
  <si>
    <t>Kyushu</t>
  </si>
  <si>
    <t>Formosa</t>
  </si>
  <si>
    <t>formosan</t>
  </si>
  <si>
    <t>Taiwan</t>
  </si>
  <si>
    <t>Lucon</t>
  </si>
  <si>
    <t>filipino</t>
  </si>
  <si>
    <t>Luzon</t>
  </si>
  <si>
    <t>Mindoro</t>
  </si>
  <si>
    <t>Samar</t>
  </si>
  <si>
    <t>Mindanao</t>
  </si>
  <si>
    <t>Palawan</t>
  </si>
  <si>
    <t>Borneo</t>
  </si>
  <si>
    <t>Sabah</t>
  </si>
  <si>
    <t>Brunei</t>
  </si>
  <si>
    <t>Sarawak</t>
  </si>
  <si>
    <t>javanese</t>
  </si>
  <si>
    <t>Bandjarmasin</t>
  </si>
  <si>
    <t>Selatan</t>
  </si>
  <si>
    <t>Kalimantan</t>
  </si>
  <si>
    <t>Java</t>
  </si>
  <si>
    <t>Sunda</t>
  </si>
  <si>
    <t>Jakarta</t>
  </si>
  <si>
    <t>Bandung</t>
  </si>
  <si>
    <t>Surabaya</t>
  </si>
  <si>
    <t>Surabaja</t>
  </si>
  <si>
    <t>Bali</t>
  </si>
  <si>
    <t>Celebes</t>
  </si>
  <si>
    <t>indonesian</t>
  </si>
  <si>
    <t>Manado</t>
  </si>
  <si>
    <t>Sulawesi</t>
  </si>
  <si>
    <t>Makassar</t>
  </si>
  <si>
    <t>Salabanka</t>
  </si>
  <si>
    <t>Amboina</t>
  </si>
  <si>
    <t>Sumbawa</t>
  </si>
  <si>
    <t>Flores</t>
  </si>
  <si>
    <t>Timor</t>
  </si>
  <si>
    <t>Ternate</t>
  </si>
  <si>
    <t>Tindore</t>
  </si>
  <si>
    <t>Buru</t>
  </si>
  <si>
    <t>Ceram</t>
  </si>
  <si>
    <t>Oceania</t>
  </si>
  <si>
    <t>Australia</t>
  </si>
  <si>
    <t>Papua</t>
  </si>
  <si>
    <t>melanesian</t>
  </si>
  <si>
    <t>Sorong</t>
  </si>
  <si>
    <t>Kalepam</t>
  </si>
  <si>
    <t>Wewak</t>
  </si>
  <si>
    <t>Rabaul</t>
  </si>
  <si>
    <t>Kanguru</t>
  </si>
  <si>
    <t>aboriginal</t>
  </si>
  <si>
    <t>Manunda</t>
  </si>
  <si>
    <t>Murumbidgee</t>
  </si>
  <si>
    <t>Yarra</t>
  </si>
  <si>
    <t>Botany</t>
  </si>
  <si>
    <t>Wagga</t>
  </si>
  <si>
    <t>Wollongong</t>
  </si>
  <si>
    <t>Nandewar</t>
  </si>
  <si>
    <t>Towoomba</t>
  </si>
  <si>
    <t>Maori</t>
  </si>
  <si>
    <t>polynesian</t>
  </si>
  <si>
    <t>Whangarei</t>
  </si>
  <si>
    <t>Taranaki</t>
  </si>
  <si>
    <t>Wairoa</t>
  </si>
  <si>
    <t>Timaru</t>
  </si>
  <si>
    <t>Tasmania</t>
  </si>
  <si>
    <t>Macquarie</t>
  </si>
  <si>
    <t>Africa</t>
  </si>
  <si>
    <t>North Africa</t>
  </si>
  <si>
    <t>Maghreb</t>
  </si>
  <si>
    <t>Tangiers</t>
  </si>
  <si>
    <t>Fez</t>
  </si>
  <si>
    <t>Orania</t>
  </si>
  <si>
    <t>Atlas</t>
  </si>
  <si>
    <t>Aures</t>
  </si>
  <si>
    <t>Al Djazair</t>
  </si>
  <si>
    <t>Kabylia</t>
  </si>
  <si>
    <t>Tunisia</t>
  </si>
  <si>
    <t>Tripolitania</t>
  </si>
  <si>
    <t>Cyrenaica</t>
  </si>
  <si>
    <t>Egypt</t>
  </si>
  <si>
    <t>Quattara</t>
  </si>
  <si>
    <t>Cataract</t>
  </si>
  <si>
    <t>Alexandria</t>
  </si>
  <si>
    <t>Delta</t>
  </si>
  <si>
    <t>Nile</t>
  </si>
  <si>
    <t>East Africa</t>
  </si>
  <si>
    <t>Sudan</t>
  </si>
  <si>
    <t>nubian</t>
  </si>
  <si>
    <t>Batn al Hajar</t>
  </si>
  <si>
    <t>slaves</t>
  </si>
  <si>
    <t>Nubia</t>
  </si>
  <si>
    <t>Bisharin</t>
  </si>
  <si>
    <t>Ethiopia</t>
  </si>
  <si>
    <t>ethiopian</t>
  </si>
  <si>
    <t>Massawa</t>
  </si>
  <si>
    <t>Keren</t>
  </si>
  <si>
    <t>Somalia</t>
  </si>
  <si>
    <t>afar</t>
  </si>
  <si>
    <t>Issas</t>
  </si>
  <si>
    <t>Afars</t>
  </si>
  <si>
    <t>Socotra</t>
  </si>
  <si>
    <t>somali</t>
  </si>
  <si>
    <t>Ogaden</t>
  </si>
  <si>
    <t>Mudugh</t>
  </si>
  <si>
    <t>Mogadiscio</t>
  </si>
  <si>
    <t>Tanganyika</t>
  </si>
  <si>
    <t>swahili</t>
  </si>
  <si>
    <t>Malindi</t>
  </si>
  <si>
    <t>Kenya</t>
  </si>
  <si>
    <t>Mombasa</t>
  </si>
  <si>
    <t>Tanga</t>
  </si>
  <si>
    <t>Zanzibar</t>
  </si>
  <si>
    <t>Rufiji</t>
  </si>
  <si>
    <t>Lindi</t>
  </si>
  <si>
    <t>Mtawa</t>
  </si>
  <si>
    <t>Niassa</t>
  </si>
  <si>
    <t>South Africa</t>
  </si>
  <si>
    <t>Mozambicque</t>
  </si>
  <si>
    <t>shona</t>
  </si>
  <si>
    <t>Nampuia</t>
  </si>
  <si>
    <t>Zambezia</t>
  </si>
  <si>
    <t>tsonga</t>
  </si>
  <si>
    <t>Inhambane</t>
  </si>
  <si>
    <t>zulu</t>
  </si>
  <si>
    <t>Natal</t>
  </si>
  <si>
    <t>The Cape</t>
  </si>
  <si>
    <t>Transkei</t>
  </si>
  <si>
    <t>xhosa</t>
  </si>
  <si>
    <t>Ciskei</t>
  </si>
  <si>
    <t>Karroo</t>
  </si>
  <si>
    <t>khoikhoi</t>
  </si>
  <si>
    <t>Bushman</t>
  </si>
  <si>
    <t>Table</t>
  </si>
  <si>
    <t>Namibia</t>
  </si>
  <si>
    <t>Namaqua</t>
  </si>
  <si>
    <t>Damara</t>
  </si>
  <si>
    <t>Ovambo</t>
  </si>
  <si>
    <t>Angola</t>
  </si>
  <si>
    <t>mbundu</t>
  </si>
  <si>
    <t>Curango</t>
  </si>
  <si>
    <t>Lobito</t>
  </si>
  <si>
    <t>Luanda</t>
  </si>
  <si>
    <t>Zaire</t>
  </si>
  <si>
    <t>West Africa</t>
  </si>
  <si>
    <t>Congo</t>
  </si>
  <si>
    <t>bakongo</t>
  </si>
  <si>
    <t>Cabinda</t>
  </si>
  <si>
    <t>Mayumba</t>
  </si>
  <si>
    <t>Gabon</t>
  </si>
  <si>
    <t>Muni</t>
  </si>
  <si>
    <t>Cameroon</t>
  </si>
  <si>
    <t>Kribi</t>
  </si>
  <si>
    <t>Douala</t>
  </si>
  <si>
    <t>Ivory</t>
  </si>
  <si>
    <t>yoruba</t>
  </si>
  <si>
    <t>Nigeria</t>
  </si>
  <si>
    <t>Accra</t>
  </si>
  <si>
    <t>Ivoria</t>
  </si>
  <si>
    <t>akan</t>
  </si>
  <si>
    <t>Palanas</t>
  </si>
  <si>
    <t>Gold</t>
  </si>
  <si>
    <t>ashanti</t>
  </si>
  <si>
    <t>Leone</t>
  </si>
  <si>
    <t>jola</t>
  </si>
  <si>
    <t>Guinea</t>
  </si>
  <si>
    <t>Senegal</t>
  </si>
  <si>
    <t>Casamance</t>
  </si>
  <si>
    <t>senegambian</t>
  </si>
  <si>
    <t>Gambia</t>
  </si>
  <si>
    <t>Dakar</t>
  </si>
  <si>
    <t>Louga</t>
  </si>
  <si>
    <t>Mauritania</t>
  </si>
  <si>
    <t>Nouakchott</t>
  </si>
  <si>
    <t>Nouadibuh</t>
  </si>
  <si>
    <t>Tassaret</t>
  </si>
  <si>
    <t>Sahara</t>
  </si>
  <si>
    <t>Toubkal</t>
  </si>
  <si>
    <t>Madagascar</t>
  </si>
  <si>
    <t>malagasy</t>
  </si>
  <si>
    <t>Ambovombe</t>
  </si>
  <si>
    <t>Antsirana</t>
  </si>
  <si>
    <t>The Mascarenes</t>
  </si>
  <si>
    <t>Bourbon</t>
  </si>
  <si>
    <t>Mauritius</t>
  </si>
  <si>
    <t>Seychelles</t>
  </si>
  <si>
    <t>Mahe</t>
  </si>
  <si>
    <t>Pacific</t>
  </si>
  <si>
    <t>Hawaii</t>
  </si>
  <si>
    <t>Kauai</t>
  </si>
  <si>
    <t>Oahu</t>
  </si>
  <si>
    <t>Polynesia</t>
  </si>
  <si>
    <t>Tahiti</t>
  </si>
  <si>
    <t>Fiji</t>
  </si>
  <si>
    <t>Viti Levu</t>
  </si>
  <si>
    <t>Fernando Po</t>
  </si>
  <si>
    <t>Canarias</t>
  </si>
  <si>
    <t>Cape Verde</t>
  </si>
  <si>
    <t>maltese</t>
  </si>
  <si>
    <t>Malta</t>
  </si>
  <si>
    <t>Corfu</t>
  </si>
  <si>
    <t>St Helena</t>
  </si>
  <si>
    <t>TBD</t>
  </si>
  <si>
    <t>nothing</t>
  </si>
  <si>
    <t>_NAME_</t>
  </si>
  <si>
    <t>Faroe\nIsland</t>
  </si>
  <si>
    <t>Sakhalin</t>
  </si>
  <si>
    <t>Tanimbar NAME</t>
  </si>
  <si>
    <t>Maledives</t>
  </si>
  <si>
    <t>Galapagos\nIslands</t>
  </si>
  <si>
    <t>Shetlands</t>
  </si>
  <si>
    <t>Thrace</t>
  </si>
  <si>
    <t>Tesalia</t>
  </si>
  <si>
    <t>North\nKurdistan</t>
  </si>
  <si>
    <t>Iceland</t>
  </si>
  <si>
    <t>Nagorje</t>
  </si>
  <si>
    <t>Khretset</t>
  </si>
  <si>
    <t>Gastrikland</t>
  </si>
  <si>
    <t>Karelia</t>
  </si>
  <si>
    <t>Sierra Nevada</t>
  </si>
  <si>
    <t>Tonopah</t>
  </si>
  <si>
    <t>Inyo</t>
  </si>
  <si>
    <t>Utah</t>
  </si>
  <si>
    <t>Moab</t>
  </si>
  <si>
    <t>Colorado</t>
  </si>
  <si>
    <t>Llano Estacado</t>
  </si>
  <si>
    <t>Oklahoma</t>
  </si>
  <si>
    <t>Monta����</t>
  </si>
  <si>
    <t>Atalaya</t>
  </si>
  <si>
    <t>Manu</t>
  </si>
  <si>
    <t>Pampas del Norte</t>
  </si>
  <si>
    <t>Pampas del Sur</t>
  </si>
  <si>
    <t>Awdaghost</t>
  </si>
  <si>
    <t>mande</t>
  </si>
  <si>
    <t>Walata</t>
  </si>
  <si>
    <t>Jenne</t>
  </si>
  <si>
    <t>Timbuktu</t>
  </si>
  <si>
    <t>Bambuk</t>
  </si>
  <si>
    <t>Segu</t>
  </si>
  <si>
    <t>Niani</t>
  </si>
  <si>
    <t>Mossi</t>
  </si>
  <si>
    <t>Bure</t>
  </si>
  <si>
    <t>songhai</t>
  </si>
  <si>
    <t>Gao</t>
  </si>
  <si>
    <t>Say</t>
  </si>
  <si>
    <t>Begho</t>
  </si>
  <si>
    <t>Zaria</t>
  </si>
  <si>
    <t>Oye</t>
  </si>
  <si>
    <t>Kano</t>
  </si>
  <si>
    <t>Nupa</t>
  </si>
  <si>
    <t>Teke</t>
  </si>
  <si>
    <t>Ngoyo</t>
  </si>
  <si>
    <t>Ndongo</t>
  </si>
  <si>
    <t>Sofala</t>
  </si>
  <si>
    <t>Chibuene</t>
  </si>
  <si>
    <t>Zimbabwe</t>
  </si>
  <si>
    <t>Rozwi</t>
  </si>
  <si>
    <t>Nembire</t>
  </si>
  <si>
    <t>Morogoro</t>
  </si>
  <si>
    <t>Arusha</t>
  </si>
  <si>
    <t>Galana</t>
  </si>
  <si>
    <t>Tana</t>
  </si>
  <si>
    <t>Welo</t>
  </si>
  <si>
    <t>Shewa</t>
  </si>
  <si>
    <t>Arsi</t>
  </si>
  <si>
    <t>Harerge</t>
  </si>
  <si>
    <t>punjabi</t>
  </si>
  <si>
    <t>Chandigarh</t>
  </si>
  <si>
    <t>Panjab</t>
  </si>
  <si>
    <t>Bikaner</t>
  </si>
  <si>
    <t>pashtun</t>
  </si>
  <si>
    <t>Thar</t>
  </si>
  <si>
    <t>Afghanistan</t>
  </si>
  <si>
    <t>Quetta</t>
  </si>
  <si>
    <t>Qandahar</t>
  </si>
  <si>
    <t>Zahedan</t>
  </si>
  <si>
    <t>Kabul</t>
  </si>
  <si>
    <t>Kushka</t>
  </si>
  <si>
    <t>Birjand</t>
  </si>
  <si>
    <t>Khorasan</t>
  </si>
  <si>
    <t>Herat</t>
  </si>
  <si>
    <t>Bukhara</t>
  </si>
  <si>
    <t>Khiva</t>
  </si>
  <si>
    <t>Kyzylkum</t>
  </si>
  <si>
    <t>Karsak</t>
  </si>
  <si>
    <t>Nura</t>
  </si>
  <si>
    <t>Greenland</t>
  </si>
  <si>
    <t>Vestbygden</t>
  </si>
  <si>
    <t>Eiriksfjord</t>
  </si>
  <si>
    <t>Himalaya</t>
  </si>
  <si>
    <t>Nepal</t>
  </si>
  <si>
    <t>tibetan</t>
  </si>
  <si>
    <t>Gangdise</t>
  </si>
  <si>
    <t>Kunlun</t>
  </si>
  <si>
    <t>Dangla</t>
  </si>
  <si>
    <t>Lhasa</t>
  </si>
  <si>
    <t>Chengdu</t>
  </si>
  <si>
    <t>Xinjiang</t>
  </si>
  <si>
    <t>Kachin</t>
  </si>
  <si>
    <t>Mandalay</t>
  </si>
  <si>
    <t>Shan</t>
  </si>
  <si>
    <t>Bago</t>
  </si>
  <si>
    <t>Lampang</t>
  </si>
  <si>
    <t>Sarakham</t>
  </si>
  <si>
    <t>Mekong</t>
  </si>
  <si>
    <t>Yunnan</t>
  </si>
  <si>
    <t>Lao Cai</t>
  </si>
  <si>
    <t>Wenshan</t>
  </si>
  <si>
    <t>Guizhou</t>
  </si>
  <si>
    <t>Sichuan Pendi</t>
  </si>
  <si>
    <t>Sha Anxi</t>
  </si>
  <si>
    <t>Lanzhou</t>
  </si>
  <si>
    <t>Xining</t>
  </si>
  <si>
    <t>Ningxia</t>
  </si>
  <si>
    <t>Hohhot</t>
  </si>
  <si>
    <t>Shanxi</t>
  </si>
  <si>
    <t>Shaanxi</t>
  </si>
  <si>
    <t>Henan</t>
  </si>
  <si>
    <t>Hubei</t>
  </si>
  <si>
    <t>Hunan</t>
  </si>
  <si>
    <t>Nanchang</t>
  </si>
  <si>
    <t>Bermuda</t>
  </si>
  <si>
    <t>Bahamas</t>
  </si>
  <si>
    <t>Sadrinsk</t>
  </si>
  <si>
    <t>Jalutorovsk</t>
  </si>
  <si>
    <t>Nefedova</t>
  </si>
  <si>
    <t>Tobolsk</t>
  </si>
  <si>
    <t>Demjanskoje</t>
  </si>
  <si>
    <t>permic</t>
  </si>
  <si>
    <t>Sergino</t>
  </si>
  <si>
    <t>Manskijisk</t>
  </si>
  <si>
    <t>Vakhovska</t>
  </si>
  <si>
    <t>Surgut</t>
  </si>
  <si>
    <t>Pimsk</t>
  </si>
  <si>
    <t>Igrim</t>
  </si>
  <si>
    <t>Berezov</t>
  </si>
  <si>
    <t>Kondinsk</t>
  </si>
  <si>
    <t>Obdorsk</t>
  </si>
  <si>
    <t>Saleharo</t>
  </si>
  <si>
    <t>Kamcatka</t>
  </si>
  <si>
    <t>Sredny Hrebet</t>
  </si>
  <si>
    <t>Gonder</t>
  </si>
  <si>
    <t>Kefa</t>
  </si>
  <si>
    <t>Bale</t>
  </si>
  <si>
    <t>Surkhandarya</t>
  </si>
  <si>
    <t>Samarkand</t>
  </si>
  <si>
    <t>Uzbek</t>
  </si>
  <si>
    <t>Anti Atlas</t>
  </si>
  <si>
    <t>Mdennan</t>
  </si>
  <si>
    <t>Azaouad</t>
  </si>
  <si>
    <t>Tadjikistan</t>
  </si>
  <si>
    <t>Kirgisistan</t>
  </si>
  <si>
    <t>Dzungaria</t>
  </si>
  <si>
    <t>uyghur</t>
  </si>
  <si>
    <t>Tian Shan</t>
  </si>
  <si>
    <t>Dsungaria</t>
  </si>
  <si>
    <t>Bogda Shan</t>
  </si>
  <si>
    <t>Chagatai</t>
  </si>
  <si>
    <t>Urumqi</t>
  </si>
  <si>
    <t>Qaidam Pendi</t>
  </si>
  <si>
    <t>Sichuan</t>
  </si>
  <si>
    <t>Qinghai</t>
  </si>
  <si>
    <t>Qilian Pendi</t>
  </si>
  <si>
    <t>Kastamonu</t>
  </si>
  <si>
    <t>Antalya</t>
  </si>
  <si>
    <t>Taurus</t>
  </si>
  <si>
    <t>Schwyz</t>
  </si>
  <si>
    <t>sea</t>
  </si>
  <si>
    <t>The Sund</t>
  </si>
  <si>
    <t>Kalmar Strait</t>
  </si>
  <si>
    <t>Gulf of Riga</t>
  </si>
  <si>
    <t>Gulf of Finland</t>
  </si>
  <si>
    <t>Lake Ladoga</t>
  </si>
  <si>
    <t>White Sea</t>
  </si>
  <si>
    <t>Gulf of Turku</t>
  </si>
  <si>
    <t>Gulf of Bothnia</t>
  </si>
  <si>
    <t>The Skagerack</t>
  </si>
  <si>
    <t>Sea of Stavanger</t>
  </si>
  <si>
    <t>German Bight</t>
  </si>
  <si>
    <t>Coast of Holland</t>
  </si>
  <si>
    <t>Tyne</t>
  </si>
  <si>
    <t>Moray Firth</t>
  </si>
  <si>
    <t>Straits of Dover</t>
  </si>
  <si>
    <t>The Channel</t>
  </si>
  <si>
    <t>Land's End</t>
  </si>
  <si>
    <t>Irish Sea</t>
  </si>
  <si>
    <t>Hebrides</t>
  </si>
  <si>
    <t>Shetland Straits</t>
  </si>
  <si>
    <t>North Sea</t>
  </si>
  <si>
    <t>Sea of Bergen</t>
  </si>
  <si>
    <t>Comorin Cape</t>
  </si>
  <si>
    <t>Coast of Trincomalee</t>
  </si>
  <si>
    <t>Coast of Coromandel</t>
  </si>
  <si>
    <t>Coast of Orissa</t>
  </si>
  <si>
    <t>Ganges Delta</t>
  </si>
  <si>
    <t>Akyab Bay</t>
  </si>
  <si>
    <t>Irrawady Delta</t>
  </si>
  <si>
    <t>Mergui Archipelago</t>
  </si>
  <si>
    <t>Straits of Malacca</t>
  </si>
  <si>
    <t>Straits of Johor</t>
  </si>
  <si>
    <t>Coast of Sumatra</t>
  </si>
  <si>
    <t>Coast of Ajeh</t>
  </si>
  <si>
    <t>Gulf of Siam</t>
  </si>
  <si>
    <t>Cam Rah Bay</t>
  </si>
  <si>
    <t>Coast of Annam</t>
  </si>
  <si>
    <t>Gulf of Tonkin</t>
  </si>
  <si>
    <t>Taiwan Strait</t>
  </si>
  <si>
    <t>Sea of Taiwan</t>
  </si>
  <si>
    <t>Yang Tse Delta</t>
  </si>
  <si>
    <t>Yellow Sea</t>
  </si>
  <si>
    <t>South Korean Sea</t>
  </si>
  <si>
    <t>North Korean Sea</t>
  </si>
  <si>
    <t>Sea of Japan</t>
  </si>
  <si>
    <t>Sado Strait</t>
  </si>
  <si>
    <t>Tokai Sea</t>
  </si>
  <si>
    <t>Seto Inland Sea</t>
  </si>
  <si>
    <t>Amakusa Sea</t>
  </si>
  <si>
    <t>Eastern China sea</t>
  </si>
  <si>
    <t>Amur Delta</t>
  </si>
  <si>
    <t>Bay of Ajan</t>
  </si>
  <si>
    <t>Bay of Magadan</t>
  </si>
  <si>
    <t>Gulf of Kolyma</t>
  </si>
  <si>
    <t>Coast of Kamchatska</t>
  </si>
  <si>
    <t>Bay of Kamenskoie</t>
  </si>
  <si>
    <t>Cape of Kamchatska</t>
  </si>
  <si>
    <t>Coast of Sakhalin</t>
  </si>
  <si>
    <t>Soya Strait</t>
  </si>
  <si>
    <t>Strait of Luzon</t>
  </si>
  <si>
    <t>Coast of Luzon</t>
  </si>
  <si>
    <t>Gulf of Leyte</t>
  </si>
  <si>
    <t>Sulu Sea</t>
  </si>
  <si>
    <t>Moro Gulf</t>
  </si>
  <si>
    <t>Sea of Ternate</t>
  </si>
  <si>
    <t>Sea of Celebes</t>
  </si>
  <si>
    <t>Balabac Strait</t>
  </si>
  <si>
    <t>Strait of Makassar</t>
  </si>
  <si>
    <t>The Moluccas</t>
  </si>
  <si>
    <t>Australian Sea</t>
  </si>
  <si>
    <t>Java Sea</t>
  </si>
  <si>
    <t>Straits of Lombok</t>
  </si>
  <si>
    <t>Timor Sea</t>
  </si>
  <si>
    <t>Tanimbar Islands</t>
  </si>
  <si>
    <t>Sea of Palawan</t>
  </si>
  <si>
    <t>Coast of Brunei</t>
  </si>
  <si>
    <t>South China Sea</t>
  </si>
  <si>
    <t>Coast of Sarawak</t>
  </si>
  <si>
    <t>Karimata Strait</t>
  </si>
  <si>
    <t>Coast of Java</t>
  </si>
  <si>
    <t>South Timor Sea</t>
  </si>
  <si>
    <t>King Sound</t>
  </si>
  <si>
    <t>North West Cape</t>
  </si>
  <si>
    <t>Shark Bay</t>
  </si>
  <si>
    <t>Coast of New Holland</t>
  </si>
  <si>
    <t>Cape Leeuwin</t>
  </si>
  <si>
    <t>Great Australian Bight</t>
  </si>
  <si>
    <t>Kangaroo Island</t>
  </si>
  <si>
    <t>Tasman Sea</t>
  </si>
  <si>
    <t>Cape Howe</t>
  </si>
  <si>
    <t>Eastern Australia</t>
  </si>
  <si>
    <t>Sandy Cape</t>
  </si>
  <si>
    <t>Capricorn Channel</t>
  </si>
  <si>
    <t>Great Barrier Reef</t>
  </si>
  <si>
    <t>Kolepom Bay</t>
  </si>
  <si>
    <t>Arafura Sea</t>
  </si>
  <si>
    <t>New Guinea Coast</t>
  </si>
  <si>
    <t>Sea of Banda</t>
  </si>
  <si>
    <t>Halmahera Sea</t>
  </si>
  <si>
    <t>Papuan Coast</t>
  </si>
  <si>
    <t>Vitiaz Strait</t>
  </si>
  <si>
    <t>Trobriand Islands</t>
  </si>
  <si>
    <t>Milne Bay</t>
  </si>
  <si>
    <t>Nicobar Islands</t>
  </si>
  <si>
    <t>Andaman Sea</t>
  </si>
  <si>
    <t>Gulf of Bengal</t>
  </si>
  <si>
    <t>Northern Bay of Bengale</t>
  </si>
  <si>
    <t>Bay of Bengale</t>
  </si>
  <si>
    <t>Arabian Sea</t>
  </si>
  <si>
    <t>Western Arabian Sea</t>
  </si>
  <si>
    <t>Socotra Island</t>
  </si>
  <si>
    <t>Cape Verde Islands</t>
  </si>
  <si>
    <t>Coast of Greenland</t>
  </si>
  <si>
    <t>Sea of Labrador</t>
  </si>
  <si>
    <t>Newfoundland Banks</t>
  </si>
  <si>
    <t>Sea of Sargassos</t>
  </si>
  <si>
    <t>Central Atlantic Ocean</t>
  </si>
  <si>
    <t>Greenland Sea</t>
  </si>
  <si>
    <t>Sea of Azores</t>
  </si>
  <si>
    <t>The Bermudas</t>
  </si>
  <si>
    <t>South Central Atlantic Ocean</t>
  </si>
  <si>
    <t>Arguin Bank</t>
  </si>
  <si>
    <t>Gulf of Guinea</t>
  </si>
  <si>
    <t>Sea of Azov</t>
  </si>
  <si>
    <t>Western Black Sea</t>
  </si>
  <si>
    <t>Eastern Black Sea</t>
  </si>
  <si>
    <t>Gulf of Odessa</t>
  </si>
  <si>
    <t>Gulf of Varna</t>
  </si>
  <si>
    <t>Sea of Marmara</t>
  </si>
  <si>
    <t>Cretan Sea</t>
  </si>
  <si>
    <t>Gulf of Tobruk</t>
  </si>
  <si>
    <t>Bay of Alexandria</t>
  </si>
  <si>
    <t>Coast of Palestine</t>
  </si>
  <si>
    <t>Lake Tiberiade</t>
  </si>
  <si>
    <t>Gulf of Suez</t>
  </si>
  <si>
    <t>Red Sea</t>
  </si>
  <si>
    <t>Gulf of Sirte</t>
  </si>
  <si>
    <t>Malta Channel</t>
  </si>
  <si>
    <t>Straits of Messina</t>
  </si>
  <si>
    <t>Bay of Naples</t>
  </si>
  <si>
    <t>Tyrrenean Sea</t>
  </si>
  <si>
    <t>Ligurian Sea</t>
  </si>
  <si>
    <t>Gulf of Cagliari</t>
  </si>
  <si>
    <t>Cape Bon</t>
  </si>
  <si>
    <t>Gulf of Venice</t>
  </si>
  <si>
    <t>Adriatic Sea</t>
  </si>
  <si>
    <t>Straits of Otranto</t>
  </si>
  <si>
    <t>Ionian Sea</t>
  </si>
  <si>
    <t>Gulf of Taranto</t>
  </si>
  <si>
    <t>Western Mediterranean</t>
  </si>
  <si>
    <t>Gulf of Lion</t>
  </si>
  <si>
    <t>Gulf of Mallorca</t>
  </si>
  <si>
    <t>Gulf of Valencia</t>
  </si>
  <si>
    <t>Barbary Coast</t>
  </si>
  <si>
    <t>Gulf of Almeria</t>
  </si>
  <si>
    <t>Straits of Gibraltar</t>
  </si>
  <si>
    <t>Gulf of Cadiz</t>
  </si>
  <si>
    <t>Lusitanian Sea</t>
  </si>
  <si>
    <t>Finisterre</t>
  </si>
  <si>
    <t>Cantabrian Sea</t>
  </si>
  <si>
    <t>Quiberon Bay</t>
  </si>
  <si>
    <t>Bay of Biscay</t>
  </si>
  <si>
    <t>Aral Sea</t>
  </si>
  <si>
    <t>North Cape</t>
  </si>
  <si>
    <t>Throndheim Fjord</t>
  </si>
  <si>
    <t>Faeroes</t>
  </si>
  <si>
    <t>Donegal Bay</t>
  </si>
  <si>
    <t>Bantry Bay</t>
  </si>
  <si>
    <t>Spitzberg</t>
  </si>
  <si>
    <t>Jan Mayen Sea</t>
  </si>
  <si>
    <t>Coast of Iceland</t>
  </si>
  <si>
    <t>South Icelandic Sea</t>
  </si>
  <si>
    <t>Rockall</t>
  </si>
  <si>
    <t>Coast of Morocco</t>
  </si>
  <si>
    <t>Canarian Sea</t>
  </si>
  <si>
    <t>Mauretanian Coast</t>
  </si>
  <si>
    <t>Coast of Gambia</t>
  </si>
  <si>
    <t>Gold Coast</t>
  </si>
  <si>
    <t>Ivory Coast</t>
  </si>
  <si>
    <t>Gulf of Nigeria</t>
  </si>
  <si>
    <t>Coast of Cameroon</t>
  </si>
  <si>
    <t>Rio Muni</t>
  </si>
  <si>
    <t>Gulf of Congo</t>
  </si>
  <si>
    <t>Walvis Bay</t>
  </si>
  <si>
    <t>Coast of Namibia</t>
  </si>
  <si>
    <t>Table Bay</t>
  </si>
  <si>
    <t>Cape of Good Hope</t>
  </si>
  <si>
    <t>Coast of Ciskei</t>
  </si>
  <si>
    <t>Coast of Transkei</t>
  </si>
  <si>
    <t>Coast of Natal</t>
  </si>
  <si>
    <t>Mozambique Channel</t>
  </si>
  <si>
    <t>Rufiji Delta</t>
  </si>
  <si>
    <t>Zanzibar Strait</t>
  </si>
  <si>
    <t>Coast of Pepper</t>
  </si>
  <si>
    <t>Horn of Africa</t>
  </si>
  <si>
    <t>Gulf of Aden</t>
  </si>
  <si>
    <t>Bab el-Mandeb</t>
  </si>
  <si>
    <t>Persian Gulf</t>
  </si>
  <si>
    <t>Straits of Hormuz</t>
  </si>
  <si>
    <t>Gulf of Indus</t>
  </si>
  <si>
    <t>Mascate Coast</t>
  </si>
  <si>
    <t>Oman Sea</t>
  </si>
  <si>
    <t>Coast of Gujarat</t>
  </si>
  <si>
    <t>Lacquedive Islands</t>
  </si>
  <si>
    <t>Coast of Malabar</t>
  </si>
  <si>
    <t>Lake Ontario</t>
  </si>
  <si>
    <t>Lake Erie</t>
  </si>
  <si>
    <t>Lake Michigan</t>
  </si>
  <si>
    <t>Lake Huron</t>
  </si>
  <si>
    <t>Lake Superior</t>
  </si>
  <si>
    <t>Gulf of Saint Lawrence</t>
  </si>
  <si>
    <t>Massachussetts Bay</t>
  </si>
  <si>
    <t>Cape Hatteras</t>
  </si>
  <si>
    <t>Tampa Bay</t>
  </si>
  <si>
    <t>Mobile Bay</t>
  </si>
  <si>
    <t>Tampico Bay</t>
  </si>
  <si>
    <t>Yucatan Sea</t>
  </si>
  <si>
    <t>Gulf of Mexico</t>
  </si>
  <si>
    <t>Belize Bay</t>
  </si>
  <si>
    <t>Florida Straits</t>
  </si>
  <si>
    <t>Mosquitos Coast</t>
  </si>
  <si>
    <t>Gulf of Darien</t>
  </si>
  <si>
    <t>Cayman Islands</t>
  </si>
  <si>
    <t>Greater Antilles</t>
  </si>
  <si>
    <t>Caribbean Sea</t>
  </si>
  <si>
    <t>Straits of Puerto Rico</t>
  </si>
  <si>
    <t>Lesser Antilles</t>
  </si>
  <si>
    <t>Venezuelan Sea</t>
  </si>
  <si>
    <t>Windward Islands</t>
  </si>
  <si>
    <t>Leeward Islands</t>
  </si>
  <si>
    <t>Guyana Coast</t>
  </si>
  <si>
    <t>Bay of Belem</t>
  </si>
  <si>
    <t>Gulf of the Amazon</t>
  </si>
  <si>
    <t>Coast of Brazil</t>
  </si>
  <si>
    <t>Coast of Recife</t>
  </si>
  <si>
    <t>Coast of Pernambuc</t>
  </si>
  <si>
    <t>Todos Santos Bay</t>
  </si>
  <si>
    <t>Rio de Janeiro</t>
  </si>
  <si>
    <t>Rio de La Plata</t>
  </si>
  <si>
    <t>Bahia Blanca</t>
  </si>
  <si>
    <t>Coast of Patagonia</t>
  </si>
  <si>
    <t>Patagonian Sea</t>
  </si>
  <si>
    <t>Magellan Strait</t>
  </si>
  <si>
    <t>South Chilean Coast</t>
  </si>
  <si>
    <t>Coast of Chile</t>
  </si>
  <si>
    <t>Atacama Coast</t>
  </si>
  <si>
    <t>Arica Gulf</t>
  </si>
  <si>
    <t>Arequipa Bay</t>
  </si>
  <si>
    <t>Coast of Peru</t>
  </si>
  <si>
    <t>Gulf of Guayaquil</t>
  </si>
  <si>
    <t>Coast of Ecuador</t>
  </si>
  <si>
    <t>Gulf of Panama</t>
  </si>
  <si>
    <t>Bay of Costa Rica</t>
  </si>
  <si>
    <t>Acapulco Bay</t>
  </si>
  <si>
    <t>Manzanillo Bay</t>
  </si>
  <si>
    <t>Mazatlan Bay</t>
  </si>
  <si>
    <t>Coast of California</t>
  </si>
  <si>
    <t>Santa Catalina Islands</t>
  </si>
  <si>
    <t>Coast of Oregon</t>
  </si>
  <si>
    <t>Coast of Columbia</t>
  </si>
  <si>
    <t>Gulf of Alaska</t>
  </si>
  <si>
    <t>Great Bahamas Bank</t>
  </si>
  <si>
    <t>Strait of Labrador</t>
  </si>
  <si>
    <t>Sea of Baffin</t>
  </si>
  <si>
    <t>Hudson Straits</t>
  </si>
  <si>
    <t>Bay of Anadyr</t>
  </si>
  <si>
    <t>Western Approaches</t>
  </si>
  <si>
    <t>Falkland Islands</t>
  </si>
  <si>
    <t>Cape Horn</t>
  </si>
  <si>
    <t>Gulf of Zambeze</t>
  </si>
  <si>
    <t>The Comoros</t>
  </si>
  <si>
    <t>Diego Suarez Bay</t>
  </si>
  <si>
    <t>Coast of Tamatave</t>
  </si>
  <si>
    <t>Cape Romain</t>
  </si>
  <si>
    <t>The Mascareignes</t>
  </si>
  <si>
    <t>The Seychelles</t>
  </si>
  <si>
    <t>The Maldives</t>
  </si>
  <si>
    <t>Ceylon Sea</t>
  </si>
  <si>
    <t>Ryukyu Islands</t>
  </si>
  <si>
    <t>Iwo Jima Sea</t>
  </si>
  <si>
    <t>North Philippine Sea</t>
  </si>
  <si>
    <t>Philippine Sea</t>
  </si>
  <si>
    <t>Mariana Islands</t>
  </si>
  <si>
    <t>Palau Island</t>
  </si>
  <si>
    <t>Coral Sea</t>
  </si>
  <si>
    <t>South Coral Sea</t>
  </si>
  <si>
    <t>Cook Strait</t>
  </si>
  <si>
    <t>Cape Farewell</t>
  </si>
  <si>
    <t>Aleutian Islands</t>
  </si>
  <si>
    <t>Bay of Oljut</t>
  </si>
  <si>
    <t>colonization_difficulty</t>
  </si>
  <si>
    <t>income</t>
  </si>
  <si>
    <t>manpower</t>
  </si>
  <si>
    <t>size_modifier</t>
  </si>
  <si>
    <t>terra_incognita</t>
  </si>
  <si>
    <t>naval_supplies</t>
  </si>
  <si>
    <t>Gasp�sie</t>
  </si>
  <si>
    <t>Sk�ne</t>
  </si>
  <si>
    <t>Sm�land</t>
  </si>
  <si>
    <t>V�sterg�tland</t>
  </si>
  <si>
    <t>�stlandet</t>
  </si>
  <si>
    <t>Tr�ndelag</t>
  </si>
  <si>
    <t>�sterbotten</t>
  </si>
  <si>
    <t>Sj�lland</t>
  </si>
  <si>
    <t>K�strin</t>
  </si>
  <si>
    <t>M�nster</t>
  </si>
  <si>
    <t>V�sterbotten</t>
  </si>
  <si>
    <t>K�ln</t>
  </si>
  <si>
    <t>W�rzburg</t>
  </si>
  <si>
    <t>W�rttemberg</t>
  </si>
  <si>
    <t>J�mtland</t>
  </si>
  <si>
    <t>Dauphin�</t>
  </si>
  <si>
    <t>Vend�e</t>
  </si>
  <si>
    <t>C�vennes</t>
  </si>
  <si>
    <t>B�arn</t>
  </si>
  <si>
    <t>Lake</t>
  </si>
  <si>
    <t>river</t>
  </si>
  <si>
    <t>M�laren</t>
  </si>
  <si>
    <t>Hj�lmaren</t>
  </si>
  <si>
    <t>G�strikland</t>
  </si>
  <si>
    <t>Monta�a</t>
  </si>
  <si>
    <t>Jenn�</t>
  </si>
  <si>
    <t>Bur�</t>
  </si>
  <si>
    <t>NWPacificSea</t>
  </si>
  <si>
    <t>Sea</t>
  </si>
  <si>
    <t>AlaskaSea</t>
  </si>
  <si>
    <t>HudsonBaySea</t>
  </si>
  <si>
    <t>HudsonBayArea</t>
  </si>
  <si>
    <t>ArcticSeaSea</t>
  </si>
  <si>
    <t>KamtchatkaSea</t>
  </si>
  <si>
    <t>ENACoastSea</t>
  </si>
  <si>
    <t>NAtlanticSea</t>
  </si>
  <si>
    <t>NorthSeaSea</t>
  </si>
  <si>
    <t>ScandinaviaSea</t>
  </si>
  <si>
    <t>JapanSea</t>
  </si>
  <si>
    <t>EPacificSea</t>
  </si>
  <si>
    <t>CaribbeanSea</t>
  </si>
  <si>
    <t>BiscaySea</t>
  </si>
  <si>
    <t>ChinaSea</t>
  </si>
  <si>
    <t>WPacificSea</t>
  </si>
  <si>
    <t>NCAtlanticSea</t>
  </si>
  <si>
    <t>TagoSea</t>
  </si>
  <si>
    <t>WMedSea</t>
  </si>
  <si>
    <t>EMedSea</t>
  </si>
  <si>
    <t>SEPacificSea</t>
  </si>
  <si>
    <t>ECAtlanticSea</t>
  </si>
  <si>
    <t>RedSeaSea</t>
  </si>
  <si>
    <t>GulfSea</t>
  </si>
  <si>
    <t>NWIndianSea</t>
  </si>
  <si>
    <t>NEIndianSea</t>
  </si>
  <si>
    <t>ThaiSea</t>
  </si>
  <si>
    <t>SWPacificSea</t>
  </si>
  <si>
    <t>WCAtlanticSea</t>
  </si>
  <si>
    <t>SEAtlanticSea</t>
  </si>
  <si>
    <t>SWIndianSea</t>
  </si>
  <si>
    <t>OceaniaSea</t>
  </si>
  <si>
    <t>SWAtlanticSea</t>
  </si>
  <si>
    <t>SEIndianSea</t>
  </si>
  <si>
    <t>BarrierreefSea</t>
  </si>
  <si>
    <t>Melanesia</t>
  </si>
  <si>
    <t>BarrierReefSea</t>
  </si>
  <si>
    <t>CapeHornArea</t>
  </si>
  <si>
    <t>GoodHopeArea</t>
  </si>
  <si>
    <t>CaspianSea</t>
  </si>
  <si>
    <t>AralSea</t>
  </si>
  <si>
    <t>navajo</t>
  </si>
  <si>
    <t>Michoac�n</t>
  </si>
  <si>
    <t>Zacatecas</t>
  </si>
  <si>
    <t>native</t>
  </si>
  <si>
    <t>iroquis</t>
  </si>
  <si>
    <t>dakota</t>
  </si>
  <si>
    <t>Massachusetts</t>
  </si>
  <si>
    <t>caribbean</t>
  </si>
  <si>
    <t>guajiro</t>
  </si>
  <si>
    <t>andean</t>
  </si>
  <si>
    <t>teremembe</t>
  </si>
  <si>
    <t>Iguatu</t>
  </si>
  <si>
    <t>tupinamba</t>
  </si>
  <si>
    <t>mataco</t>
  </si>
  <si>
    <t>scandinavian</t>
  </si>
  <si>
    <t>Masovia</t>
  </si>
  <si>
    <t>Mecklenburg</t>
  </si>
  <si>
    <t>romanian</t>
  </si>
  <si>
    <t>dalmatian</t>
  </si>
  <si>
    <t>lombard</t>
  </si>
  <si>
    <t>Franche-Comt�</t>
  </si>
  <si>
    <t>Orl�anais</t>
  </si>
  <si>
    <t>catalan</t>
  </si>
  <si>
    <t>castilian</t>
  </si>
  <si>
    <t>caucasian</t>
  </si>
  <si>
    <t>Abkhazia</t>
  </si>
  <si>
    <t>Kolkhis</t>
  </si>
  <si>
    <t>Iveria</t>
  </si>
  <si>
    <t>arabic</t>
  </si>
  <si>
    <t>shia</t>
  </si>
  <si>
    <t>turkoman</t>
  </si>
  <si>
    <t>Awhaz</t>
  </si>
  <si>
    <t>kannada</t>
  </si>
  <si>
    <t>thai</t>
  </si>
  <si>
    <t>javan</t>
  </si>
  <si>
    <t>polynese</t>
  </si>
  <si>
    <t>maghrebi</t>
  </si>
  <si>
    <t>bantu</t>
  </si>
  <si>
    <t>kongolese</t>
  </si>
  <si>
    <t>aka</t>
  </si>
  <si>
    <t>dyola</t>
  </si>
  <si>
    <t>tuareg</t>
  </si>
  <si>
    <t>madagasque</t>
  </si>
  <si>
    <t>Montana</t>
  </si>
  <si>
    <t>afghani</t>
  </si>
  <si>
    <t>upper_burman</t>
  </si>
  <si>
    <t>Mansijisk</t>
  </si>
  <si>
    <t>uighur</t>
  </si>
  <si>
    <t>Terra Incognita</t>
  </si>
  <si>
    <t>The Canary Islands</t>
  </si>
  <si>
    <t>The Baleares</t>
  </si>
  <si>
    <t>The Azores</t>
  </si>
  <si>
    <t>St. Helena</t>
  </si>
  <si>
    <t>Bering Straits</t>
  </si>
  <si>
    <t>Aleutian Sea</t>
  </si>
  <si>
    <t>Icelandic Sea</t>
  </si>
  <si>
    <t>The Lofotens</t>
  </si>
  <si>
    <t>Gulf of kolyma</t>
  </si>
  <si>
    <t>Komandorski Islands</t>
  </si>
  <si>
    <t>Bay of Uka</t>
  </si>
  <si>
    <t>Western Aleutian Sea</t>
  </si>
  <si>
    <t>Central Aleutian Sea</t>
  </si>
  <si>
    <t>South Aleutian Sea</t>
  </si>
  <si>
    <t>Northwestern Pacific Ocean</t>
  </si>
  <si>
    <t>Northern Pacific Ocean</t>
  </si>
  <si>
    <t>Chesapeake Bay</t>
  </si>
  <si>
    <t>Massachusetts Bay</t>
  </si>
  <si>
    <t>Bay of Fundy</t>
  </si>
  <si>
    <t>North Atlantic Drift</t>
  </si>
  <si>
    <t>Norwegian Sea</t>
  </si>
  <si>
    <t>Baltic Sea</t>
  </si>
  <si>
    <t>�land Sea</t>
  </si>
  <si>
    <t>Okhotsk Sea</t>
  </si>
  <si>
    <t>Tatar Straits</t>
  </si>
  <si>
    <t>Kuro Siwo Current</t>
  </si>
  <si>
    <t>North Pacific Drift</t>
  </si>
  <si>
    <t>Californian Gulf</t>
  </si>
  <si>
    <t>Mississippi Bay</t>
  </si>
  <si>
    <t>Cape Canaveral</t>
  </si>
  <si>
    <t>Coast of Carolina</t>
  </si>
  <si>
    <t>Bermuda Triangle</t>
  </si>
  <si>
    <t>Gulf Stream</t>
  </si>
  <si>
    <t>Northern Atlantic Ocean</t>
  </si>
  <si>
    <t>C�te d'Argent</t>
  </si>
  <si>
    <t>Coast of Brittany</t>
  </si>
  <si>
    <t>Firth of Forth</t>
  </si>
  <si>
    <t>The North Sea</t>
  </si>
  <si>
    <t>Dogger Bank</t>
  </si>
  <si>
    <t>Korea Bay</t>
  </si>
  <si>
    <t>Tsushima Strait</t>
  </si>
  <si>
    <t>Western Japan Sea</t>
  </si>
  <si>
    <t>Northern Japan Sea</t>
  </si>
  <si>
    <t>Tsugaru Strait</t>
  </si>
  <si>
    <t>Taihei Ocean</t>
  </si>
  <si>
    <t>Midway Island</t>
  </si>
  <si>
    <t>Hawaian Sea</t>
  </si>
  <si>
    <t>Northeastern Pacific Ocean</t>
  </si>
  <si>
    <t>Pacific Equatorial Current</t>
  </si>
  <si>
    <t>Jamaican Sea</t>
  </si>
  <si>
    <t>The Bahamas</t>
  </si>
  <si>
    <t>Tortuga Island</t>
  </si>
  <si>
    <t>C�te d'Azur</t>
  </si>
  <si>
    <t>Gulf of Cyprus</t>
  </si>
  <si>
    <t>Eastern Mediterranean</t>
  </si>
  <si>
    <t>The Dodecanese</t>
  </si>
  <si>
    <t>The Cyclades</t>
  </si>
  <si>
    <t>Aegean Sea</t>
  </si>
  <si>
    <t>Setto Inland Sea</t>
  </si>
  <si>
    <t>Central Pacific Ocean</t>
  </si>
  <si>
    <t>Pacific Countercurrent</t>
  </si>
  <si>
    <t>Winward Islands</t>
  </si>
  <si>
    <t>Antilles Current</t>
  </si>
  <si>
    <t>Atlantic Equatorial Current</t>
  </si>
  <si>
    <t>Straits of Obock</t>
  </si>
  <si>
    <t>Bab El Mandeb</t>
  </si>
  <si>
    <t>Straits of Ormuz</t>
  </si>
  <si>
    <t>Coast of Mascate</t>
  </si>
  <si>
    <t>Eastern Arabian Sea</t>
  </si>
  <si>
    <t>Irrawady delta</t>
  </si>
  <si>
    <t>Paracel Islands</t>
  </si>
  <si>
    <t>Eastern China Sea</t>
  </si>
  <si>
    <t>Juan Fernandez Islands</t>
  </si>
  <si>
    <t>South Atlantic Ocean</t>
  </si>
  <si>
    <t>Ascension Island</t>
  </si>
  <si>
    <t>Gor�e Island</t>
  </si>
  <si>
    <t>Central Indian Ocean</t>
  </si>
  <si>
    <t>Straits of Johore</t>
  </si>
  <si>
    <t>Malayan Sea</t>
  </si>
  <si>
    <t>Caroline Islands</t>
  </si>
  <si>
    <t>Fiji Islands</t>
  </si>
  <si>
    <t>Samoan Sea</t>
  </si>
  <si>
    <t>Samoa Islands</t>
  </si>
  <si>
    <t>Society Islands</t>
  </si>
  <si>
    <t>South Pacific Ocean</t>
  </si>
  <si>
    <t>Southern  Atlantic Ocean</t>
  </si>
  <si>
    <t>St. Helena Island</t>
  </si>
  <si>
    <t>Coast of Angola</t>
  </si>
  <si>
    <t>Mozambica Channel</t>
  </si>
  <si>
    <t>The Comores</t>
  </si>
  <si>
    <t>Indian Equatorial Current</t>
  </si>
  <si>
    <t>Diego Garcia Island</t>
  </si>
  <si>
    <t>Straits of Sunda</t>
  </si>
  <si>
    <t>Coast of Surabaja</t>
  </si>
  <si>
    <t>Sea of Java</t>
  </si>
  <si>
    <t>Sorong Strait</t>
  </si>
  <si>
    <t>Straits of Torres</t>
  </si>
  <si>
    <t>Coast of New Zealand</t>
  </si>
  <si>
    <t>Biak Bay</t>
  </si>
  <si>
    <t>Viliaz Strait</t>
  </si>
  <si>
    <t>Melanesian Sea</t>
  </si>
  <si>
    <t>Louisiade Archipelago</t>
  </si>
  <si>
    <t>The Solomons</t>
  </si>
  <si>
    <t>Gilbert Sea</t>
  </si>
  <si>
    <t>Southern Atlantic Ocean</t>
  </si>
  <si>
    <t>New Georgia Island</t>
  </si>
  <si>
    <t>Tristan da Cunha Island</t>
  </si>
  <si>
    <t>Southern  Indian Ocean</t>
  </si>
  <si>
    <t>Western Australian Coast</t>
  </si>
  <si>
    <t>Recherche Archipelago</t>
  </si>
  <si>
    <t>New Caledonian Sea</t>
  </si>
  <si>
    <t>Cape of Storms</t>
  </si>
  <si>
    <t>South Indian Ocean</t>
  </si>
  <si>
    <t>The Roaring Forties</t>
  </si>
  <si>
    <t>Bass Strait</t>
  </si>
  <si>
    <t>Northern Caspian Sea</t>
  </si>
  <si>
    <t>Southern Caspian Sea</t>
  </si>
  <si>
    <t>Saint George's Channel</t>
  </si>
  <si>
    <t>Easter Island</t>
  </si>
  <si>
    <t>Arafuan Sea</t>
  </si>
  <si>
    <t>Gulf of Carpentaria</t>
  </si>
  <si>
    <t>Sea of Timor</t>
  </si>
  <si>
    <t>Manilla Bay</t>
  </si>
  <si>
    <t>Christmas Island</t>
  </si>
  <si>
    <t>Western Oman Sea</t>
  </si>
  <si>
    <t>Greater Antillas</t>
  </si>
  <si>
    <t>Lesser Antillas</t>
  </si>
  <si>
    <t>Columbia River</t>
  </si>
  <si>
    <t>Sacramento River</t>
  </si>
  <si>
    <t>Colorado River</t>
  </si>
  <si>
    <t>Rio Grande River</t>
  </si>
  <si>
    <t>Matagorda River</t>
  </si>
  <si>
    <t>Murray River</t>
  </si>
  <si>
    <t>Savannah River</t>
  </si>
  <si>
    <t>Charles River</t>
  </si>
  <si>
    <t>Santee River</t>
  </si>
  <si>
    <t>James River</t>
  </si>
  <si>
    <t>Ganges River</t>
  </si>
  <si>
    <t>Volga River</t>
  </si>
  <si>
    <t>Danube River</t>
  </si>
  <si>
    <t>Connecticut River</t>
  </si>
  <si>
    <t>Kenebec River</t>
  </si>
  <si>
    <t>Red River</t>
  </si>
  <si>
    <t>Ste. Croix River</t>
  </si>
  <si>
    <t>St. John River</t>
  </si>
  <si>
    <t>Lake Constance</t>
  </si>
  <si>
    <t>Athabasca River</t>
  </si>
  <si>
    <t>Orinoco River</t>
  </si>
  <si>
    <t>Maroni River</t>
  </si>
  <si>
    <t>Rhine River</t>
  </si>
  <si>
    <t>Parana River</t>
  </si>
  <si>
    <t>Orange River</t>
  </si>
  <si>
    <t>Great Fish River</t>
  </si>
  <si>
    <t>Limpopo River</t>
  </si>
  <si>
    <t>Zambeze River</t>
  </si>
  <si>
    <t>Congo River</t>
  </si>
  <si>
    <t>Rufiji River</t>
  </si>
  <si>
    <t>Ougawe River</t>
  </si>
  <si>
    <t>Niger River</t>
  </si>
  <si>
    <t>Nile River</t>
  </si>
  <si>
    <t>Senegal River</t>
  </si>
  <si>
    <t>Tajo River</t>
  </si>
  <si>
    <t>Ebro River</t>
  </si>
  <si>
    <t>Garonne River</t>
  </si>
  <si>
    <t>Rh�ne River</t>
  </si>
  <si>
    <t>Loire River</t>
  </si>
  <si>
    <t>Seine River</t>
  </si>
  <si>
    <t>Po River</t>
  </si>
  <si>
    <t>Maas River</t>
  </si>
  <si>
    <t>Panaima River</t>
  </si>
  <si>
    <t>Thames River</t>
  </si>
  <si>
    <t>Weser River</t>
  </si>
  <si>
    <t>Elbe River</t>
  </si>
  <si>
    <t>Oder River</t>
  </si>
  <si>
    <t>Vistula River</t>
  </si>
  <si>
    <t>Amazon River</t>
  </si>
  <si>
    <t>Dniester River</t>
  </si>
  <si>
    <t>Dvina River</t>
  </si>
  <si>
    <t>Dniepr River</t>
  </si>
  <si>
    <t>Sakarya River</t>
  </si>
  <si>
    <t>Kizil River</t>
  </si>
  <si>
    <t>Ran River</t>
  </si>
  <si>
    <t>Saguenay River</t>
  </si>
  <si>
    <t>Donets River</t>
  </si>
  <si>
    <t>Susquehanna River</t>
  </si>
  <si>
    <t>Jordan River</t>
  </si>
  <si>
    <t>Ob River</t>
  </si>
  <si>
    <t>Irtych River</t>
  </si>
  <si>
    <t>Ienissei River</t>
  </si>
  <si>
    <t>Lake Baikal &amp; Selenga River</t>
  </si>
  <si>
    <t>Indus River</t>
  </si>
  <si>
    <t>Hudson River</t>
  </si>
  <si>
    <t>Amur River</t>
  </si>
  <si>
    <t>Yalu River</t>
  </si>
  <si>
    <t>Houang Ho River</t>
  </si>
  <si>
    <t>Yang Tse River</t>
  </si>
  <si>
    <t>Pearl River</t>
  </si>
  <si>
    <t>Mississippi &amp; Ohio Rivers</t>
  </si>
  <si>
    <t>Mahakan River</t>
  </si>
  <si>
    <t>Kahajan River</t>
  </si>
  <si>
    <t>Dead Sea</t>
  </si>
  <si>
    <t>Lake Peipus</t>
  </si>
  <si>
    <t>Mekong River</t>
  </si>
  <si>
    <t>Fraser River</t>
  </si>
  <si>
    <t>Lake V�nern</t>
  </si>
  <si>
    <t>Lake V�ttern</t>
  </si>
  <si>
    <t>Lake Geneva</t>
  </si>
  <si>
    <t>Niagara Falls</t>
  </si>
  <si>
    <t>Great Rapid River</t>
  </si>
  <si>
    <t>Illinois River</t>
  </si>
  <si>
    <t>Alabama River</t>
  </si>
  <si>
    <t>St.Lawrence River</t>
  </si>
  <si>
    <t>Obskaja Guba</t>
  </si>
  <si>
    <t>Coast of Rhodes</t>
  </si>
  <si>
    <t>Franche Comt�</t>
  </si>
  <si>
    <t>Cheasapeake Bay</t>
  </si>
  <si>
    <t>Western Icelandic Sea</t>
  </si>
  <si>
    <t>The Kuriles</t>
  </si>
  <si>
    <t>Hawaiian Sea</t>
  </si>
  <si>
    <t>Galapagos Islands</t>
  </si>
  <si>
    <t>Tinian Sea</t>
  </si>
  <si>
    <t>Wake Island</t>
  </si>
  <si>
    <t>Northern Micronesia</t>
  </si>
  <si>
    <t>Yap Island</t>
  </si>
  <si>
    <t>Mariana Sea</t>
  </si>
  <si>
    <t>Micronesian Sea</t>
  </si>
  <si>
    <t>Marshall Islands</t>
  </si>
  <si>
    <t>Gilbert Islands</t>
  </si>
  <si>
    <t>Nauru Island</t>
  </si>
  <si>
    <t>Southern Indian Ocean</t>
  </si>
  <si>
    <t>P� River</t>
  </si>
  <si>
    <t>Ural River</t>
  </si>
  <si>
    <t>ID</t>
  </si>
  <si>
    <t>hex</t>
  </si>
  <si>
    <t>count</t>
  </si>
  <si>
    <t>#172f47</t>
  </si>
  <si>
    <t>#2e5e8f</t>
  </si>
  <si>
    <t>#458ed7</t>
  </si>
  <si>
    <t>#5cbd25</t>
  </si>
  <si>
    <t>#73ed6c</t>
  </si>
  <si>
    <t>#8a22b4</t>
  </si>
  <si>
    <t>#a15202</t>
  </si>
  <si>
    <t>#b8814a</t>
  </si>
  <si>
    <t>#d0b192</t>
  </si>
  <si>
    <t>#e7e0d9</t>
  </si>
  <si>
    <t>#041627</t>
  </si>
  <si>
    <t>#1b456f</t>
  </si>
  <si>
    <t>#3274b7</t>
  </si>
  <si>
    <t>#49a405</t>
  </si>
  <si>
    <t>#60d34c</t>
  </si>
  <si>
    <t>#770994</t>
  </si>
  <si>
    <t>#8f38dc</t>
  </si>
  <si>
    <t>#a6682a</t>
  </si>
  <si>
    <t>#bd9771</t>
  </si>
  <si>
    <t>#d4c7b9</t>
  </si>
  <si>
    <t>#ebf607</t>
  </si>
  <si>
    <t>#082c4f</t>
  </si>
  <si>
    <t>#1f5b97</t>
  </si>
  <si>
    <t>#368ade</t>
  </si>
  <si>
    <t>#4eba2c</t>
  </si>
  <si>
    <t>#65e974</t>
  </si>
  <si>
    <t>#7c1fbc</t>
  </si>
  <si>
    <t>#934e0a</t>
  </si>
  <si>
    <t>#aa7e51</t>
  </si>
  <si>
    <t>#c1ad99</t>
  </si>
  <si>
    <t>#d8dde1</t>
  </si>
  <si>
    <t>#ef122f</t>
  </si>
  <si>
    <t>#0d4277</t>
  </si>
  <si>
    <t>#2471be</t>
  </si>
  <si>
    <t>#3ba00c</t>
  </si>
  <si>
    <t>#52d054</t>
  </si>
  <si>
    <t>#69059c</t>
  </si>
  <si>
    <t>#8035e3</t>
  </si>
  <si>
    <t>#976431</t>
  </si>
  <si>
    <t>#ae9479</t>
  </si>
  <si>
    <t>#c6c3c1</t>
  </si>
  <si>
    <t>#ddf30f</t>
  </si>
  <si>
    <t>#f42856</t>
  </si>
  <si>
    <t>#11589e</t>
  </si>
  <si>
    <t>#2887e6</t>
  </si>
  <si>
    <t>#3fb634</t>
  </si>
  <si>
    <t>#56e67c</t>
  </si>
  <si>
    <t>#6d1bc3</t>
  </si>
  <si>
    <t>#854b11</t>
  </si>
  <si>
    <t>#9c7a59</t>
  </si>
  <si>
    <t>#b3aaa1</t>
  </si>
  <si>
    <t>#cad9e9</t>
  </si>
  <si>
    <t>#e10f36</t>
  </si>
  <si>
    <t>#f83e7e</t>
  </si>
  <si>
    <t>#156ec6</t>
  </si>
  <si>
    <t>#2c9d14</t>
  </si>
  <si>
    <t>#44cc5b</t>
  </si>
  <si>
    <t>#5b02a3</t>
  </si>
  <si>
    <t>#7231eb</t>
  </si>
  <si>
    <t>#896139</t>
  </si>
  <si>
    <t>#a09081</t>
  </si>
  <si>
    <t>#b7c0c8</t>
  </si>
  <si>
    <t>#ceef16</t>
  </si>
  <si>
    <t>#e5255e</t>
  </si>
  <si>
    <t>#0254a6</t>
  </si>
  <si>
    <t>#1a84ee</t>
  </si>
  <si>
    <t>#31b33b</t>
  </si>
  <si>
    <t>#48e383</t>
  </si>
  <si>
    <t>#5f18cb</t>
  </si>
  <si>
    <t>#764719</t>
  </si>
  <si>
    <t>#8d7761</t>
  </si>
  <si>
    <t>#a4a6a8</t>
  </si>
  <si>
    <t>#bbd6f0</t>
  </si>
  <si>
    <t>#d30b3e</t>
  </si>
  <si>
    <t>#ea3b86</t>
  </si>
  <si>
    <t>#076acd</t>
  </si>
  <si>
    <t>#1e9a1b</t>
  </si>
  <si>
    <t>#35c963</t>
  </si>
  <si>
    <t>#4cf9ab</t>
  </si>
  <si>
    <t>#632ef3</t>
  </si>
  <si>
    <t>#7a5d40</t>
  </si>
  <si>
    <t>#928d88</t>
  </si>
  <si>
    <t>#a9bcd0</t>
  </si>
  <si>
    <t>#c0ec1e</t>
  </si>
  <si>
    <t>#d72166</t>
  </si>
  <si>
    <t>#ee51ad</t>
  </si>
  <si>
    <t>#0b80f5</t>
  </si>
  <si>
    <t>#22b043</t>
  </si>
  <si>
    <t>#39df8b</t>
  </si>
  <si>
    <t>#5115d3</t>
  </si>
  <si>
    <t>#684420</t>
  </si>
  <si>
    <t>#7f7368</t>
  </si>
  <si>
    <t>#96a3b0</t>
  </si>
  <si>
    <t>#add2f8</t>
  </si>
  <si>
    <t>#c40845</t>
  </si>
  <si>
    <t>#db378d</t>
  </si>
  <si>
    <t>#f267d5</t>
  </si>
  <si>
    <t>#109623</t>
  </si>
  <si>
    <t>#27c66b</t>
  </si>
  <si>
    <t>#3ef5b2</t>
  </si>
  <si>
    <t>#552b00</t>
  </si>
  <si>
    <t>#6c5a48</t>
  </si>
  <si>
    <t>#838990</t>
  </si>
  <si>
    <t>#9ab9d8</t>
  </si>
  <si>
    <t>#b1e825</t>
  </si>
  <si>
    <t>#c91e6d</t>
  </si>
  <si>
    <t>#e04db5</t>
  </si>
  <si>
    <t>#f77d03</t>
  </si>
  <si>
    <t>#14ac4b</t>
  </si>
  <si>
    <t>#2bdc92</t>
  </si>
  <si>
    <t>#4211da</t>
  </si>
  <si>
    <t>#594128</t>
  </si>
  <si>
    <t>#707070</t>
  </si>
  <si>
    <t>#889fb7</t>
  </si>
  <si>
    <t>#9fcf05</t>
  </si>
  <si>
    <t>#b6044d</t>
  </si>
  <si>
    <t>#cd3495</t>
  </si>
  <si>
    <t>#e463dd</t>
  </si>
  <si>
    <t>#01932a</t>
  </si>
  <si>
    <t>#18c272</t>
  </si>
  <si>
    <t>#2ff2ba</t>
  </si>
  <si>
    <t>#472708</t>
  </si>
  <si>
    <t>#5e5750</t>
  </si>
  <si>
    <t>#758697</t>
  </si>
  <si>
    <t>#8cb6df</t>
  </si>
  <si>
    <t>#a3e52d</t>
  </si>
  <si>
    <t>#ba1a75</t>
  </si>
  <si>
    <t>#d14abc</t>
  </si>
  <si>
    <t>#e8790a</t>
  </si>
  <si>
    <t>#05a952</t>
  </si>
  <si>
    <t>#1dd89a</t>
  </si>
  <si>
    <t>#340ee2</t>
  </si>
  <si>
    <t>#4b3d2f</t>
  </si>
  <si>
    <t>#626d77</t>
  </si>
  <si>
    <t>#799cbf</t>
  </si>
  <si>
    <t>#90cc0d</t>
  </si>
  <si>
    <t>#a70155</t>
  </si>
  <si>
    <t>#be309c</t>
  </si>
  <si>
    <t>#d660e4</t>
  </si>
  <si>
    <t>#ed8f32</t>
  </si>
  <si>
    <t>#0abf7a</t>
  </si>
  <si>
    <t>#21eec2</t>
  </si>
  <si>
    <t>#38240f</t>
  </si>
  <si>
    <t>#4f5357</t>
  </si>
  <si>
    <t>#66839f</t>
  </si>
  <si>
    <t>#7db2e7</t>
  </si>
  <si>
    <t>#95e234</t>
  </si>
  <si>
    <t>#ac177c</t>
  </si>
  <si>
    <t>#c346c4</t>
  </si>
  <si>
    <t>#da7612</t>
  </si>
  <si>
    <t>#f1a55a</t>
  </si>
  <si>
    <t>#0ed5a1</t>
  </si>
  <si>
    <t>#250ae9</t>
  </si>
  <si>
    <t>#3c3a37</t>
  </si>
  <si>
    <t>#54697f</t>
  </si>
  <si>
    <t>#6b99c7</t>
  </si>
  <si>
    <t>#82c814</t>
  </si>
  <si>
    <t>#99f85c</t>
  </si>
  <si>
    <t>#b02da4</t>
  </si>
  <si>
    <t>#c75cec</t>
  </si>
  <si>
    <t>#de8c3a</t>
  </si>
  <si>
    <t>#f5bb81</t>
  </si>
  <si>
    <t>#13ebc9</t>
  </si>
  <si>
    <t>#2a2017</t>
  </si>
  <si>
    <t>#41505f</t>
  </si>
  <si>
    <t>#587fa6</t>
  </si>
  <si>
    <t>#6fafee</t>
  </si>
  <si>
    <t>#86de3c</t>
  </si>
  <si>
    <t>#9d1484</t>
  </si>
  <si>
    <t>#b443cc</t>
  </si>
  <si>
    <t>#cc7219</t>
  </si>
  <si>
    <t>#e3a261</t>
  </si>
  <si>
    <t>#00d1a9</t>
  </si>
  <si>
    <t>#1707f1</t>
  </si>
  <si>
    <t>#2e363f</t>
  </si>
  <si>
    <t>#456686</t>
  </si>
  <si>
    <t>#5c95ce</t>
  </si>
  <si>
    <t>#73c51c</t>
  </si>
  <si>
    <t>#8bf464</t>
  </si>
  <si>
    <t>#a22aac</t>
  </si>
  <si>
    <t>#b959f3</t>
  </si>
  <si>
    <t>#d08841</t>
  </si>
  <si>
    <t>#e7b889</t>
  </si>
  <si>
    <t>#04e7d1</t>
  </si>
  <si>
    <t>#1b1d1e</t>
  </si>
  <si>
    <t>#324c66</t>
  </si>
  <si>
    <t>#4a7cae</t>
  </si>
  <si>
    <t>#61abf6</t>
  </si>
  <si>
    <t>#78db44</t>
  </si>
  <si>
    <t>#8f108b</t>
  </si>
  <si>
    <t>#a640d3</t>
  </si>
  <si>
    <t>#bd6f21</t>
  </si>
  <si>
    <t>#d49f69</t>
  </si>
  <si>
    <t>#ebceb1</t>
  </si>
  <si>
    <t>#0803f8</t>
  </si>
  <si>
    <t>#203346</t>
  </si>
  <si>
    <t>#37628e</t>
  </si>
  <si>
    <t>#4e92d6</t>
  </si>
  <si>
    <t>#65c124</t>
  </si>
  <si>
    <t>#7cf16b</t>
  </si>
  <si>
    <t>#9326b3</t>
  </si>
  <si>
    <t>#aa5601</t>
  </si>
  <si>
    <t>#c18549</t>
  </si>
  <si>
    <t>#d9b590</t>
  </si>
  <si>
    <t>#f0e4d8</t>
  </si>
  <si>
    <t>#0d1926</t>
  </si>
  <si>
    <t>#24496e</t>
  </si>
  <si>
    <t>#3b78b6</t>
  </si>
  <si>
    <t>#52a803</t>
  </si>
  <si>
    <t>#69d74b</t>
  </si>
  <si>
    <t>#800d93</t>
  </si>
  <si>
    <t>#983cdb</t>
  </si>
  <si>
    <t>#af6c29</t>
  </si>
  <si>
    <t>#c69b70</t>
  </si>
  <si>
    <t>#ddcbb8</t>
  </si>
  <si>
    <t>#f40006</t>
  </si>
  <si>
    <t>#112f4e</t>
  </si>
  <si>
    <t>#285f96</t>
  </si>
  <si>
    <t>#3f8edd</t>
  </si>
  <si>
    <t>#57be2b</t>
  </si>
  <si>
    <t>#6eed73</t>
  </si>
  <si>
    <t>#8523bb</t>
  </si>
  <si>
    <t>#9c5208</t>
  </si>
  <si>
    <t>#b38250</t>
  </si>
  <si>
    <t>#cab198</t>
  </si>
  <si>
    <t>#e1e1e0</t>
  </si>
  <si>
    <t>#f8162e</t>
  </si>
  <si>
    <t>#164575</t>
  </si>
  <si>
    <t>#2d75bd</t>
  </si>
  <si>
    <t>#44a40b</t>
  </si>
  <si>
    <t>#5bd453</t>
  </si>
  <si>
    <t>#72099b</t>
  </si>
  <si>
    <t>#8939e2</t>
  </si>
  <si>
    <t>#a06830</t>
  </si>
  <si>
    <t>#b79878</t>
  </si>
  <si>
    <t>#cfc7c0</t>
  </si>
  <si>
    <t>#e6f70d</t>
  </si>
  <si>
    <t>#032c55</t>
  </si>
  <si>
    <t>#1a5b9d</t>
  </si>
  <si>
    <t>#318be5</t>
  </si>
  <si>
    <t>#48ba33</t>
  </si>
  <si>
    <t>#5fea7a</t>
  </si>
  <si>
    <t>#761fc2</t>
  </si>
  <si>
    <t>#8e4f10</t>
  </si>
  <si>
    <t>#a57e58</t>
  </si>
  <si>
    <t>#bcaea0</t>
  </si>
  <si>
    <t>#d3dde7</t>
  </si>
  <si>
    <t>#ea1335</t>
  </si>
  <si>
    <t>#07427d</t>
  </si>
  <si>
    <t>#1e72c5</t>
  </si>
  <si>
    <t>#35a113</t>
  </si>
  <si>
    <t>#4cd05a</t>
  </si>
  <si>
    <t>#6406a2</t>
  </si>
  <si>
    <t>#7b35ea</t>
  </si>
  <si>
    <t>#926538</t>
  </si>
  <si>
    <t>#a9947f</t>
  </si>
  <si>
    <t>#c0c4c7</t>
  </si>
  <si>
    <t>#d7f315</t>
  </si>
  <si>
    <t>#ee295d</t>
  </si>
  <si>
    <t>#0b58a5</t>
  </si>
  <si>
    <t>#2388ec</t>
  </si>
  <si>
    <t>#3ab73a</t>
  </si>
  <si>
    <t>#51e682</t>
  </si>
  <si>
    <t>#681cca</t>
  </si>
  <si>
    <t>#7f4b18</t>
  </si>
  <si>
    <t>#967b5f</t>
  </si>
  <si>
    <t>#adaaa7</t>
  </si>
  <si>
    <t>#c4daef</t>
  </si>
  <si>
    <t>#dc0f3d</t>
  </si>
  <si>
    <t>#f33f85</t>
  </si>
  <si>
    <t>#106ecc</t>
  </si>
  <si>
    <t>#279e1a</t>
  </si>
  <si>
    <t>#3ecd62</t>
  </si>
  <si>
    <t>#5502aa</t>
  </si>
  <si>
    <t>#6c32f1</t>
  </si>
  <si>
    <t>#83613f</t>
  </si>
  <si>
    <t>#9b9187</t>
  </si>
  <si>
    <t>#b2c0cf</t>
  </si>
  <si>
    <t>#c9f01d</t>
  </si>
  <si>
    <t>#e02564</t>
  </si>
  <si>
    <t>#f755ac</t>
  </si>
  <si>
    <t>#1484f4</t>
  </si>
  <si>
    <t>#2bb442</t>
  </si>
  <si>
    <t>#42e38a</t>
  </si>
  <si>
    <t>#5a18d1</t>
  </si>
  <si>
    <t>#71481f</t>
  </si>
  <si>
    <t>#887767</t>
  </si>
  <si>
    <t>#9fa7af</t>
  </si>
  <si>
    <t>#b6d6f7</t>
  </si>
  <si>
    <t>#cd0c44</t>
  </si>
  <si>
    <t>#e43b8c</t>
  </si>
  <si>
    <t>#016bd4</t>
  </si>
  <si>
    <t>#199a22</t>
  </si>
  <si>
    <t>#30ca69</t>
  </si>
  <si>
    <t>#47f9b1</t>
  </si>
  <si>
    <t>#5e2ef9</t>
  </si>
  <si>
    <t>#755e47</t>
  </si>
  <si>
    <t>#8c8d8f</t>
  </si>
  <si>
    <t>#a3bdd6</t>
  </si>
  <si>
    <t>#baec24</t>
  </si>
  <si>
    <t>#d2226c</t>
  </si>
  <si>
    <t>#e951b4</t>
  </si>
  <si>
    <t>#068102</t>
  </si>
  <si>
    <t>#1db049</t>
  </si>
  <si>
    <t>#34e091</t>
  </si>
  <si>
    <t>#4b15d9</t>
  </si>
  <si>
    <t>#624427</t>
  </si>
  <si>
    <t>#79746f</t>
  </si>
  <si>
    <t>#91a3b6</t>
  </si>
  <si>
    <t>#a8d304</t>
  </si>
  <si>
    <t>#bf084c</t>
  </si>
  <si>
    <t>#d63894</t>
  </si>
  <si>
    <t>#ed67db</t>
  </si>
  <si>
    <t>#0a9729</t>
  </si>
  <si>
    <t>#21c671</t>
  </si>
  <si>
    <t>#38f6b9</t>
  </si>
  <si>
    <t>#4f2b07</t>
  </si>
  <si>
    <t>#675b4e</t>
  </si>
  <si>
    <t>#7e8a96</t>
  </si>
  <si>
    <t>#95b9de</t>
  </si>
  <si>
    <t>#ace92c</t>
  </si>
  <si>
    <t>#c31e74</t>
  </si>
  <si>
    <t>#da4ebb</t>
  </si>
  <si>
    <t>#f17d09</t>
  </si>
  <si>
    <t>#0ead51</t>
  </si>
  <si>
    <t>#26dc99</t>
  </si>
  <si>
    <t>#3d12e1</t>
  </si>
  <si>
    <t>#54412e</t>
  </si>
  <si>
    <t>#6b7176</t>
  </si>
  <si>
    <t>#82a0be</t>
  </si>
  <si>
    <t>#99cf0c</t>
  </si>
  <si>
    <t>#b00553</t>
  </si>
  <si>
    <t>#c7349b</t>
  </si>
  <si>
    <t>#df64e3</t>
  </si>
  <si>
    <t>#f69331</t>
  </si>
  <si>
    <t>#13c379</t>
  </si>
  <si>
    <t>#2af2c0</t>
  </si>
  <si>
    <t>#41280e</t>
  </si>
  <si>
    <t>#585756</t>
  </si>
  <si>
    <t>#6f879e</t>
  </si>
  <si>
    <t>#86b6e6</t>
  </si>
  <si>
    <t>#9ee533</t>
  </si>
  <si>
    <t>#b51b7b</t>
  </si>
  <si>
    <t>#cc4ac3</t>
  </si>
  <si>
    <t>#e37a11</t>
  </si>
  <si>
    <t>#00a958</t>
  </si>
  <si>
    <t>#17d9a0</t>
  </si>
  <si>
    <t>#2e0ee8</t>
  </si>
  <si>
    <t>#453e36</t>
  </si>
  <si>
    <t>#5d6d7e</t>
  </si>
  <si>
    <t>#749dc5</t>
  </si>
  <si>
    <t>#8bcc13</t>
  </si>
  <si>
    <t>#a2015b</t>
  </si>
  <si>
    <t>#b931a3</t>
  </si>
  <si>
    <t>#d060eb</t>
  </si>
  <si>
    <t>#e79038</t>
  </si>
  <si>
    <t>#04bf80</t>
  </si>
  <si>
    <t>#1cefc8</t>
  </si>
  <si>
    <t>#332416</t>
  </si>
  <si>
    <t>#4a545e</t>
  </si>
  <si>
    <t>#6183a5</t>
  </si>
  <si>
    <t>#78b3ed</t>
  </si>
  <si>
    <t>#8fe23b</t>
  </si>
  <si>
    <t>#a61783</t>
  </si>
  <si>
    <t>#bd47ca</t>
  </si>
  <si>
    <t>#d57618</t>
  </si>
  <si>
    <t>#eca660</t>
  </si>
  <si>
    <t>#09d5a8</t>
  </si>
  <si>
    <t>#200bf0</t>
  </si>
  <si>
    <t>#373a3d</t>
  </si>
  <si>
    <t>#4e6a85</t>
  </si>
  <si>
    <t>#6599cd</t>
  </si>
  <si>
    <t>#7cc91b</t>
  </si>
  <si>
    <t>#94f863</t>
  </si>
  <si>
    <t>#ab2eaa</t>
  </si>
  <si>
    <t>#c25df2</t>
  </si>
  <si>
    <t>#d98c40</t>
  </si>
  <si>
    <t>#f0bc88</t>
  </si>
  <si>
    <t>#0debd0</t>
  </si>
  <si>
    <t>#24211d</t>
  </si>
  <si>
    <t>#3b5065</t>
  </si>
  <si>
    <t>#5280ad</t>
  </si>
  <si>
    <t>#6aaff5</t>
  </si>
  <si>
    <t>#81df42</t>
  </si>
  <si>
    <t>#98148a</t>
  </si>
  <si>
    <t>#af44d2</t>
  </si>
  <si>
    <t>#c67320</t>
  </si>
  <si>
    <t>#dda268</t>
  </si>
  <si>
    <t>#f4d2af</t>
  </si>
  <si>
    <t>#1107f7</t>
  </si>
  <si>
    <t>#293745</t>
  </si>
  <si>
    <t>#40668d</t>
  </si>
  <si>
    <t>#5796d5</t>
  </si>
  <si>
    <t>#6ec522</t>
  </si>
  <si>
    <t>#85f56a</t>
  </si>
  <si>
    <t>#9c2ab2</t>
  </si>
  <si>
    <t>#b35a00</t>
  </si>
  <si>
    <t>#ca8948</t>
  </si>
  <si>
    <t>#e2b88f</t>
  </si>
  <si>
    <t>#f9e8d7</t>
  </si>
  <si>
    <t>#161d25</t>
  </si>
  <si>
    <t>#2d4d6d</t>
  </si>
  <si>
    <t>#447cb4</t>
  </si>
  <si>
    <t>#5bac02</t>
  </si>
  <si>
    <t>#72db4a</t>
  </si>
  <si>
    <t>#891192</t>
  </si>
  <si>
    <t>#a140da</t>
  </si>
  <si>
    <t>#b87027</t>
  </si>
  <si>
    <t>#cf9f6f</t>
  </si>
  <si>
    <t>#e6ceb7</t>
  </si>
  <si>
    <t>#030405</t>
  </si>
  <si>
    <t>#1a334d</t>
  </si>
  <si>
    <t>#316394</t>
  </si>
  <si>
    <t>#4892dc</t>
  </si>
  <si>
    <t>#60c22a</t>
  </si>
  <si>
    <t>#77f172</t>
  </si>
  <si>
    <t>#8e27ba</t>
  </si>
  <si>
    <t>#a55607</t>
  </si>
  <si>
    <t>#bc864f</t>
  </si>
  <si>
    <t>#d3b597</t>
  </si>
  <si>
    <t>#eae4df</t>
  </si>
  <si>
    <t>#071a2c</t>
  </si>
  <si>
    <t>#1f4974</t>
  </si>
  <si>
    <t>#3679bc</t>
  </si>
  <si>
    <t>#4da80a</t>
  </si>
  <si>
    <t>#64d852</t>
  </si>
  <si>
    <t>#7b0d99</t>
  </si>
  <si>
    <t>#923de1</t>
  </si>
  <si>
    <t>#a96c2f</t>
  </si>
  <si>
    <t>#c09c77</t>
  </si>
  <si>
    <t>#d8cbbf</t>
  </si>
  <si>
    <t>#ef000c</t>
  </si>
  <si>
    <t>#0c3054</t>
  </si>
  <si>
    <t>#235f9c</t>
  </si>
  <si>
    <t>#3a8fe4</t>
  </si>
  <si>
    <t>#51be32</t>
  </si>
  <si>
    <t>#68ee79</t>
  </si>
  <si>
    <t>#7f23c1</t>
  </si>
  <si>
    <t>#96530f</t>
  </si>
  <si>
    <t>#ae8257</t>
  </si>
  <si>
    <t>#c5b29e</t>
  </si>
  <si>
    <t>#dce1e6</t>
  </si>
  <si>
    <t>#f31734</t>
  </si>
  <si>
    <t>#10467c</t>
  </si>
  <si>
    <t>#2775c4</t>
  </si>
  <si>
    <t>#3ea511</t>
  </si>
  <si>
    <t>#55d459</t>
  </si>
  <si>
    <t>#6d0aa1</t>
  </si>
  <si>
    <t>#8439e9</t>
  </si>
  <si>
    <t>#9b6937</t>
  </si>
  <si>
    <t>#b2987e</t>
  </si>
  <si>
    <t>#c9c8c6</t>
  </si>
  <si>
    <t>#e0f714</t>
  </si>
  <si>
    <t>#f72d5c</t>
  </si>
  <si>
    <t>#145ca3</t>
  </si>
  <si>
    <t>#2c8beb</t>
  </si>
  <si>
    <t>#43bb39</t>
  </si>
  <si>
    <t>#5aea81</t>
  </si>
  <si>
    <t>#7120c9</t>
  </si>
  <si>
    <t>#884f16</t>
  </si>
  <si>
    <t>#9f7f5e</t>
  </si>
  <si>
    <t>#b6aea6</t>
  </si>
  <si>
    <t>#cddeee</t>
  </si>
  <si>
    <t>#e5133c</t>
  </si>
  <si>
    <t>#024383</t>
  </si>
  <si>
    <t>#1972cb</t>
  </si>
  <si>
    <t>#30a119</t>
  </si>
  <si>
    <t>#47d161</t>
  </si>
  <si>
    <t>#5e06a9</t>
  </si>
  <si>
    <t>#7536f0</t>
  </si>
  <si>
    <t>#8c653e</t>
  </si>
  <si>
    <t>#a49586</t>
  </si>
  <si>
    <t>#bbc4ce</t>
  </si>
  <si>
    <t>#d2f41b</t>
  </si>
  <si>
    <t>#e92963</t>
  </si>
  <si>
    <t>#0659ab</t>
  </si>
  <si>
    <t>#1d88f3</t>
  </si>
  <si>
    <t>#34b741</t>
  </si>
  <si>
    <t>#4be788</t>
  </si>
  <si>
    <t>#631cd0</t>
  </si>
  <si>
    <t>#7a4c1e</t>
  </si>
  <si>
    <t>#917b66</t>
  </si>
  <si>
    <t>#a8abae</t>
  </si>
  <si>
    <t>#bfdaf5</t>
  </si>
  <si>
    <t>#d61043</t>
  </si>
  <si>
    <t>#ed3f8b</t>
  </si>
  <si>
    <t>#0a6fd3</t>
  </si>
  <si>
    <t>#229e21</t>
  </si>
  <si>
    <t>#39cd68</t>
  </si>
  <si>
    <t>#5003b0</t>
  </si>
  <si>
    <t>#6732f8</t>
  </si>
  <si>
    <t>#7e6246</t>
  </si>
  <si>
    <t>#95918d</t>
  </si>
  <si>
    <t>#acc1d5</t>
  </si>
  <si>
    <t>#c3f023</t>
  </si>
  <si>
    <t>#db266b</t>
  </si>
  <si>
    <t>#f255b3</t>
  </si>
  <si>
    <t>#0f8500</t>
  </si>
  <si>
    <t>#26b448</t>
  </si>
  <si>
    <t>#3de490</t>
  </si>
  <si>
    <t>#5419d8</t>
  </si>
  <si>
    <t>#6b4826</t>
  </si>
  <si>
    <t>#82786d</t>
  </si>
  <si>
    <t>#99a7b5</t>
  </si>
  <si>
    <t>#b1d703</t>
  </si>
  <si>
    <t>#c80c4b</t>
  </si>
  <si>
    <t>#df3c93</t>
  </si>
  <si>
    <t>#f66bda</t>
  </si>
  <si>
    <t>#139b28</t>
  </si>
  <si>
    <t>#2aca70</t>
  </si>
  <si>
    <t>#4100b8</t>
  </si>
  <si>
    <t>#582f05</t>
  </si>
  <si>
    <t>#705e4d</t>
  </si>
  <si>
    <t>#878e95</t>
  </si>
  <si>
    <t>#9ebddd</t>
  </si>
  <si>
    <t>#b5ed2b</t>
  </si>
  <si>
    <t>#cc2272</t>
  </si>
  <si>
    <t>#e352ba</t>
  </si>
  <si>
    <t>#008108</t>
  </si>
  <si>
    <t>#17b150</t>
  </si>
  <si>
    <t>#2fe098</t>
  </si>
  <si>
    <t>#4616df</t>
  </si>
  <si>
    <t>#5d452d</t>
  </si>
  <si>
    <t>#747475</t>
  </si>
  <si>
    <t>#8ba4bd</t>
  </si>
  <si>
    <t>#a2d30b</t>
  </si>
  <si>
    <t>#b90952</t>
  </si>
  <si>
    <t>#d0389a</t>
  </si>
  <si>
    <t>#e868e2</t>
  </si>
  <si>
    <t>#059730</t>
  </si>
  <si>
    <t>#1cc777</t>
  </si>
  <si>
    <t>#33f6bf</t>
  </si>
  <si>
    <t>#4a2c0d</t>
  </si>
  <si>
    <t>#615b55</t>
  </si>
  <si>
    <t>#788a9d</t>
  </si>
  <si>
    <t>#8fbae4</t>
  </si>
  <si>
    <t>#a7e932</t>
  </si>
  <si>
    <t>#be1f7a</t>
  </si>
  <si>
    <t>#d54ec2</t>
  </si>
  <si>
    <t>#ec7e10</t>
  </si>
  <si>
    <t>#09ad57</t>
  </si>
  <si>
    <t>#20dd9f</t>
  </si>
  <si>
    <t>#3712e7</t>
  </si>
  <si>
    <t>#4e4235</t>
  </si>
  <si>
    <t>#66717d</t>
  </si>
  <si>
    <t>#7da0c4</t>
  </si>
  <si>
    <t>#94d012</t>
  </si>
  <si>
    <t>#ab055a</t>
  </si>
  <si>
    <t>#c235a2</t>
  </si>
  <si>
    <t>#d964e9</t>
  </si>
  <si>
    <t>#f09437</t>
  </si>
  <si>
    <t>#0dc37f</t>
  </si>
  <si>
    <t>#25f3c7</t>
  </si>
  <si>
    <t>#3c2815</t>
  </si>
  <si>
    <t>#53585c</t>
  </si>
  <si>
    <t>#6a87a4</t>
  </si>
  <si>
    <t>#81b6ec</t>
  </si>
  <si>
    <t>#98e63a</t>
  </si>
  <si>
    <t>#af1b82</t>
  </si>
  <si>
    <t>#c64bc9</t>
  </si>
  <si>
    <t>#de7a17</t>
  </si>
  <si>
    <t>#f5aa5f</t>
  </si>
  <si>
    <t>#12d9a7</t>
  </si>
  <si>
    <t>#290fee</t>
  </si>
  <si>
    <t>#403e3c</t>
  </si>
  <si>
    <t>#576e84</t>
  </si>
  <si>
    <t>#6e9dcc</t>
  </si>
  <si>
    <t>#85cd1a</t>
  </si>
  <si>
    <t>#9c0261</t>
  </si>
  <si>
    <t>#b431a9</t>
  </si>
  <si>
    <t>#cb61f1</t>
  </si>
  <si>
    <t>#e2903f</t>
  </si>
  <si>
    <t>#f9c087</t>
  </si>
  <si>
    <t>#16efce</t>
  </si>
  <si>
    <t>#2d251c</t>
  </si>
  <si>
    <t>#445464</t>
  </si>
  <si>
    <t>#5b84ac</t>
  </si>
  <si>
    <t>#73b3f4</t>
  </si>
  <si>
    <t>#8ae341</t>
  </si>
  <si>
    <t>#a11889</t>
  </si>
  <si>
    <t>#b847d1</t>
  </si>
  <si>
    <t>#cf771f</t>
  </si>
  <si>
    <t>#e6a666</t>
  </si>
  <si>
    <t>#03d6ae</t>
  </si>
  <si>
    <t>#1a0bf6</t>
  </si>
  <si>
    <t>#323b44</t>
  </si>
  <si>
    <t>#496a8c</t>
  </si>
  <si>
    <t>#609ad3</t>
  </si>
  <si>
    <t>#77c921</t>
  </si>
  <si>
    <t>#8ef969</t>
  </si>
  <si>
    <t>#a52eb1</t>
  </si>
  <si>
    <t>#bc5df9</t>
  </si>
  <si>
    <t>#d38d46</t>
  </si>
  <si>
    <t>#ebbc8e</t>
  </si>
  <si>
    <t>#08ecd6</t>
  </si>
  <si>
    <t>#1f2124</t>
  </si>
  <si>
    <t>#36516c</t>
  </si>
  <si>
    <t>#4d80b3</t>
  </si>
  <si>
    <t>#64b001</t>
  </si>
  <si>
    <t>#7bdf49</t>
  </si>
  <si>
    <t>#921591</t>
  </si>
  <si>
    <t>#aa44d8</t>
  </si>
  <si>
    <t>#c17326</t>
  </si>
  <si>
    <t>#d8a36e</t>
  </si>
  <si>
    <t>#efd2b6</t>
  </si>
  <si>
    <t>#0c0804</t>
  </si>
  <si>
    <t>#23374b</t>
  </si>
  <si>
    <t>#3a6793</t>
  </si>
  <si>
    <t>#5196db</t>
  </si>
  <si>
    <t>#69c629</t>
  </si>
  <si>
    <t>#80f571</t>
  </si>
  <si>
    <t>#972bb8</t>
  </si>
  <si>
    <t>#ae5a06</t>
  </si>
  <si>
    <t>#c5894e</t>
  </si>
  <si>
    <t>#dcb996</t>
  </si>
  <si>
    <t>#f3e8de</t>
  </si>
  <si>
    <t>#101e2b</t>
  </si>
  <si>
    <t>#284d73</t>
  </si>
  <si>
    <t>#3f7dbb</t>
  </si>
  <si>
    <t>#56ac09</t>
  </si>
  <si>
    <t>#6ddc50</t>
  </si>
  <si>
    <t>#841198</t>
  </si>
  <si>
    <t>#9b41e0</t>
  </si>
  <si>
    <t>#b2702e</t>
  </si>
  <si>
    <t>#c9a076</t>
  </si>
  <si>
    <t>#e0cfbd</t>
  </si>
  <si>
    <t>#f8040b</t>
  </si>
  <si>
    <t>#153453</t>
  </si>
  <si>
    <t>#2c639b</t>
  </si>
  <si>
    <t>#4393e3</t>
  </si>
  <si>
    <t>#5ac230</t>
  </si>
  <si>
    <t>#71f278</t>
  </si>
  <si>
    <t>#8827c0</t>
  </si>
  <si>
    <t>#9f570e</t>
  </si>
  <si>
    <t>#b78656</t>
  </si>
  <si>
    <t>#ceb69d</t>
  </si>
  <si>
    <t>#e5e5e5</t>
  </si>
  <si>
    <t>#021a33</t>
  </si>
  <si>
    <t>#194a7b</t>
  </si>
  <si>
    <t>#3079c2</t>
  </si>
  <si>
    <t>#47a910</t>
  </si>
  <si>
    <t>#5ed858</t>
  </si>
  <si>
    <t>#760ea0</t>
  </si>
  <si>
    <t>#8d3de8</t>
  </si>
  <si>
    <t>#a46d35</t>
  </si>
  <si>
    <t>#bb9c7d</t>
  </si>
  <si>
    <t>#d2ccc5</t>
  </si>
  <si>
    <t>#e90113</t>
  </si>
  <si>
    <t>#06305b</t>
  </si>
  <si>
    <t>#1d60a2</t>
  </si>
  <si>
    <t>#358fea</t>
  </si>
  <si>
    <t>#4cbf38</t>
  </si>
  <si>
    <t>#63ee80</t>
  </si>
  <si>
    <t>#7a24c8</t>
  </si>
  <si>
    <t>#915315</t>
  </si>
  <si>
    <t>#a8835d</t>
  </si>
  <si>
    <t>#bfb2a5</t>
  </si>
  <si>
    <t>#d6e2ed</t>
  </si>
  <si>
    <t>#ee173a</t>
  </si>
  <si>
    <t>#0b4682</t>
  </si>
  <si>
    <t>#2276ca</t>
  </si>
  <si>
    <t>#39a518</t>
  </si>
  <si>
    <t>#50d560</t>
  </si>
  <si>
    <t>#670aa7</t>
  </si>
  <si>
    <t>#7e3aef</t>
  </si>
  <si>
    <t>#95693d</t>
  </si>
  <si>
    <t>#ad9985</t>
  </si>
  <si>
    <t>#c4c8cd</t>
  </si>
  <si>
    <t>#dbf81a</t>
  </si>
  <si>
    <t>#f22d62</t>
  </si>
  <si>
    <t>#0f5caa</t>
  </si>
  <si>
    <t>#268cf2</t>
  </si>
  <si>
    <t>#3dbb3f</t>
  </si>
  <si>
    <t>#54eb87</t>
  </si>
  <si>
    <t>#6c20cf</t>
  </si>
  <si>
    <t>#83501d</t>
  </si>
  <si>
    <t>#9a7f65</t>
  </si>
  <si>
    <t>#b1afac</t>
  </si>
  <si>
    <t>#c8def4</t>
  </si>
  <si>
    <t>#df1442</t>
  </si>
  <si>
    <t>#f6438a</t>
  </si>
  <si>
    <t>#1372d2</t>
  </si>
  <si>
    <t>#2ba21f</t>
  </si>
  <si>
    <t>#42d167</t>
  </si>
  <si>
    <t>#5907af</t>
  </si>
  <si>
    <t>#7036f7</t>
  </si>
  <si>
    <t>#876645</t>
  </si>
  <si>
    <t>#9e958c</t>
  </si>
  <si>
    <t>#b5c5d4</t>
  </si>
  <si>
    <t>#ccf422</t>
  </si>
  <si>
    <t>#e32a6a</t>
  </si>
  <si>
    <t>#0159b1</t>
  </si>
  <si>
    <t>#1889f9</t>
  </si>
  <si>
    <t>#2fb847</t>
  </si>
  <si>
    <t>#46e78f</t>
  </si>
  <si>
    <t>#5d1dd7</t>
  </si>
  <si>
    <t>#744c24</t>
  </si>
  <si>
    <t>#8b7c6c</t>
  </si>
  <si>
    <t>#a2abb4</t>
  </si>
  <si>
    <t>#badb02</t>
  </si>
  <si>
    <t>#d1104a</t>
  </si>
  <si>
    <t>#e84091</t>
  </si>
  <si>
    <t>#056fd9</t>
  </si>
  <si>
    <t>#1c9f27</t>
  </si>
  <si>
    <t>#33ce6f</t>
  </si>
  <si>
    <t>#4a03b7</t>
  </si>
  <si>
    <t>#613304</t>
  </si>
  <si>
    <t>#79624c</t>
  </si>
  <si>
    <t>#909294</t>
  </si>
  <si>
    <t>#a7c1dc</t>
  </si>
  <si>
    <t>#bef129</t>
  </si>
  <si>
    <t>#d52671</t>
  </si>
  <si>
    <t>#ec56b9</t>
  </si>
  <si>
    <t>#098507</t>
  </si>
  <si>
    <t>#20b54f</t>
  </si>
  <si>
    <t>#38e496</t>
  </si>
  <si>
    <t>#4f19de</t>
  </si>
  <si>
    <t>#66492c</t>
  </si>
  <si>
    <t>#7d7874</t>
  </si>
  <si>
    <t>#94a8bc</t>
  </si>
  <si>
    <t>#abd709</t>
  </si>
  <si>
    <t>#c20d51</t>
  </si>
  <si>
    <t>#d93c99</t>
  </si>
  <si>
    <t>#f16ce1</t>
  </si>
  <si>
    <t>#0e9b2f</t>
  </si>
  <si>
    <t>#25cb76</t>
  </si>
  <si>
    <t>#3c00be</t>
  </si>
  <si>
    <t>#532f0c</t>
  </si>
  <si>
    <t>#6a5f54</t>
  </si>
  <si>
    <t>#818e9b</t>
  </si>
  <si>
    <t>#98bee3</t>
  </si>
  <si>
    <t>#b0ed31</t>
  </si>
  <si>
    <t>#c72379</t>
  </si>
  <si>
    <t>#de52c1</t>
  </si>
  <si>
    <t>#f5820e</t>
  </si>
  <si>
    <t>#12b156</t>
  </si>
  <si>
    <t>#29e19e</t>
  </si>
  <si>
    <t>#4016e6</t>
  </si>
  <si>
    <t>#574534</t>
  </si>
  <si>
    <t>#6f757b</t>
  </si>
  <si>
    <t>#86a4c3</t>
  </si>
  <si>
    <t>#9dd411</t>
  </si>
  <si>
    <t>#b40959</t>
  </si>
  <si>
    <t>#cb39a1</t>
  </si>
  <si>
    <t>#e268e8</t>
  </si>
  <si>
    <t>#f99836</t>
  </si>
  <si>
    <t>#16c77e</t>
  </si>
  <si>
    <t>#2ef7c6</t>
  </si>
  <si>
    <t>#452c13</t>
  </si>
  <si>
    <t>#5c5c5b</t>
  </si>
  <si>
    <t>#738ba3</t>
  </si>
  <si>
    <t>#8abaeb</t>
  </si>
  <si>
    <t>#a1ea39</t>
  </si>
  <si>
    <t>#b81f80</t>
  </si>
  <si>
    <t>#cf4fc8</t>
  </si>
  <si>
    <t>#e67e16</t>
  </si>
  <si>
    <t>#04ae5e</t>
  </si>
  <si>
    <t>#1bdda6</t>
  </si>
  <si>
    <t>#3213ed</t>
  </si>
  <si>
    <t>#49423b</t>
  </si>
  <si>
    <t>#607283</t>
  </si>
  <si>
    <t>#77a1cb</t>
  </si>
  <si>
    <t>#8ed019</t>
  </si>
  <si>
    <t>#a50660</t>
  </si>
  <si>
    <t>#bd35a8</t>
  </si>
  <si>
    <t>#d465f0</t>
  </si>
  <si>
    <t>#eb943e</t>
  </si>
  <si>
    <t>#08c485</t>
  </si>
  <si>
    <t>#1ff3cd</t>
  </si>
  <si>
    <t>#36291b</t>
  </si>
  <si>
    <t>#4d5863</t>
  </si>
  <si>
    <t>#6488ab</t>
  </si>
  <si>
    <t>#7cb7f2</t>
  </si>
  <si>
    <t>#93e640</t>
  </si>
  <si>
    <t>#aa1c88</t>
  </si>
  <si>
    <t>#c14bd0</t>
  </si>
  <si>
    <t>#d87b1e</t>
  </si>
  <si>
    <t>#efaa65</t>
  </si>
  <si>
    <t>#0cdaad</t>
  </si>
  <si>
    <t>#230ff5</t>
  </si>
  <si>
    <t>#3b3f43</t>
  </si>
  <si>
    <t>#526e8a</t>
  </si>
  <si>
    <t>#699ed2</t>
  </si>
  <si>
    <t>#80cd20</t>
  </si>
  <si>
    <t>#970268</t>
  </si>
  <si>
    <t>#ae32b0</t>
  </si>
  <si>
    <t>#c561f7</t>
  </si>
  <si>
    <t>#dc9145</t>
  </si>
  <si>
    <t>#f4c08d</t>
  </si>
  <si>
    <t>#11f0d5</t>
  </si>
  <si>
    <t>#282523</t>
  </si>
  <si>
    <t>#3f556a</t>
  </si>
  <si>
    <t>#5684b2</t>
  </si>
  <si>
    <t>#6db400</t>
  </si>
  <si>
    <t>#84e348</t>
  </si>
  <si>
    <t>#9b1890</t>
  </si>
  <si>
    <t>#b348d7</t>
  </si>
  <si>
    <t>#ca7725</t>
  </si>
  <si>
    <t>#e1a76d</t>
  </si>
  <si>
    <t>#f8d6b5</t>
  </si>
  <si>
    <t>#150c02</t>
  </si>
  <si>
    <t>#2c3b4a</t>
  </si>
  <si>
    <t>#436b92</t>
  </si>
  <si>
    <t>#5a9ada</t>
  </si>
  <si>
    <t>#72ca28</t>
  </si>
  <si>
    <t>#89f96f</t>
  </si>
  <si>
    <t>#a02eb7</t>
  </si>
  <si>
    <t>#b75e05</t>
  </si>
  <si>
    <t>#ce8d4d</t>
  </si>
  <si>
    <t>#e5bd95</t>
  </si>
  <si>
    <t>#02ecdc</t>
  </si>
  <si>
    <t>#19222a</t>
  </si>
  <si>
    <t>#305172</t>
  </si>
  <si>
    <t>#4881ba</t>
  </si>
  <si>
    <t>#5fb008</t>
  </si>
  <si>
    <t>#76e04f</t>
  </si>
  <si>
    <t>#8d1597</t>
  </si>
  <si>
    <t>#a445df</t>
  </si>
  <si>
    <t>#bb742d</t>
  </si>
  <si>
    <t>#d2a374</t>
  </si>
  <si>
    <t>#e9d3bc</t>
  </si>
  <si>
    <t>#07080a</t>
  </si>
  <si>
    <t>#1e3852</t>
  </si>
  <si>
    <t>#35679a</t>
  </si>
  <si>
    <t>#4c97e1</t>
  </si>
  <si>
    <t>#63c62f</t>
  </si>
  <si>
    <t>#7af677</t>
  </si>
  <si>
    <t>#912bbf</t>
  </si>
  <si>
    <t>#a85b0d</t>
  </si>
  <si>
    <t>#c08a54</t>
  </si>
  <si>
    <t>#d7b99c</t>
  </si>
  <si>
    <t>#eee9e4</t>
  </si>
  <si>
    <t>#0b1e32</t>
  </si>
  <si>
    <t>#224e7a</t>
  </si>
  <si>
    <t>#397dc1</t>
  </si>
  <si>
    <t>#50ad0f</t>
  </si>
  <si>
    <t>#67dc57</t>
  </si>
  <si>
    <t>#7f129f</t>
  </si>
  <si>
    <t>#9641e6</t>
  </si>
  <si>
    <t>#ad7134</t>
  </si>
  <si>
    <t>#c4a07c</t>
  </si>
  <si>
    <t>#dbcfc4</t>
  </si>
  <si>
    <t>#f20512</t>
  </si>
  <si>
    <t>#0f3459</t>
  </si>
  <si>
    <t>#2664a1</t>
  </si>
  <si>
    <t>#3e93e9</t>
  </si>
  <si>
    <t>#55c337</t>
  </si>
  <si>
    <t>#6cf27f</t>
  </si>
  <si>
    <t>#8328c6</t>
  </si>
  <si>
    <t>#9a5714</t>
  </si>
  <si>
    <t>#b1875c</t>
  </si>
  <si>
    <t>#c8b6a4</t>
  </si>
  <si>
    <t>#dfe5ec</t>
  </si>
  <si>
    <t>#f71b39</t>
  </si>
  <si>
    <t>#144a81</t>
  </si>
  <si>
    <t>#2b7ac9</t>
  </si>
  <si>
    <t>#42a917</t>
  </si>
  <si>
    <t>#59d95e</t>
  </si>
  <si>
    <t>#700ea6</t>
  </si>
  <si>
    <t>#873eee</t>
  </si>
  <si>
    <t>#9e6d3c</t>
  </si>
  <si>
    <t>#b69d84</t>
  </si>
  <si>
    <t>#cdcccb</t>
  </si>
  <si>
    <t>#e40119</t>
  </si>
  <si>
    <t>#013161</t>
  </si>
  <si>
    <t>#1860a9</t>
  </si>
  <si>
    <t>#2f90f1</t>
  </si>
  <si>
    <t>#46bf3e</t>
  </si>
  <si>
    <t>#5def86</t>
  </si>
  <si>
    <t>#7524ce</t>
  </si>
  <si>
    <t>#8c541c</t>
  </si>
  <si>
    <t>#a38364</t>
  </si>
  <si>
    <t>#bab3ab</t>
  </si>
  <si>
    <t>#d1e2f3</t>
  </si>
  <si>
    <t>#e81841</t>
  </si>
  <si>
    <t>#054789</t>
  </si>
  <si>
    <t>#1c76d0</t>
  </si>
  <si>
    <t>#33a61e</t>
  </si>
  <si>
    <t>#4bd566</t>
  </si>
  <si>
    <t>#620bae</t>
  </si>
  <si>
    <t>#793af6</t>
  </si>
  <si>
    <t>#906a43</t>
  </si>
  <si>
    <t>#a7998b</t>
  </si>
  <si>
    <t>#bec9d3</t>
  </si>
  <si>
    <t>#d5f821</t>
  </si>
  <si>
    <t>#ec2e69</t>
  </si>
  <si>
    <t>#0a5db0</t>
  </si>
  <si>
    <t>#218cf8</t>
  </si>
  <si>
    <t>#38bc46</t>
  </si>
  <si>
    <t>#4feb8e</t>
  </si>
  <si>
    <t>#6621d5</t>
  </si>
  <si>
    <t>#7d5023</t>
  </si>
  <si>
    <t>#94806b</t>
  </si>
  <si>
    <t>#abafb3</t>
  </si>
  <si>
    <t>#c3df01</t>
  </si>
  <si>
    <t>#da1448</t>
  </si>
  <si>
    <t>#f14490</t>
  </si>
  <si>
    <t>#0e73d8</t>
  </si>
  <si>
    <t>#25a226</t>
  </si>
  <si>
    <t>#3cd26e</t>
  </si>
  <si>
    <t>#5307b5</t>
  </si>
  <si>
    <t>#6a3703</t>
  </si>
  <si>
    <t>#82664b</t>
  </si>
  <si>
    <t>#999693</t>
  </si>
  <si>
    <t>#b0c5db</t>
  </si>
  <si>
    <t>#c7f528</t>
  </si>
  <si>
    <t>#de2a70</t>
  </si>
  <si>
    <t>#f55ab8</t>
  </si>
  <si>
    <t>#128906</t>
  </si>
  <si>
    <t>#29b84d</t>
  </si>
  <si>
    <t>#41e895</t>
  </si>
  <si>
    <t>#581ddd</t>
  </si>
  <si>
    <t>#6f4d2b</t>
  </si>
  <si>
    <t>#867c73</t>
  </si>
  <si>
    <t>#9dacba</t>
  </si>
  <si>
    <t>#b4db08</t>
  </si>
  <si>
    <t>#cb1150</t>
  </si>
  <si>
    <t>#e24098</t>
  </si>
  <si>
    <t>#0070e0</t>
  </si>
  <si>
    <t>#179f2d</t>
  </si>
  <si>
    <t>#2ece75</t>
  </si>
  <si>
    <t>#4504bd</t>
  </si>
  <si>
    <t>#5c330b</t>
  </si>
  <si>
    <t>#736353</t>
  </si>
  <si>
    <t>#8a929a</t>
  </si>
  <si>
    <t>#a1c2e2</t>
  </si>
  <si>
    <t>#b9f130</t>
  </si>
  <si>
    <t>#d02778</t>
  </si>
  <si>
    <t>#e756bf</t>
  </si>
  <si>
    <t>#04860d</t>
  </si>
  <si>
    <t>#1bb555</t>
  </si>
  <si>
    <t>#32e49d</t>
  </si>
  <si>
    <t>#491ae5</t>
  </si>
  <si>
    <t>#604932</t>
  </si>
  <si>
    <t>#78797a</t>
  </si>
  <si>
    <t>#8fa8c2</t>
  </si>
  <si>
    <t>#a6d810</t>
  </si>
  <si>
    <t>#bd0d58</t>
  </si>
  <si>
    <t>#d43d9f</t>
  </si>
  <si>
    <t>#eb6ce7</t>
  </si>
  <si>
    <t>#089c35</t>
  </si>
  <si>
    <t>#1fcb7d</t>
  </si>
  <si>
    <t>#3601c5</t>
  </si>
  <si>
    <t>#4e3012</t>
  </si>
  <si>
    <t>#655f5a</t>
  </si>
  <si>
    <t>#7c8fa2</t>
  </si>
  <si>
    <t>#93beea</t>
  </si>
  <si>
    <t>#aaee37</t>
  </si>
  <si>
    <t>#c1237f</t>
  </si>
  <si>
    <t>#d853c7</t>
  </si>
  <si>
    <t>#ef8215</t>
  </si>
  <si>
    <t>#0db25d</t>
  </si>
  <si>
    <t>#24e1a4</t>
  </si>
  <si>
    <t>#3b17ec</t>
  </si>
  <si>
    <t>#52463a</t>
  </si>
  <si>
    <t>#697582</t>
  </si>
  <si>
    <t>#80a5ca</t>
  </si>
  <si>
    <t>#97d417</t>
  </si>
  <si>
    <t>#ae0a5f</t>
  </si>
  <si>
    <t>#c639a7</t>
  </si>
  <si>
    <t>#dd69ef</t>
  </si>
  <si>
    <t>#f4983d</t>
  </si>
  <si>
    <t>#11c884</t>
  </si>
  <si>
    <t>#28f7cc</t>
  </si>
  <si>
    <t>#3f2d1a</t>
  </si>
  <si>
    <t>#565c62</t>
  </si>
  <si>
    <t>#6d8ba9</t>
  </si>
  <si>
    <t>#85bbf1</t>
  </si>
  <si>
    <t>#9cea3f</t>
  </si>
  <si>
    <t>#b32087</t>
  </si>
  <si>
    <t>#ca4fcf</t>
  </si>
  <si>
    <t>#e17f1c</t>
  </si>
  <si>
    <t>#f8ae64</t>
  </si>
  <si>
    <t>#15deac</t>
  </si>
  <si>
    <t>#2c13f4</t>
  </si>
  <si>
    <t>#444342</t>
  </si>
  <si>
    <t>#5b7289</t>
  </si>
  <si>
    <t>#72a1d1</t>
  </si>
  <si>
    <t>#89d11f</t>
  </si>
  <si>
    <t>#a00667</t>
  </si>
  <si>
    <t>#b736af</t>
  </si>
  <si>
    <t>#ce65f6</t>
  </si>
  <si>
    <t>#e59544</t>
  </si>
  <si>
    <t>#03c48c</t>
  </si>
  <si>
    <t>#1af4d4</t>
  </si>
  <si>
    <t>#312921</t>
  </si>
  <si>
    <t>#485969</t>
  </si>
  <si>
    <t>#5f88b1</t>
  </si>
  <si>
    <t>#76b7f9</t>
  </si>
  <si>
    <t>#8de747</t>
  </si>
  <si>
    <t>#a41c8e</t>
  </si>
  <si>
    <t>#bc4cd6</t>
  </si>
  <si>
    <t>#d37b24</t>
  </si>
  <si>
    <t>#eaab6c</t>
  </si>
  <si>
    <t>#07dab4</t>
  </si>
  <si>
    <t>#1e1001</t>
  </si>
  <si>
    <t>#353f49</t>
  </si>
  <si>
    <t>#4c6f91</t>
  </si>
  <si>
    <t>#639ed9</t>
  </si>
  <si>
    <t>#7bce27</t>
  </si>
  <si>
    <t>#92036e</t>
  </si>
  <si>
    <t>#a932b6</t>
  </si>
  <si>
    <t>#c06204</t>
  </si>
  <si>
    <t>#d7914c</t>
  </si>
  <si>
    <t>#eec193</t>
  </si>
  <si>
    <t>#0bf0db</t>
  </si>
  <si>
    <t>#222629</t>
  </si>
  <si>
    <t>#395571</t>
  </si>
  <si>
    <t>#5185b9</t>
  </si>
  <si>
    <t>#68b406</t>
  </si>
  <si>
    <t>#7fe44e</t>
  </si>
  <si>
    <t>#961996</t>
  </si>
  <si>
    <t>#ad48de</t>
  </si>
  <si>
    <t>#c4782c</t>
  </si>
  <si>
    <t>#dba773</t>
  </si>
  <si>
    <t>#f2d7bb</t>
  </si>
  <si>
    <t>#100c09</t>
  </si>
  <si>
    <t>#273c51</t>
  </si>
  <si>
    <t>#3e6b98</t>
  </si>
  <si>
    <t>#559be0</t>
  </si>
  <si>
    <t>#6cca2e</t>
  </si>
  <si>
    <t>#830076</t>
  </si>
  <si>
    <t>#9a2fbe</t>
  </si>
  <si>
    <t>#b15e0b</t>
  </si>
  <si>
    <t>#c98e53</t>
  </si>
  <si>
    <t>#e0bd9b</t>
  </si>
  <si>
    <t>#f7ede3</t>
  </si>
  <si>
    <t>#142231</t>
  </si>
  <si>
    <t>#2b5278</t>
  </si>
  <si>
    <t>#4281c0</t>
  </si>
  <si>
    <t>#59b10e</t>
  </si>
  <si>
    <t>#70e056</t>
  </si>
  <si>
    <t>#88169e</t>
  </si>
  <si>
    <t>#9f45e5</t>
  </si>
  <si>
    <t>#b67433</t>
  </si>
  <si>
    <t>#cda47b</t>
  </si>
  <si>
    <t>#e4d3c3</t>
  </si>
  <si>
    <t>#010910</t>
  </si>
  <si>
    <t>#183858</t>
  </si>
  <si>
    <t>#2f68a0</t>
  </si>
  <si>
    <t>#4797e8</t>
  </si>
  <si>
    <t>#5ec736</t>
  </si>
  <si>
    <t>#75f67d</t>
  </si>
  <si>
    <t>#8c2cc5</t>
  </si>
  <si>
    <t>#a35b13</t>
  </si>
  <si>
    <t>#ba8a5b</t>
  </si>
  <si>
    <t>#d1baa3</t>
  </si>
  <si>
    <t>#e8e9ea</t>
  </si>
  <si>
    <t>#061f38</t>
  </si>
  <si>
    <t>#1d4e80</t>
  </si>
  <si>
    <t>#347ec8</t>
  </si>
  <si>
    <t>#4bad16</t>
  </si>
  <si>
    <t>#62dd5d</t>
  </si>
  <si>
    <t>#7912a5</t>
  </si>
  <si>
    <t>#9042ed</t>
  </si>
  <si>
    <t>#a7713b</t>
  </si>
  <si>
    <t>#bfa082</t>
  </si>
  <si>
    <t>#d6d0ca</t>
  </si>
  <si>
    <t>#ed0518</t>
  </si>
  <si>
    <t>#0a3560</t>
  </si>
  <si>
    <t>#2164a8</t>
  </si>
  <si>
    <t>#3894ef</t>
  </si>
  <si>
    <t>#4fc33d</t>
  </si>
  <si>
    <t>#66f385</t>
  </si>
  <si>
    <t>#7d28cd</t>
  </si>
  <si>
    <t>#95581b</t>
  </si>
  <si>
    <t>#ac8762</t>
  </si>
  <si>
    <t>#c3b7aa</t>
  </si>
  <si>
    <t>#dae6f2</t>
  </si>
  <si>
    <t>#f11b40</t>
  </si>
  <si>
    <t>#0e4b88</t>
  </si>
  <si>
    <t>#257acf</t>
  </si>
  <si>
    <t>#3caa1d</t>
  </si>
  <si>
    <t>#54d965</t>
  </si>
  <si>
    <t>#6b0fad</t>
  </si>
  <si>
    <t>#823ef4</t>
  </si>
  <si>
    <t>#996e42</t>
  </si>
  <si>
    <t>#b09d8a</t>
  </si>
  <si>
    <t>#c7cdd2</t>
  </si>
  <si>
    <t>#de0220</t>
  </si>
  <si>
    <t>#f53167</t>
  </si>
  <si>
    <t>#1361af</t>
  </si>
  <si>
    <t>#2a90f7</t>
  </si>
  <si>
    <t>#41c045</t>
  </si>
  <si>
    <t>#58ef8d</t>
  </si>
  <si>
    <t>#6f25d4</t>
  </si>
  <si>
    <t>#865422</t>
  </si>
  <si>
    <t>#9d846a</t>
  </si>
  <si>
    <t>#b4b3b2</t>
  </si>
  <si>
    <t>#cce300</t>
  </si>
  <si>
    <t>#e31847</t>
  </si>
  <si>
    <t>#00478f</t>
  </si>
  <si>
    <t>#1777d7</t>
  </si>
  <si>
    <t>#2ea625</t>
  </si>
  <si>
    <t>#45d66c</t>
  </si>
  <si>
    <t>#5c0bb4</t>
  </si>
  <si>
    <t>#733b02</t>
  </si>
  <si>
    <t>#8b6a4a</t>
  </si>
  <si>
    <t>#a29a92</t>
  </si>
  <si>
    <t>#b9c9d9</t>
  </si>
  <si>
    <t>#d0f927</t>
  </si>
  <si>
    <t>#e72e6f</t>
  </si>
  <si>
    <t>#045db7</t>
  </si>
  <si>
    <t>#1b8d05</t>
  </si>
  <si>
    <t>#32bc4c</t>
  </si>
  <si>
    <t>#4aec94</t>
  </si>
  <si>
    <t>#6121dc</t>
  </si>
  <si>
    <t>#78512a</t>
  </si>
  <si>
    <t>#8f8072</t>
  </si>
  <si>
    <t>#a6b0b9</t>
  </si>
  <si>
    <t>#bddf07</t>
  </si>
  <si>
    <t>#d4154f</t>
  </si>
  <si>
    <t>#eb4497</t>
  </si>
  <si>
    <t>#0973de</t>
  </si>
  <si>
    <t>#20a32c</t>
  </si>
  <si>
    <t>#37d274</t>
  </si>
  <si>
    <t>#4e08bc</t>
  </si>
  <si>
    <t>#65370a</t>
  </si>
  <si>
    <t>#7c6751</t>
  </si>
  <si>
    <t>#939699</t>
  </si>
  <si>
    <t>#aac6e1</t>
  </si>
  <si>
    <t>#c2f52f</t>
  </si>
  <si>
    <t>#d92b77</t>
  </si>
  <si>
    <t>#f05abe</t>
  </si>
  <si>
    <t>#0d8a0c</t>
  </si>
  <si>
    <t>#24b954</t>
  </si>
  <si>
    <t>#3be89c</t>
  </si>
  <si>
    <t>#521ee3</t>
  </si>
  <si>
    <t>#694d31</t>
  </si>
  <si>
    <t>#807d79</t>
  </si>
  <si>
    <t>#98acc1</t>
  </si>
  <si>
    <t>#afdc0f</t>
  </si>
  <si>
    <t>#c61156</t>
  </si>
  <si>
    <t>#dd419e</t>
  </si>
  <si>
    <t>#f470e6</t>
  </si>
  <si>
    <t>#11a034</t>
  </si>
  <si>
    <t>#28cf7c</t>
  </si>
  <si>
    <t>#3f04c3</t>
  </si>
  <si>
    <t>#573411</t>
  </si>
  <si>
    <t>#6e6359</t>
  </si>
  <si>
    <t>#8593a1</t>
  </si>
  <si>
    <t>#9cc2e9</t>
  </si>
  <si>
    <t>#b3f236</t>
  </si>
  <si>
    <t>#ca277e</t>
  </si>
  <si>
    <t>#e157c6</t>
  </si>
  <si>
    <t>#f88614</t>
  </si>
  <si>
    <t>#16b65b</t>
  </si>
  <si>
    <t>#2de5a3</t>
  </si>
  <si>
    <t>#441aeb</t>
  </si>
  <si>
    <t>#5b4a39</t>
  </si>
  <si>
    <t>#727981</t>
  </si>
  <si>
    <t>#89a9c8</t>
  </si>
  <si>
    <t>#a0d816</t>
  </si>
  <si>
    <t>#b70e5e</t>
  </si>
  <si>
    <t>#cf3da6</t>
  </si>
  <si>
    <t>#e66dee</t>
  </si>
  <si>
    <t>#039c3b</t>
  </si>
  <si>
    <t>#1acc83</t>
  </si>
  <si>
    <t>#3101cb</t>
  </si>
  <si>
    <t>#483019</t>
  </si>
  <si>
    <t>#5f6061</t>
  </si>
  <si>
    <t>#768fa8</t>
  </si>
  <si>
    <t>#8ebff0</t>
  </si>
  <si>
    <t>#a5ee3e</t>
  </si>
  <si>
    <t>#bc2486</t>
  </si>
  <si>
    <t>#d353cd</t>
  </si>
  <si>
    <t>#ea831b</t>
  </si>
  <si>
    <t>#07b263</t>
  </si>
  <si>
    <t>#1ee2ab</t>
  </si>
  <si>
    <t>#3517f3</t>
  </si>
  <si>
    <t>#4d4640</t>
  </si>
  <si>
    <t>#647688</t>
  </si>
  <si>
    <t>#7ba5d0</t>
  </si>
  <si>
    <t>#92d51e</t>
  </si>
  <si>
    <t>#a90a66</t>
  </si>
  <si>
    <t>#c03aad</t>
  </si>
  <si>
    <t>#d769f5</t>
  </si>
  <si>
    <t>#ee9943</t>
  </si>
  <si>
    <t>#0cc88b</t>
  </si>
  <si>
    <t>#23f8d3</t>
  </si>
  <si>
    <t>#3a2d20</t>
  </si>
  <si>
    <t>#515c68</t>
  </si>
  <si>
    <t>#688cb0</t>
  </si>
  <si>
    <t>#7fbbf8</t>
  </si>
  <si>
    <t>#96eb45</t>
  </si>
  <si>
    <t>#ad208d</t>
  </si>
  <si>
    <t>#c550d5</t>
  </si>
  <si>
    <t>#dc7f23</t>
  </si>
  <si>
    <t>#f3af6b</t>
  </si>
  <si>
    <t>#10deb2</t>
  </si>
  <si>
    <t>#271400</t>
  </si>
  <si>
    <t>#3e4348</t>
  </si>
  <si>
    <t>#557390</t>
  </si>
  <si>
    <t>#6ca2d8</t>
  </si>
  <si>
    <t>#83d125</t>
  </si>
  <si>
    <t>#9b076d</t>
  </si>
  <si>
    <t>#b236b5</t>
  </si>
  <si>
    <t>#c96603</t>
  </si>
  <si>
    <t>#e0954b</t>
  </si>
  <si>
    <t>#f7c592</t>
  </si>
  <si>
    <t>#14f4da</t>
  </si>
  <si>
    <t>#2b2a28</t>
  </si>
  <si>
    <t>#425970</t>
  </si>
  <si>
    <t>#5a89b7</t>
  </si>
  <si>
    <t>#71b805</t>
  </si>
  <si>
    <t>#88e74d</t>
  </si>
  <si>
    <t>#9f1d95</t>
  </si>
  <si>
    <t>#b64cdd</t>
  </si>
  <si>
    <t>#cd7c2a</t>
  </si>
  <si>
    <t>#e4ab72</t>
  </si>
  <si>
    <t>#01dbba</t>
  </si>
  <si>
    <t>#191008</t>
  </si>
  <si>
    <t>#304050</t>
  </si>
  <si>
    <t>#476f97</t>
  </si>
  <si>
    <t>#5e9fdf</t>
  </si>
  <si>
    <t>#75ce2d</t>
  </si>
  <si>
    <t>#8c0375</t>
  </si>
  <si>
    <t>#a333bd</t>
  </si>
  <si>
    <t>#ba620a</t>
  </si>
  <si>
    <t>#d29252</t>
  </si>
  <si>
    <t>#e9c19a</t>
  </si>
  <si>
    <t>#06f1e2</t>
  </si>
  <si>
    <t>#1d262f</t>
  </si>
  <si>
    <t>#345677</t>
  </si>
  <si>
    <t>#4b85bf</t>
  </si>
  <si>
    <t>#62b50d</t>
  </si>
  <si>
    <t>#79e455</t>
  </si>
  <si>
    <t>#91199c</t>
  </si>
  <si>
    <t>#a849e4</t>
  </si>
  <si>
    <t>#bf7832</t>
  </si>
  <si>
    <t>#d6a87a</t>
  </si>
  <si>
    <t>#edd7c2</t>
  </si>
  <si>
    <t>#0a0d0f</t>
  </si>
  <si>
    <t>#213c57</t>
  </si>
  <si>
    <t>#386c9f</t>
  </si>
  <si>
    <t>#509be7</t>
  </si>
  <si>
    <t>#67cb34</t>
  </si>
  <si>
    <t>#7e007c</t>
  </si>
  <si>
    <t>#952fc4</t>
  </si>
  <si>
    <t>#ac5f12</t>
  </si>
  <si>
    <t>#c38e5a</t>
  </si>
  <si>
    <t>#dabea1</t>
  </si>
  <si>
    <t>#f1ede9</t>
  </si>
  <si>
    <t>#0f2337</t>
  </si>
  <si>
    <t>#26527f</t>
  </si>
  <si>
    <t>#3d82c7</t>
  </si>
  <si>
    <t>#54b114</t>
  </si>
  <si>
    <t>#6be15c</t>
  </si>
  <si>
    <t>#8216a4</t>
  </si>
  <si>
    <t>#9946ec</t>
  </si>
  <si>
    <t>#b0753a</t>
  </si>
  <si>
    <t>#c7a481</t>
  </si>
  <si>
    <t>#dfd4c9</t>
  </si>
  <si>
    <t>#f60917</t>
  </si>
  <si>
    <t>#13395f</t>
  </si>
  <si>
    <t>#2a68a6</t>
  </si>
  <si>
    <t>#4198ee</t>
  </si>
  <si>
    <t>#58c73c</t>
  </si>
  <si>
    <t>#6ff784</t>
  </si>
  <si>
    <t>#862ccc</t>
  </si>
  <si>
    <t>#9e5c19</t>
  </si>
  <si>
    <t>#b58b61</t>
  </si>
  <si>
    <t>#ccbaa9</t>
  </si>
  <si>
    <t>#e3eaf1</t>
  </si>
  <si>
    <t>#001f3f</t>
  </si>
  <si>
    <t>#174f86</t>
  </si>
  <si>
    <t>#2e7ece</t>
  </si>
  <si>
    <t>#45ae1c</t>
  </si>
  <si>
    <t>#5ddd64</t>
  </si>
  <si>
    <t>#7413ac</t>
  </si>
  <si>
    <t>#8b42f3</t>
  </si>
  <si>
    <t>#a27241</t>
  </si>
  <si>
    <t>#b9a189</t>
  </si>
  <si>
    <t>#d0d0d1</t>
  </si>
  <si>
    <t>#e7061e</t>
  </si>
  <si>
    <t>#043566</t>
  </si>
  <si>
    <t>#1c65ae</t>
  </si>
  <si>
    <t>#3394f6</t>
  </si>
  <si>
    <t>#4ac444</t>
  </si>
  <si>
    <t>#61f38b</t>
  </si>
  <si>
    <t>#7829d3</t>
  </si>
  <si>
    <t>#8f5821</t>
  </si>
  <si>
    <t>#a68869</t>
  </si>
  <si>
    <t>#bdb7b1</t>
  </si>
  <si>
    <t>#d5e6f8</t>
  </si>
  <si>
    <t>#ec1c46</t>
  </si>
  <si>
    <t>#094b8e</t>
  </si>
  <si>
    <t>#207bd6</t>
  </si>
  <si>
    <t>#37aa24</t>
  </si>
  <si>
    <t>#4eda6b</t>
  </si>
  <si>
    <t>#650fb3</t>
  </si>
  <si>
    <t>#7c3f01</t>
  </si>
  <si>
    <t>#946e49</t>
  </si>
  <si>
    <t>#ab9e90</t>
  </si>
  <si>
    <t>#c2cdd8</t>
  </si>
  <si>
    <t>#d90226</t>
  </si>
  <si>
    <t>#f0326e</t>
  </si>
  <si>
    <t>#0d61b6</t>
  </si>
  <si>
    <t>#249103</t>
  </si>
  <si>
    <t>#3bc04b</t>
  </si>
  <si>
    <t>#53f093</t>
  </si>
  <si>
    <t>#6a25db</t>
  </si>
  <si>
    <t>#815529</t>
  </si>
  <si>
    <t>#988470</t>
  </si>
  <si>
    <t>#afb4b8</t>
  </si>
  <si>
    <t>#c6e306</t>
  </si>
  <si>
    <t>#dd184e</t>
  </si>
  <si>
    <t>#f44896</t>
  </si>
  <si>
    <t>#1277dd</t>
  </si>
  <si>
    <t>#29a72b</t>
  </si>
  <si>
    <t>#40d673</t>
  </si>
  <si>
    <t>#570cbb</t>
  </si>
  <si>
    <t>#6e3b08</t>
  </si>
  <si>
    <t>#856b50</t>
  </si>
  <si>
    <t>#9c9a98</t>
  </si>
  <si>
    <t>#b3cae0</t>
  </si>
  <si>
    <t>#caf92e</t>
  </si>
  <si>
    <t>#e22f75</t>
  </si>
  <si>
    <t>#f95ebd</t>
  </si>
  <si>
    <t>#168d0b</t>
  </si>
  <si>
    <t>#2dbd53</t>
  </si>
  <si>
    <t>#44ec9b</t>
  </si>
  <si>
    <t>#5b22e2</t>
  </si>
  <si>
    <t>#725130</t>
  </si>
  <si>
    <t>#898178</t>
  </si>
  <si>
    <t>#a1b0c0</t>
  </si>
  <si>
    <t>#b8e00e</t>
  </si>
  <si>
    <t>#cf1555</t>
  </si>
  <si>
    <t>#e6459d</t>
  </si>
  <si>
    <t>#0374e5</t>
  </si>
  <si>
    <t>#1aa333</t>
  </si>
  <si>
    <t>#31d37a</t>
  </si>
  <si>
    <t>#4808c2</t>
  </si>
  <si>
    <t>#603810</t>
  </si>
  <si>
    <t>#776758</t>
  </si>
  <si>
    <t>#8e97a0</t>
  </si>
  <si>
    <t>#a5c6e7</t>
  </si>
  <si>
    <t>#bcf635</t>
  </si>
  <si>
    <t>#d32b7d</t>
  </si>
  <si>
    <t>#ea5bc5</t>
  </si>
  <si>
    <t>#078a13</t>
  </si>
  <si>
    <t>#1fb95a</t>
  </si>
  <si>
    <t>#36e9a2</t>
  </si>
  <si>
    <t>#4d1eea</t>
  </si>
  <si>
    <t>#644e38</t>
  </si>
  <si>
    <t>#7b7d7f</t>
  </si>
  <si>
    <t>#92adc7</t>
  </si>
  <si>
    <t>#a9dc15</t>
  </si>
  <si>
    <t>#c0125d</t>
  </si>
  <si>
    <t>#d841a5</t>
  </si>
  <si>
    <t>#ef71ec</t>
  </si>
  <si>
    <t>#0ca03a</t>
  </si>
  <si>
    <t>#23cf82</t>
  </si>
  <si>
    <t>#3a05ca</t>
  </si>
  <si>
    <t>#513418</t>
  </si>
  <si>
    <t>#68645f</t>
  </si>
  <si>
    <t>#7f93a7</t>
  </si>
  <si>
    <t>#97c3ef</t>
  </si>
  <si>
    <t>#aef23d</t>
  </si>
  <si>
    <t>#c52885</t>
  </si>
  <si>
    <t>#dc57cc</t>
  </si>
  <si>
    <t>#f3871a</t>
  </si>
  <si>
    <t>#10b662</t>
  </si>
  <si>
    <t>#27e5aa</t>
  </si>
  <si>
    <t>#3e1bf1</t>
  </si>
  <si>
    <t>#564a3f</t>
  </si>
  <si>
    <t>#6d7a87</t>
  </si>
  <si>
    <t>#84a9cf</t>
  </si>
  <si>
    <t>#9bd91d</t>
  </si>
  <si>
    <t>#b20e64</t>
  </si>
  <si>
    <t>#c93eac</t>
  </si>
  <si>
    <t>#e06df4</t>
  </si>
  <si>
    <t>#f79d42</t>
  </si>
  <si>
    <t>#15cc8a</t>
  </si>
  <si>
    <t>#2c02d1</t>
  </si>
  <si>
    <t>#43311f</t>
  </si>
  <si>
    <t>#5a6067</t>
  </si>
  <si>
    <t>#7190af</t>
  </si>
  <si>
    <t>#88bff7</t>
  </si>
  <si>
    <t>#9fef44</t>
  </si>
  <si>
    <t>#b6248c</t>
  </si>
  <si>
    <t>#cd54d4</t>
  </si>
  <si>
    <t>#e58322</t>
  </si>
  <si>
    <t>#02b369</t>
  </si>
  <si>
    <t>#19e2b1</t>
  </si>
  <si>
    <t>#3018f9</t>
  </si>
  <si>
    <t>#474747</t>
  </si>
  <si>
    <t>#5e768f</t>
  </si>
  <si>
    <t>#75a6d6</t>
  </si>
  <si>
    <t>#8cd524</t>
  </si>
  <si>
    <t>#a40b6c</t>
  </si>
  <si>
    <t>#bb3ab4</t>
  </si>
  <si>
    <t>#d26a02</t>
  </si>
  <si>
    <t>#e99949</t>
  </si>
  <si>
    <t>#06c991</t>
  </si>
  <si>
    <t>#1df8d9</t>
  </si>
  <si>
    <t>#342e27</t>
  </si>
  <si>
    <t>#4b5d6f</t>
  </si>
  <si>
    <t>#638cb6</t>
  </si>
  <si>
    <t>#7abc04</t>
  </si>
  <si>
    <t>#91eb4c</t>
  </si>
  <si>
    <t>#a82194</t>
  </si>
  <si>
    <t>#bf50db</t>
  </si>
  <si>
    <t>#d68029</t>
  </si>
  <si>
    <t>#edaf71</t>
  </si>
  <si>
    <t>#0adfb9</t>
  </si>
  <si>
    <t>#221407</t>
  </si>
  <si>
    <t>#39444e</t>
  </si>
  <si>
    <t>#507396</t>
  </si>
  <si>
    <t>#67a2de</t>
  </si>
  <si>
    <t>#7ed22c</t>
  </si>
  <si>
    <t>#950774</t>
  </si>
  <si>
    <t>#ac37bb</t>
  </si>
  <si>
    <t>#c36609</t>
  </si>
  <si>
    <t>#db9651</t>
  </si>
  <si>
    <t>#f2c599</t>
  </si>
  <si>
    <t>#0ff5e1</t>
  </si>
  <si>
    <t>#262a2e</t>
  </si>
  <si>
    <t>#3d5a76</t>
  </si>
  <si>
    <t>#5489be</t>
  </si>
  <si>
    <t>#6bb80c</t>
  </si>
  <si>
    <t>#82e853</t>
  </si>
  <si>
    <t>#9a1d9b</t>
  </si>
  <si>
    <t>#b14de3</t>
  </si>
  <si>
    <t>#c87c31</t>
  </si>
  <si>
    <t>#dfac79</t>
  </si>
  <si>
    <t>#f6dbc0</t>
  </si>
  <si>
    <t>#13110e</t>
  </si>
  <si>
    <t>#2a4056</t>
  </si>
  <si>
    <t>#41709e</t>
  </si>
  <si>
    <t>#599fe6</t>
  </si>
  <si>
    <t>#70ce33</t>
  </si>
  <si>
    <t>#87047b</t>
  </si>
  <si>
    <t>#9e33c3</t>
  </si>
  <si>
    <t>#b56311</t>
  </si>
  <si>
    <t>#cc9259</t>
  </si>
  <si>
    <t>#e3c2a0</t>
  </si>
  <si>
    <t>#00f1e8</t>
  </si>
  <si>
    <t>#172736</t>
  </si>
  <si>
    <t>#2f567e</t>
  </si>
  <si>
    <t>#4686c5</t>
  </si>
  <si>
    <t>#5db513</t>
  </si>
  <si>
    <t>#74e55b</t>
  </si>
  <si>
    <t>#8b1aa3</t>
  </si>
  <si>
    <t>#a249eb</t>
  </si>
  <si>
    <t>#b97938</t>
  </si>
  <si>
    <t>#d0a880</t>
  </si>
  <si>
    <t>#e8d8c8</t>
  </si>
  <si>
    <t>#050d16</t>
  </si>
  <si>
    <t>#1c3d5e</t>
  </si>
  <si>
    <t>#336ca5</t>
  </si>
  <si>
    <t>#4a9ced</t>
  </si>
  <si>
    <t>#61cb3b</t>
  </si>
  <si>
    <t>#780183</t>
  </si>
  <si>
    <t>#8f30ca</t>
  </si>
  <si>
    <t>#a75f18</t>
  </si>
  <si>
    <t>#be8f60</t>
  </si>
  <si>
    <t>#d5bea8</t>
  </si>
  <si>
    <t>#eceef0</t>
  </si>
  <si>
    <t>#09233d</t>
  </si>
  <si>
    <t>#205385</t>
  </si>
  <si>
    <t>#3782cd</t>
  </si>
  <si>
    <t>#4eb21b</t>
  </si>
  <si>
    <t>#66e163</t>
  </si>
  <si>
    <t>#7d17aa</t>
  </si>
  <si>
    <t>#9446f2</t>
  </si>
  <si>
    <t>#ab7540</t>
  </si>
  <si>
    <t>#c2a588</t>
  </si>
  <si>
    <t>#d9d4d0</t>
  </si>
  <si>
    <t>#f00a1d</t>
  </si>
  <si>
    <t>#0d3965</t>
  </si>
  <si>
    <t>#2569ad</t>
  </si>
  <si>
    <t>#3c98f5</t>
  </si>
  <si>
    <t>#53c842</t>
  </si>
  <si>
    <t>#6af78a</t>
  </si>
  <si>
    <t>#812dd2</t>
  </si>
  <si>
    <t>#985c20</t>
  </si>
  <si>
    <t>#af8b68</t>
  </si>
  <si>
    <t>#c6bbaf</t>
  </si>
  <si>
    <t>#deeaf7</t>
  </si>
  <si>
    <t>#f52045</t>
  </si>
  <si>
    <t>#124f8d</t>
  </si>
  <si>
    <t>#297fd5</t>
  </si>
  <si>
    <t>#40ae22</t>
  </si>
  <si>
    <t>#57de6a</t>
  </si>
  <si>
    <t>#6e13b2</t>
  </si>
  <si>
    <t>#854300</t>
  </si>
  <si>
    <t>#9d7248</t>
  </si>
  <si>
    <t>#b4a18f</t>
  </si>
  <si>
    <t>#cbd1d7</t>
  </si>
  <si>
    <t>#e20625</t>
  </si>
  <si>
    <t>#f9366d</t>
  </si>
  <si>
    <t>#1665b4</t>
  </si>
  <si>
    <t>#2d9502</t>
  </si>
  <si>
    <t>#44c44a</t>
  </si>
  <si>
    <t>#5cf492</t>
  </si>
  <si>
    <t>#7329da</t>
  </si>
  <si>
    <t>#8a5927</t>
  </si>
  <si>
    <t>#a1886f</t>
  </si>
  <si>
    <t>#b8b8b7</t>
  </si>
  <si>
    <t>#cfe705</t>
  </si>
  <si>
    <t>#e61c4d</t>
  </si>
  <si>
    <t>#034c94</t>
  </si>
  <si>
    <t>#1a7bdc</t>
  </si>
  <si>
    <t>#32ab2a</t>
  </si>
  <si>
    <t>#49da72</t>
  </si>
  <si>
    <t>#6010ba</t>
  </si>
  <si>
    <t>#773f07</t>
  </si>
  <si>
    <t>#8e6f4f</t>
  </si>
  <si>
    <t>#a59e97</t>
  </si>
  <si>
    <t>#bccedf</t>
  </si>
  <si>
    <t>#d3032c</t>
  </si>
  <si>
    <t>#eb3274</t>
  </si>
  <si>
    <t>#0862bc</t>
  </si>
  <si>
    <t>#1f910a</t>
  </si>
  <si>
    <t>#36c152</t>
  </si>
  <si>
    <t>#4df099</t>
  </si>
  <si>
    <t>#6426e1</t>
  </si>
  <si>
    <t>#7b552f</t>
  </si>
  <si>
    <t>#928577</t>
  </si>
  <si>
    <t>#aab4bf</t>
  </si>
  <si>
    <t>#c1e40c</t>
  </si>
  <si>
    <t>#d81954</t>
  </si>
  <si>
    <t>#ef489c</t>
  </si>
  <si>
    <t>#0c78e4</t>
  </si>
  <si>
    <t>#23a732</t>
  </si>
  <si>
    <t>#3ad779</t>
  </si>
  <si>
    <t>#510cc1</t>
  </si>
  <si>
    <t>#693c0f</t>
  </si>
  <si>
    <t>#806b57</t>
  </si>
  <si>
    <t>#979b9e</t>
  </si>
  <si>
    <t>#aecae6</t>
  </si>
  <si>
    <t>#c50034</t>
  </si>
  <si>
    <t>#dc2f7c</t>
  </si>
  <si>
    <t>#f35ec4</t>
  </si>
  <si>
    <t>#108e11</t>
  </si>
  <si>
    <t>#28bd59</t>
  </si>
  <si>
    <t>#3feda1</t>
  </si>
  <si>
    <t>#5622e9</t>
  </si>
  <si>
    <t>#6d5237</t>
  </si>
  <si>
    <t>#84817e</t>
  </si>
  <si>
    <t>#9bb1c6</t>
  </si>
  <si>
    <t>#b2e014</t>
  </si>
  <si>
    <t>#c9165c</t>
  </si>
  <si>
    <t>#e145a4</t>
  </si>
  <si>
    <t>#f874eb</t>
  </si>
  <si>
    <t>#15a439</t>
  </si>
  <si>
    <t>#2cd381</t>
  </si>
  <si>
    <t>#4309c9</t>
  </si>
  <si>
    <t>#5a3816</t>
  </si>
  <si>
    <t>#71685e</t>
  </si>
  <si>
    <t>#8897a6</t>
  </si>
  <si>
    <t>#a0c7ee</t>
  </si>
  <si>
    <t>#b7f63c</t>
  </si>
  <si>
    <t>#ce2c83</t>
  </si>
  <si>
    <t>#e55bcb</t>
  </si>
  <si>
    <t>#028a19</t>
  </si>
  <si>
    <t>#19ba61</t>
  </si>
  <si>
    <t>#30e9a9</t>
  </si>
  <si>
    <t>#471ff0</t>
  </si>
  <si>
    <t>#5f4e3e</t>
  </si>
  <si>
    <t>#767e86</t>
  </si>
  <si>
    <t>#8dadce</t>
  </si>
  <si>
    <t>#a4dd1b</t>
  </si>
  <si>
    <t>#bb1263</t>
  </si>
  <si>
    <t>#d242ab</t>
  </si>
  <si>
    <t>#e971f3</t>
  </si>
  <si>
    <t>#06a141</t>
  </si>
  <si>
    <t>#1dd088</t>
  </si>
  <si>
    <t>#3505d0</t>
  </si>
  <si>
    <t>#4c351e</t>
  </si>
  <si>
    <t>#636466</t>
  </si>
  <si>
    <t>#7a94ae</t>
  </si>
  <si>
    <t>#91c3f5</t>
  </si>
  <si>
    <t>#a8f343</t>
  </si>
  <si>
    <t>#bf288b</t>
  </si>
  <si>
    <t>#d658d3</t>
  </si>
  <si>
    <t>#ee8721</t>
  </si>
  <si>
    <t>#0bb768</t>
  </si>
  <si>
    <t>#22e6b0</t>
  </si>
  <si>
    <t>#391bf8</t>
  </si>
  <si>
    <t>#504b46</t>
  </si>
  <si>
    <t>#677a8d</t>
  </si>
  <si>
    <t>#7eaad5</t>
  </si>
  <si>
    <t>#95d923</t>
  </si>
  <si>
    <t>#ad0f6b</t>
  </si>
  <si>
    <t>#c43eb3</t>
  </si>
  <si>
    <t>#db6e00</t>
  </si>
  <si>
    <t>#f29d48</t>
  </si>
  <si>
    <t>#0fcd90</t>
  </si>
  <si>
    <t>#2602d8</t>
  </si>
  <si>
    <t>#3d3126</t>
  </si>
  <si>
    <t>#54616d</t>
  </si>
  <si>
    <t>#6c90b5</t>
  </si>
  <si>
    <t>#83c003</t>
  </si>
  <si>
    <t>#9aef4b</t>
  </si>
  <si>
    <t>#b12593</t>
  </si>
  <si>
    <t>#c854da</t>
  </si>
  <si>
    <t>#df8428</t>
  </si>
  <si>
    <t>#f6b370</t>
  </si>
  <si>
    <t>#13e3b8</t>
  </si>
  <si>
    <t>#2b1805</t>
  </si>
  <si>
    <t>#42474d</t>
  </si>
  <si>
    <t>#597795</t>
  </si>
  <si>
    <t>#70a6dd</t>
  </si>
  <si>
    <t>#87d62b</t>
  </si>
  <si>
    <t>#9e0b72</t>
  </si>
  <si>
    <t>#b53bba</t>
  </si>
  <si>
    <t>#cc6a08</t>
  </si>
  <si>
    <t>#e49a50</t>
  </si>
  <si>
    <t>#01c998</t>
  </si>
  <si>
    <t>#18f9df</t>
  </si>
  <si>
    <t>#2f2e2d</t>
  </si>
  <si>
    <t>#465d75</t>
  </si>
  <si>
    <t>#5d8dbd</t>
  </si>
  <si>
    <t>#74bc0b</t>
  </si>
  <si>
    <t>#8bec52</t>
  </si>
  <si>
    <t>#a3219a</t>
  </si>
  <si>
    <t>#ba51e2</t>
  </si>
  <si>
    <t>#d18030</t>
  </si>
  <si>
    <t>#e8b077</t>
  </si>
  <si>
    <t>#05dfbf</t>
  </si>
  <si>
    <t>#1c150d</t>
  </si>
  <si>
    <t>#334455</t>
  </si>
  <si>
    <t>#4a749d</t>
  </si>
  <si>
    <t>#61a3e4</t>
  </si>
  <si>
    <t>#79d232</t>
  </si>
  <si>
    <t>#90087a</t>
  </si>
  <si>
    <t>#a737c2</t>
  </si>
  <si>
    <t>#be6710</t>
  </si>
  <si>
    <t>#d59657</t>
  </si>
  <si>
    <t>#ecc69f</t>
  </si>
  <si>
    <t>#09f5e7</t>
  </si>
  <si>
    <t>#202b35</t>
  </si>
  <si>
    <t>#385a7d</t>
  </si>
  <si>
    <t>#4f8ac4</t>
  </si>
  <si>
    <t>#66b912</t>
  </si>
  <si>
    <t>#7de85a</t>
  </si>
  <si>
    <t>#941ea2</t>
  </si>
  <si>
    <t>#ab4de9</t>
  </si>
  <si>
    <t>#c27d37</t>
  </si>
  <si>
    <t>#d9ac7f</t>
  </si>
  <si>
    <t>#f1dcc7</t>
  </si>
  <si>
    <t>#0e1115</t>
  </si>
  <si>
    <t>#25415c</t>
  </si>
  <si>
    <t>#3c70a4</t>
  </si>
  <si>
    <t>#53a0ec</t>
  </si>
  <si>
    <t>#6acf3a</t>
  </si>
  <si>
    <t>#810482</t>
  </si>
  <si>
    <t>#9834c9</t>
  </si>
  <si>
    <t>#b06317</t>
  </si>
  <si>
    <t>#c7935f</t>
  </si>
  <si>
    <t>#dec2a7</t>
  </si>
  <si>
    <t>#f5f2ef</t>
  </si>
  <si>
    <t>#12273c</t>
  </si>
  <si>
    <t>#295784</t>
  </si>
  <si>
    <t>#4086cc</t>
  </si>
  <si>
    <t>#57b61a</t>
  </si>
  <si>
    <t>#6fe561</t>
  </si>
  <si>
    <t>#861aa9</t>
  </si>
  <si>
    <t>#9d4af1</t>
  </si>
  <si>
    <t>#b4793f</t>
  </si>
  <si>
    <t>#cba987</t>
  </si>
  <si>
    <t>#e2d8ce</t>
  </si>
  <si>
    <t>#f90e1c</t>
  </si>
  <si>
    <t>#163d64</t>
  </si>
  <si>
    <t>#2e6dac</t>
  </si>
  <si>
    <t>#459cf4</t>
  </si>
  <si>
    <t>#5ccc41</t>
  </si>
  <si>
    <t>#730189</t>
  </si>
  <si>
    <t>#8a30d1</t>
  </si>
  <si>
    <t>#a1601f</t>
  </si>
  <si>
    <t>#b88f66</t>
  </si>
  <si>
    <t>#cfbfae</t>
  </si>
  <si>
    <t>#e7eef6</t>
  </si>
  <si>
    <t>#042444</t>
  </si>
  <si>
    <t>#1b538c</t>
  </si>
  <si>
    <t>#3283d3</t>
  </si>
  <si>
    <t>#49b221</t>
  </si>
  <si>
    <t>#60e269</t>
  </si>
  <si>
    <t>#7717b1</t>
  </si>
  <si>
    <t>#8e46f9</t>
  </si>
  <si>
    <t>#a67646</t>
  </si>
  <si>
    <t>#bda58e</t>
  </si>
  <si>
    <t>#d4d5d6</t>
  </si>
  <si>
    <t>#eb0a24</t>
  </si>
  <si>
    <t>#083a6c</t>
  </si>
  <si>
    <t>#1f69b3</t>
  </si>
  <si>
    <t>#369901</t>
  </si>
  <si>
    <t>#4dc849</t>
  </si>
  <si>
    <t>#64f891</t>
  </si>
  <si>
    <t>#7c2dd8</t>
  </si>
  <si>
    <t>#935d26</t>
  </si>
  <si>
    <t>#aa8c6e</t>
  </si>
  <si>
    <t>#c1bbb6</t>
  </si>
  <si>
    <t>#d8eb04</t>
  </si>
  <si>
    <t>#ef204b</t>
  </si>
  <si>
    <t>#0c5093</t>
  </si>
  <si>
    <t>#237fdb</t>
  </si>
  <si>
    <t>#3baf29</t>
  </si>
  <si>
    <t>#52de71</t>
  </si>
  <si>
    <t>#6914b8</t>
  </si>
  <si>
    <t>#804306</t>
  </si>
  <si>
    <t>#97734e</t>
  </si>
  <si>
    <t>#aea296</t>
  </si>
  <si>
    <t>#c5d1de</t>
  </si>
  <si>
    <t>#dc072b</t>
  </si>
  <si>
    <t>#f43673</t>
  </si>
  <si>
    <t>#1166bb</t>
  </si>
  <si>
    <t>#289509</t>
  </si>
  <si>
    <t>#3fc550</t>
  </si>
  <si>
    <t>#56f498</t>
  </si>
  <si>
    <t>#6d2ae0</t>
  </si>
  <si>
    <t>#84592e</t>
  </si>
  <si>
    <t>#9b8976</t>
  </si>
  <si>
    <t>#b3b8bd</t>
  </si>
  <si>
    <t>#cae70b</t>
  </si>
  <si>
    <t>#e11d53</t>
  </si>
  <si>
    <t>#f84c9b</t>
  </si>
  <si>
    <t>#157ce3</t>
  </si>
  <si>
    <t>#2cab30</t>
  </si>
  <si>
    <t>#43db78</t>
  </si>
  <si>
    <t>#5a10c0</t>
  </si>
  <si>
    <t>#72400e</t>
  </si>
  <si>
    <t>#896f56</t>
  </si>
  <si>
    <t>#a09f9d</t>
  </si>
  <si>
    <t>#b7cee5</t>
  </si>
  <si>
    <t>#ce0333</t>
  </si>
  <si>
    <t>#e5337b</t>
  </si>
  <si>
    <t>#0262c2</t>
  </si>
  <si>
    <t>#199210</t>
  </si>
  <si>
    <t>#31c158</t>
  </si>
  <si>
    <t>#48f1a0</t>
  </si>
  <si>
    <t>#5f26e8</t>
  </si>
  <si>
    <t>#765635</t>
  </si>
  <si>
    <t>#8d857d</t>
  </si>
  <si>
    <t>#a4b5c5</t>
  </si>
  <si>
    <t>#bbe413</t>
  </si>
  <si>
    <t>#d2195b</t>
  </si>
  <si>
    <t>#ea49a2</t>
  </si>
  <si>
    <t>#0778ea</t>
  </si>
  <si>
    <t>#1ea838</t>
  </si>
  <si>
    <t>#35d780</t>
  </si>
  <si>
    <t>#4c0dc8</t>
  </si>
  <si>
    <t>#633c15</t>
  </si>
  <si>
    <t>#7a6c5d</t>
  </si>
  <si>
    <t>#919ba5</t>
  </si>
  <si>
    <t>#a9cbed</t>
  </si>
  <si>
    <t>#c0003a</t>
  </si>
  <si>
    <t>#d73082</t>
  </si>
  <si>
    <t>#ee5fca</t>
  </si>
  <si>
    <t>#0b8e18</t>
  </si>
  <si>
    <t>#22be60</t>
  </si>
  <si>
    <t>#39eda7</t>
  </si>
  <si>
    <t>#5023ef</t>
  </si>
  <si>
    <t>#67523d</t>
  </si>
  <si>
    <t>#7f8285</t>
  </si>
  <si>
    <t>#96b1cd</t>
  </si>
  <si>
    <t>#ade11a</t>
  </si>
  <si>
    <t>#c41662</t>
  </si>
  <si>
    <t>#db46aa</t>
  </si>
  <si>
    <t>#f275f2</t>
  </si>
  <si>
    <t>#0fa440</t>
  </si>
  <si>
    <t>#26d487</t>
  </si>
  <si>
    <t>#3e09cf</t>
  </si>
  <si>
    <t>#55391d</t>
  </si>
  <si>
    <t>#6c6865</t>
  </si>
  <si>
    <t>#8398ac</t>
  </si>
  <si>
    <t>#9ac7f4</t>
  </si>
  <si>
    <t>#b1f742</t>
  </si>
  <si>
    <t>#c82c8a</t>
  </si>
  <si>
    <t>#df5cd2</t>
  </si>
  <si>
    <t>#f78b1f</t>
  </si>
  <si>
    <t>#14ba67</t>
  </si>
  <si>
    <t>#2beaaf</t>
  </si>
  <si>
    <t>#421ff7</t>
  </si>
  <si>
    <t>#594f45</t>
  </si>
  <si>
    <t>#707e8c</t>
  </si>
  <si>
    <t>#87aed4</t>
  </si>
  <si>
    <t>#9edd22</t>
  </si>
  <si>
    <t>#b6136a</t>
  </si>
  <si>
    <t>#cd42b1</t>
  </si>
  <si>
    <t>#e472f9</t>
  </si>
  <si>
    <t>#01a147</t>
  </si>
  <si>
    <t>#18d08f</t>
  </si>
  <si>
    <t>#2f06d7</t>
  </si>
  <si>
    <t>#463524</t>
  </si>
  <si>
    <t>#5d656c</t>
  </si>
  <si>
    <t>#7594b4</t>
  </si>
  <si>
    <t>#8cc402</t>
  </si>
  <si>
    <t>#a3f34a</t>
  </si>
  <si>
    <t>#ba2991</t>
  </si>
  <si>
    <t>#d158d9</t>
  </si>
  <si>
    <t>#e88827</t>
  </si>
  <si>
    <t>#05b76f</t>
  </si>
  <si>
    <t>#1ce6b7</t>
  </si>
  <si>
    <t>#341c04</t>
  </si>
  <si>
    <t>#4b4b4c</t>
  </si>
  <si>
    <t>#627b94</t>
  </si>
  <si>
    <t>#79aadc</t>
  </si>
  <si>
    <t>#90da29</t>
  </si>
  <si>
    <t>#a70f71</t>
  </si>
  <si>
    <t>#be3fb9</t>
  </si>
  <si>
    <t>#d56e07</t>
  </si>
  <si>
    <t>#ed9e4f</t>
  </si>
  <si>
    <t>#0acd96</t>
  </si>
  <si>
    <t>#2102de</t>
  </si>
  <si>
    <t>#38322c</t>
  </si>
  <si>
    <t>#4f6174</t>
  </si>
  <si>
    <t>#6691bc</t>
  </si>
  <si>
    <t>#7dc009</t>
  </si>
  <si>
    <t>#94f051</t>
  </si>
  <si>
    <t>#ab2599</t>
  </si>
  <si>
    <t>#c355e1</t>
  </si>
  <si>
    <t>#da842f</t>
  </si>
  <si>
    <t>#f1b476</t>
  </si>
  <si>
    <t>#0ee3be</t>
  </si>
  <si>
    <t>#25190c</t>
  </si>
  <si>
    <t>#3c4854</t>
  </si>
  <si>
    <t>#53779b</t>
  </si>
  <si>
    <t>#6aa7e3</t>
  </si>
  <si>
    <t>#82d631</t>
  </si>
  <si>
    <t>#990c79</t>
  </si>
  <si>
    <t>#b03bc1</t>
  </si>
  <si>
    <t>#c76b0e</t>
  </si>
  <si>
    <t>#de9a56</t>
  </si>
  <si>
    <t>#f5ca9e</t>
  </si>
  <si>
    <t>#12f9e6</t>
  </si>
  <si>
    <t>#292f34</t>
  </si>
  <si>
    <t>#415e7b</t>
  </si>
  <si>
    <t>#588dc3</t>
  </si>
  <si>
    <t>#6fbd11</t>
  </si>
  <si>
    <t>#86ec59</t>
  </si>
  <si>
    <t>#9d22a1</t>
  </si>
  <si>
    <t>#b451e8</t>
  </si>
  <si>
    <t>#cb8136</t>
  </si>
  <si>
    <t>#e2b07e</t>
  </si>
  <si>
    <t>#00e0c6</t>
  </si>
  <si>
    <t>#171513</t>
  </si>
  <si>
    <t>#2e455b</t>
  </si>
  <si>
    <t>#4574a3</t>
  </si>
  <si>
    <t>#5ca3eb</t>
  </si>
  <si>
    <t>#73d339</t>
  </si>
  <si>
    <t>#8a0880</t>
  </si>
  <si>
    <t>#a138c8</t>
  </si>
  <si>
    <t>#b96716</t>
  </si>
  <si>
    <t>#d0975e</t>
  </si>
  <si>
    <t>#e7c6a6</t>
  </si>
  <si>
    <t>#04f6ed</t>
  </si>
  <si>
    <t>#1b2b3b</t>
  </si>
  <si>
    <t>#325b83</t>
  </si>
  <si>
    <t>#498acb</t>
  </si>
  <si>
    <t>#60b919</t>
  </si>
  <si>
    <t>#78e960</t>
  </si>
  <si>
    <t>#8f1ea8</t>
  </si>
  <si>
    <t>#a64ef0</t>
  </si>
  <si>
    <t>#bd7d3e</t>
  </si>
  <si>
    <t>#d4ad85</t>
  </si>
  <si>
    <t>#ebdccd</t>
  </si>
  <si>
    <t>#08121b</t>
  </si>
  <si>
    <t>#1f4163</t>
  </si>
  <si>
    <t>#3771ab</t>
  </si>
  <si>
    <t>#4ea0f2</t>
  </si>
  <si>
    <t>#65cf40</t>
  </si>
  <si>
    <t>#7c0588</t>
  </si>
  <si>
    <t>#9334d0</t>
  </si>
  <si>
    <t>#aa641e</t>
  </si>
  <si>
    <t>#c19365</t>
  </si>
  <si>
    <t>#d8c3ad</t>
  </si>
  <si>
    <t>#f0f2f5</t>
  </si>
  <si>
    <t>#0d2843</t>
  </si>
  <si>
    <t>#24578b</t>
  </si>
  <si>
    <t>#3b87d2</t>
  </si>
  <si>
    <t>#52b620</t>
  </si>
  <si>
    <t>#69e668</t>
  </si>
  <si>
    <t>#801bb0</t>
  </si>
  <si>
    <t>#974af7</t>
  </si>
  <si>
    <t>#ae7a45</t>
  </si>
  <si>
    <t>#c6a98d</t>
  </si>
  <si>
    <t>#ddd9d5</t>
  </si>
  <si>
    <t>#f40e23</t>
  </si>
  <si>
    <t>#113e6a</t>
  </si>
  <si>
    <t>#286db2</t>
  </si>
  <si>
    <t>#3f9d00</t>
  </si>
  <si>
    <t>#56cc48</t>
  </si>
  <si>
    <t>#6d0290</t>
  </si>
  <si>
    <t>#8531d7</t>
  </si>
  <si>
    <t>#9c6025</t>
  </si>
  <si>
    <t>#b3906d</t>
  </si>
  <si>
    <t>#cabfb5</t>
  </si>
  <si>
    <t>#e1ef02</t>
  </si>
  <si>
    <t>#f8244a</t>
  </si>
  <si>
    <t>#155492</t>
  </si>
  <si>
    <t>#2c83da</t>
  </si>
  <si>
    <t>#44b328</t>
  </si>
  <si>
    <t>#5be26f</t>
  </si>
  <si>
    <t>#7218b7</t>
  </si>
  <si>
    <t>#894705</t>
  </si>
  <si>
    <t>#a0764d</t>
  </si>
  <si>
    <t>#b7a695</t>
  </si>
  <si>
    <t>#ced5dc</t>
  </si>
  <si>
    <t>#e50b2a</t>
  </si>
  <si>
    <t>#033a72</t>
  </si>
  <si>
    <t>#1a6aba</t>
  </si>
  <si>
    <t>#319908</t>
  </si>
  <si>
    <t>#48c94f</t>
  </si>
  <si>
    <t>#5ff897</t>
  </si>
  <si>
    <t>#762edf</t>
  </si>
  <si>
    <t>#8d5d2d</t>
  </si>
  <si>
    <t>#a48c74</t>
  </si>
  <si>
    <t>#bcbcbc</t>
  </si>
  <si>
    <t>#d3eb0a</t>
  </si>
  <si>
    <t>#ea2152</t>
  </si>
  <si>
    <t>#07509a</t>
  </si>
  <si>
    <t>#1e80e1</t>
  </si>
  <si>
    <t>#35af2f</t>
  </si>
  <si>
    <t>#4cdf77</t>
  </si>
  <si>
    <t>#6314bf</t>
  </si>
  <si>
    <t>#7b440d</t>
  </si>
  <si>
    <t>#927354</t>
  </si>
  <si>
    <t>#a9a29c</t>
  </si>
  <si>
    <t>#c0d2e4</t>
  </si>
  <si>
    <t>#d70732</t>
  </si>
  <si>
    <t>#ee377a</t>
  </si>
  <si>
    <t>#0b66c1</t>
  </si>
  <si>
    <t>#22960f</t>
  </si>
  <si>
    <t>#3ac557</t>
  </si>
  <si>
    <t>#51f59f</t>
  </si>
  <si>
    <t>#682ae6</t>
  </si>
  <si>
    <t>#7f5a34</t>
  </si>
  <si>
    <t>#96897c</t>
  </si>
  <si>
    <t>#adb8c4</t>
  </si>
  <si>
    <t>#c4e812</t>
  </si>
  <si>
    <t>#db1d59</t>
  </si>
  <si>
    <t>#f34da1</t>
  </si>
  <si>
    <t>#107ce9</t>
  </si>
  <si>
    <t>#27ac37</t>
  </si>
  <si>
    <t>#3edb7f</t>
  </si>
  <si>
    <t>#5511c6</t>
  </si>
  <si>
    <t>#6c4014</t>
  </si>
  <si>
    <t>#83705c</t>
  </si>
  <si>
    <t>#9a9fa4</t>
  </si>
  <si>
    <t>#b1cfec</t>
  </si>
  <si>
    <t>#c90439</t>
  </si>
  <si>
    <t>#e03381</t>
  </si>
  <si>
    <t>#f763c9</t>
  </si>
  <si>
    <t>#149217</t>
  </si>
  <si>
    <t>#2bc25e</t>
  </si>
  <si>
    <t>#42f1a6</t>
  </si>
  <si>
    <t>#5927ee</t>
  </si>
  <si>
    <t>#70563c</t>
  </si>
  <si>
    <t>#888684</t>
  </si>
  <si>
    <t>#9fb5cb</t>
  </si>
  <si>
    <t>#b6e519</t>
  </si>
  <si>
    <t>#cd1a61</t>
  </si>
  <si>
    <t>#e449a9</t>
  </si>
  <si>
    <t>#0179f1</t>
  </si>
  <si>
    <t>#18a83e</t>
  </si>
  <si>
    <t>#2fd886</t>
  </si>
  <si>
    <t>#470dce</t>
  </si>
  <si>
    <t>#5e3d1c</t>
  </si>
  <si>
    <t>#756c64</t>
  </si>
  <si>
    <t>#8c9cab</t>
  </si>
  <si>
    <t>#a3cbf3</t>
  </si>
  <si>
    <t>#ba0141</t>
  </si>
  <si>
    <t>#d13089</t>
  </si>
  <si>
    <t>#e85fd0</t>
  </si>
  <si>
    <t>#068f1e</t>
  </si>
  <si>
    <t>#1dbe66</t>
  </si>
  <si>
    <t>#34eeae</t>
  </si>
  <si>
    <t>#4b23f6</t>
  </si>
  <si>
    <t>#625343</t>
  </si>
  <si>
    <t>#79828b</t>
  </si>
  <si>
    <t>#90b2d3</t>
  </si>
  <si>
    <t>#a7e121</t>
  </si>
  <si>
    <t>#bf1769</t>
  </si>
  <si>
    <t>#d646b0</t>
  </si>
  <si>
    <t>#ed75f8</t>
  </si>
  <si>
    <t>#0aa546</t>
  </si>
  <si>
    <t>#21d48e</t>
  </si>
  <si>
    <t>#380ad6</t>
  </si>
  <si>
    <t>#4f3923</t>
  </si>
  <si>
    <t>#66696b</t>
  </si>
  <si>
    <t>#7e98b3</t>
  </si>
  <si>
    <t>#95c801</t>
  </si>
  <si>
    <t>#acf748</t>
  </si>
  <si>
    <t>#c32d90</t>
  </si>
  <si>
    <t>#da5cd8</t>
  </si>
  <si>
    <t>#f18b26</t>
  </si>
  <si>
    <t>#0ebb6e</t>
  </si>
  <si>
    <t>#25eab5</t>
  </si>
  <si>
    <t>#3d2003</t>
  </si>
  <si>
    <t>#544f4b</t>
  </si>
  <si>
    <t>#6b7f93</t>
  </si>
  <si>
    <t>#82aedb</t>
  </si>
  <si>
    <t>#99de28</t>
  </si>
  <si>
    <t>#b01370</t>
  </si>
  <si>
    <t>#c743b8</t>
  </si>
  <si>
    <t>#de7206</t>
  </si>
  <si>
    <t>#f6a24e</t>
  </si>
  <si>
    <t>#13d195</t>
  </si>
  <si>
    <t>#2a06dd</t>
  </si>
  <si>
    <t>#41362b</t>
  </si>
  <si>
    <t>#586573</t>
  </si>
  <si>
    <t>#6f95ba</t>
  </si>
  <si>
    <t>#86c408</t>
  </si>
  <si>
    <t>#9df450</t>
  </si>
  <si>
    <t>#b42998</t>
  </si>
  <si>
    <t>#cc59e0</t>
  </si>
  <si>
    <t>#e3882d</t>
  </si>
  <si>
    <t>#00b875</t>
  </si>
  <si>
    <t>#17e7bd</t>
  </si>
  <si>
    <t>#2e1c0b</t>
  </si>
  <si>
    <t>#454c53</t>
  </si>
  <si>
    <t>#5c7b9a</t>
  </si>
  <si>
    <t>#73abe2</t>
  </si>
  <si>
    <t>#8bda30</t>
  </si>
  <si>
    <t>#a21078</t>
  </si>
  <si>
    <t>#b93fbf</t>
  </si>
  <si>
    <t>#d06f0d</t>
  </si>
  <si>
    <t>#e79e55</t>
  </si>
  <si>
    <t>#04ce9d</t>
  </si>
  <si>
    <t>#1b03e5</t>
  </si>
  <si>
    <t>#323232</t>
  </si>
  <si>
    <t>#4a627a</t>
  </si>
  <si>
    <t>#6191c2</t>
  </si>
  <si>
    <t>#78c110</t>
  </si>
  <si>
    <t>#8ff058</t>
  </si>
  <si>
    <t>#a6269f</t>
  </si>
  <si>
    <t>#bd55e7</t>
  </si>
  <si>
    <t>#d48535</t>
  </si>
  <si>
    <t>#ebb47d</t>
  </si>
  <si>
    <t>#09e4c5</t>
  </si>
  <si>
    <t>#201912</t>
  </si>
  <si>
    <t>#37485a</t>
  </si>
  <si>
    <t>#4e78a2</t>
  </si>
  <si>
    <t>#65a7ea</t>
  </si>
  <si>
    <t>#7cd737</t>
  </si>
  <si>
    <t>#930c7f</t>
  </si>
  <si>
    <t>#aa3cc7</t>
  </si>
  <si>
    <t>#c26b15</t>
  </si>
  <si>
    <t>#d99b5d</t>
  </si>
  <si>
    <t>#f0caa4</t>
  </si>
  <si>
    <t>#0d00ec</t>
  </si>
  <si>
    <t>#242f3a</t>
  </si>
  <si>
    <t>#3b5e82</t>
  </si>
  <si>
    <t>#528eca</t>
  </si>
  <si>
    <t>#69bd17</t>
  </si>
  <si>
    <t>#81ed5f</t>
  </si>
  <si>
    <t>#9822a7</t>
  </si>
  <si>
    <t>#af52ef</t>
  </si>
  <si>
    <t>#c6813d</t>
  </si>
  <si>
    <t>#ddb184</t>
  </si>
  <si>
    <t>#f4e0cc</t>
  </si>
  <si>
    <t>#11161a</t>
  </si>
  <si>
    <t>#284562</t>
  </si>
  <si>
    <t>#4074a9</t>
  </si>
  <si>
    <t>#57a4f1</t>
  </si>
  <si>
    <t>#6ed33f</t>
  </si>
  <si>
    <t>#850987</t>
  </si>
  <si>
    <t>#9c38cf</t>
  </si>
  <si>
    <t>#b3681c</t>
  </si>
  <si>
    <t>#ca9764</t>
  </si>
  <si>
    <t>#e1c7ac</t>
  </si>
  <si>
    <t>#f8f6f4</t>
  </si>
  <si>
    <t>#162c42</t>
  </si>
  <si>
    <t>#2d5b89</t>
  </si>
  <si>
    <t>#448bd1</t>
  </si>
  <si>
    <t>#5bba1f</t>
  </si>
  <si>
    <t>#72e967</t>
  </si>
  <si>
    <t>#891faf</t>
  </si>
  <si>
    <t>#a04ef6</t>
  </si>
  <si>
    <t>#b77e44</t>
  </si>
  <si>
    <t>#cfad8c</t>
  </si>
  <si>
    <t>#e6ddd4</t>
  </si>
  <si>
    <t>#031221</t>
  </si>
  <si>
    <t>#1a4269</t>
  </si>
  <si>
    <t>#3171b1</t>
  </si>
  <si>
    <t>#48a1f9</t>
  </si>
  <si>
    <t>#5fd047</t>
  </si>
  <si>
    <t>#76058e</t>
  </si>
  <si>
    <t>#8e35d6</t>
  </si>
  <si>
    <t>#a56424</t>
  </si>
  <si>
    <t>#bc946c</t>
  </si>
  <si>
    <t>#d3c3b4</t>
  </si>
  <si>
    <t>#eaf301</t>
  </si>
  <si>
    <t>#072849</t>
  </si>
  <si>
    <t>#1e5891</t>
  </si>
  <si>
    <t>#3587d9</t>
  </si>
  <si>
    <t>#4db727</t>
  </si>
  <si>
    <t>#64e66e</t>
  </si>
  <si>
    <t>#7b1bb6</t>
  </si>
  <si>
    <t>#924b04</t>
  </si>
  <si>
    <t>#a97a4c</t>
  </si>
  <si>
    <t>#c0aa93</t>
  </si>
  <si>
    <t>#d7d9db</t>
  </si>
  <si>
    <t>#ee0f29</t>
  </si>
  <si>
    <t>#0c3e71</t>
  </si>
  <si>
    <t>#236eb9</t>
  </si>
  <si>
    <t>#3a9d06</t>
  </si>
  <si>
    <t>#51cd4e</t>
  </si>
  <si>
    <t>#680296</t>
  </si>
  <si>
    <t>#7f31de</t>
  </si>
  <si>
    <t>#96612c</t>
  </si>
  <si>
    <t>#ad9073</t>
  </si>
  <si>
    <t>#c5c0bb</t>
  </si>
  <si>
    <t>#dcef09</t>
  </si>
  <si>
    <t>#f32551</t>
  </si>
  <si>
    <t>#105499</t>
  </si>
  <si>
    <t>#2784e0</t>
  </si>
  <si>
    <t>#3eb32e</t>
  </si>
  <si>
    <t>#55e376</t>
  </si>
  <si>
    <t>#6c18be</t>
  </si>
  <si>
    <t>#84470b</t>
  </si>
  <si>
    <t>#9b7753</t>
  </si>
  <si>
    <t>#b2a69b</t>
  </si>
  <si>
    <t>#c9d6e3</t>
  </si>
  <si>
    <t>#e00b31</t>
  </si>
  <si>
    <t>#f73b78</t>
  </si>
  <si>
    <t>#146ac0</t>
  </si>
  <si>
    <t>#2b9a0e</t>
  </si>
  <si>
    <t>#43c956</t>
  </si>
  <si>
    <t>#5af99e</t>
  </si>
  <si>
    <t>#712ee5</t>
  </si>
  <si>
    <t>#885e33</t>
  </si>
  <si>
    <t>#9f8d7b</t>
  </si>
  <si>
    <t>#b6bcc3</t>
  </si>
  <si>
    <t>#cdec10</t>
  </si>
  <si>
    <t>#e42158</t>
  </si>
  <si>
    <t>#0151a0</t>
  </si>
  <si>
    <t>#1980e8</t>
  </si>
  <si>
    <t>#30b036</t>
  </si>
  <si>
    <t>#47df7d</t>
  </si>
  <si>
    <t>#5e15c5</t>
  </si>
  <si>
    <t>#754413</t>
  </si>
  <si>
    <t>#8c745b</t>
  </si>
  <si>
    <t>#a3a3a3</t>
  </si>
  <si>
    <t>#bad2ea</t>
  </si>
  <si>
    <t>#d20838</t>
  </si>
  <si>
    <t>#e93780</t>
  </si>
  <si>
    <t>#0667c8</t>
  </si>
  <si>
    <t>#1d9616</t>
  </si>
  <si>
    <t>#34c65d</t>
  </si>
  <si>
    <t>#4bf5a5</t>
  </si>
  <si>
    <t>#622bed</t>
  </si>
  <si>
    <t>#795a3b</t>
  </si>
  <si>
    <t>#918a82</t>
  </si>
  <si>
    <t>#a8b9ca</t>
  </si>
  <si>
    <t>#bfe818</t>
  </si>
  <si>
    <t>#d61e60</t>
  </si>
  <si>
    <t>#ed4da8</t>
  </si>
  <si>
    <t>#0a7def</t>
  </si>
  <si>
    <t>#21ac3d</t>
  </si>
  <si>
    <t>#38dc85</t>
  </si>
  <si>
    <t>#5011cd</t>
  </si>
  <si>
    <t>#67411b</t>
  </si>
  <si>
    <t>#7e7062</t>
  </si>
  <si>
    <t>#95a0aa</t>
  </si>
  <si>
    <t>#accff2</t>
  </si>
  <si>
    <t>#c30440</t>
  </si>
  <si>
    <t>#da3488</t>
  </si>
  <si>
    <t>#f163cf</t>
  </si>
  <si>
    <t>#0f931d</t>
  </si>
  <si>
    <t>#26c265</t>
  </si>
  <si>
    <t>#3df2ad</t>
  </si>
  <si>
    <t>#5427f4</t>
  </si>
  <si>
    <t>#6b5742</t>
  </si>
  <si>
    <t>#82868a</t>
  </si>
  <si>
    <t>#99b6d2</t>
  </si>
  <si>
    <t>#b0e520</t>
  </si>
  <si>
    <t>#c81a67</t>
  </si>
  <si>
    <t>#df4aaf</t>
  </si>
  <si>
    <t>#f679f7</t>
  </si>
  <si>
    <t>#13a945</t>
  </si>
  <si>
    <t>#2ad88d</t>
  </si>
  <si>
    <t>#410ed4</t>
  </si>
  <si>
    <t>#583d22</t>
  </si>
  <si>
    <t>#6f6d6a</t>
  </si>
  <si>
    <t>#879cb2</t>
  </si>
  <si>
    <t>#9ecc00</t>
  </si>
  <si>
    <t>#b50147</t>
  </si>
  <si>
    <t>#cc308f</t>
  </si>
  <si>
    <t>#e360d7</t>
  </si>
  <si>
    <t>#008f25</t>
  </si>
  <si>
    <t>#17bf6c</t>
  </si>
  <si>
    <t>#2eeeb4</t>
  </si>
  <si>
    <t>#462402</t>
  </si>
  <si>
    <t>#5d534a</t>
  </si>
  <si>
    <t>#748392</t>
  </si>
  <si>
    <t>#8bb2d9</t>
  </si>
  <si>
    <t>#a2e227</t>
  </si>
  <si>
    <t>#b9176f</t>
  </si>
  <si>
    <t>#d047b7</t>
  </si>
  <si>
    <t>#e77605</t>
  </si>
  <si>
    <t>#04a54c</t>
  </si>
  <si>
    <t>#1cd594</t>
  </si>
  <si>
    <t>#330adc</t>
  </si>
  <si>
    <t>#4a3a2a</t>
  </si>
  <si>
    <t>#616972</t>
  </si>
  <si>
    <t>#7899b9</t>
  </si>
  <si>
    <t>#8fc807</t>
  </si>
  <si>
    <t>#a6f84f</t>
  </si>
  <si>
    <t>#bd2d97</t>
  </si>
  <si>
    <t>#d55dde</t>
  </si>
  <si>
    <t>#ec8c2c</t>
  </si>
  <si>
    <t>#09bb74</t>
  </si>
  <si>
    <t>#20ebbc</t>
  </si>
  <si>
    <t>#37200a</t>
  </si>
  <si>
    <t>#4e5051</t>
  </si>
  <si>
    <t>#657f99</t>
  </si>
  <si>
    <t>#7cafe1</t>
  </si>
  <si>
    <t>#94de2f</t>
  </si>
  <si>
    <t>#ab1477</t>
  </si>
  <si>
    <t>#c243be</t>
  </si>
  <si>
    <t>#d9730c</t>
  </si>
  <si>
    <t>#f0a254</t>
  </si>
  <si>
    <t>#0dd19c</t>
  </si>
  <si>
    <t>#2407e4</t>
  </si>
  <si>
    <t>#3b3631</t>
  </si>
  <si>
    <t>#536679</t>
  </si>
  <si>
    <t>#6a95c1</t>
  </si>
  <si>
    <t>#81c50f</t>
  </si>
  <si>
    <t>#98f456</t>
  </si>
  <si>
    <t>#af2a9e</t>
  </si>
  <si>
    <t>#c659e6</t>
  </si>
  <si>
    <t>#dd8934</t>
  </si>
  <si>
    <t>#f4b87c</t>
  </si>
  <si>
    <t>#12e7c3</t>
  </si>
  <si>
    <t>#291d11</t>
  </si>
  <si>
    <t>#404c59</t>
  </si>
  <si>
    <t>#577ca1</t>
  </si>
  <si>
    <t>#6eabe9</t>
  </si>
  <si>
    <t>#85db36</t>
  </si>
  <si>
    <t>#9c107e</t>
  </si>
  <si>
    <t>#b340c6</t>
  </si>
  <si>
    <t>#cb6f14</t>
  </si>
  <si>
    <t>#e29f5b</t>
  </si>
  <si>
    <t>#f9cea3</t>
  </si>
  <si>
    <t>#1603eb</t>
  </si>
  <si>
    <t>#2d3339</t>
  </si>
  <si>
    <t>#446281</t>
  </si>
  <si>
    <t>#5b92c8</t>
  </si>
  <si>
    <t>#72c116</t>
  </si>
  <si>
    <t>#8af15e</t>
  </si>
  <si>
    <t>#a126a6</t>
  </si>
  <si>
    <t>#b856ee</t>
  </si>
  <si>
    <t>#cf853b</t>
  </si>
  <si>
    <t>#e6b583</t>
  </si>
  <si>
    <t>#03e4cb</t>
  </si>
  <si>
    <t>#1a1a19</t>
  </si>
  <si>
    <t>#314961</t>
  </si>
  <si>
    <t>#4878a8</t>
  </si>
  <si>
    <t>#60a8f0</t>
  </si>
  <si>
    <t>#77d73e</t>
  </si>
  <si>
    <t>#8e0d86</t>
  </si>
  <si>
    <t>#a53ccd</t>
  </si>
  <si>
    <t>#bc6c1b</t>
  </si>
  <si>
    <t>#d39b63</t>
  </si>
  <si>
    <t>#eacbab</t>
  </si>
  <si>
    <t>#0700f3</t>
  </si>
  <si>
    <t>#1f3040</t>
  </si>
  <si>
    <t>#365f88</t>
  </si>
  <si>
    <t>#4d8ed0</t>
  </si>
  <si>
    <t>#64be1e</t>
  </si>
  <si>
    <t>#7bed66</t>
  </si>
  <si>
    <t>#9223ad</t>
  </si>
  <si>
    <t>#a952f5</t>
  </si>
  <si>
    <t>#c08243</t>
  </si>
  <si>
    <t>#d8b18b</t>
  </si>
  <si>
    <t>#efe1d3</t>
  </si>
  <si>
    <t>#0c1620</t>
  </si>
  <si>
    <t>#234668</t>
  </si>
  <si>
    <t>#3a75b0</t>
  </si>
  <si>
    <t>#51a4f8</t>
  </si>
  <si>
    <t>#68d445</t>
  </si>
  <si>
    <t>#7f098d</t>
  </si>
  <si>
    <t>#9739d5</t>
  </si>
  <si>
    <t>#ae6823</t>
  </si>
  <si>
    <t>#c5986b</t>
  </si>
  <si>
    <t>#dcc7b2</t>
  </si>
  <si>
    <t>#f3f700</t>
  </si>
  <si>
    <t>#102c48</t>
  </si>
  <si>
    <t>#275c90</t>
  </si>
  <si>
    <t>#3e8bd8</t>
  </si>
  <si>
    <t>#56ba25</t>
  </si>
  <si>
    <t>#6dea6d</t>
  </si>
  <si>
    <t>#841fb5</t>
  </si>
  <si>
    <t>#9b4f03</t>
  </si>
  <si>
    <t>#b27e4b</t>
  </si>
  <si>
    <t>#c9ae92</t>
  </si>
  <si>
    <t>#e0ddda</t>
  </si>
  <si>
    <t>#f71328</t>
  </si>
  <si>
    <t>#154270</t>
  </si>
  <si>
    <t>#2c72b7</t>
  </si>
  <si>
    <t>#43a105</t>
  </si>
  <si>
    <t>#5ad04d</t>
  </si>
  <si>
    <t>#710695</t>
  </si>
  <si>
    <t>#8835dd</t>
  </si>
  <si>
    <t>#9f652a</t>
  </si>
  <si>
    <t>#b69472</t>
  </si>
  <si>
    <t>#cec4ba</t>
  </si>
  <si>
    <t>#e5f308</t>
  </si>
  <si>
    <t>#022950</t>
  </si>
  <si>
    <t>#195897</t>
  </si>
  <si>
    <t>#3088df</t>
  </si>
  <si>
    <t>#47b72d</t>
  </si>
  <si>
    <t>#5ee675</t>
  </si>
  <si>
    <t>#751cbd</t>
  </si>
  <si>
    <t>#8d4b0a</t>
  </si>
  <si>
    <t>#a47b52</t>
  </si>
  <si>
    <t>#bbaa9a</t>
  </si>
  <si>
    <t>#d2dae2</t>
  </si>
  <si>
    <t>#e90f2f</t>
  </si>
  <si>
    <t>#063f77</t>
  </si>
  <si>
    <t>#1d6ebf</t>
  </si>
  <si>
    <t>#349e0d</t>
  </si>
  <si>
    <t>#4bcd55</t>
  </si>
  <si>
    <t>#63039c</t>
  </si>
  <si>
    <t>#7a32e4</t>
  </si>
  <si>
    <t>#916132</t>
  </si>
  <si>
    <t>#a8917a</t>
  </si>
  <si>
    <t>#bfc0c2</t>
  </si>
  <si>
    <t>#d6f00f</t>
  </si>
  <si>
    <t>#ed2557</t>
  </si>
  <si>
    <t>#0a559f</t>
  </si>
  <si>
    <t>#2284e7</t>
  </si>
  <si>
    <t>#39b435</t>
  </si>
  <si>
    <t>#50e37c</t>
  </si>
  <si>
    <t>#6719c4</t>
  </si>
  <si>
    <t>#7e4812</t>
  </si>
  <si>
    <t>#95775a</t>
  </si>
  <si>
    <t>#aca7a1</t>
  </si>
  <si>
    <t>#c3d6e9</t>
  </si>
  <si>
    <t>#db0c37</t>
  </si>
  <si>
    <t>#f23b7f</t>
  </si>
  <si>
    <t>#0f6bc7</t>
  </si>
  <si>
    <t>#269a14</t>
  </si>
  <si>
    <t>#3dca5c</t>
  </si>
  <si>
    <t>#54f9a4</t>
  </si>
  <si>
    <t>#6b2fec</t>
  </si>
  <si>
    <t>#825e3a</t>
  </si>
  <si>
    <t>#9a8d81</t>
  </si>
  <si>
    <t>#b1bdc9</t>
  </si>
  <si>
    <t>#c8ec17</t>
  </si>
  <si>
    <t>#df225f</t>
  </si>
  <si>
    <t>#f651a6</t>
  </si>
  <si>
    <t>#1381ee</t>
  </si>
  <si>
    <t>#2ab03c</t>
  </si>
  <si>
    <t>#41e084</t>
  </si>
  <si>
    <t>#5915cc</t>
  </si>
  <si>
    <t>#704519</t>
  </si>
  <si>
    <t>#877461</t>
  </si>
  <si>
    <t>#9ea3a9</t>
  </si>
  <si>
    <t>#b5d3f1</t>
  </si>
  <si>
    <t>#cc083f</t>
  </si>
  <si>
    <t>#e33886</t>
  </si>
  <si>
    <t>#0067ce</t>
  </si>
  <si>
    <t>#18971c</t>
  </si>
  <si>
    <t>#2fc664</t>
  </si>
  <si>
    <t>#46f6ac</t>
  </si>
  <si>
    <t>#5d2bf3</t>
  </si>
  <si>
    <t>#745b41</t>
  </si>
  <si>
    <t>#8b8a89</t>
  </si>
  <si>
    <t>#a2b9d1</t>
  </si>
  <si>
    <t>#b9e91e</t>
  </si>
  <si>
    <t>#d11e66</t>
  </si>
  <si>
    <t>#e84eae</t>
  </si>
  <si>
    <t>#057df6</t>
  </si>
  <si>
    <t>#1cad44</t>
  </si>
  <si>
    <t>#33dc8b</t>
  </si>
  <si>
    <t>#4a12d3</t>
  </si>
  <si>
    <t>#614121</t>
  </si>
  <si>
    <t>#787169</t>
  </si>
  <si>
    <t>#90a0b1</t>
  </si>
  <si>
    <t>#a7d0f8</t>
  </si>
  <si>
    <t>#be0546</t>
  </si>
  <si>
    <t>#d5348e</t>
  </si>
  <si>
    <t>#ec64d6</t>
  </si>
  <si>
    <t>#099324</t>
  </si>
  <si>
    <t>#20c36b</t>
  </si>
  <si>
    <t>#37f2b3</t>
  </si>
  <si>
    <t>#4e2801</t>
  </si>
  <si>
    <t>#665749</t>
  </si>
  <si>
    <t>#7d8790</t>
  </si>
  <si>
    <t>#94b6d8</t>
  </si>
  <si>
    <t>#abe626</t>
  </si>
  <si>
    <t>#c21b6e</t>
  </si>
  <si>
    <t>#d94ab6</t>
  </si>
  <si>
    <t>#f07a03</t>
  </si>
  <si>
    <t>#0da94b</t>
  </si>
  <si>
    <t>#25d993</t>
  </si>
  <si>
    <t>#3c0edb</t>
  </si>
  <si>
    <t>#533e29</t>
  </si>
  <si>
    <t>#6a6d70</t>
  </si>
  <si>
    <t>#819db8</t>
  </si>
  <si>
    <t>#98cc06</t>
  </si>
  <si>
    <t>#af024e</t>
  </si>
  <si>
    <t>#c63196</t>
  </si>
  <si>
    <t>#de60dd</t>
  </si>
  <si>
    <t>#f5902b</t>
  </si>
  <si>
    <t>#12bf73</t>
  </si>
  <si>
    <t>#29efbb</t>
  </si>
  <si>
    <t>#402408</t>
  </si>
  <si>
    <t>#575450</t>
  </si>
  <si>
    <t>#6e8398</t>
  </si>
  <si>
    <t>#85b3e0</t>
  </si>
  <si>
    <t>#9de22e</t>
  </si>
  <si>
    <t>#b41875</t>
  </si>
  <si>
    <t>#cb47bd</t>
  </si>
  <si>
    <t>#e2760b</t>
  </si>
  <si>
    <t>#f9a653</t>
  </si>
  <si>
    <t>#16d59b</t>
  </si>
  <si>
    <t>#2d0be2</t>
  </si>
  <si>
    <t>#443a30</t>
  </si>
  <si>
    <t>#5c6a78</t>
  </si>
  <si>
    <t>#7399c0</t>
  </si>
  <si>
    <t>#8ac90e</t>
  </si>
  <si>
    <t>#a1f855</t>
  </si>
  <si>
    <t>#b82e9d</t>
  </si>
  <si>
    <t>#cf5de5</t>
  </si>
  <si>
    <t>#e68c33</t>
  </si>
  <si>
    <t>#03bc7a</t>
  </si>
  <si>
    <t>#1bebc2</t>
  </si>
  <si>
    <t>#322110</t>
  </si>
  <si>
    <t>#495058</t>
  </si>
  <si>
    <t>#6080a0</t>
  </si>
  <si>
    <t>#77afe7</t>
  </si>
  <si>
    <t>#8edf35</t>
  </si>
  <si>
    <t>#a5147d</t>
  </si>
  <si>
    <t>#bc44c5</t>
  </si>
  <si>
    <t>#d47313</t>
  </si>
  <si>
    <t>#eba25a</t>
  </si>
  <si>
    <t>#08d2a2</t>
  </si>
  <si>
    <t>#1f07ea</t>
  </si>
  <si>
    <t>#363738</t>
  </si>
  <si>
    <t>#4d6680</t>
  </si>
  <si>
    <t>#6496c7</t>
  </si>
  <si>
    <t>#7bc515</t>
  </si>
  <si>
    <t>#92f55d</t>
  </si>
  <si>
    <t>#aa2aa5</t>
  </si>
  <si>
    <t>#c15aec</t>
  </si>
  <si>
    <t>#d8893a</t>
  </si>
  <si>
    <t>#efb982</t>
  </si>
  <si>
    <t>#0ce8ca</t>
  </si>
  <si>
    <t>#231d18</t>
  </si>
  <si>
    <t>#3a4d5f</t>
  </si>
  <si>
    <t>#517ca7</t>
  </si>
  <si>
    <t>#69acef</t>
  </si>
  <si>
    <t>#80db3d</t>
  </si>
  <si>
    <t>#971185</t>
  </si>
  <si>
    <t>#ae40cc</t>
  </si>
  <si>
    <t>#c5701a</t>
  </si>
  <si>
    <t>#dc9f62</t>
  </si>
  <si>
    <t>#f3cfaa</t>
  </si>
  <si>
    <t>#1004f1</t>
  </si>
  <si>
    <t>#28333f</t>
  </si>
  <si>
    <t>#3f6387</t>
  </si>
  <si>
    <t>#5692cf</t>
  </si>
  <si>
    <t>#6dc21d</t>
  </si>
  <si>
    <t>#84f164</t>
  </si>
  <si>
    <t>#9b27ac</t>
  </si>
  <si>
    <t>#b256f4</t>
  </si>
  <si>
    <t>#c98642</t>
  </si>
  <si>
    <t>#e1b58a</t>
  </si>
  <si>
    <t>#f8e5d1</t>
  </si>
  <si>
    <t>#151a1f</t>
  </si>
  <si>
    <t>#2c4967</t>
  </si>
  <si>
    <t>#4379af</t>
  </si>
  <si>
    <t>#5aa8f7</t>
  </si>
  <si>
    <t>#71d844</t>
  </si>
  <si>
    <t>#880d8c</t>
  </si>
  <si>
    <t>#a03dd4</t>
  </si>
  <si>
    <t>#b76c22</t>
  </si>
  <si>
    <t>#ce9c69</t>
  </si>
  <si>
    <t>#e5cbb1</t>
  </si>
  <si>
    <t>#0201f9</t>
  </si>
  <si>
    <t>#193047</t>
  </si>
  <si>
    <t>#305f8f</t>
  </si>
  <si>
    <t>#478fd6</t>
  </si>
  <si>
    <t>#5fbe24</t>
  </si>
  <si>
    <t>#76ee6c</t>
  </si>
  <si>
    <t>#8d23b4</t>
  </si>
  <si>
    <t>#a45302</t>
  </si>
  <si>
    <t>#bb8249</t>
  </si>
  <si>
    <t>#d2b291</t>
  </si>
  <si>
    <t>#e9e1d9</t>
  </si>
  <si>
    <t>#061727</t>
  </si>
  <si>
    <t>#1e466f</t>
  </si>
  <si>
    <t>#3575b6</t>
  </si>
  <si>
    <t>#4ca504</t>
  </si>
  <si>
    <t>#63d44c</t>
  </si>
  <si>
    <t>#7a0a94</t>
  </si>
  <si>
    <t>#9139db</t>
  </si>
  <si>
    <t>#a86929</t>
  </si>
  <si>
    <t>#bf9871</t>
  </si>
  <si>
    <t>#d7c8b9</t>
  </si>
  <si>
    <t>#eef707</t>
  </si>
  <si>
    <t>#0b2d4e</t>
  </si>
  <si>
    <t>#225c96</t>
  </si>
  <si>
    <t>#398cde</t>
  </si>
  <si>
    <t>#50bb2c</t>
  </si>
  <si>
    <t>#67ea74</t>
  </si>
  <si>
    <t>#7e20bb</t>
  </si>
  <si>
    <t>#954f09</t>
  </si>
  <si>
    <t>#ad7f51</t>
  </si>
  <si>
    <t>#c4ae99</t>
  </si>
  <si>
    <t>#dbdee1</t>
  </si>
  <si>
    <t>#f2132e</t>
  </si>
  <si>
    <t>#0f4376</t>
  </si>
  <si>
    <t>#2672be</t>
  </si>
  <si>
    <t>#3da20c</t>
  </si>
  <si>
    <t>#54d153</t>
  </si>
  <si>
    <t>#6c069b</t>
  </si>
  <si>
    <t>#8336e3</t>
  </si>
  <si>
    <t>#9a6531</t>
  </si>
  <si>
    <t>#b19579</t>
  </si>
  <si>
    <t>#c8c4c0</t>
  </si>
  <si>
    <t>#dff40e</t>
  </si>
  <si>
    <t>#f62956</t>
  </si>
  <si>
    <t>#13599e</t>
  </si>
  <si>
    <t>#2b88e6</t>
  </si>
  <si>
    <t>#42b833</t>
  </si>
  <si>
    <t>#59e77b</t>
  </si>
  <si>
    <t>#701cc3</t>
  </si>
  <si>
    <t>#874c11</t>
  </si>
  <si>
    <t>#9e7b59</t>
  </si>
  <si>
    <t>#b5aba0</t>
  </si>
  <si>
    <t>#ccdae8</t>
  </si>
  <si>
    <t>#e41036</t>
  </si>
  <si>
    <t>#013f7e</t>
  </si>
  <si>
    <t>#186fc5</t>
  </si>
  <si>
    <t>#2f9e13</t>
  </si>
  <si>
    <t>#46ce5b</t>
  </si>
  <si>
    <t>#5d03a3</t>
  </si>
  <si>
    <t>#7432eb</t>
  </si>
  <si>
    <t>#8b6238</t>
  </si>
  <si>
    <t>#a39180</t>
  </si>
  <si>
    <t>#bac1c8</t>
  </si>
  <si>
    <t>#d1f016</t>
  </si>
  <si>
    <t>#e8265e</t>
  </si>
  <si>
    <t>#0555a5</t>
  </si>
  <si>
    <t>#1c85ed</t>
  </si>
  <si>
    <t>#33b43b</t>
  </si>
  <si>
    <t>#4ae483</t>
  </si>
  <si>
    <t>#6219cb</t>
  </si>
  <si>
    <t>#794818</t>
  </si>
  <si>
    <t>#907860</t>
  </si>
  <si>
    <t>#a7a7a8</t>
  </si>
  <si>
    <t>#bed7f0</t>
  </si>
  <si>
    <t>#d50c3d</t>
  </si>
  <si>
    <t>#ec3c85</t>
  </si>
  <si>
    <t>#096bcd</t>
  </si>
  <si>
    <t>#219b1b</t>
  </si>
  <si>
    <t>#38ca63</t>
  </si>
  <si>
    <t>#4f00aa</t>
  </si>
  <si>
    <t>#662ff2</t>
  </si>
  <si>
    <t>#7d5e40</t>
  </si>
  <si>
    <t>#948e88</t>
  </si>
  <si>
    <t>#abbdd0</t>
  </si>
  <si>
    <t>#c2ed1d</t>
  </si>
  <si>
    <t>#da2265</t>
  </si>
  <si>
    <t>#f152ad</t>
  </si>
  <si>
    <t>#0e81f5</t>
  </si>
  <si>
    <t>#25b142</t>
  </si>
  <si>
    <t>#3ce08a</t>
  </si>
  <si>
    <t>#5316d2</t>
  </si>
  <si>
    <t>#6a4520</t>
  </si>
  <si>
    <t>#817568</t>
  </si>
  <si>
    <t>#98a4af</t>
  </si>
  <si>
    <t>#b0d3f7</t>
  </si>
  <si>
    <t>#c70945</t>
  </si>
  <si>
    <t>#de388d</t>
  </si>
  <si>
    <t>#f568d5</t>
  </si>
  <si>
    <t>#129722</t>
  </si>
  <si>
    <t>#29c76a</t>
  </si>
  <si>
    <t>#40f6b2</t>
  </si>
  <si>
    <t>#572c00</t>
  </si>
  <si>
    <t>#6f5b48</t>
  </si>
  <si>
    <t>#868b8f</t>
  </si>
  <si>
    <t>#9dbad7</t>
  </si>
  <si>
    <t>#b4e925</t>
  </si>
  <si>
    <t>#cb1f6d</t>
  </si>
  <si>
    <t>#e24eb4</t>
  </si>
  <si>
    <t>#f97e02</t>
  </si>
  <si>
    <t>#16ad4a</t>
  </si>
  <si>
    <t>#2edd92</t>
  </si>
  <si>
    <t>#4512da</t>
  </si>
  <si>
    <t>#5c4227</t>
  </si>
  <si>
    <t>#73716f</t>
  </si>
  <si>
    <t>#8aa1b7</t>
  </si>
  <si>
    <t>#a1d005</t>
  </si>
  <si>
    <t>#b8054d</t>
  </si>
  <si>
    <t>#cf3594</t>
  </si>
  <si>
    <t>#e764dc</t>
  </si>
  <si>
    <t>#04942a</t>
  </si>
  <si>
    <t>#1bc372</t>
  </si>
  <si>
    <t>#32f3ba</t>
  </si>
  <si>
    <t>#492807</t>
  </si>
  <si>
    <t>#60584f</t>
  </si>
  <si>
    <t>#778797</t>
  </si>
  <si>
    <t>#8eb7df</t>
  </si>
  <si>
    <t>#a6e62c</t>
  </si>
  <si>
    <t>#bd1b74</t>
  </si>
  <si>
    <t>#d44bbc</t>
  </si>
  <si>
    <t>#eb7a0a</t>
  </si>
  <si>
    <t>#08aa52</t>
  </si>
  <si>
    <t>#1fd999</t>
  </si>
  <si>
    <t>#360fe1</t>
  </si>
  <si>
    <t>#4d3e2f</t>
  </si>
  <si>
    <t>#656e77</t>
  </si>
  <si>
    <t>#7c9dbf</t>
  </si>
  <si>
    <t>#93cd0c</t>
  </si>
  <si>
    <t>#aa0254</t>
  </si>
  <si>
    <t>#c1319c</t>
  </si>
  <si>
    <t>#d861e4</t>
  </si>
  <si>
    <t>#ef9032</t>
  </si>
  <si>
    <t>#0cc079</t>
  </si>
  <si>
    <t>#24efc1</t>
  </si>
  <si>
    <t>#3b250f</t>
  </si>
  <si>
    <t>#525457</t>
  </si>
  <si>
    <t>#69849e</t>
  </si>
  <si>
    <t>#80b3e6</t>
  </si>
  <si>
    <t>#97e334</t>
  </si>
  <si>
    <t>#ae187c</t>
  </si>
  <si>
    <t>#c548c4</t>
  </si>
  <si>
    <t>#dc7711</t>
  </si>
  <si>
    <t>#f4a659</t>
  </si>
  <si>
    <t>#11d6a1</t>
  </si>
  <si>
    <t>#280be9</t>
  </si>
  <si>
    <t>#3f3b37</t>
  </si>
  <si>
    <t>#566a7e</t>
  </si>
  <si>
    <t>#6d9ac6</t>
  </si>
  <si>
    <t>#84c914</t>
  </si>
  <si>
    <t>#9bf95c</t>
  </si>
  <si>
    <t>#b32ea4</t>
  </si>
  <si>
    <t>#ca5eeb</t>
  </si>
  <si>
    <t>#e18d39</t>
  </si>
  <si>
    <t>#f8bc81</t>
  </si>
  <si>
    <t>#15ecc9</t>
  </si>
  <si>
    <t>#2c2116</t>
  </si>
  <si>
    <t>#43515e</t>
  </si>
  <si>
    <t>#5a80a6</t>
  </si>
  <si>
    <t>#72b0ee</t>
  </si>
  <si>
    <t>#89df3c</t>
  </si>
  <si>
    <t>#a01583</t>
  </si>
  <si>
    <t>#b744cb</t>
  </si>
  <si>
    <t>#ce7419</t>
  </si>
  <si>
    <t>#e5a361</t>
  </si>
  <si>
    <t>#02d2a9</t>
  </si>
  <si>
    <t>#1908f0</t>
  </si>
  <si>
    <t>#31373e</t>
  </si>
  <si>
    <t>#486786</t>
  </si>
  <si>
    <t>#5f96ce</t>
  </si>
  <si>
    <t>#76c61c</t>
  </si>
  <si>
    <t>#8df563</t>
  </si>
  <si>
    <t>#a42bab</t>
  </si>
  <si>
    <t>#bb5af3</t>
  </si>
  <si>
    <t>#d28a41</t>
  </si>
  <si>
    <t>#eab988</t>
  </si>
  <si>
    <t>#07e8d0</t>
  </si>
  <si>
    <t>#1e1e1e</t>
  </si>
  <si>
    <t>#354d66</t>
  </si>
  <si>
    <t>#4c7dae</t>
  </si>
  <si>
    <t>#63acf5</t>
  </si>
  <si>
    <t>#7adc43</t>
  </si>
  <si>
    <t>#91118b</t>
  </si>
  <si>
    <t>#a941d3</t>
  </si>
  <si>
    <t>#c07021</t>
  </si>
  <si>
    <t>#d7a068</t>
  </si>
  <si>
    <t>#eecfb0</t>
  </si>
  <si>
    <t>#0b04f8</t>
  </si>
  <si>
    <t>#223446</t>
  </si>
  <si>
    <t>#39638d</t>
  </si>
  <si>
    <t>#5093d5</t>
  </si>
  <si>
    <t>#68c223</t>
  </si>
  <si>
    <t>#7ff26b</t>
  </si>
  <si>
    <t>#9627b3</t>
  </si>
  <si>
    <t>#ad5700</t>
  </si>
  <si>
    <t>#c48648</t>
  </si>
  <si>
    <t>#dbb690</t>
  </si>
  <si>
    <t>#f2e5d8</t>
  </si>
  <si>
    <t>#0f1a26</t>
  </si>
  <si>
    <t>#274a6d</t>
  </si>
  <si>
    <t>#3e79b5</t>
  </si>
  <si>
    <t>#55a903</t>
  </si>
  <si>
    <t>#6cd84b</t>
  </si>
  <si>
    <t>#830e93</t>
  </si>
  <si>
    <t>#9a3dda</t>
  </si>
  <si>
    <t>#b16d28</t>
  </si>
  <si>
    <t>#c89c70</t>
  </si>
  <si>
    <t>#dfccb8</t>
  </si>
  <si>
    <t>#f70105</t>
  </si>
  <si>
    <t>#14314d</t>
  </si>
  <si>
    <t>#2b6095</t>
  </si>
  <si>
    <t>#428fdd</t>
  </si>
  <si>
    <t>#59bf2b</t>
  </si>
  <si>
    <t>#70ee72</t>
  </si>
  <si>
    <t>#8724ba</t>
  </si>
  <si>
    <t>#9e5308</t>
  </si>
  <si>
    <t>#b68350</t>
  </si>
  <si>
    <t>#cdb298</t>
  </si>
  <si>
    <t>#e4e2df</t>
  </si>
  <si>
    <t>#01172d</t>
  </si>
  <si>
    <t>#184775</t>
  </si>
  <si>
    <t>#2f76bd</t>
  </si>
  <si>
    <t>#46a50b</t>
  </si>
  <si>
    <t>#5dd552</t>
  </si>
  <si>
    <t>#750a9a</t>
  </si>
  <si>
    <t>#8c3ae2</t>
  </si>
  <si>
    <t>#a36930</t>
  </si>
  <si>
    <t>#ba9977</t>
  </si>
  <si>
    <t>#d1c8bf</t>
  </si>
  <si>
    <t>#e8f80d</t>
  </si>
  <si>
    <t>#052d55</t>
  </si>
  <si>
    <t>#1c5d9d</t>
  </si>
  <si>
    <t>#348ce4</t>
  </si>
  <si>
    <t>#4bbb32</t>
  </si>
  <si>
    <t>#62eb7a</t>
  </si>
  <si>
    <t>#7920c2</t>
  </si>
  <si>
    <t>#905010</t>
  </si>
  <si>
    <t>#a77f57</t>
  </si>
  <si>
    <t>#beaf9f</t>
  </si>
  <si>
    <t>#d5dee7</t>
  </si>
  <si>
    <t>#ed1435</t>
  </si>
  <si>
    <t>#0a437d</t>
  </si>
  <si>
    <t>#2173c4</t>
  </si>
  <si>
    <t>#38a212</t>
  </si>
  <si>
    <t>#4fd15a</t>
  </si>
  <si>
    <t>#6607a2</t>
  </si>
  <si>
    <t>#7d36e9</t>
  </si>
  <si>
    <t>#946637</t>
  </si>
  <si>
    <t>#ac957f</t>
  </si>
  <si>
    <t>#c3c5c7</t>
  </si>
  <si>
    <t>#daf415</t>
  </si>
  <si>
    <t>#f12a5c</t>
  </si>
  <si>
    <t>#0e59a4</t>
  </si>
  <si>
    <t>#2589ec</t>
  </si>
  <si>
    <t>#3cb83a</t>
  </si>
  <si>
    <t>#53e782</t>
  </si>
  <si>
    <t>#6b1dc9</t>
  </si>
  <si>
    <t>#824c17</t>
  </si>
  <si>
    <t>#997c5f</t>
  </si>
  <si>
    <t>#b0aba7</t>
  </si>
  <si>
    <t>#c7dbef</t>
  </si>
  <si>
    <t>#de103c</t>
  </si>
  <si>
    <t>#f54084</t>
  </si>
  <si>
    <t>#126fcc</t>
  </si>
  <si>
    <t>#2a9f1a</t>
  </si>
  <si>
    <t>#41ce61</t>
  </si>
  <si>
    <t>#5804a9</t>
  </si>
  <si>
    <t>#6f33f1</t>
  </si>
  <si>
    <t>#86623f</t>
  </si>
  <si>
    <t>#9d9287</t>
  </si>
  <si>
    <t>#b4c1ce</t>
  </si>
  <si>
    <t>#cbf11c</t>
  </si>
  <si>
    <t>#e22664</t>
  </si>
  <si>
    <t>#0056ac</t>
  </si>
  <si>
    <t>#1785f4</t>
  </si>
  <si>
    <t>#2eb541</t>
  </si>
  <si>
    <t>#45e489</t>
  </si>
  <si>
    <t>#5c1ad1</t>
  </si>
  <si>
    <t>#73491f</t>
  </si>
  <si>
    <t>#8a7867</t>
  </si>
  <si>
    <t>#a1a8ae</t>
  </si>
  <si>
    <t>#b9d7f6</t>
  </si>
  <si>
    <t>#d00d44</t>
  </si>
  <si>
    <t>#e73c8c</t>
  </si>
  <si>
    <t>#046cd3</t>
  </si>
  <si>
    <t>#1b9b21</t>
  </si>
  <si>
    <t>#32cb69</t>
  </si>
  <si>
    <t>#4900b1</t>
  </si>
  <si>
    <t>#6030f9</t>
  </si>
  <si>
    <t>#785f46</t>
  </si>
  <si>
    <t>#8f8e8e</t>
  </si>
  <si>
    <t>#a6bed6</t>
  </si>
  <si>
    <t>#bded24</t>
  </si>
  <si>
    <t>#d4236c</t>
  </si>
  <si>
    <t>#eb52b3</t>
  </si>
  <si>
    <t>#088201</t>
  </si>
  <si>
    <t>#1fb149</t>
  </si>
  <si>
    <t>#37e191</t>
  </si>
  <si>
    <t>#4e16d8</t>
  </si>
  <si>
    <t>#654626</t>
  </si>
  <si>
    <t>#7c756e</t>
  </si>
  <si>
    <t>#93a4b6</t>
  </si>
  <si>
    <t>#aad404</t>
  </si>
  <si>
    <t>#c1094b</t>
  </si>
  <si>
    <t>#d83993</t>
  </si>
  <si>
    <t>#f068db</t>
  </si>
  <si>
    <t>#0d9829</t>
  </si>
  <si>
    <t>#24c771</t>
  </si>
  <si>
    <t>#3bf7b8</t>
  </si>
  <si>
    <t>#522c06</t>
  </si>
  <si>
    <t>#695c4e</t>
  </si>
  <si>
    <t>#808b96</t>
  </si>
  <si>
    <t>#97bade</t>
  </si>
  <si>
    <t>#afea2b</t>
  </si>
  <si>
    <t>#c61f73</t>
  </si>
  <si>
    <t>#dd4fbb</t>
  </si>
  <si>
    <t>#f47e09</t>
  </si>
  <si>
    <t>#11ae50</t>
  </si>
  <si>
    <t>#28dd98</t>
  </si>
  <si>
    <t>#3f13e0</t>
  </si>
  <si>
    <t>#56422e</t>
  </si>
  <si>
    <t>#6e7276</t>
  </si>
  <si>
    <t>#85a1bd</t>
  </si>
  <si>
    <t>#9cd00b</t>
  </si>
  <si>
    <t>#b30653</t>
  </si>
  <si>
    <t>#ca359b</t>
  </si>
  <si>
    <t>#e165e3</t>
  </si>
  <si>
    <t>#f89430</t>
  </si>
  <si>
    <t>#15c478</t>
  </si>
  <si>
    <t>#2cf3c0</t>
  </si>
  <si>
    <t>#44290e</t>
  </si>
  <si>
    <t>#5b5856</t>
  </si>
  <si>
    <t>#72889d</t>
  </si>
  <si>
    <t>#89b7e5</t>
  </si>
  <si>
    <t>#a0e733</t>
  </si>
  <si>
    <t>#b71c7b</t>
  </si>
  <si>
    <t>#ce4bc2</t>
  </si>
  <si>
    <t>#e57b10</t>
  </si>
  <si>
    <t>#03aa58</t>
  </si>
  <si>
    <t>#1adaa0</t>
  </si>
  <si>
    <t>#310fe8</t>
  </si>
  <si>
    <t>#483f35</t>
  </si>
  <si>
    <t>#5f6e7d</t>
  </si>
  <si>
    <t>#769ec5</t>
  </si>
  <si>
    <t>#8dcd13</t>
  </si>
  <si>
    <t>#a4035b</t>
  </si>
  <si>
    <t>#bc32a2</t>
  </si>
  <si>
    <t>#d361ea</t>
  </si>
  <si>
    <t>#ea9138</t>
  </si>
  <si>
    <t>#07c080</t>
  </si>
  <si>
    <t>#1ef0c8</t>
  </si>
  <si>
    <t>#352515</t>
  </si>
  <si>
    <t>#4c555d</t>
  </si>
  <si>
    <t>#6384a5</t>
  </si>
  <si>
    <t>#7bb4ed</t>
  </si>
  <si>
    <t>#92e33a</t>
  </si>
  <si>
    <t>#a91982</t>
  </si>
  <si>
    <t>#c048ca</t>
  </si>
  <si>
    <t>#d77718</t>
  </si>
  <si>
    <t>#eea760</t>
  </si>
  <si>
    <t>#0bd6a7</t>
  </si>
  <si>
    <t>#220cef</t>
  </si>
  <si>
    <t>#3a3b3d</t>
  </si>
  <si>
    <t>#516b85</t>
  </si>
  <si>
    <t>#689acd</t>
  </si>
  <si>
    <t>#7fca1a</t>
  </si>
  <si>
    <t>#96f962</t>
  </si>
  <si>
    <t>#ad2faa</t>
  </si>
  <si>
    <t>#c45ef2</t>
  </si>
  <si>
    <t>#db8d40</t>
  </si>
  <si>
    <t>#f3bd87</t>
  </si>
  <si>
    <t>#10eccf</t>
  </si>
  <si>
    <t>#27221d</t>
  </si>
  <si>
    <t>#3e5165</t>
  </si>
  <si>
    <t>#5581ac</t>
  </si>
  <si>
    <t>#6cb0f4</t>
  </si>
  <si>
    <t>#83e042</t>
  </si>
  <si>
    <t>#9a158a</t>
  </si>
  <si>
    <t>#b245d2</t>
  </si>
  <si>
    <t>#c9741f</t>
  </si>
  <si>
    <t>#e0a367</t>
  </si>
  <si>
    <t>#f7d3af</t>
  </si>
  <si>
    <t>#1408f7</t>
  </si>
  <si>
    <t>#2b3845</t>
  </si>
  <si>
    <t>#42678c</t>
  </si>
  <si>
    <t>#5997d4</t>
  </si>
  <si>
    <t>#71c622</t>
  </si>
  <si>
    <t>#88f66a</t>
  </si>
  <si>
    <t>#9f2bb2</t>
  </si>
  <si>
    <t>#b65bf9</t>
  </si>
  <si>
    <t>#cd8a47</t>
  </si>
  <si>
    <t>#e4ba8f</t>
  </si>
  <si>
    <t>#01e9d7</t>
  </si>
  <si>
    <t>#181e24</t>
  </si>
  <si>
    <t>#2f4e6c</t>
  </si>
  <si>
    <t>#477db4</t>
  </si>
  <si>
    <t>#5ead02</t>
  </si>
  <si>
    <t>#75dc4a</t>
  </si>
  <si>
    <t>#8c1291</t>
  </si>
  <si>
    <t>#a341d9</t>
  </si>
  <si>
    <t>#ba7127</t>
  </si>
  <si>
    <t>#d1a06f</t>
  </si>
  <si>
    <t>#e8d0b7</t>
  </si>
  <si>
    <t>#060504</t>
  </si>
  <si>
    <t>#1d344c</t>
  </si>
  <si>
    <t>#346494</t>
  </si>
  <si>
    <t>#4b93dc</t>
  </si>
  <si>
    <t>#62c329</t>
  </si>
  <si>
    <t>#79f271</t>
  </si>
  <si>
    <t>#9028b9</t>
  </si>
  <si>
    <t>#a75707</t>
  </si>
  <si>
    <t>#bf874f</t>
  </si>
  <si>
    <t>#d6b696</t>
  </si>
  <si>
    <t>#ede6de</t>
  </si>
  <si>
    <t>#0a1b2c</t>
  </si>
  <si>
    <t>#214a74</t>
  </si>
  <si>
    <t>#387abc</t>
  </si>
  <si>
    <t>#4fa909</t>
  </si>
  <si>
    <t>#66d951</t>
  </si>
  <si>
    <t>#7e0e99</t>
  </si>
  <si>
    <t>#953ee1</t>
  </si>
  <si>
    <t>#ac6d2f</t>
  </si>
  <si>
    <t>#c39d76</t>
  </si>
  <si>
    <t>#daccbe</t>
  </si>
  <si>
    <t>#f1020c</t>
  </si>
  <si>
    <t>#0e3154</t>
  </si>
  <si>
    <t>#25609b</t>
  </si>
  <si>
    <t>#3d90e3</t>
  </si>
  <si>
    <t>#54bf31</t>
  </si>
  <si>
    <t>#6bef79</t>
  </si>
  <si>
    <t>#8224c1</t>
  </si>
  <si>
    <t>#99540e</t>
  </si>
  <si>
    <t>#b08356</t>
  </si>
  <si>
    <t>#c7b39e</t>
  </si>
  <si>
    <t>#dee2e6</t>
  </si>
  <si>
    <t>#f61834</t>
  </si>
  <si>
    <t>#13477b</t>
  </si>
  <si>
    <t>#2a76c3</t>
  </si>
  <si>
    <t>#41a611</t>
  </si>
  <si>
    <t>#58d559</t>
  </si>
  <si>
    <t>#6f0ba1</t>
  </si>
  <si>
    <t>#863ae8</t>
  </si>
  <si>
    <t>#9d6a36</t>
  </si>
  <si>
    <t>#b5997e</t>
  </si>
  <si>
    <t>#ccc9c6</t>
  </si>
  <si>
    <t>#e3f813</t>
  </si>
  <si>
    <t>#002e5b</t>
  </si>
  <si>
    <t>#175da3</t>
  </si>
  <si>
    <t>#2e8ceb</t>
  </si>
  <si>
    <t>#45bc39</t>
  </si>
  <si>
    <t>#5ceb80</t>
  </si>
  <si>
    <t>#7421c8</t>
  </si>
  <si>
    <t>#8b5016</t>
  </si>
  <si>
    <t>#a2805e</t>
  </si>
  <si>
    <t>#b9afa6</t>
  </si>
  <si>
    <t>#d0dfed</t>
  </si>
  <si>
    <t>#e7143b</t>
  </si>
  <si>
    <t>#044483</t>
  </si>
  <si>
    <t>#1b73cb</t>
  </si>
  <si>
    <t>#32a319</t>
  </si>
  <si>
    <t>#4ad260</t>
  </si>
  <si>
    <t>#6107a8</t>
  </si>
  <si>
    <t>#7837f0</t>
  </si>
  <si>
    <t>#8f663e</t>
  </si>
  <si>
    <t>#a69685</t>
  </si>
  <si>
    <t>#bdc5cd</t>
  </si>
  <si>
    <t>#d4f51b</t>
  </si>
  <si>
    <t>#eb2a63</t>
  </si>
  <si>
    <t>#095aab</t>
  </si>
  <si>
    <t>#2089f2</t>
  </si>
  <si>
    <t>#37b940</t>
  </si>
  <si>
    <t>#4ee888</t>
  </si>
  <si>
    <t>#651dd0</t>
  </si>
  <si>
    <t>#7c4d1e</t>
  </si>
  <si>
    <t>#937c65</t>
  </si>
  <si>
    <t>#aaacad</t>
  </si>
  <si>
    <t>#c2dbf5</t>
  </si>
  <si>
    <t>#d91143</t>
  </si>
  <si>
    <t>#f0408b</t>
  </si>
  <si>
    <t>#0d70d2</t>
  </si>
  <si>
    <t>#249f20</t>
  </si>
  <si>
    <t>#3bcf68</t>
  </si>
  <si>
    <t>#5204b0</t>
  </si>
  <si>
    <t>#6933f7</t>
  </si>
  <si>
    <t>#816345</t>
  </si>
  <si>
    <t>#98928d</t>
  </si>
  <si>
    <t>#afc2d5</t>
  </si>
  <si>
    <t>#c6f123</t>
  </si>
  <si>
    <t>#dd276a</t>
  </si>
  <si>
    <t>#f456b2</t>
  </si>
  <si>
    <t>#118600</t>
  </si>
  <si>
    <t>#28b548</t>
  </si>
  <si>
    <t>#40e590</t>
  </si>
  <si>
    <t>#571ad7</t>
  </si>
  <si>
    <t>#6e4925</t>
  </si>
  <si>
    <t>#85796d</t>
  </si>
  <si>
    <t>#9ca8b5</t>
  </si>
  <si>
    <t>#b3d803</t>
  </si>
  <si>
    <t>#ca0d4a</t>
  </si>
  <si>
    <t>#e13d92</t>
  </si>
  <si>
    <t>#f96cda</t>
  </si>
  <si>
    <t>#169c28</t>
  </si>
  <si>
    <t>#2dcb6f</t>
  </si>
  <si>
    <t>#4401b7</t>
  </si>
  <si>
    <t>#5b3005</t>
  </si>
  <si>
    <t>#725f4d</t>
  </si>
  <si>
    <t>#898f95</t>
  </si>
  <si>
    <t>#a0bedc</t>
  </si>
  <si>
    <t>#b8ee2a</t>
  </si>
  <si>
    <t>#cf2372</t>
  </si>
  <si>
    <t>#e653ba</t>
  </si>
  <si>
    <t>#038208</t>
  </si>
  <si>
    <t>#1ab24f</t>
  </si>
  <si>
    <t>#31e197</t>
  </si>
  <si>
    <t>#4817df</t>
  </si>
  <si>
    <t>#5f462d</t>
  </si>
  <si>
    <t>#777675</t>
  </si>
  <si>
    <t>#8ea5bc</t>
  </si>
  <si>
    <t>#a5d40a</t>
  </si>
  <si>
    <t>#bc0a52</t>
  </si>
  <si>
    <t>#d3399a</t>
  </si>
  <si>
    <t>#ea69e1</t>
  </si>
  <si>
    <t>#07982f</t>
  </si>
  <si>
    <t>#1ec877</t>
  </si>
  <si>
    <t>#35f7bf</t>
  </si>
  <si>
    <t>#4d2d0d</t>
  </si>
  <si>
    <t>#645c54</t>
  </si>
  <si>
    <t>#7b8c9c</t>
  </si>
  <si>
    <t>#92bbe4</t>
  </si>
  <si>
    <t>#a9ea32</t>
  </si>
  <si>
    <t>#c0207a</t>
  </si>
  <si>
    <t>#d74fc1</t>
  </si>
  <si>
    <t>#ee7f0f</t>
  </si>
  <si>
    <t>#0cae57</t>
  </si>
  <si>
    <t>#23de9f</t>
  </si>
  <si>
    <t>#3a13e6</t>
  </si>
  <si>
    <t>#514334</t>
  </si>
  <si>
    <t>#68727c</t>
  </si>
  <si>
    <t>#7fa2c4</t>
  </si>
  <si>
    <t>#96d112</t>
  </si>
  <si>
    <t>#ad0659</t>
  </si>
  <si>
    <t>#c536a1</t>
  </si>
  <si>
    <t>#dc65e9</t>
  </si>
  <si>
    <t>#f39537</t>
  </si>
  <si>
    <t>#10c47f</t>
  </si>
  <si>
    <t>#27f4c6</t>
  </si>
  <si>
    <t>#3e2914</t>
  </si>
  <si>
    <t>#55595c</t>
  </si>
  <si>
    <t>#6c88a4</t>
  </si>
  <si>
    <t>#84b8ec</t>
  </si>
  <si>
    <t>#9be739</t>
  </si>
  <si>
    <t>#b21c81</t>
  </si>
  <si>
    <t>#c94cc9</t>
  </si>
  <si>
    <t>#e07b17</t>
  </si>
  <si>
    <t>#f7ab5e</t>
  </si>
  <si>
    <t>#14daa6</t>
  </si>
  <si>
    <t>#2b10ee</t>
  </si>
  <si>
    <t>#433f3c</t>
  </si>
  <si>
    <t>#5a6f84</t>
  </si>
  <si>
    <t>#719ecb</t>
  </si>
  <si>
    <t>#88ce19</t>
  </si>
  <si>
    <t>#9f0361</t>
  </si>
  <si>
    <t>#b632a9</t>
  </si>
  <si>
    <t>#cd62f1</t>
  </si>
  <si>
    <t>#e4913e</t>
  </si>
  <si>
    <t>#02c186</t>
  </si>
  <si>
    <t>#19f0ce</t>
  </si>
  <si>
    <t>#30261c</t>
  </si>
  <si>
    <t>#475564</t>
  </si>
  <si>
    <t>#5e85ab</t>
  </si>
  <si>
    <t>#75b4f3</t>
  </si>
  <si>
    <t>#8ce441</t>
  </si>
  <si>
    <t>#a31989</t>
  </si>
  <si>
    <t>#bb48d0</t>
  </si>
  <si>
    <t>#d2781e</t>
  </si>
  <si>
    <t>#e9a766</t>
  </si>
  <si>
    <t>#06d7ae</t>
  </si>
  <si>
    <t>#1d0cf6</t>
  </si>
  <si>
    <t>#343c43</t>
  </si>
  <si>
    <t>#4b6b8b</t>
  </si>
  <si>
    <t>#629bd3</t>
  </si>
  <si>
    <t>#79ca21</t>
  </si>
  <si>
    <t>#910069</t>
  </si>
  <si>
    <t>#a82fb0</t>
  </si>
  <si>
    <t>#bf5ff8</t>
  </si>
  <si>
    <t>#d68e46</t>
  </si>
  <si>
    <t>#edbd8e</t>
  </si>
  <si>
    <t>#0aedd6</t>
  </si>
  <si>
    <t>#212223</t>
  </si>
  <si>
    <t>#38526b</t>
  </si>
  <si>
    <t>#5081b3</t>
  </si>
  <si>
    <t>#67b101</t>
  </si>
  <si>
    <t>#7ee048</t>
  </si>
  <si>
    <t>#951690</t>
  </si>
  <si>
    <t>#ac45d8</t>
  </si>
  <si>
    <t>#c37526</t>
  </si>
  <si>
    <t>#daa46e</t>
  </si>
  <si>
    <t>#f1d3b5</t>
  </si>
  <si>
    <t>#0f0903</t>
  </si>
  <si>
    <t>#26384b</t>
  </si>
  <si>
    <t>#3d6893</t>
  </si>
  <si>
    <t>#5497db</t>
  </si>
  <si>
    <t>#6bc728</t>
  </si>
  <si>
    <t>#82f670</t>
  </si>
  <si>
    <t>#992cb8</t>
  </si>
  <si>
    <t>#b05b06</t>
  </si>
  <si>
    <t>#c88b4e</t>
  </si>
  <si>
    <t>#dfba95</t>
  </si>
  <si>
    <t>#f6e9dd</t>
  </si>
  <si>
    <t>#131f2b</t>
  </si>
  <si>
    <t>#2a4e73</t>
  </si>
  <si>
    <t>#417eba</t>
  </si>
  <si>
    <t>#58ad08</t>
  </si>
  <si>
    <t>#6fdd50</t>
  </si>
  <si>
    <t>#871298</t>
  </si>
  <si>
    <t>#9e42e0</t>
  </si>
  <si>
    <t>#b5712d</t>
  </si>
  <si>
    <t>#cca175</t>
  </si>
  <si>
    <t>#e3d0bd</t>
  </si>
  <si>
    <t>#00050b</t>
  </si>
  <si>
    <t>#173553</t>
  </si>
  <si>
    <t>#2e649a</t>
  </si>
  <si>
    <t>#4694e2</t>
  </si>
  <si>
    <t>#5dc330</t>
  </si>
  <si>
    <t>#74f378</t>
  </si>
  <si>
    <t>#8b28c0</t>
  </si>
  <si>
    <t>#a2580d</t>
  </si>
  <si>
    <t>#b98755</t>
  </si>
  <si>
    <t>#d0b79d</t>
  </si>
  <si>
    <t>#e7e6e5</t>
  </si>
  <si>
    <t>#051b32</t>
  </si>
  <si>
    <t>#1c4b7a</t>
  </si>
  <si>
    <t>#337ac2</t>
  </si>
  <si>
    <t>#4aaa10</t>
  </si>
  <si>
    <t>#61d958</t>
  </si>
  <si>
    <t>#780f9f</t>
  </si>
  <si>
    <t>#8f3ee7</t>
  </si>
  <si>
    <t>#a66e35</t>
  </si>
  <si>
    <t>#be9d7d</t>
  </si>
  <si>
    <t>#d5cdc5</t>
  </si>
  <si>
    <t>#ec0212</t>
  </si>
  <si>
    <t>#09325a</t>
  </si>
  <si>
    <t>#2061a2</t>
  </si>
  <si>
    <t>#3790ea</t>
  </si>
  <si>
    <t>#4ec037</t>
  </si>
  <si>
    <t>#65ef7f</t>
  </si>
  <si>
    <t>#7c25c7</t>
  </si>
  <si>
    <t>#945415</t>
  </si>
  <si>
    <t>#ab845d</t>
  </si>
  <si>
    <t>#c2b3a4</t>
  </si>
  <si>
    <t>#d9e3ec</t>
  </si>
  <si>
    <t>#f0183a</t>
  </si>
  <si>
    <t>#0d4882</t>
  </si>
  <si>
    <t>#2477ca</t>
  </si>
  <si>
    <t>#3ba617</t>
  </si>
  <si>
    <t>#53d65f</t>
  </si>
  <si>
    <t>#6a0ba7</t>
  </si>
  <si>
    <t>#813bef</t>
  </si>
  <si>
    <t>#986a3d</t>
  </si>
  <si>
    <t>#af9a84</t>
  </si>
  <si>
    <t>#c6c9cc</t>
  </si>
  <si>
    <t>#ddf91a</t>
  </si>
  <si>
    <t>#f42e62</t>
  </si>
  <si>
    <t>#125ea9</t>
  </si>
  <si>
    <t>#298df1</t>
  </si>
  <si>
    <t>#40bc3f</t>
  </si>
  <si>
    <t>#57ec87</t>
  </si>
  <si>
    <t>#6e21cf</t>
  </si>
  <si>
    <t>#85511c</t>
  </si>
  <si>
    <t>#9c8064</t>
  </si>
  <si>
    <t>#b3b0ac</t>
  </si>
  <si>
    <t>#cbdff4</t>
  </si>
  <si>
    <t>#e21542</t>
  </si>
  <si>
    <t>#f94489</t>
  </si>
  <si>
    <t>#1674d1</t>
  </si>
  <si>
    <t>#2da31f</t>
  </si>
  <si>
    <t>#44d267</t>
  </si>
  <si>
    <t>#5b08af</t>
  </si>
  <si>
    <t>#7237f6</t>
  </si>
  <si>
    <t>#8a6744</t>
  </si>
  <si>
    <t>#a1968c</t>
  </si>
  <si>
    <t>#b8c6d4</t>
  </si>
  <si>
    <t>#cff521</t>
  </si>
  <si>
    <t>#e62b69</t>
  </si>
  <si>
    <t>#035ab1</t>
  </si>
  <si>
    <t>#1a8af9</t>
  </si>
  <si>
    <t>#31b947</t>
  </si>
  <si>
    <t>#49e88e</t>
  </si>
  <si>
    <t>#601ed6</t>
  </si>
  <si>
    <t>#774d24</t>
  </si>
  <si>
    <t>#8e7d6c</t>
  </si>
  <si>
    <t>#a5acb4</t>
  </si>
  <si>
    <t>#bcdc01</t>
  </si>
  <si>
    <t>#d31149</t>
  </si>
  <si>
    <t>#ea4191</t>
  </si>
  <si>
    <t>#0870d9</t>
  </si>
  <si>
    <t>#1fa027</t>
  </si>
  <si>
    <t>#36cf6e</t>
  </si>
  <si>
    <t>#4d04b6</t>
  </si>
  <si>
    <t>#643404</t>
  </si>
  <si>
    <t>#7b634c</t>
  </si>
  <si>
    <t>#929393</t>
  </si>
  <si>
    <t>#a9c2db</t>
  </si>
  <si>
    <t>#c1f229</t>
  </si>
  <si>
    <t>#d82771</t>
  </si>
  <si>
    <t>#ef57b9</t>
  </si>
  <si>
    <t>#0c8606</t>
  </si>
  <si>
    <t>#23b64e</t>
  </si>
  <si>
    <t>#3ae596</t>
  </si>
  <si>
    <t>#511bde</t>
  </si>
  <si>
    <t>#684a2c</t>
  </si>
  <si>
    <t>#7f7973</t>
  </si>
  <si>
    <t>#97a9bb</t>
  </si>
  <si>
    <t>#aed809</t>
  </si>
  <si>
    <t>#c50e51</t>
  </si>
  <si>
    <t>#dc3d99</t>
  </si>
  <si>
    <t>#f36de0</t>
  </si>
  <si>
    <t>#109c2e</t>
  </si>
  <si>
    <t>#27cc76</t>
  </si>
  <si>
    <t>#3e01be</t>
  </si>
  <si>
    <t>#56310b</t>
  </si>
  <si>
    <t>#6d6053</t>
  </si>
  <si>
    <t>#848f9b</t>
  </si>
  <si>
    <t>#9bbfe3</t>
  </si>
  <si>
    <t>#b2ee31</t>
  </si>
  <si>
    <t>#c92478</t>
  </si>
  <si>
    <t>#e053c0</t>
  </si>
  <si>
    <t>#f7830e</t>
  </si>
  <si>
    <t>#15b256</t>
  </si>
  <si>
    <t>#2ce29e</t>
  </si>
  <si>
    <t>#4317e5</t>
  </si>
  <si>
    <t>#5a4733</t>
  </si>
  <si>
    <t>#71767b</t>
  </si>
  <si>
    <t>#88a5c3</t>
  </si>
  <si>
    <t>#9fd511</t>
  </si>
  <si>
    <t>#b60a58</t>
  </si>
  <si>
    <t>#ce3aa0</t>
  </si>
  <si>
    <t>#e569e8</t>
  </si>
  <si>
    <t>#029936</t>
  </si>
  <si>
    <t>#19c87d</t>
  </si>
  <si>
    <t>#30f8c5</t>
  </si>
  <si>
    <t>#472d13</t>
  </si>
  <si>
    <t>#5e5d5b</t>
  </si>
  <si>
    <t>#758ca3</t>
  </si>
  <si>
    <t>#8dbbea</t>
  </si>
  <si>
    <t>#a4eb38</t>
  </si>
  <si>
    <t>#bb2080</t>
  </si>
  <si>
    <t>#d250c8</t>
  </si>
  <si>
    <t>#e97f16</t>
  </si>
  <si>
    <t>#06af5d</t>
  </si>
  <si>
    <t>#1ddea5</t>
  </si>
  <si>
    <t>#3414ed</t>
  </si>
  <si>
    <t>#4c433b</t>
  </si>
  <si>
    <t>#637382</t>
  </si>
  <si>
    <t>#7aa2ca</t>
  </si>
  <si>
    <t>#91d118</t>
  </si>
  <si>
    <t>#a80760</t>
  </si>
  <si>
    <t>#bf36a8</t>
  </si>
  <si>
    <t>#d666ef</t>
  </si>
  <si>
    <t>#ed953d</t>
  </si>
  <si>
    <t>#0bc585</t>
  </si>
  <si>
    <t>#22f4cd</t>
  </si>
  <si>
    <t>#392a1b</t>
  </si>
  <si>
    <t>#505962</t>
  </si>
  <si>
    <t>#6789aa</t>
  </si>
  <si>
    <t>#7eb8f2</t>
  </si>
  <si>
    <t>#95e840</t>
  </si>
  <si>
    <t>#ac1d88</t>
  </si>
  <si>
    <t>#c34ccf</t>
  </si>
  <si>
    <t>#db7c1d</t>
  </si>
  <si>
    <t>#f2ab65</t>
  </si>
  <si>
    <t>#0fdbad</t>
  </si>
  <si>
    <t>#2610f4</t>
  </si>
  <si>
    <t>#3d4042</t>
  </si>
  <si>
    <t>#546f8a</t>
  </si>
  <si>
    <t>#6b9fd2</t>
  </si>
  <si>
    <t>#82ce20</t>
  </si>
  <si>
    <t>#9a0467</t>
  </si>
  <si>
    <t>#b133af</t>
  </si>
  <si>
    <t>#c862f7</t>
  </si>
  <si>
    <t>#df9245</t>
  </si>
  <si>
    <t>#f6c18d</t>
  </si>
  <si>
    <t>#13f1d4</t>
  </si>
  <si>
    <t>#2a2622</t>
  </si>
  <si>
    <t>#41566a</t>
  </si>
  <si>
    <t>#5985b2</t>
  </si>
  <si>
    <t>#70b500</t>
  </si>
  <si>
    <t>#87e447</t>
  </si>
  <si>
    <t>#9e1a8f</t>
  </si>
  <si>
    <t>#b549d7</t>
  </si>
  <si>
    <t>#cc7825</t>
  </si>
  <si>
    <t>#e3a86c</t>
  </si>
  <si>
    <t>#00d7b4</t>
  </si>
  <si>
    <t>#180d02</t>
  </si>
  <si>
    <t>#2f3c4a</t>
  </si>
  <si>
    <t>#466c92</t>
  </si>
  <si>
    <t>#5d9bd9</t>
  </si>
  <si>
    <t>#74cb27</t>
  </si>
  <si>
    <t>#8b006f</t>
  </si>
  <si>
    <t>#a230b7</t>
  </si>
  <si>
    <t>#b95f05</t>
  </si>
  <si>
    <t>#d18e4c</t>
  </si>
  <si>
    <t>#e8be94</t>
  </si>
  <si>
    <t>#05eddc</t>
  </si>
  <si>
    <t>#1c232a</t>
  </si>
  <si>
    <t>#335272</t>
  </si>
  <si>
    <t>#4a82b9</t>
  </si>
  <si>
    <t>#61b107</t>
  </si>
  <si>
    <t>#78e14f</t>
  </si>
  <si>
    <t>#901697</t>
  </si>
  <si>
    <t>#a746de</t>
  </si>
  <si>
    <t>#be752c</t>
  </si>
  <si>
    <t>#d5a474</t>
  </si>
  <si>
    <t>#ecd4bc</t>
  </si>
  <si>
    <t>#09090a</t>
  </si>
  <si>
    <t>#203951</t>
  </si>
  <si>
    <t>#376899</t>
  </si>
  <si>
    <t>#4f98e1</t>
  </si>
  <si>
    <t>#66c72f</t>
  </si>
  <si>
    <t>#7df777</t>
  </si>
  <si>
    <t>#942cbe</t>
  </si>
  <si>
    <t>#ab5c0c</t>
  </si>
  <si>
    <t>#c28b54</t>
  </si>
  <si>
    <t>#d9ba9c</t>
  </si>
  <si>
    <t>#f0eae4</t>
  </si>
  <si>
    <t>#0e1f31</t>
  </si>
  <si>
    <t>#254f79</t>
  </si>
  <si>
    <t>#3c7ec1</t>
  </si>
  <si>
    <t>#53ae0f</t>
  </si>
  <si>
    <t>#6add56</t>
  </si>
  <si>
    <t>#81139e</t>
  </si>
  <si>
    <t>#9842e6</t>
  </si>
  <si>
    <t>#af7234</t>
  </si>
  <si>
    <t>#c6a17c</t>
  </si>
  <si>
    <t>#ded1c3</t>
  </si>
  <si>
    <t>#f50611</t>
  </si>
  <si>
    <t>#123559</t>
  </si>
  <si>
    <t>#2965a1</t>
  </si>
  <si>
    <t>#4094e9</t>
  </si>
  <si>
    <t>#57c436</t>
  </si>
  <si>
    <t>#6ef37e</t>
  </si>
  <si>
    <t>#8529c6</t>
  </si>
  <si>
    <t>#9d5814</t>
  </si>
  <si>
    <t>#b4885c</t>
  </si>
  <si>
    <t>#cbb7a3</t>
  </si>
  <si>
    <t>#e2e7eb</t>
  </si>
  <si>
    <t>#f91c39</t>
  </si>
  <si>
    <t>#164b81</t>
  </si>
  <si>
    <t>#2d7bc8</t>
  </si>
  <si>
    <t>#44aa16</t>
  </si>
  <si>
    <t>#5cda5e</t>
  </si>
  <si>
    <t>#730fa6</t>
  </si>
  <si>
    <t>#8a3fee</t>
  </si>
  <si>
    <t>#a16e3b</t>
  </si>
  <si>
    <t>#b89e83</t>
  </si>
  <si>
    <t>#cfcdcb</t>
  </si>
  <si>
    <t>#e60319</t>
  </si>
  <si>
    <t>#033261</t>
  </si>
  <si>
    <t>#1b61a8</t>
  </si>
  <si>
    <t>#3291f0</t>
  </si>
  <si>
    <t>#49c03e</t>
  </si>
  <si>
    <t>#60f086</t>
  </si>
  <si>
    <t>#7725cd</t>
  </si>
  <si>
    <t>#8e551b</t>
  </si>
  <si>
    <t>#a58463</t>
  </si>
  <si>
    <t>#bcb4ab</t>
  </si>
  <si>
    <t>#d4e3f3</t>
  </si>
  <si>
    <t>#eb1940</t>
  </si>
  <si>
    <t>#084888</t>
  </si>
  <si>
    <t>#1f77d0</t>
  </si>
  <si>
    <t>#36a71e</t>
  </si>
  <si>
    <t>#4dd666</t>
  </si>
  <si>
    <t>#640cad</t>
  </si>
  <si>
    <t>#7b3bf5</t>
  </si>
  <si>
    <t>#936b43</t>
  </si>
  <si>
    <t>#aa9a8b</t>
  </si>
  <si>
    <t>#c1cad3</t>
  </si>
  <si>
    <t>#d8f920</t>
  </si>
  <si>
    <t>#ef2f68</t>
  </si>
  <si>
    <t>#0c5eb0</t>
  </si>
  <si>
    <t>#238df8</t>
  </si>
  <si>
    <t>#3abd45</t>
  </si>
  <si>
    <t>#52ec8d</t>
  </si>
  <si>
    <t>#6922d5</t>
  </si>
  <si>
    <t>#805123</t>
  </si>
  <si>
    <t>#97816b</t>
  </si>
  <si>
    <t>#aeb0b2</t>
  </si>
  <si>
    <t>#c5e000</t>
  </si>
  <si>
    <t>#dc1548</t>
  </si>
  <si>
    <t>#f34590</t>
  </si>
  <si>
    <t>#1174d8</t>
  </si>
  <si>
    <t>#28a425</t>
  </si>
  <si>
    <t>#3fd36d</t>
  </si>
  <si>
    <t>#5608b5</t>
  </si>
  <si>
    <t>#6d3803</t>
  </si>
  <si>
    <t>#84674b</t>
  </si>
  <si>
    <t>#9b9792</t>
  </si>
  <si>
    <t>#b2c6da</t>
  </si>
  <si>
    <t>#c9f628</t>
  </si>
  <si>
    <t>#e12b70</t>
  </si>
  <si>
    <t>#f85bb7</t>
  </si>
  <si>
    <t>#158a05</t>
  </si>
  <si>
    <t>#2cba4d</t>
  </si>
  <si>
    <t>#43e995</t>
  </si>
  <si>
    <t>#5a1edd</t>
  </si>
  <si>
    <t>#714e2a</t>
  </si>
  <si>
    <t>#887d72</t>
  </si>
  <si>
    <t>#a0adba</t>
  </si>
  <si>
    <t>#b7dc08</t>
  </si>
  <si>
    <t>#ce1250</t>
  </si>
  <si>
    <t>#e54197</t>
  </si>
  <si>
    <t>#0271df</t>
  </si>
  <si>
    <t>#19a02d</t>
  </si>
  <si>
    <t>#30d075</t>
  </si>
  <si>
    <t>#4705bd</t>
  </si>
  <si>
    <t>#5f340a</t>
  </si>
  <si>
    <t>#766452</t>
  </si>
  <si>
    <t>#8d939a</t>
  </si>
  <si>
    <t>#a4c3e2</t>
  </si>
  <si>
    <t>#bbf22f</t>
  </si>
  <si>
    <t>#d22877</t>
  </si>
  <si>
    <t>#e957bf</t>
  </si>
  <si>
    <t>#06870d</t>
  </si>
  <si>
    <t>#1eb655</t>
  </si>
  <si>
    <t>#35e69c</t>
  </si>
  <si>
    <t>#4c1be4</t>
  </si>
  <si>
    <t>#634a32</t>
  </si>
  <si>
    <t>#7a7a7a</t>
  </si>
  <si>
    <t>#91a9c2</t>
  </si>
  <si>
    <t>#a8d90f</t>
  </si>
  <si>
    <t>#bf0e57</t>
  </si>
  <si>
    <t>#d73e9f</t>
  </si>
  <si>
    <t>#ee6de7</t>
  </si>
  <si>
    <t>#0b9d35</t>
  </si>
  <si>
    <t>#22cc7c</t>
  </si>
  <si>
    <t>#3902c4</t>
  </si>
  <si>
    <t>#503112</t>
  </si>
  <si>
    <t>#67605a</t>
  </si>
  <si>
    <t>#7e90a1</t>
  </si>
  <si>
    <t>#96bfe9</t>
  </si>
  <si>
    <t>#adef37</t>
  </si>
  <si>
    <t>#c4247f</t>
  </si>
  <si>
    <t>#db54c7</t>
  </si>
  <si>
    <t>#f28314</t>
  </si>
  <si>
    <t>#0fb35c</t>
  </si>
  <si>
    <t>#26e2a4</t>
  </si>
  <si>
    <t>#3d18ec</t>
  </si>
  <si>
    <t>#55473a</t>
  </si>
  <si>
    <t>#6c7681</t>
  </si>
  <si>
    <t>#83a6c9</t>
  </si>
  <si>
    <t>#9ad517</t>
  </si>
  <si>
    <t>#b10b5f</t>
  </si>
  <si>
    <t>#c83aa7</t>
  </si>
  <si>
    <t>#df6aee</t>
  </si>
  <si>
    <t>#f6993c</t>
  </si>
  <si>
    <t>#13c984</t>
  </si>
  <si>
    <t>#2bf8cc</t>
  </si>
  <si>
    <t>#422e19</t>
  </si>
  <si>
    <t>#595d61</t>
  </si>
  <si>
    <t>#708da9</t>
  </si>
  <si>
    <t>#87bcf1</t>
  </si>
  <si>
    <t>#9eeb3f</t>
  </si>
  <si>
    <t>#b52186</t>
  </si>
  <si>
    <t>#cc50ce</t>
  </si>
  <si>
    <t>#e4801c</t>
  </si>
  <si>
    <t>#01af64</t>
  </si>
  <si>
    <t>#18dfac</t>
  </si>
  <si>
    <t>#2f14f3</t>
  </si>
  <si>
    <t>#464441</t>
  </si>
  <si>
    <t>#5d7389</t>
  </si>
  <si>
    <t>#74a3d1</t>
  </si>
  <si>
    <t>#8bd21e</t>
  </si>
  <si>
    <t>#a30766</t>
  </si>
  <si>
    <t>#ba37ae</t>
  </si>
  <si>
    <t>#d166f6</t>
  </si>
  <si>
    <t>#e89644</t>
  </si>
  <si>
    <t>#05c58b</t>
  </si>
  <si>
    <t>#1cf5d3</t>
  </si>
  <si>
    <t>#332a21</t>
  </si>
  <si>
    <t>#4a5a69</t>
  </si>
  <si>
    <t>#6289b1</t>
  </si>
  <si>
    <t>#79b9f8</t>
  </si>
  <si>
    <t>#90e846</t>
  </si>
  <si>
    <t>#a71d8e</t>
  </si>
  <si>
    <t>#be4dd6</t>
  </si>
  <si>
    <t>#d57c24</t>
  </si>
  <si>
    <t>#ecac6b</t>
  </si>
  <si>
    <t>#09dbb3</t>
  </si>
  <si>
    <t>#211101</t>
  </si>
  <si>
    <t>#384049</t>
  </si>
  <si>
    <t>#4f7090</t>
  </si>
  <si>
    <t>#669fd8</t>
  </si>
  <si>
    <t>#7dcf26</t>
  </si>
  <si>
    <t>#94046e</t>
  </si>
  <si>
    <t>#ab33b6</t>
  </si>
  <si>
    <t>#c26303</t>
  </si>
  <si>
    <t>#da924b</t>
  </si>
  <si>
    <t>#f1c293</t>
  </si>
  <si>
    <t>#0ef1db</t>
  </si>
  <si>
    <t>#252729</t>
  </si>
  <si>
    <t>#3c5670</t>
  </si>
  <si>
    <t>#5386b8</t>
  </si>
  <si>
    <t>#6ab506</t>
  </si>
  <si>
    <t>#81e54e</t>
  </si>
  <si>
    <t>#991a96</t>
  </si>
  <si>
    <t>#b049dd</t>
  </si>
  <si>
    <t>#c7792b</t>
  </si>
  <si>
    <t>#dea873</t>
  </si>
  <si>
    <t>#f5d8bb</t>
  </si>
  <si>
    <t>#120d08</t>
  </si>
  <si>
    <t>#293d50</t>
  </si>
  <si>
    <t>#406c98</t>
  </si>
  <si>
    <t>#589ce0</t>
  </si>
  <si>
    <t>#6fcb2e</t>
  </si>
  <si>
    <t>#860175</t>
  </si>
  <si>
    <t>#9d30bd</t>
  </si>
  <si>
    <t>#b4600b</t>
  </si>
  <si>
    <t>#cb8f53</t>
  </si>
  <si>
    <t>#e2be9b</t>
  </si>
  <si>
    <t>#f9eee2</t>
  </si>
  <si>
    <t>#162330</t>
  </si>
  <si>
    <t>#2e5378</t>
  </si>
  <si>
    <t>#4582c0</t>
  </si>
  <si>
    <t>#5cb20e</t>
  </si>
  <si>
    <t>#73e155</t>
  </si>
  <si>
    <t>#8a179d</t>
  </si>
  <si>
    <t>#a146e5</t>
  </si>
  <si>
    <t>#b87633</t>
  </si>
  <si>
    <t>#cfa57a</t>
  </si>
  <si>
    <t>#e7d4c2</t>
  </si>
  <si>
    <t>#040a10</t>
  </si>
  <si>
    <t>#1b3958</t>
  </si>
  <si>
    <t>#3269a0</t>
  </si>
  <si>
    <t>#4998e7</t>
  </si>
  <si>
    <t>#60c835</t>
  </si>
  <si>
    <t>#77f77d</t>
  </si>
  <si>
    <t>#8e2dc5</t>
  </si>
  <si>
    <t>#a65c13</t>
  </si>
  <si>
    <t>#bd8c5a</t>
  </si>
  <si>
    <t>#d4bba2</t>
  </si>
  <si>
    <t>#ebeaea</t>
  </si>
  <si>
    <t>#082038</t>
  </si>
  <si>
    <t>#1f4f80</t>
  </si>
  <si>
    <t>#367fc7</t>
  </si>
  <si>
    <t>#4dae15</t>
  </si>
  <si>
    <t>#65de5d</t>
  </si>
  <si>
    <t>#7c13a5</t>
  </si>
  <si>
    <t>#9343ec</t>
  </si>
  <si>
    <t>#aa723a</t>
  </si>
  <si>
    <t>#c1a282</t>
  </si>
  <si>
    <t>#d8d1ca</t>
  </si>
  <si>
    <t>#ef0618</t>
  </si>
  <si>
    <t>#0c365f</t>
  </si>
  <si>
    <t>#2465a7</t>
  </si>
  <si>
    <t>#3b95ef</t>
  </si>
  <si>
    <t>#52c43d</t>
  </si>
  <si>
    <t>#69f485</t>
  </si>
  <si>
    <t>#8029cc</t>
  </si>
  <si>
    <t>#97591a</t>
  </si>
  <si>
    <t>#ae8862</t>
  </si>
  <si>
    <t>#c5b8aa</t>
  </si>
  <si>
    <t>#dde7f2</t>
  </si>
  <si>
    <t>#f41c3f</t>
  </si>
  <si>
    <t>#114c87</t>
  </si>
  <si>
    <t>#287bcf</t>
  </si>
  <si>
    <t>#3fab1d</t>
  </si>
  <si>
    <t>#56da64</t>
  </si>
  <si>
    <t>#6d10ac</t>
  </si>
  <si>
    <t>#843ff4</t>
  </si>
  <si>
    <t>#9c6f42</t>
  </si>
  <si>
    <t>#b39e8a</t>
  </si>
  <si>
    <t>#caced1</t>
  </si>
  <si>
    <t>#e1031f</t>
  </si>
  <si>
    <t>#f83267</t>
  </si>
  <si>
    <t>#1562af</t>
  </si>
  <si>
    <t>#2c91f7</t>
  </si>
  <si>
    <t>#43c144</t>
  </si>
  <si>
    <t>#5bf08c</t>
  </si>
  <si>
    <t>#7226d4</t>
  </si>
  <si>
    <t>#895522</t>
  </si>
  <si>
    <t>#a08569</t>
  </si>
  <si>
    <t>#b7b4b1</t>
  </si>
  <si>
    <t>#cee4f9</t>
  </si>
  <si>
    <t>#e51947</t>
  </si>
  <si>
    <t>#02498f</t>
  </si>
  <si>
    <t>#1978d6</t>
  </si>
  <si>
    <t>#31a724</t>
  </si>
  <si>
    <t>#48d76c</t>
  </si>
  <si>
    <t>#5f0cb4</t>
  </si>
  <si>
    <t>#763c02</t>
  </si>
  <si>
    <t>#8d6b49</t>
  </si>
  <si>
    <t>#a49b91</t>
  </si>
  <si>
    <t>#bbcad9</t>
  </si>
  <si>
    <t>#d20027</t>
  </si>
  <si>
    <t>#ea2f6f</t>
  </si>
  <si>
    <t>#075fb6</t>
  </si>
  <si>
    <t>#1e8e04</t>
  </si>
  <si>
    <t>#35bd4c</t>
  </si>
  <si>
    <t>#4ced94</t>
  </si>
  <si>
    <t>#6322db</t>
  </si>
  <si>
    <t>#7a5229</t>
  </si>
  <si>
    <t>#918171</t>
  </si>
  <si>
    <t>#a9b1b9</t>
  </si>
  <si>
    <t>#c0e007</t>
  </si>
  <si>
    <t>#d7164e</t>
  </si>
  <si>
    <t>#ee4596</t>
  </si>
  <si>
    <t>#0b75de</t>
  </si>
  <si>
    <t>#22a42c</t>
  </si>
  <si>
    <t>#39d374</t>
  </si>
  <si>
    <t>#5009bb</t>
  </si>
  <si>
    <t>#683809</t>
  </si>
  <si>
    <t>#7f6851</t>
  </si>
  <si>
    <t>#969799</t>
  </si>
  <si>
    <t>#adc7e1</t>
  </si>
  <si>
    <t>#c4f62e</t>
  </si>
  <si>
    <t>#db2c76</t>
  </si>
  <si>
    <t>#f25bbe</t>
  </si>
  <si>
    <t>#0f8b0c</t>
  </si>
  <si>
    <t>#27ba53</t>
  </si>
  <si>
    <t>#3ee99b</t>
  </si>
  <si>
    <t>#551fe3</t>
  </si>
  <si>
    <t>#6c4e31</t>
  </si>
  <si>
    <t>#837e79</t>
  </si>
  <si>
    <t>#9aadc0</t>
  </si>
  <si>
    <t>#b1dd0e</t>
  </si>
  <si>
    <t>#c81256</t>
  </si>
  <si>
    <t>#e0429e</t>
  </si>
  <si>
    <t>#f771e6</t>
  </si>
  <si>
    <t>#14a133</t>
  </si>
  <si>
    <t>#2bd07b</t>
  </si>
  <si>
    <t>#4205c3</t>
  </si>
  <si>
    <t>#593511</t>
  </si>
  <si>
    <t>#706459</t>
  </si>
  <si>
    <t>#8794a0</t>
  </si>
  <si>
    <t>#9fc3e8</t>
  </si>
  <si>
    <t>#b6f336</t>
  </si>
  <si>
    <t>#cd287e</t>
  </si>
  <si>
    <t>#e458c5</t>
  </si>
  <si>
    <t>#018713</t>
  </si>
  <si>
    <t>#18b75b</t>
  </si>
  <si>
    <t>#2fe6a3</t>
  </si>
  <si>
    <t>#461ceb</t>
  </si>
  <si>
    <t>#5d4b38</t>
  </si>
  <si>
    <t>#757a80</t>
  </si>
  <si>
    <t>#8caac8</t>
  </si>
  <si>
    <t>#a3d916</t>
  </si>
  <si>
    <t>#ba0f5e</t>
  </si>
  <si>
    <t>#d13ea5</t>
  </si>
  <si>
    <t>#e86eed</t>
  </si>
  <si>
    <t>#059d3b</t>
  </si>
  <si>
    <t>#1ccd83</t>
  </si>
  <si>
    <t>#3402cb</t>
  </si>
  <si>
    <t>#4b3218</t>
  </si>
  <si>
    <t>#626160</t>
  </si>
  <si>
    <t>#7990a8</t>
  </si>
  <si>
    <t>#90c0f0</t>
  </si>
  <si>
    <t>#a7ef3d</t>
  </si>
  <si>
    <t>#be2585</t>
  </si>
  <si>
    <t>#d554cd</t>
  </si>
  <si>
    <t>#ed841b</t>
  </si>
  <si>
    <t>#0ab363</t>
  </si>
  <si>
    <t>#21e3aa</t>
  </si>
  <si>
    <t>#3818f2</t>
  </si>
  <si>
    <t>#4f4840</t>
  </si>
  <si>
    <t>#667788</t>
  </si>
  <si>
    <t>#7da6d0</t>
  </si>
  <si>
    <t>#94d61d</t>
  </si>
  <si>
    <t>#ac0b65</t>
  </si>
  <si>
    <t>#c33bad</t>
  </si>
  <si>
    <t>#da6af5</t>
  </si>
  <si>
    <t>#f19a43</t>
  </si>
  <si>
    <t>#0ec98a</t>
  </si>
  <si>
    <t>#25f9d2</t>
  </si>
  <si>
    <t>#3c2e20</t>
  </si>
  <si>
    <t>#535e68</t>
  </si>
  <si>
    <t>#6b8daf</t>
  </si>
  <si>
    <t>#82bcf7</t>
  </si>
  <si>
    <t>#99ec45</t>
  </si>
  <si>
    <t>#b0218d</t>
  </si>
  <si>
    <t>#c751d5</t>
  </si>
  <si>
    <t>#de8022</t>
  </si>
  <si>
    <t>#f5b06a</t>
  </si>
  <si>
    <t>#12dfb2</t>
  </si>
  <si>
    <t>#2a1500</t>
  </si>
  <si>
    <t>#414448</t>
  </si>
  <si>
    <t>#58748f</t>
  </si>
  <si>
    <t>#6fa3d7</t>
  </si>
  <si>
    <t>#86d225</t>
  </si>
  <si>
    <t>#9d086d</t>
  </si>
  <si>
    <t>#b437b4</t>
  </si>
  <si>
    <t>#cb6702</t>
  </si>
  <si>
    <t>#e3964a</t>
  </si>
  <si>
    <t>#00c692</t>
  </si>
  <si>
    <t>#17f5da</t>
  </si>
  <si>
    <t>#2e2b27</t>
  </si>
  <si>
    <t>#455a6f</t>
  </si>
  <si>
    <t>#5c8ab7</t>
  </si>
  <si>
    <t>#73b905</t>
  </si>
  <si>
    <t>#8ae84d</t>
  </si>
  <si>
    <t>#a21e94</t>
  </si>
  <si>
    <t>#b94ddc</t>
  </si>
  <si>
    <t>#d07d2a</t>
  </si>
  <si>
    <t>#e7ac72</t>
  </si>
  <si>
    <t>#04dcba</t>
  </si>
  <si>
    <t>#1b1107</t>
  </si>
  <si>
    <t>#32414f</t>
  </si>
  <si>
    <t>#497097</t>
  </si>
  <si>
    <t>#60a0df</t>
  </si>
  <si>
    <t>#78cf2c</t>
  </si>
  <si>
    <t>#8f0574</t>
  </si>
  <si>
    <t>#a634bc</t>
  </si>
  <si>
    <t>#bd630a</t>
  </si>
  <si>
    <t>#d49352</t>
  </si>
  <si>
    <t>#ebc299</t>
  </si>
  <si>
    <t>#08f2e1</t>
  </si>
  <si>
    <t>#1f272f</t>
  </si>
  <si>
    <t>#375777</t>
  </si>
  <si>
    <t>#4e86bf</t>
  </si>
  <si>
    <t>#65b60c</t>
  </si>
  <si>
    <t>#7ce554</t>
  </si>
  <si>
    <t>#931b9c</t>
  </si>
  <si>
    <t>#aa4ae4</t>
  </si>
  <si>
    <t>#c17932</t>
  </si>
  <si>
    <t>#d8a979</t>
  </si>
  <si>
    <t>#f0d8c1</t>
  </si>
  <si>
    <t>#0d0e0f</t>
  </si>
  <si>
    <t>#243d57</t>
  </si>
  <si>
    <t>#3b6d9e</t>
  </si>
  <si>
    <t>#529ce6</t>
  </si>
  <si>
    <t>#69cc34</t>
  </si>
  <si>
    <t>#80017c</t>
  </si>
  <si>
    <t>#9731c4</t>
  </si>
  <si>
    <t>#af6011</t>
  </si>
  <si>
    <t>#c68f59</t>
  </si>
  <si>
    <t>#ddbfa1</t>
  </si>
  <si>
    <t>#f4eee9</t>
  </si>
  <si>
    <t>#112437</t>
  </si>
  <si>
    <t>#28537e</t>
  </si>
  <si>
    <t>#3f83c6</t>
  </si>
  <si>
    <t>#56b214</t>
  </si>
  <si>
    <t>#6ee25c</t>
  </si>
  <si>
    <t>#8517a4</t>
  </si>
  <si>
    <t>#9c47eb</t>
  </si>
  <si>
    <t>#b37639</t>
  </si>
  <si>
    <t>#caa581</t>
  </si>
  <si>
    <t>#e1d5c9</t>
  </si>
  <si>
    <t>#f80a16</t>
  </si>
  <si>
    <t>#153a5e</t>
  </si>
  <si>
    <t>#2d69a6</t>
  </si>
  <si>
    <t>#4499ee</t>
  </si>
  <si>
    <t>#5bc83c</t>
  </si>
  <si>
    <t>#72f883</t>
  </si>
  <si>
    <t>#892dcb</t>
  </si>
  <si>
    <t>#a05d19</t>
  </si>
  <si>
    <t>#b78c61</t>
  </si>
  <si>
    <t>#cebba9</t>
  </si>
  <si>
    <t>#e6ebf0</t>
  </si>
  <si>
    <t>#03203e</t>
  </si>
  <si>
    <t>#1a5086</t>
  </si>
  <si>
    <t>#317fce</t>
  </si>
  <si>
    <t>#48af1c</t>
  </si>
  <si>
    <t>#5fde63</t>
  </si>
  <si>
    <t>#7614ab</t>
  </si>
  <si>
    <t>#8d43f3</t>
  </si>
  <si>
    <t>#a57341</t>
  </si>
  <si>
    <t>#bca288</t>
  </si>
  <si>
    <t>#d3d2d0</t>
  </si>
  <si>
    <t>#ea071e</t>
  </si>
  <si>
    <t>#073666</t>
  </si>
  <si>
    <t>#1e66ae</t>
  </si>
  <si>
    <t>#3595f5</t>
  </si>
  <si>
    <t>#4cc543</t>
  </si>
  <si>
    <t>#63f48b</t>
  </si>
  <si>
    <t>#7b2ad3</t>
  </si>
  <si>
    <t>#925921</t>
  </si>
  <si>
    <t>#a98968</t>
  </si>
  <si>
    <t>#c0b8b0</t>
  </si>
  <si>
    <t>#d7e8f8</t>
  </si>
  <si>
    <t>#ee1d46</t>
  </si>
  <si>
    <t>#0b4c8e</t>
  </si>
  <si>
    <t>#227cd5</t>
  </si>
  <si>
    <t>#3aab23</t>
  </si>
  <si>
    <t>#51db6b</t>
  </si>
  <si>
    <t>#6810b3</t>
  </si>
  <si>
    <t>#7f4000</t>
  </si>
  <si>
    <t>#966f48</t>
  </si>
  <si>
    <t>#ad9f90</t>
  </si>
  <si>
    <t>#c4ced8</t>
  </si>
  <si>
    <t>#db0426</t>
  </si>
  <si>
    <t>#f3336d</t>
  </si>
  <si>
    <t>#1062b5</t>
  </si>
  <si>
    <t>#279203</t>
  </si>
  <si>
    <t>#3ec14b</t>
  </si>
  <si>
    <t>#55f193</t>
  </si>
  <si>
    <t>#6c26da</t>
  </si>
  <si>
    <t>#835628</t>
  </si>
  <si>
    <t>#9a8570</t>
  </si>
  <si>
    <t>#b2b5b8</t>
  </si>
  <si>
    <t>#c9e405</t>
  </si>
  <si>
    <t>#e01a4d</t>
  </si>
  <si>
    <t>#f74995</t>
  </si>
  <si>
    <t>#1478dd</t>
  </si>
  <si>
    <t>#2ba82b</t>
  </si>
  <si>
    <t>#42d772</t>
  </si>
  <si>
    <t>#590dba</t>
  </si>
  <si>
    <t>#713c08</t>
  </si>
  <si>
    <t>#886c50</t>
  </si>
  <si>
    <t>#9f9b98</t>
  </si>
  <si>
    <t>#b6cbdf</t>
  </si>
  <si>
    <t>#cd002d</t>
  </si>
  <si>
    <t>#e43075</t>
  </si>
  <si>
    <t>#015fbd</t>
  </si>
  <si>
    <t>#188e0b</t>
  </si>
  <si>
    <t>#30be52</t>
  </si>
  <si>
    <t>#47ed9a</t>
  </si>
  <si>
    <t>#5e23e2</t>
  </si>
  <si>
    <t>#755230</t>
  </si>
  <si>
    <t>#8c8277</t>
  </si>
  <si>
    <t>#a3b1bf</t>
  </si>
  <si>
    <t>#bae10d</t>
  </si>
  <si>
    <t>#d11655</t>
  </si>
  <si>
    <t>#e9469d</t>
  </si>
  <si>
    <t>#0675e4</t>
  </si>
  <si>
    <t>#1da432</t>
  </si>
  <si>
    <t>#34d47a</t>
  </si>
  <si>
    <t>#4b09c2</t>
  </si>
  <si>
    <t>#623910</t>
  </si>
  <si>
    <t>#796857</t>
  </si>
  <si>
    <t>#90989f</t>
  </si>
  <si>
    <t>#a7c7e7</t>
  </si>
  <si>
    <t>#bff735</t>
  </si>
  <si>
    <t>#d62c7d</t>
  </si>
  <si>
    <t>#ed5cc4</t>
  </si>
  <si>
    <t>#0a8b12</t>
  </si>
  <si>
    <t>#21bb5a</t>
  </si>
  <si>
    <t>#38eaa2</t>
  </si>
  <si>
    <t>#4f1fe9</t>
  </si>
  <si>
    <t>#664f37</t>
  </si>
  <si>
    <t>#7e7e7f</t>
  </si>
  <si>
    <t>#95aec7</t>
  </si>
  <si>
    <t>#acdd15</t>
  </si>
  <si>
    <t>#c3135c</t>
  </si>
  <si>
    <t>#da42a4</t>
  </si>
  <si>
    <t>#f172ec</t>
  </si>
  <si>
    <t>#0ea13a</t>
  </si>
  <si>
    <t>#25d182</t>
  </si>
  <si>
    <t>#3d06c9</t>
  </si>
  <si>
    <t>#543517</t>
  </si>
  <si>
    <t>#6b655f</t>
  </si>
  <si>
    <t>#8294a7</t>
  </si>
  <si>
    <t>#99c4ef</t>
  </si>
  <si>
    <t>#b0f33c</t>
  </si>
  <si>
    <t>#c72984</t>
  </si>
  <si>
    <t>#de58cc</t>
  </si>
  <si>
    <t>#f6881a</t>
  </si>
  <si>
    <t>#13b761</t>
  </si>
  <si>
    <t>#2ae7a9</t>
  </si>
  <si>
    <t>#411cf1</t>
  </si>
  <si>
    <t>#584b3f</t>
  </si>
  <si>
    <t>#6f7b87</t>
  </si>
  <si>
    <t>#86aace</t>
  </si>
  <si>
    <t>#9dda1c</t>
  </si>
  <si>
    <t>#b50f64</t>
  </si>
  <si>
    <t>#cc3fac</t>
  </si>
  <si>
    <t>#e36ef4</t>
  </si>
  <si>
    <t>#009e41</t>
  </si>
  <si>
    <t>#17cd89</t>
  </si>
  <si>
    <t>#2e03d1</t>
  </si>
  <si>
    <t>#45321f</t>
  </si>
  <si>
    <t>#5c6167</t>
  </si>
  <si>
    <t>#7491ae</t>
  </si>
  <si>
    <t>#8bc0f6</t>
  </si>
  <si>
    <t>#a2f044</t>
  </si>
  <si>
    <t>#b9258c</t>
  </si>
  <si>
    <t>#d055d3</t>
  </si>
  <si>
    <t>#e78421</t>
  </si>
  <si>
    <t>#04b469</t>
  </si>
  <si>
    <t>#1be3b1</t>
  </si>
  <si>
    <t>#3319f9</t>
  </si>
  <si>
    <t>#4a4846</t>
  </si>
  <si>
    <t>#61778e</t>
  </si>
  <si>
    <t>#78a7d6</t>
  </si>
  <si>
    <t>#8fd624</t>
  </si>
  <si>
    <t>#a60c6c</t>
  </si>
  <si>
    <t>#bd3bb3</t>
  </si>
  <si>
    <t>#d46b01</t>
  </si>
  <si>
    <t>#ec9a49</t>
  </si>
  <si>
    <t>#09ca91</t>
  </si>
  <si>
    <t>#20f9d9</t>
  </si>
  <si>
    <t>#372f26</t>
  </si>
  <si>
    <t>#4e5e6e</t>
  </si>
  <si>
    <t>#658eb6</t>
  </si>
  <si>
    <t>#7cbd04</t>
  </si>
  <si>
    <t>#93ec4b</t>
  </si>
  <si>
    <t>#aa2293</t>
  </si>
  <si>
    <t>#c251db</t>
  </si>
  <si>
    <t>#d98129</t>
  </si>
  <si>
    <t>#f0b071</t>
  </si>
  <si>
    <t>#0de0b8</t>
  </si>
  <si>
    <t>#241506</t>
  </si>
  <si>
    <t>#3b454e</t>
  </si>
  <si>
    <t>#527496</t>
  </si>
  <si>
    <t>#69a4de</t>
  </si>
  <si>
    <t>#81d32b</t>
  </si>
  <si>
    <t>#980873</t>
  </si>
  <si>
    <t>#af38bb</t>
  </si>
  <si>
    <t>#c66709</t>
  </si>
  <si>
    <t>#dd9750</t>
  </si>
  <si>
    <t>#f4c698</t>
  </si>
  <si>
    <t>#11f6e0</t>
  </si>
  <si>
    <t>#282b2e</t>
  </si>
  <si>
    <t>#405b76</t>
  </si>
  <si>
    <t>#578abd</t>
  </si>
  <si>
    <t>#6eba0b</t>
  </si>
  <si>
    <t>#85e953</t>
  </si>
  <si>
    <t>#9c1e9b</t>
  </si>
  <si>
    <t>#b34ee3</t>
  </si>
  <si>
    <t>#ca7d30</t>
  </si>
  <si>
    <t>#e1ad78</t>
  </si>
  <si>
    <t>#f9dcc0</t>
  </si>
  <si>
    <t>#16120e</t>
  </si>
  <si>
    <t>#2d4156</t>
  </si>
  <si>
    <t>#44719d</t>
  </si>
  <si>
    <t>#5ba0e5</t>
  </si>
  <si>
    <t>#72d033</t>
  </si>
  <si>
    <t>#89057b</t>
  </si>
  <si>
    <t>#a034c2</t>
  </si>
  <si>
    <t>#b86410</t>
  </si>
  <si>
    <t>#cf9358</t>
  </si>
  <si>
    <t>#e6c3a0</t>
  </si>
  <si>
    <t>#03f2e8</t>
  </si>
  <si>
    <t>#1a2835</t>
  </si>
  <si>
    <t>#31577d</t>
  </si>
  <si>
    <t>#4887c5</t>
  </si>
  <si>
    <t>#5fb613</t>
  </si>
  <si>
    <t>#77e65b</t>
  </si>
  <si>
    <t>#8e1ba2</t>
  </si>
  <si>
    <t>#a54aea</t>
  </si>
  <si>
    <t>#bc7a38</t>
  </si>
  <si>
    <t>#d3a980</t>
  </si>
  <si>
    <t>#ead9c8</t>
  </si>
  <si>
    <t>#070e15</t>
  </si>
  <si>
    <t>#1e3e5d</t>
  </si>
  <si>
    <t>#366da5</t>
  </si>
  <si>
    <t>#4d9ded</t>
  </si>
  <si>
    <t>#64cc3a</t>
  </si>
  <si>
    <t>#7b0282</t>
  </si>
  <si>
    <t>#9231ca</t>
  </si>
  <si>
    <t>#a96018</t>
  </si>
  <si>
    <t>#c09060</t>
  </si>
  <si>
    <t>#d7bfa7</t>
  </si>
  <si>
    <t>#efefef</t>
  </si>
  <si>
    <t>#0c243d</t>
  </si>
  <si>
    <t>#235485</t>
  </si>
  <si>
    <t>#3a83cd</t>
  </si>
  <si>
    <t>#51b31a</t>
  </si>
  <si>
    <t>#68e262</t>
  </si>
  <si>
    <t>#7f18aa</t>
  </si>
  <si>
    <t>#9647f2</t>
  </si>
  <si>
    <t>#ad7740</t>
  </si>
  <si>
    <t>#c5a687</t>
  </si>
  <si>
    <t>#dcd5cf</t>
  </si>
  <si>
    <t>#f30b1d</t>
  </si>
  <si>
    <t>#103a65</t>
  </si>
  <si>
    <t>#276aac</t>
  </si>
  <si>
    <t>#3e99f4</t>
  </si>
  <si>
    <t>#55c942</t>
  </si>
  <si>
    <t>#6cf88a</t>
  </si>
  <si>
    <t>#842ed2</t>
  </si>
  <si>
    <t>#9b5d1f</t>
  </si>
  <si>
    <t>#b28d67</t>
  </si>
  <si>
    <t>#c9bcaf</t>
  </si>
  <si>
    <t>#e0ebf7</t>
  </si>
  <si>
    <t>#f72145</t>
  </si>
  <si>
    <t>#14508c</t>
  </si>
  <si>
    <t>#2b80d4</t>
  </si>
  <si>
    <t>#43af22</t>
  </si>
  <si>
    <t>#5adf6a</t>
  </si>
  <si>
    <t>#7114b2</t>
  </si>
  <si>
    <t>#8844f9</t>
  </si>
  <si>
    <t>#9f7347</t>
  </si>
  <si>
    <t>#b6a38f</t>
  </si>
  <si>
    <t>#cdd2d7</t>
  </si>
  <si>
    <t>#e40724</t>
  </si>
  <si>
    <t>#02376c</t>
  </si>
  <si>
    <t>#1966b4</t>
  </si>
  <si>
    <t>#309602</t>
  </si>
  <si>
    <t>#47c54a</t>
  </si>
  <si>
    <t>#5ef591</t>
  </si>
  <si>
    <t>#752ad9</t>
  </si>
  <si>
    <t>#8c5a27</t>
  </si>
  <si>
    <t>#a3896f</t>
  </si>
  <si>
    <t>#bbb9b7</t>
  </si>
  <si>
    <t>#d2e804</t>
  </si>
  <si>
    <t>#e91d4c</t>
  </si>
  <si>
    <t>#064d94</t>
  </si>
  <si>
    <t>#1d7cdc</t>
  </si>
  <si>
    <t>#34ac2a</t>
  </si>
  <si>
    <t>#4bdb71</t>
  </si>
  <si>
    <t>#6211b9</t>
  </si>
  <si>
    <t>#7a4007</t>
  </si>
  <si>
    <t>#91704f</t>
  </si>
  <si>
    <t>#a89f96</t>
  </si>
  <si>
    <t>#bfcfde</t>
  </si>
  <si>
    <t>#d6042c</t>
  </si>
  <si>
    <t>#ed3374</t>
  </si>
  <si>
    <t>#0a63bc</t>
  </si>
  <si>
    <t>#219209</t>
  </si>
  <si>
    <t>#39c251</t>
  </si>
  <si>
    <t>#50f199</t>
  </si>
  <si>
    <t>#6727e1</t>
  </si>
  <si>
    <t>#7e562f</t>
  </si>
  <si>
    <t>#958676</t>
  </si>
  <si>
    <t>#acb5be</t>
  </si>
  <si>
    <t>#c3e50c</t>
  </si>
  <si>
    <t>#da1a54</t>
  </si>
  <si>
    <t>Shetlands Island</t>
  </si>
  <si>
    <t>Thrace 2</t>
  </si>
  <si>
    <t>Bohol Sea</t>
  </si>
  <si>
    <t>#-----------------------------------------------------------------------------------------------</t>
  </si>
  <si>
    <t>x</t>
  </si>
  <si>
    <t>#Provinces</t>
  </si>
  <si>
    <t>#</t>
  </si>
  <si>
    <t>Al-Djazair</t>
  </si>
  <si>
    <t>Azov</t>
  </si>
  <si>
    <t>Admiralty Islands</t>
  </si>
  <si>
    <t>Yellow River</t>
  </si>
  <si>
    <t>Jutland</t>
  </si>
  <si>
    <t>Lakes Michigan &amp; Huron</t>
  </si>
  <si>
    <t>Mdennah</t>
  </si>
  <si>
    <t>Moskva</t>
  </si>
  <si>
    <t>Howland Island</t>
  </si>
  <si>
    <t>Ocean</t>
  </si>
  <si>
    <t>Ogowe River</t>
  </si>
  <si>
    <t>Velikaya River</t>
  </si>
  <si>
    <t>Narva River</t>
  </si>
  <si>
    <t>Wallis and Futuna Islands</t>
  </si>
  <si>
    <t>St. Croix River</t>
  </si>
  <si>
    <t>Tallahassee</t>
  </si>
  <si>
    <t>Solomon Islands</t>
  </si>
  <si>
    <t>Marcus Island</t>
  </si>
  <si>
    <t>Fundy</t>
  </si>
  <si>
    <t>Edo</t>
  </si>
  <si>
    <t>Alexandretta</t>
  </si>
  <si>
    <t>Tadjourah</t>
  </si>
  <si>
    <t>Abadan</t>
  </si>
  <si>
    <t>Kutaraja</t>
  </si>
  <si>
    <t>Algiers</t>
  </si>
  <si>
    <t>Suhar</t>
  </si>
  <si>
    <t>Echota</t>
  </si>
  <si>
    <t>Durr�s</t>
  </si>
  <si>
    <t>Sarai J�k</t>
  </si>
  <si>
    <t>Lagos</t>
  </si>
  <si>
    <t>Strassburg</t>
  </si>
  <si>
    <t>Bursa</t>
  </si>
  <si>
    <t>Seville</t>
  </si>
  <si>
    <t>London</t>
  </si>
  <si>
    <t>Dessau</t>
  </si>
  <si>
    <t>Nanjing</t>
  </si>
  <si>
    <t>Nuremberg</t>
  </si>
  <si>
    <t>Tafilalt</t>
  </si>
  <si>
    <t>Antsiranana</t>
  </si>
  <si>
    <t>Bari</t>
  </si>
  <si>
    <t>Tabuk</t>
  </si>
  <si>
    <t>Saragossa</t>
  </si>
  <si>
    <t>Erevan</t>
  </si>
  <si>
    <t>Rennes</t>
  </si>
  <si>
    <t>Aussa</t>
  </si>
  <si>
    <t>Arras</t>
  </si>
  <si>
    <t>Guvahati</t>
  </si>
  <si>
    <t>Hajji Tarkhan</t>
  </si>
  <si>
    <t>Burgos</t>
  </si>
  <si>
    <t>Tlemcen</t>
  </si>
  <si>
    <t>Constantine</t>
  </si>
  <si>
    <t>Vienna</t>
  </si>
  <si>
    <t>Clermont</t>
  </si>
  <si>
    <t>Lucknow</t>
  </si>
  <si>
    <t>Kidal</t>
  </si>
  <si>
    <t>Baku</t>
  </si>
  <si>
    <t>Azak</t>
  </si>
  <si>
    <t>Freiburg</t>
  </si>
  <si>
    <t>Taungoo</t>
  </si>
  <si>
    <t>Semarapura</t>
  </si>
  <si>
    <t>Turbat</t>
  </si>
  <si>
    <t>Temesv�r</t>
  </si>
  <si>
    <t>Banjarmasin</t>
  </si>
  <si>
    <t>Kawali</t>
  </si>
  <si>
    <t>Vijayanagara</t>
  </si>
  <si>
    <t>Ayutthaya</t>
  </si>
  <si>
    <t>Portland</t>
  </si>
  <si>
    <t>Rimouski</t>
  </si>
  <si>
    <t>Basra</t>
  </si>
  <si>
    <t>Jagdalpur</t>
  </si>
  <si>
    <t>Dongola</t>
  </si>
  <si>
    <t>Munich</t>
  </si>
  <si>
    <t>Pau</t>
  </si>
  <si>
    <t>Minsk</t>
  </si>
  <si>
    <t>Bergen</t>
  </si>
  <si>
    <t>�rebro</t>
  </si>
  <si>
    <t>Tours</t>
  </si>
  <si>
    <t>Pataliputra</t>
  </si>
  <si>
    <t>Sennar</t>
  </si>
  <si>
    <t>Kucha</t>
  </si>
  <si>
    <t>Oskol</t>
  </si>
  <si>
    <t>Prague</t>
  </si>
  <si>
    <t>Junnar</t>
  </si>
  <si>
    <t>Sarajevo</t>
  </si>
  <si>
    <t>Dijon</t>
  </si>
  <si>
    <t>Brussels</t>
  </si>
  <si>
    <t>Brest</t>
  </si>
  <si>
    <t>Kampong Ayer</t>
  </si>
  <si>
    <t>Chilia</t>
  </si>
  <si>
    <t>Tarnovgrad</t>
  </si>
  <si>
    <t>Jhansi</t>
  </si>
  <si>
    <t>Namlea</t>
  </si>
  <si>
    <t>Angkor Thom</t>
  </si>
  <si>
    <t>Bilbao</t>
  </si>
  <si>
    <t>Ko�ice</t>
  </si>
  <si>
    <t>Madrid</t>
  </si>
  <si>
    <t>Barcelona</t>
  </si>
  <si>
    <t>Asyut</t>
  </si>
  <si>
    <t>Rouen</t>
  </si>
  <si>
    <t>Bula</t>
  </si>
  <si>
    <t>Aurillac</t>
  </si>
  <si>
    <t>Karasahr</t>
  </si>
  <si>
    <t>Rheims</t>
  </si>
  <si>
    <t>Srinagar</t>
  </si>
  <si>
    <t>Sena</t>
  </si>
  <si>
    <t>Sylhet</t>
  </si>
  <si>
    <t>Kotte</t>
  </si>
  <si>
    <t>Mbanza Kongo</t>
  </si>
  <si>
    <t>Galway</t>
  </si>
  <si>
    <t>Truro</t>
  </si>
  <si>
    <t>Bastia</t>
  </si>
  <si>
    <t>Candia</t>
  </si>
  <si>
    <t>Staryi Krym</t>
  </si>
  <si>
    <t>Zagreb</t>
  </si>
  <si>
    <t>Cubango</t>
  </si>
  <si>
    <t>Nicosia</t>
  </si>
  <si>
    <t>Benghazi</t>
  </si>
  <si>
    <t>Panduranga</t>
  </si>
  <si>
    <t>Vijaya</t>
  </si>
  <si>
    <t>Derbent</t>
  </si>
  <si>
    <t>Zara</t>
  </si>
  <si>
    <t>Chamdo</t>
  </si>
  <si>
    <t>Grenoble</t>
  </si>
  <si>
    <t>Damietta</t>
  </si>
  <si>
    <t>Drastar</t>
  </si>
  <si>
    <t>Salalah</t>
  </si>
  <si>
    <t>Kharkov</t>
  </si>
  <si>
    <t>Akhsi</t>
  </si>
  <si>
    <t>Dumbville</t>
  </si>
  <si>
    <t>Cairo</t>
  </si>
  <si>
    <t>Gar�ar</t>
  </si>
  <si>
    <t>Sari</t>
  </si>
  <si>
    <t>Parma</t>
  </si>
  <si>
    <t>Chillicothe</t>
  </si>
  <si>
    <t>Hradec Kr�lov�</t>
  </si>
  <si>
    <t>Reval</t>
  </si>
  <si>
    <t>M�rida</t>
  </si>
  <si>
    <t>Hakodate</t>
  </si>
  <si>
    <t>Shiraz</t>
  </si>
  <si>
    <t>�bo</t>
  </si>
  <si>
    <t>Vard�</t>
  </si>
  <si>
    <t>Florence</t>
  </si>
  <si>
    <t>Bruges</t>
  </si>
  <si>
    <t>Ende</t>
  </si>
  <si>
    <t>Dole</t>
  </si>
  <si>
    <t>Leeuwarden</t>
  </si>
  <si>
    <t>Fuzhou</t>
  </si>
  <si>
    <t>Santiago</t>
  </si>
  <si>
    <t>Lwow</t>
  </si>
  <si>
    <t>Tashilumpo</t>
  </si>
  <si>
    <t>Saptagram</t>
  </si>
  <si>
    <t>Bordeaux</t>
  </si>
  <si>
    <t>G�vle</t>
  </si>
  <si>
    <t>Guelders</t>
  </si>
  <si>
    <t>Tblisi</t>
  </si>
  <si>
    <t>Cadiz</t>
  </si>
  <si>
    <t>Jabalpur</t>
  </si>
  <si>
    <t>Visby</t>
  </si>
  <si>
    <t>Macao</t>
  </si>
  <si>
    <t>Nanning</t>
  </si>
  <si>
    <t>Guiyang</t>
  </si>
  <si>
    <t>Surat</t>
  </si>
  <si>
    <t>Toulouse</t>
  </si>
  <si>
    <t>Say'un</t>
  </si>
  <si>
    <t>Haikou</t>
  </si>
  <si>
    <t>Brunswick</t>
  </si>
  <si>
    <t>Harar</t>
  </si>
  <si>
    <t>Beijing</t>
  </si>
  <si>
    <t>Harbin</t>
  </si>
  <si>
    <t>Athens</t>
  </si>
  <si>
    <t>Zhengzhou</t>
  </si>
  <si>
    <t>Chengde</t>
  </si>
  <si>
    <t>Kassel</t>
  </si>
  <si>
    <t>Stettin</t>
  </si>
  <si>
    <t>Amsterdam</t>
  </si>
  <si>
    <t>Hamburg</t>
  </si>
  <si>
    <t>Bandar Abbas</t>
  </si>
  <si>
    <t>Bhursut</t>
  </si>
  <si>
    <t>Wuhan</t>
  </si>
  <si>
    <t>Changsha</t>
  </si>
  <si>
    <t>Reykjavik</t>
  </si>
  <si>
    <t>Cherdyn</t>
  </si>
  <si>
    <t>Paris</t>
  </si>
  <si>
    <t>Lahari Bandar</t>
  </si>
  <si>
    <t>Narva</t>
  </si>
  <si>
    <t>Naxos</t>
  </si>
  <si>
    <t>Baghdad</t>
  </si>
  <si>
    <t>Aktjubinsk</t>
  </si>
  <si>
    <t>Pegu</t>
  </si>
  <si>
    <t>Berbera</t>
  </si>
  <si>
    <t>Pola</t>
  </si>
  <si>
    <t>Trincomalee</t>
  </si>
  <si>
    <t>Sunda Kelapa</t>
  </si>
  <si>
    <t>Fr�s�n</t>
  </si>
  <si>
    <t>Vozia</t>
  </si>
  <si>
    <t>Tongliao</t>
  </si>
  <si>
    <t>Yanzhou</t>
  </si>
  <si>
    <t>Temasek</t>
  </si>
  <si>
    <t>Amman</t>
  </si>
  <si>
    <t>Jerusalem</t>
  </si>
  <si>
    <t>Aalborg</t>
  </si>
  <si>
    <t>Annaba</t>
  </si>
  <si>
    <t>Dali</t>
  </si>
  <si>
    <t>Mangup</t>
  </si>
  <si>
    <t>Kolepom</t>
  </si>
  <si>
    <t>Tanjung Selor</t>
  </si>
  <si>
    <t>Majar</t>
  </si>
  <si>
    <t>Kyoto</t>
  </si>
  <si>
    <t>Merv</t>
  </si>
  <si>
    <t>Kem</t>
  </si>
  <si>
    <t>Canterbury</t>
  </si>
  <si>
    <t>Calicut</t>
  </si>
  <si>
    <t>Korela</t>
  </si>
  <si>
    <t>Burhanpur</t>
  </si>
  <si>
    <t>Phnom Penh</t>
  </si>
  <si>
    <t>Mashhad</t>
  </si>
  <si>
    <t>Gurganj</t>
  </si>
  <si>
    <t>Balasagun</t>
  </si>
  <si>
    <t>Mosul</t>
  </si>
  <si>
    <t>Kismayu</t>
  </si>
  <si>
    <t>Cleves</t>
  </si>
  <si>
    <t>Koch Bihar</t>
  </si>
  <si>
    <t>Cologne</t>
  </si>
  <si>
    <t>Ni�</t>
  </si>
  <si>
    <t>Shanjir</t>
  </si>
  <si>
    <t>Hong Kong</t>
  </si>
  <si>
    <t>Laibach</t>
  </si>
  <si>
    <t>Polovytsia</t>
  </si>
  <si>
    <t>Leh</t>
  </si>
  <si>
    <t>Bitlis</t>
  </si>
  <si>
    <t>Uzyan</t>
  </si>
  <si>
    <t>Mitau</t>
  </si>
  <si>
    <t>Farah</t>
  </si>
  <si>
    <t>Amdavad</t>
  </si>
  <si>
    <t>Martaban</t>
  </si>
  <si>
    <t>Pusan</t>
  </si>
  <si>
    <t>Fukuoka</t>
  </si>
  <si>
    <t>Kirgis</t>
  </si>
  <si>
    <t>Chiang Mai</t>
  </si>
  <si>
    <t>Lancaster</t>
  </si>
  <si>
    <t>Montpellier</t>
  </si>
  <si>
    <t>Champassak</t>
  </si>
  <si>
    <t>Jokkmokk</t>
  </si>
  <si>
    <t>Beirut</t>
  </si>
  <si>
    <t>Wexford</t>
  </si>
  <si>
    <t>Le�n</t>
  </si>
  <si>
    <t>Jinzhou</t>
  </si>
  <si>
    <t>Mukden</t>
  </si>
  <si>
    <t>Genoa</t>
  </si>
  <si>
    <t>Limoges</t>
  </si>
  <si>
    <t>Vilnius</t>
  </si>
  <si>
    <t>Riga</t>
  </si>
  <si>
    <t>Spiro</t>
  </si>
  <si>
    <t>Milan</t>
  </si>
  <si>
    <t>Nancy</t>
  </si>
  <si>
    <t>Edinburgh</t>
  </si>
  <si>
    <t>Beljamen</t>
  </si>
  <si>
    <t>Yezd</t>
  </si>
  <si>
    <t>Luxemburg</t>
  </si>
  <si>
    <t>Lyons</t>
  </si>
  <si>
    <t>Thessalonica</t>
  </si>
  <si>
    <t>Vijayavatika</t>
  </si>
  <si>
    <t>Esztergom</t>
  </si>
  <si>
    <t>Punawadi</t>
  </si>
  <si>
    <t>Le Mans</t>
  </si>
  <si>
    <t>Mdina</t>
  </si>
  <si>
    <t>Ujjain</t>
  </si>
  <si>
    <t>Ava</t>
  </si>
  <si>
    <t>Ancona</t>
  </si>
  <si>
    <t>Debrecen</t>
  </si>
  <si>
    <t>Muscat</t>
  </si>
  <si>
    <t>Sawqirah</t>
  </si>
  <si>
    <t>Warsaw</t>
  </si>
  <si>
    <t>Wadan</t>
  </si>
  <si>
    <t>Dublin</t>
  </si>
  <si>
    <t>Abbasabad</t>
  </si>
  <si>
    <t>L�beck</t>
  </si>
  <si>
    <t>Mecca</t>
  </si>
  <si>
    <t>Luang Prabang</t>
  </si>
  <si>
    <t>Prey Nokor</t>
  </si>
  <si>
    <t>Minab</t>
  </si>
  <si>
    <t>Nottingham</t>
  </si>
  <si>
    <t>Kuta Watu</t>
  </si>
  <si>
    <t>Xamar</t>
  </si>
  <si>
    <t>Suceava</t>
  </si>
  <si>
    <t>Brno</t>
  </si>
  <si>
    <t>Nantes</t>
  </si>
  <si>
    <t>Mystras</t>
  </si>
  <si>
    <t>Waiguya</t>
  </si>
  <si>
    <t>Mogilev</t>
  </si>
  <si>
    <t>Hobyo</t>
  </si>
  <si>
    <t>Cork</t>
  </si>
  <si>
    <t>Murrumbidgee</t>
  </si>
  <si>
    <t>Nampula</t>
  </si>
  <si>
    <t>Naples</t>
  </si>
  <si>
    <t>Bod�</t>
  </si>
  <si>
    <t>Pamplona</t>
  </si>
  <si>
    <t>Tete</t>
  </si>
  <si>
    <t>Kathmandu</t>
  </si>
  <si>
    <t>Eko</t>
  </si>
  <si>
    <t>Assuan</t>
  </si>
  <si>
    <t>Yinchuan</t>
  </si>
  <si>
    <t>Nevers</t>
  </si>
  <si>
    <t>Nizhniy Novgorod</t>
  </si>
  <si>
    <t>Caen</t>
  </si>
  <si>
    <t>Newcastle</t>
  </si>
  <si>
    <t>Idjil</t>
  </si>
  <si>
    <t>Suakin</t>
  </si>
  <si>
    <t>Nusaybin</t>
  </si>
  <si>
    <t>Viborg</t>
  </si>
  <si>
    <t>Sopron</t>
  </si>
  <si>
    <t>Cuttack</t>
  </si>
  <si>
    <t>Kelafo</t>
  </si>
  <si>
    <t>Cahokia</t>
  </si>
  <si>
    <t>Kargopol</t>
  </si>
  <si>
    <t>Porto</t>
  </si>
  <si>
    <t>Oran</t>
  </si>
  <si>
    <t>Sarapul</t>
  </si>
  <si>
    <t>Orl�ans</t>
  </si>
  <si>
    <t>Mustasaari</t>
  </si>
  <si>
    <t>Oslo</t>
  </si>
  <si>
    <t>Krems</t>
  </si>
  <si>
    <t>Oyo-Ile</t>
  </si>
  <si>
    <t>Paralakhemundi</t>
  </si>
  <si>
    <t>Bono Manso</t>
  </si>
  <si>
    <t>Chacabuco</t>
  </si>
  <si>
    <t>Santa Rosa</t>
  </si>
  <si>
    <t>Kedah</t>
  </si>
  <si>
    <t>Buda</t>
  </si>
  <si>
    <t>Trier</t>
  </si>
  <si>
    <t>Amiens</t>
  </si>
  <si>
    <t>Turin</t>
  </si>
  <si>
    <t>Lublin</t>
  </si>
  <si>
    <t>Chernivtsi</t>
  </si>
  <si>
    <t>Poitiers</t>
  </si>
  <si>
    <t>Nellore</t>
  </si>
  <si>
    <t>Pozsony</t>
  </si>
  <si>
    <t>Marseilles</t>
  </si>
  <si>
    <t>K�nigsberg</t>
  </si>
  <si>
    <t>Golmud</t>
  </si>
  <si>
    <t>Kandahar</t>
  </si>
  <si>
    <t>Ganzhou</t>
  </si>
  <si>
    <t>Delingha</t>
  </si>
  <si>
    <t>Mersa Matruh</t>
  </si>
  <si>
    <t>Dubrovnik</t>
  </si>
  <si>
    <t>Jodhpur</t>
  </si>
  <si>
    <t>Pagaruyung</t>
  </si>
  <si>
    <t>Rome</t>
  </si>
  <si>
    <t>Bologna</t>
  </si>
  <si>
    <t>Perpignan</t>
  </si>
  <si>
    <t>Khami</t>
  </si>
  <si>
    <t>Kilwa</t>
  </si>
  <si>
    <t>Varna</t>
  </si>
  <si>
    <t>Ungv�r</t>
  </si>
  <si>
    <t>Pereslavl</t>
  </si>
  <si>
    <t>Marudu</t>
  </si>
  <si>
    <t>Dresden</t>
  </si>
  <si>
    <t>Chicoutimi</t>
  </si>
  <si>
    <t>Agadir</t>
  </si>
  <si>
    <t>Baubau</t>
  </si>
  <si>
    <t>Obdoriya</t>
  </si>
  <si>
    <t>Suvar</t>
  </si>
  <si>
    <t>Acre</t>
  </si>
  <si>
    <t>Chittagong</t>
  </si>
  <si>
    <t>Vieng Chan</t>
  </si>
  <si>
    <t>Uvek</t>
  </si>
  <si>
    <t>Pontianak</t>
  </si>
  <si>
    <t>Cagliari</t>
  </si>
  <si>
    <t>Chamb�ry</t>
  </si>
  <si>
    <t>Oreshek</t>
  </si>
  <si>
    <t>Zurich</t>
  </si>
  <si>
    <t>Samarinda</t>
  </si>
  <si>
    <t>Belgrade</t>
  </si>
  <si>
    <t>Xi'an</t>
  </si>
  <si>
    <t>Mong Yang</t>
  </si>
  <si>
    <t>Jiao'ao</t>
  </si>
  <si>
    <t>Taiyuan</t>
  </si>
  <si>
    <t>Axum</t>
  </si>
  <si>
    <t>Itajima</t>
  </si>
  <si>
    <t>Turpan</t>
  </si>
  <si>
    <t>Palermo</t>
  </si>
  <si>
    <t>Breslau</t>
  </si>
  <si>
    <t>Aqaba</t>
  </si>
  <si>
    <t>Thatta</t>
  </si>
  <si>
    <t>Copenhagen</t>
  </si>
  <si>
    <t>Lund</t>
  </si>
  <si>
    <t>Kalmar</t>
  </si>
  <si>
    <t>Tskhumi</t>
  </si>
  <si>
    <t>Tamrida</t>
  </si>
  <si>
    <t>Bandar Qasim</t>
  </si>
  <si>
    <t>Sredny Khrebet</t>
  </si>
  <si>
    <t>Kebec</t>
  </si>
  <si>
    <t>Graz</t>
  </si>
  <si>
    <t>Glasgow</t>
  </si>
  <si>
    <t>Soba</t>
  </si>
  <si>
    <t>Pilsen</t>
  </si>
  <si>
    <t>Poso</t>
  </si>
  <si>
    <t>Bima</t>
  </si>
  <si>
    <t>Pakuan Pajajaran</t>
  </si>
  <si>
    <t>Kaministiquia</t>
  </si>
  <si>
    <t>Wilwatikta</t>
  </si>
  <si>
    <t>Termez</t>
  </si>
  <si>
    <t>Stockholm</t>
  </si>
  <si>
    <t>Damascus</t>
  </si>
  <si>
    <t>Tehran</t>
  </si>
  <si>
    <t>Khavakand</t>
  </si>
  <si>
    <t>Lisbon</t>
  </si>
  <si>
    <t>Dadu</t>
  </si>
  <si>
    <t>Morsha</t>
  </si>
  <si>
    <t>Tannu-Ola</t>
  </si>
  <si>
    <t>Paititi</t>
  </si>
  <si>
    <t>Mrohaung</t>
  </si>
  <si>
    <t>Nul</t>
  </si>
  <si>
    <t>Karaman</t>
  </si>
  <si>
    <t>Vanaja</t>
  </si>
  <si>
    <t>Multan</t>
  </si>
  <si>
    <t>Vila do Porto</t>
  </si>
  <si>
    <t>Palma de Mallorca</t>
  </si>
  <si>
    <t>Betancuria</t>
  </si>
  <si>
    <t>Aberdeen</t>
  </si>
  <si>
    <t>Inverness</t>
  </si>
  <si>
    <t>Constantinople</t>
  </si>
  <si>
    <t>Kashgar</t>
  </si>
  <si>
    <t>Ushuaia</t>
  </si>
  <si>
    <t>Dili</t>
  </si>
  <si>
    <t>Tidore</t>
  </si>
  <si>
    <t>Sitamarhi</t>
  </si>
  <si>
    <t>Innsbruck</t>
  </si>
  <si>
    <t>Tuxpan</t>
  </si>
  <si>
    <t>Tobago</t>
  </si>
  <si>
    <t>Chimgi-Tura</t>
  </si>
  <si>
    <t>Iwadeyama</t>
  </si>
  <si>
    <t>Gonaibo</t>
  </si>
  <si>
    <t>Marrakech</t>
  </si>
  <si>
    <t>Trebizond</t>
  </si>
  <si>
    <t>Nagyszeben</t>
  </si>
  <si>
    <t>Tripoli</t>
  </si>
  <si>
    <t>Quilon</t>
  </si>
  <si>
    <t>Trondheim</t>
  </si>
  <si>
    <t>Tunis</t>
  </si>
  <si>
    <t>Oxus</t>
  </si>
  <si>
    <t>Tura-Tau</t>
  </si>
  <si>
    <t>Kiev</t>
  </si>
  <si>
    <t>Udinskoye</t>
  </si>
  <si>
    <t>Belfast</t>
  </si>
  <si>
    <t>Yaitsk</t>
  </si>
  <si>
    <t>Tihwa</t>
  </si>
  <si>
    <t>Ust-Urt</t>
  </si>
  <si>
    <t>Tashkent</t>
  </si>
  <si>
    <t>Ume�</t>
  </si>
  <si>
    <t>L�d�se</t>
  </si>
  <si>
    <t>La Rochelle</t>
  </si>
  <si>
    <t>Venice</t>
  </si>
  <si>
    <t>Brattahl��</t>
  </si>
  <si>
    <t>Sarai Batu</t>
  </si>
  <si>
    <t>Yaroslavl</t>
  </si>
  <si>
    <t>Voronezh</t>
  </si>
  <si>
    <t>Stralsund</t>
  </si>
  <si>
    <t>Kumbi Saleh</t>
  </si>
  <si>
    <t>Caernarvon</t>
  </si>
  <si>
    <t>Targoviste</t>
  </si>
  <si>
    <t>Velikiye Luki</t>
  </si>
  <si>
    <t>Roha</t>
  </si>
  <si>
    <t>Southampton</t>
  </si>
  <si>
    <t>Gniezno</t>
  </si>
  <si>
    <t>Stuttgart</t>
  </si>
  <si>
    <t>Erfurt</t>
  </si>
  <si>
    <t>Jiuquan</t>
  </si>
  <si>
    <t>Seoul</t>
  </si>
  <si>
    <t>Visakhapatnam</t>
  </si>
  <si>
    <t>Aragua</t>
  </si>
  <si>
    <t>San'a</t>
  </si>
  <si>
    <t>York</t>
  </si>
  <si>
    <t>Mayapan</t>
  </si>
  <si>
    <t>Kunming</t>
  </si>
  <si>
    <t>Zabol</t>
  </si>
  <si>
    <t>Beira</t>
  </si>
  <si>
    <t>Birnin Zaria</t>
  </si>
  <si>
    <t>Middelburg</t>
  </si>
  <si>
    <t>Hangzhou</t>
  </si>
  <si>
    <t>#EOF</t>
  </si>
  <si>
    <t>Dummy</t>
  </si>
  <si>
    <t>TRANS</t>
  </si>
  <si>
    <t>Muunster</t>
  </si>
  <si>
    <t>Arabia New</t>
  </si>
  <si>
    <t>Mekong Delta 2</t>
  </si>
  <si>
    <t>Australian Sea 2</t>
  </si>
  <si>
    <t>Java Sea 2</t>
  </si>
  <si>
    <t>South Timor Sea 2</t>
  </si>
  <si>
    <t>Timor Sea 2</t>
  </si>
  <si>
    <t>South China Sea 2</t>
  </si>
  <si>
    <t>Taihei Ocean 2</t>
  </si>
  <si>
    <t>Coral Sea 2</t>
  </si>
  <si>
    <t>South Coral Sea 2</t>
  </si>
  <si>
    <t>South Coral Sea 3</t>
  </si>
  <si>
    <t>Tasman Sea 2</t>
  </si>
  <si>
    <t>Tasman Sea 3</t>
  </si>
  <si>
    <t>Tasman Sea 4</t>
  </si>
  <si>
    <t>Straits of Lombok 2</t>
  </si>
  <si>
    <t>tax</t>
  </si>
  <si>
    <t>Madera Islands</t>
  </si>
  <si>
    <t>org_id</t>
  </si>
  <si>
    <t>FTG Name</t>
  </si>
  <si>
    <t>TILES</t>
  </si>
  <si>
    <t>Lake Vettern</t>
  </si>
  <si>
    <t>Lake Baikal</t>
  </si>
  <si>
    <t>map tiles</t>
  </si>
  <si>
    <t>map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</si>
</sst>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6B0129-E9DE-409E-A36B-C50C5B777EE4}" name="Table4" displayName="Table4" ref="A1:P1676" totalsRowShown="0">
  <autoFilter ref="A1:P1676" xr:uid="{5A6B0129-E9DE-409E-A36B-C50C5B777EE4}">
    <filterColumn colId="0">
      <colorFilter dxfId="4"/>
    </filterColumn>
  </autoFilter>
  <sortState xmlns:xlrd2="http://schemas.microsoft.com/office/spreadsheetml/2017/richdata2" ref="A2:P1676">
    <sortCondition ref="A1:A1676"/>
  </sortState>
  <tableColumns count="16">
    <tableColumn id="1" xr3:uid="{4DFF7437-A7EB-4E40-9F11-D03463ADD04F}" name="id"/>
    <tableColumn id="2" xr3:uid="{3EA83869-F418-4561-8989-8710A5FEA800}" name="continent"/>
    <tableColumn id="3" xr3:uid="{8C541158-7372-4C34-8587-F45E85624D06}" name="region"/>
    <tableColumn id="4" xr3:uid="{E033A5B7-A6CF-418B-9687-5884FF94B084}" name="area"/>
    <tableColumn id="5" xr3:uid="{550B17FD-25C3-48F5-B63C-88D6A37985C9}" name="terrain"/>
    <tableColumn id="6" xr3:uid="{72183F1A-BA51-4B75-9A8E-4EF0AD1E693A}" name="religion"/>
    <tableColumn id="7" xr3:uid="{F251E654-6BA3-4FEB-A04E-BB9E29BF6531}" name="climate"/>
    <tableColumn id="8" xr3:uid="{F8EB4E9A-E9F8-44BC-8EE7-D28C35BA1C4A}" name="culture"/>
    <tableColumn id="9" xr3:uid="{879EE548-4726-47DC-85FA-99212343268B}" name="goods"/>
    <tableColumn id="10" xr3:uid="{F13F5CA0-A4BC-4154-BE0B-5E2BF5CCB5F2}" name="name"/>
    <tableColumn id="11" xr3:uid="{C1EF46E2-A663-4468-B85E-9B0E315CF3CB}" name="colonization difficulty"/>
    <tableColumn id="12" xr3:uid="{99B22E6C-0A1E-4A69-BF06-519E18158F99}" name="manpower"/>
    <tableColumn id="13" xr3:uid="{CDDD14DC-DBCF-4D39-8C9F-4D121A922B2F}" name="tax"/>
    <tableColumn id="14" xr3:uid="{79EF09DA-2EFC-4A97-ADF3-9B389C5EAD69}" name="org_id"/>
    <tableColumn id="15" xr3:uid="{B056F353-36CE-49CC-9E00-F1A931ADBD6F}" name="FTG Name" dataDxfId="8">
      <calculatedColumnFormula>_xlfn.XLOOKUP(Table4[[#This Row],[id]],VALINA[id],VALINA[name])</calculatedColumnFormula>
    </tableColumn>
    <tableColumn id="16" xr3:uid="{55FA6A39-109D-4F3C-8113-7CD56FF6958F}" name="TILES" dataDxfId="12">
      <calculatedColumnFormula>_xlfn.XLOOKUP(Table4[[#This Row],[id]],prov_color!A:A,prov_color!C:C)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6D7D8-0EA6-4AA5-84C2-B0235A79058B}" name="VALINA" displayName="VALINA" ref="A1:Q1615" totalsRowShown="0">
  <autoFilter ref="A1:Q1615" xr:uid="{F616D7D8-0EA6-4AA5-84C2-B0235A79058B}"/>
  <sortState xmlns:xlrd2="http://schemas.microsoft.com/office/spreadsheetml/2017/richdata2" ref="A826:Q1615">
    <sortCondition ref="A1:A1615"/>
  </sortState>
  <tableColumns count="17">
    <tableColumn id="1" xr3:uid="{E7CE8D49-66AF-4337-B899-07ACBD5B3423}" name="id"/>
    <tableColumn id="2" xr3:uid="{BD3292DC-813E-4A60-AFE7-910368AF0C02}" name="continent"/>
    <tableColumn id="3" xr3:uid="{53EAF5D5-5D7D-4063-8E18-8DA361B5033D}" name="region"/>
    <tableColumn id="4" xr3:uid="{6F32A1AE-F752-4DA4-918F-CA22D706CBA9}" name="area"/>
    <tableColumn id="5" xr3:uid="{EB261BBB-1EC0-42BC-BF1B-2DAD184F0E8E}" name="terrain"/>
    <tableColumn id="6" xr3:uid="{FC673591-8AF4-456B-A883-8DC0277B63F0}" name="religion"/>
    <tableColumn id="7" xr3:uid="{9609AF4F-C63D-4421-8B19-180EDF912FEE}" name="climate"/>
    <tableColumn id="8" xr3:uid="{29524AF2-FDC3-43E9-BAEE-C99FD55D0B8B}" name="culture"/>
    <tableColumn id="9" xr3:uid="{CCAA85D4-796D-4EA1-B551-3377CC789E40}" name="goods"/>
    <tableColumn id="10" xr3:uid="{3A0A7D16-03FB-4642-A0D0-F1D24EC85CD5}" name="name"/>
    <tableColumn id="11" xr3:uid="{052883FA-CBAE-4560-83D8-D32F2A2D2B9E}" name="colonization_difficulty"/>
    <tableColumn id="12" xr3:uid="{408127F6-89A8-45C8-B84F-25DDDA322E1C}" name="income"/>
    <tableColumn id="13" xr3:uid="{89245EE7-1E16-44C8-819B-ADC559B32925}" name="manpower"/>
    <tableColumn id="14" xr3:uid="{7C9C4309-0632-41BD-B8B9-9986CC83F308}" name="size_modifier"/>
    <tableColumn id="16" xr3:uid="{A310C459-78D8-4494-BCB8-E75115F703FF}" name="map tiles" dataDxfId="14">
      <calculatedColumnFormula>_xlfn.XLOOKUP(VALINA[[#This Row],[id]],prov_color!A:A,prov_color!C:C)</calculatedColumnFormula>
    </tableColumn>
    <tableColumn id="15" xr3:uid="{4D5D2E5D-1D2E-474C-A72B-CFD3796EB4B7}" name="map id" dataDxfId="7">
      <calculatedColumnFormula>_xlfn.XLOOKUP(VALINA[[#This Row],[id]],Table4[id],Table4[name])</calculatedColumnFormula>
    </tableColumn>
    <tableColumn id="17" xr3:uid="{6E22B3B1-A9EF-43ED-BDB3-7149BA4149E6}" name="TRANS" dataDxfId="13">
      <calculatedColumnFormula>_xlfn.XLOOKUP(VALINA[[#This Row],[name]],Trans!A:A,Trans!B:B)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D46AA-6938-457B-9301-59D3269DBAFC}" name="AGCEEP" displayName="AGCEEP" ref="A1:N1616" totalsRowShown="0">
  <autoFilter ref="A1:N1616" xr:uid="{A39D46AA-6938-457B-9301-59D3269DBAFC}"/>
  <sortState xmlns:xlrd2="http://schemas.microsoft.com/office/spreadsheetml/2017/richdata2" ref="A2:N1616">
    <sortCondition ref="A1:A1616"/>
  </sortState>
  <tableColumns count="14">
    <tableColumn id="1" xr3:uid="{A644D2F8-FA7D-40E5-BBEE-66C01BF567B8}" name="id"/>
    <tableColumn id="2" xr3:uid="{1E69D945-4AFF-40A8-9B28-BDA2DF099896}" name="continent"/>
    <tableColumn id="3" xr3:uid="{8CB0D02A-28F4-4B85-91A1-BD3CCA01B906}" name="region"/>
    <tableColumn id="4" xr3:uid="{E2D9B3E3-ED89-45FF-A0C1-700D02FC24CD}" name="area"/>
    <tableColumn id="5" xr3:uid="{6060993C-DA0F-43E9-A25A-F649B96E941F}" name="terrain"/>
    <tableColumn id="6" xr3:uid="{4EAD6F9B-5026-429F-A5FB-53E00D182E0B}" name="religion"/>
    <tableColumn id="7" xr3:uid="{10030C99-BDEC-432D-B0C0-FA0ECBD5CFA7}" name="climate"/>
    <tableColumn id="8" xr3:uid="{48D5B320-4603-4030-A8E7-2E26C51079AB}" name="culture"/>
    <tableColumn id="9" xr3:uid="{4003E40B-08A0-41FF-B57F-FAE92B6B8B55}" name="goods"/>
    <tableColumn id="10" xr3:uid="{76A19723-F0C8-414F-BC84-0E9C600A1903}" name="name"/>
    <tableColumn id="11" xr3:uid="{0FCC4137-0436-4F98-A51D-6FE6C6967788}" name="colonization_difficulty"/>
    <tableColumn id="12" xr3:uid="{349201D5-866E-41DC-84B5-951B69A75CB4}" name="income"/>
    <tableColumn id="13" xr3:uid="{400BF088-0CD6-4A4C-8E7E-FA9E2DF9041E}" name="manpower"/>
    <tableColumn id="14" xr3:uid="{E27D91A0-FC89-4B12-AAFE-7796E80BD7B2}" name="size_modif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73FF-8854-47C4-A758-B6172FBCEA74}">
  <dimension ref="A1:P1676"/>
  <sheetViews>
    <sheetView tabSelected="1" workbookViewId="0">
      <selection activeCell="A825" sqref="A825:XFD825"/>
    </sheetView>
  </sheetViews>
  <sheetFormatPr defaultRowHeight="15" x14ac:dyDescent="0.25"/>
  <cols>
    <col min="2" max="2" width="11.85546875" customWidth="1"/>
    <col min="6" max="6" width="10" customWidth="1"/>
    <col min="7" max="7" width="9.85546875" customWidth="1"/>
    <col min="8" max="8" width="9.5703125" customWidth="1"/>
    <col min="10" max="10" width="30.42578125" customWidth="1"/>
    <col min="11" max="11" width="22.7109375" customWidth="1"/>
    <col min="12" max="12" width="12.5703125" customWidth="1"/>
    <col min="14" max="14" width="18.140625" customWidth="1"/>
    <col min="15" max="15" width="16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1609</v>
      </c>
      <c r="M1" t="s">
        <v>6471</v>
      </c>
      <c r="N1" t="s">
        <v>6473</v>
      </c>
      <c r="O1" t="s">
        <v>6474</v>
      </c>
      <c r="P1" t="s">
        <v>6475</v>
      </c>
    </row>
    <row r="2" spans="1:16" hidden="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9</v>
      </c>
      <c r="L2">
        <v>1</v>
      </c>
      <c r="M2">
        <v>1</v>
      </c>
      <c r="N2">
        <v>1</v>
      </c>
      <c r="O2" t="str">
        <f>_xlfn.XLOOKUP(Table4[[#This Row],[id]],VALINA[id],VALINA[name])</f>
        <v>Yukon</v>
      </c>
      <c r="P2">
        <f>_xlfn.XLOOKUP(Table4[[#This Row],[id]],prov_color!A:A,prov_color!C:C)</f>
        <v>65</v>
      </c>
    </row>
    <row r="3" spans="1:16" hidden="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8</v>
      </c>
      <c r="L3">
        <v>1</v>
      </c>
      <c r="M3">
        <v>1</v>
      </c>
      <c r="N3">
        <v>2</v>
      </c>
      <c r="O3" t="str">
        <f>_xlfn.XLOOKUP(Table4[[#This Row],[id]],VALINA[id],VALINA[name])</f>
        <v>Kitimat</v>
      </c>
      <c r="P3">
        <f>_xlfn.XLOOKUP(Table4[[#This Row],[id]],prov_color!A:A,prov_color!C:C)</f>
        <v>23</v>
      </c>
    </row>
    <row r="4" spans="1:16" hidden="1" x14ac:dyDescent="0.25">
      <c r="A4">
        <v>3</v>
      </c>
      <c r="B4" t="s">
        <v>11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23</v>
      </c>
      <c r="I4" t="s">
        <v>20</v>
      </c>
      <c r="J4" t="s">
        <v>24</v>
      </c>
      <c r="K4">
        <v>7</v>
      </c>
      <c r="L4">
        <v>1</v>
      </c>
      <c r="M4">
        <v>1</v>
      </c>
      <c r="N4">
        <v>3</v>
      </c>
      <c r="O4" t="str">
        <f>_xlfn.XLOOKUP(Table4[[#This Row],[id]],VALINA[id],VALINA[name])</f>
        <v>Sitka</v>
      </c>
      <c r="P4">
        <f>_xlfn.XLOOKUP(Table4[[#This Row],[id]],prov_color!A:A,prov_color!C:C)</f>
        <v>76</v>
      </c>
    </row>
    <row r="5" spans="1:16" hidden="1" x14ac:dyDescent="0.25">
      <c r="A5">
        <v>4</v>
      </c>
      <c r="B5" t="s">
        <v>11</v>
      </c>
      <c r="C5" t="s">
        <v>12</v>
      </c>
      <c r="D5" t="s">
        <v>25</v>
      </c>
      <c r="E5" t="s">
        <v>14</v>
      </c>
      <c r="F5" t="s">
        <v>15</v>
      </c>
      <c r="G5" t="s">
        <v>26</v>
      </c>
      <c r="H5" t="s">
        <v>23</v>
      </c>
      <c r="I5" t="s">
        <v>27</v>
      </c>
      <c r="J5" t="s">
        <v>28</v>
      </c>
      <c r="K5">
        <v>7</v>
      </c>
      <c r="L5">
        <v>1</v>
      </c>
      <c r="M5">
        <v>2</v>
      </c>
      <c r="N5">
        <v>4</v>
      </c>
      <c r="O5" t="str">
        <f>_xlfn.XLOOKUP(Table4[[#This Row],[id]],VALINA[id],VALINA[name])</f>
        <v>Nanaimo</v>
      </c>
      <c r="P5">
        <f>_xlfn.XLOOKUP(Table4[[#This Row],[id]],prov_color!A:A,prov_color!C:C)</f>
        <v>52</v>
      </c>
    </row>
    <row r="6" spans="1:16" hidden="1" x14ac:dyDescent="0.25">
      <c r="A6">
        <v>5</v>
      </c>
      <c r="B6" t="s">
        <v>11</v>
      </c>
      <c r="C6" t="s">
        <v>12</v>
      </c>
      <c r="D6" t="s">
        <v>25</v>
      </c>
      <c r="E6" t="s">
        <v>14</v>
      </c>
      <c r="F6" t="s">
        <v>15</v>
      </c>
      <c r="G6" t="s">
        <v>26</v>
      </c>
      <c r="H6" t="s">
        <v>23</v>
      </c>
      <c r="I6" t="s">
        <v>29</v>
      </c>
      <c r="J6" t="s">
        <v>30</v>
      </c>
      <c r="K6">
        <v>6</v>
      </c>
      <c r="L6">
        <v>1</v>
      </c>
      <c r="M6">
        <v>3</v>
      </c>
      <c r="N6">
        <v>5</v>
      </c>
      <c r="O6" t="str">
        <f>_xlfn.XLOOKUP(Table4[[#This Row],[id]],VALINA[id],VALINA[name])</f>
        <v>Olympia</v>
      </c>
      <c r="P6">
        <f>_xlfn.XLOOKUP(Table4[[#This Row],[id]],prov_color!A:A,prov_color!C:C)</f>
        <v>81</v>
      </c>
    </row>
    <row r="7" spans="1:16" hidden="1" x14ac:dyDescent="0.25">
      <c r="A7">
        <v>6</v>
      </c>
      <c r="B7" t="s">
        <v>11</v>
      </c>
      <c r="C7" t="s">
        <v>12</v>
      </c>
      <c r="D7" t="s">
        <v>25</v>
      </c>
      <c r="E7" t="s">
        <v>22</v>
      </c>
      <c r="F7" t="s">
        <v>15</v>
      </c>
      <c r="G7" t="s">
        <v>26</v>
      </c>
      <c r="H7" t="s">
        <v>23</v>
      </c>
      <c r="I7" t="s">
        <v>20</v>
      </c>
      <c r="J7" t="s">
        <v>31</v>
      </c>
      <c r="K7">
        <v>4</v>
      </c>
      <c r="L7">
        <v>1</v>
      </c>
      <c r="M7">
        <v>5</v>
      </c>
      <c r="N7">
        <v>6</v>
      </c>
      <c r="O7" t="str">
        <f>_xlfn.XLOOKUP(Table4[[#This Row],[id]],VALINA[id],VALINA[name])</f>
        <v>Columbia</v>
      </c>
      <c r="P7">
        <f>_xlfn.XLOOKUP(Table4[[#This Row],[id]],prov_color!A:A,prov_color!C:C)</f>
        <v>54</v>
      </c>
    </row>
    <row r="8" spans="1:16" hidden="1" x14ac:dyDescent="0.25">
      <c r="A8">
        <v>7</v>
      </c>
      <c r="B8" t="s">
        <v>11</v>
      </c>
      <c r="C8" t="s">
        <v>12</v>
      </c>
      <c r="D8" t="s">
        <v>25</v>
      </c>
      <c r="E8" t="s">
        <v>22</v>
      </c>
      <c r="F8" t="s">
        <v>15</v>
      </c>
      <c r="G8" t="s">
        <v>26</v>
      </c>
      <c r="H8" t="s">
        <v>23</v>
      </c>
      <c r="I8" t="s">
        <v>20</v>
      </c>
      <c r="J8" t="s">
        <v>32</v>
      </c>
      <c r="K8">
        <v>5</v>
      </c>
      <c r="L8">
        <v>1</v>
      </c>
      <c r="M8">
        <v>3</v>
      </c>
      <c r="N8">
        <v>7</v>
      </c>
      <c r="O8" t="str">
        <f>_xlfn.XLOOKUP(Table4[[#This Row],[id]],VALINA[id],VALINA[name])</f>
        <v>Nehalem</v>
      </c>
      <c r="P8">
        <f>_xlfn.XLOOKUP(Table4[[#This Row],[id]],prov_color!A:A,prov_color!C:C)</f>
        <v>45</v>
      </c>
    </row>
    <row r="9" spans="1:16" hidden="1" x14ac:dyDescent="0.25">
      <c r="A9">
        <v>8</v>
      </c>
      <c r="B9" t="s">
        <v>11</v>
      </c>
      <c r="C9" t="s">
        <v>12</v>
      </c>
      <c r="D9" t="s">
        <v>33</v>
      </c>
      <c r="E9" t="s">
        <v>34</v>
      </c>
      <c r="F9" t="s">
        <v>15</v>
      </c>
      <c r="G9" t="s">
        <v>35</v>
      </c>
      <c r="H9" t="s">
        <v>36</v>
      </c>
      <c r="I9" t="s">
        <v>37</v>
      </c>
      <c r="J9" t="s">
        <v>38</v>
      </c>
      <c r="K9">
        <v>2</v>
      </c>
      <c r="L9">
        <v>2</v>
      </c>
      <c r="M9">
        <v>7</v>
      </c>
      <c r="N9">
        <v>8</v>
      </c>
      <c r="O9" t="str">
        <f>_xlfn.XLOOKUP(Table4[[#This Row],[id]],VALINA[id],VALINA[name])</f>
        <v>Sacramento</v>
      </c>
      <c r="P9">
        <f>_xlfn.XLOOKUP(Table4[[#This Row],[id]],prov_color!A:A,prov_color!C:C)</f>
        <v>45</v>
      </c>
    </row>
    <row r="10" spans="1:16" hidden="1" x14ac:dyDescent="0.25">
      <c r="A10">
        <v>9</v>
      </c>
      <c r="B10" t="s">
        <v>11</v>
      </c>
      <c r="C10" t="s">
        <v>12</v>
      </c>
      <c r="D10" t="s">
        <v>33</v>
      </c>
      <c r="E10" t="s">
        <v>14</v>
      </c>
      <c r="F10" t="s">
        <v>15</v>
      </c>
      <c r="G10" t="s">
        <v>35</v>
      </c>
      <c r="H10" t="s">
        <v>36</v>
      </c>
      <c r="I10" t="s">
        <v>18</v>
      </c>
      <c r="J10" t="s">
        <v>39</v>
      </c>
      <c r="K10">
        <v>4</v>
      </c>
      <c r="L10">
        <v>1</v>
      </c>
      <c r="M10">
        <v>5</v>
      </c>
      <c r="N10">
        <v>9</v>
      </c>
      <c r="O10" t="str">
        <f>_xlfn.XLOOKUP(Table4[[#This Row],[id]],VALINA[id],VALINA[name])</f>
        <v>Monterey</v>
      </c>
      <c r="P10">
        <f>_xlfn.XLOOKUP(Table4[[#This Row],[id]],prov_color!A:A,prov_color!C:C)</f>
        <v>37</v>
      </c>
    </row>
    <row r="11" spans="1:16" hidden="1" x14ac:dyDescent="0.25">
      <c r="A11">
        <v>10</v>
      </c>
      <c r="B11" t="s">
        <v>11</v>
      </c>
      <c r="C11" t="s">
        <v>12</v>
      </c>
      <c r="D11" t="s">
        <v>33</v>
      </c>
      <c r="E11" t="s">
        <v>14</v>
      </c>
      <c r="F11" t="s">
        <v>15</v>
      </c>
      <c r="G11" t="s">
        <v>35</v>
      </c>
      <c r="H11" t="s">
        <v>40</v>
      </c>
      <c r="I11" t="s">
        <v>41</v>
      </c>
      <c r="J11" t="s">
        <v>42</v>
      </c>
      <c r="K11">
        <v>4</v>
      </c>
      <c r="L11">
        <v>1</v>
      </c>
      <c r="M11">
        <v>4</v>
      </c>
      <c r="N11">
        <v>10</v>
      </c>
      <c r="O11" t="str">
        <f>_xlfn.XLOOKUP(Table4[[#This Row],[id]],VALINA[id],VALINA[name])</f>
        <v>Sierra Madre</v>
      </c>
      <c r="P11">
        <f>_xlfn.XLOOKUP(Table4[[#This Row],[id]],prov_color!A:A,prov_color!C:C)</f>
        <v>40</v>
      </c>
    </row>
    <row r="12" spans="1:16" hidden="1" x14ac:dyDescent="0.25">
      <c r="A12">
        <v>11</v>
      </c>
      <c r="B12" t="s">
        <v>11</v>
      </c>
      <c r="C12" t="s">
        <v>12</v>
      </c>
      <c r="D12" t="s">
        <v>33</v>
      </c>
      <c r="E12" t="s">
        <v>34</v>
      </c>
      <c r="F12" t="s">
        <v>15</v>
      </c>
      <c r="G12" t="s">
        <v>35</v>
      </c>
      <c r="H12" t="s">
        <v>40</v>
      </c>
      <c r="I12" t="s">
        <v>43</v>
      </c>
      <c r="J12" t="s">
        <v>44</v>
      </c>
      <c r="K12">
        <v>3</v>
      </c>
      <c r="L12">
        <v>2</v>
      </c>
      <c r="M12">
        <v>5</v>
      </c>
      <c r="N12">
        <v>11</v>
      </c>
      <c r="O12" t="str">
        <f>_xlfn.XLOOKUP(Table4[[#This Row],[id]],VALINA[id],VALINA[name])</f>
        <v>San Bernardino</v>
      </c>
      <c r="P12">
        <f>_xlfn.XLOOKUP(Table4[[#This Row],[id]],prov_color!A:A,prov_color!C:C)</f>
        <v>53</v>
      </c>
    </row>
    <row r="13" spans="1:16" hidden="1" x14ac:dyDescent="0.25">
      <c r="A13">
        <v>12</v>
      </c>
      <c r="B13" t="s">
        <v>11</v>
      </c>
      <c r="C13" t="s">
        <v>45</v>
      </c>
      <c r="D13" t="s">
        <v>46</v>
      </c>
      <c r="E13" t="s">
        <v>14</v>
      </c>
      <c r="F13" t="s">
        <v>15</v>
      </c>
      <c r="G13" t="s">
        <v>47</v>
      </c>
      <c r="H13" t="s">
        <v>48</v>
      </c>
      <c r="I13" t="s">
        <v>27</v>
      </c>
      <c r="J13" t="s">
        <v>49</v>
      </c>
      <c r="K13">
        <v>8</v>
      </c>
      <c r="L13">
        <v>1</v>
      </c>
      <c r="M13">
        <v>1</v>
      </c>
      <c r="N13">
        <v>12</v>
      </c>
      <c r="O13" t="str">
        <f>_xlfn.XLOOKUP(Table4[[#This Row],[id]],VALINA[id],VALINA[name])</f>
        <v>Ensenada</v>
      </c>
      <c r="P13">
        <f>_xlfn.XLOOKUP(Table4[[#This Row],[id]],prov_color!A:A,prov_color!C:C)</f>
        <v>38</v>
      </c>
    </row>
    <row r="14" spans="1:16" hidden="1" x14ac:dyDescent="0.25">
      <c r="A14">
        <v>13</v>
      </c>
      <c r="B14" t="s">
        <v>11</v>
      </c>
      <c r="C14" t="s">
        <v>45</v>
      </c>
      <c r="D14" t="s">
        <v>46</v>
      </c>
      <c r="E14" t="s">
        <v>14</v>
      </c>
      <c r="F14" t="s">
        <v>15</v>
      </c>
      <c r="G14" t="s">
        <v>47</v>
      </c>
      <c r="H14" t="s">
        <v>48</v>
      </c>
      <c r="I14" t="s">
        <v>27</v>
      </c>
      <c r="J14" t="s">
        <v>50</v>
      </c>
      <c r="K14">
        <v>8</v>
      </c>
      <c r="L14">
        <v>1</v>
      </c>
      <c r="M14">
        <v>1</v>
      </c>
      <c r="N14">
        <v>13</v>
      </c>
      <c r="O14" t="str">
        <f>_xlfn.XLOOKUP(Table4[[#This Row],[id]],VALINA[id],VALINA[name])</f>
        <v>Baja</v>
      </c>
      <c r="P14">
        <f>_xlfn.XLOOKUP(Table4[[#This Row],[id]],prov_color!A:A,prov_color!C:C)</f>
        <v>47</v>
      </c>
    </row>
    <row r="15" spans="1:16" hidden="1" x14ac:dyDescent="0.25">
      <c r="A15">
        <v>14</v>
      </c>
      <c r="B15" t="s">
        <v>11</v>
      </c>
      <c r="C15" t="s">
        <v>12</v>
      </c>
      <c r="D15" t="s">
        <v>51</v>
      </c>
      <c r="E15" t="s">
        <v>52</v>
      </c>
      <c r="F15" t="s">
        <v>15</v>
      </c>
      <c r="G15" t="s">
        <v>47</v>
      </c>
      <c r="H15" t="s">
        <v>48</v>
      </c>
      <c r="I15" t="s">
        <v>53</v>
      </c>
      <c r="J15" t="s">
        <v>54</v>
      </c>
      <c r="K15">
        <v>9</v>
      </c>
      <c r="L15">
        <v>1</v>
      </c>
      <c r="M15">
        <v>1</v>
      </c>
      <c r="N15">
        <v>14</v>
      </c>
      <c r="O15" t="str">
        <f>_xlfn.XLOOKUP(Table4[[#This Row],[id]],VALINA[id],VALINA[name])</f>
        <v>Salton</v>
      </c>
      <c r="P15">
        <f>_xlfn.XLOOKUP(Table4[[#This Row],[id]],prov_color!A:A,prov_color!C:C)</f>
        <v>48</v>
      </c>
    </row>
    <row r="16" spans="1:16" hidden="1" x14ac:dyDescent="0.25">
      <c r="A16">
        <v>15</v>
      </c>
      <c r="B16" t="s">
        <v>11</v>
      </c>
      <c r="C16" t="s">
        <v>45</v>
      </c>
      <c r="D16" t="s">
        <v>46</v>
      </c>
      <c r="E16" t="s">
        <v>52</v>
      </c>
      <c r="F16" t="s">
        <v>15</v>
      </c>
      <c r="G16" t="s">
        <v>47</v>
      </c>
      <c r="H16" t="s">
        <v>48</v>
      </c>
      <c r="I16" t="s">
        <v>41</v>
      </c>
      <c r="J16" t="s">
        <v>55</v>
      </c>
      <c r="K16">
        <v>9</v>
      </c>
      <c r="L16">
        <v>1</v>
      </c>
      <c r="M16">
        <v>1</v>
      </c>
      <c r="N16">
        <v>15</v>
      </c>
      <c r="O16" t="str">
        <f>_xlfn.XLOOKUP(Table4[[#This Row],[id]],VALINA[id],VALINA[name])</f>
        <v>Altar</v>
      </c>
      <c r="P16">
        <f>_xlfn.XLOOKUP(Table4[[#This Row],[id]],prov_color!A:A,prov_color!C:C)</f>
        <v>59</v>
      </c>
    </row>
    <row r="17" spans="1:16" hidden="1" x14ac:dyDescent="0.25">
      <c r="A17">
        <v>16</v>
      </c>
      <c r="B17" t="s">
        <v>11</v>
      </c>
      <c r="C17" t="s">
        <v>12</v>
      </c>
      <c r="D17" t="s">
        <v>51</v>
      </c>
      <c r="E17" t="s">
        <v>52</v>
      </c>
      <c r="F17" t="s">
        <v>15</v>
      </c>
      <c r="G17" t="s">
        <v>47</v>
      </c>
      <c r="H17" t="s">
        <v>48</v>
      </c>
      <c r="I17" t="s">
        <v>41</v>
      </c>
      <c r="J17" t="s">
        <v>56</v>
      </c>
      <c r="K17">
        <v>9</v>
      </c>
      <c r="L17">
        <v>1</v>
      </c>
      <c r="M17">
        <v>1</v>
      </c>
      <c r="N17">
        <v>16</v>
      </c>
      <c r="O17" t="str">
        <f>_xlfn.XLOOKUP(Table4[[#This Row],[id]],VALINA[id],VALINA[name])</f>
        <v>Canyon</v>
      </c>
      <c r="P17">
        <f>_xlfn.XLOOKUP(Table4[[#This Row],[id]],prov_color!A:A,prov_color!C:C)</f>
        <v>49</v>
      </c>
    </row>
    <row r="18" spans="1:16" hidden="1" x14ac:dyDescent="0.25">
      <c r="A18">
        <v>17</v>
      </c>
      <c r="B18" t="s">
        <v>11</v>
      </c>
      <c r="C18" t="s">
        <v>45</v>
      </c>
      <c r="D18" t="s">
        <v>46</v>
      </c>
      <c r="E18" t="s">
        <v>52</v>
      </c>
      <c r="F18" t="s">
        <v>15</v>
      </c>
      <c r="G18" t="s">
        <v>47</v>
      </c>
      <c r="H18" t="s">
        <v>57</v>
      </c>
      <c r="I18" t="s">
        <v>41</v>
      </c>
      <c r="J18" t="s">
        <v>58</v>
      </c>
      <c r="K18">
        <v>9</v>
      </c>
      <c r="L18">
        <v>1</v>
      </c>
      <c r="M18">
        <v>1</v>
      </c>
      <c r="N18">
        <v>17</v>
      </c>
      <c r="O18" t="str">
        <f>_xlfn.XLOOKUP(Table4[[#This Row],[id]],VALINA[id],VALINA[name])</f>
        <v>Empalme</v>
      </c>
      <c r="P18">
        <f>_xlfn.XLOOKUP(Table4[[#This Row],[id]],prov_color!A:A,prov_color!C:C)</f>
        <v>55</v>
      </c>
    </row>
    <row r="19" spans="1:16" hidden="1" x14ac:dyDescent="0.25">
      <c r="A19">
        <v>18</v>
      </c>
      <c r="B19" t="s">
        <v>11</v>
      </c>
      <c r="C19" t="s">
        <v>12</v>
      </c>
      <c r="D19" t="s">
        <v>51</v>
      </c>
      <c r="E19" t="s">
        <v>14</v>
      </c>
      <c r="F19" t="s">
        <v>15</v>
      </c>
      <c r="G19" t="s">
        <v>47</v>
      </c>
      <c r="H19" t="s">
        <v>59</v>
      </c>
      <c r="I19" t="s">
        <v>41</v>
      </c>
      <c r="J19" t="s">
        <v>60</v>
      </c>
      <c r="K19">
        <v>9</v>
      </c>
      <c r="L19">
        <v>1</v>
      </c>
      <c r="M19">
        <v>1</v>
      </c>
      <c r="N19">
        <v>18</v>
      </c>
      <c r="O19" t="str">
        <f>_xlfn.XLOOKUP(Table4[[#This Row],[id]],VALINA[id],VALINA[name])</f>
        <v>Arizona</v>
      </c>
      <c r="P19">
        <f>_xlfn.XLOOKUP(Table4[[#This Row],[id]],prov_color!A:A,prov_color!C:C)</f>
        <v>51</v>
      </c>
    </row>
    <row r="20" spans="1:16" hidden="1" x14ac:dyDescent="0.25">
      <c r="A20">
        <v>19</v>
      </c>
      <c r="B20" t="s">
        <v>11</v>
      </c>
      <c r="C20" t="s">
        <v>12</v>
      </c>
      <c r="D20" t="s">
        <v>51</v>
      </c>
      <c r="E20" t="s">
        <v>14</v>
      </c>
      <c r="F20" t="s">
        <v>15</v>
      </c>
      <c r="G20" t="s">
        <v>35</v>
      </c>
      <c r="H20" t="s">
        <v>59</v>
      </c>
      <c r="I20" t="s">
        <v>41</v>
      </c>
      <c r="J20" t="s">
        <v>61</v>
      </c>
      <c r="K20">
        <v>8</v>
      </c>
      <c r="L20">
        <v>1</v>
      </c>
      <c r="M20">
        <v>1</v>
      </c>
      <c r="N20">
        <v>19</v>
      </c>
      <c r="O20" t="str">
        <f>_xlfn.XLOOKUP(Table4[[#This Row],[id]],VALINA[id],VALINA[name])</f>
        <v>Pinalero</v>
      </c>
      <c r="P20">
        <f>_xlfn.XLOOKUP(Table4[[#This Row],[id]],prov_color!A:A,prov_color!C:C)</f>
        <v>47</v>
      </c>
    </row>
    <row r="21" spans="1:16" hidden="1" x14ac:dyDescent="0.25">
      <c r="A21">
        <v>20</v>
      </c>
      <c r="B21" t="s">
        <v>11</v>
      </c>
      <c r="C21" t="s">
        <v>45</v>
      </c>
      <c r="D21" t="s">
        <v>46</v>
      </c>
      <c r="E21" t="s">
        <v>52</v>
      </c>
      <c r="F21" t="s">
        <v>15</v>
      </c>
      <c r="G21" t="s">
        <v>47</v>
      </c>
      <c r="H21" t="s">
        <v>57</v>
      </c>
      <c r="I21" t="s">
        <v>41</v>
      </c>
      <c r="J21" t="s">
        <v>62</v>
      </c>
      <c r="K21">
        <v>7</v>
      </c>
      <c r="L21">
        <v>1</v>
      </c>
      <c r="M21">
        <v>1</v>
      </c>
      <c r="N21">
        <v>20</v>
      </c>
      <c r="O21" t="str">
        <f>_xlfn.XLOOKUP(Table4[[#This Row],[id]],VALINA[id],VALINA[name])</f>
        <v>Chihuahua</v>
      </c>
      <c r="P21">
        <f>_xlfn.XLOOKUP(Table4[[#This Row],[id]],prov_color!A:A,prov_color!C:C)</f>
        <v>77</v>
      </c>
    </row>
    <row r="22" spans="1:16" hidden="1" x14ac:dyDescent="0.25">
      <c r="A22">
        <v>21</v>
      </c>
      <c r="B22" t="s">
        <v>11</v>
      </c>
      <c r="C22" t="s">
        <v>45</v>
      </c>
      <c r="D22" t="s">
        <v>46</v>
      </c>
      <c r="E22" t="s">
        <v>14</v>
      </c>
      <c r="F22" t="s">
        <v>15</v>
      </c>
      <c r="G22" t="s">
        <v>47</v>
      </c>
      <c r="H22" t="s">
        <v>57</v>
      </c>
      <c r="I22" t="s">
        <v>43</v>
      </c>
      <c r="J22" t="s">
        <v>63</v>
      </c>
      <c r="K22">
        <v>7</v>
      </c>
      <c r="L22">
        <v>1</v>
      </c>
      <c r="M22">
        <v>1</v>
      </c>
      <c r="N22">
        <v>21</v>
      </c>
      <c r="O22" t="str">
        <f>_xlfn.XLOOKUP(Table4[[#This Row],[id]],VALINA[id],VALINA[name])</f>
        <v>Mazatlan</v>
      </c>
      <c r="P22">
        <f>_xlfn.XLOOKUP(Table4[[#This Row],[id]],prov_color!A:A,prov_color!C:C)</f>
        <v>63</v>
      </c>
    </row>
    <row r="23" spans="1:16" hidden="1" x14ac:dyDescent="0.25">
      <c r="A23">
        <v>22</v>
      </c>
      <c r="B23" t="s">
        <v>11</v>
      </c>
      <c r="C23" t="s">
        <v>12</v>
      </c>
      <c r="D23" t="s">
        <v>64</v>
      </c>
      <c r="E23" t="s">
        <v>34</v>
      </c>
      <c r="F23" t="s">
        <v>15</v>
      </c>
      <c r="G23" t="s">
        <v>35</v>
      </c>
      <c r="H23" t="s">
        <v>59</v>
      </c>
      <c r="I23" t="s">
        <v>41</v>
      </c>
      <c r="J23" t="s">
        <v>65</v>
      </c>
      <c r="K23">
        <v>7</v>
      </c>
      <c r="L23">
        <v>1</v>
      </c>
      <c r="M23">
        <v>2</v>
      </c>
      <c r="N23">
        <v>22</v>
      </c>
      <c r="O23" t="str">
        <f>_xlfn.XLOOKUP(Table4[[#This Row],[id]],VALINA[id],VALINA[name])</f>
        <v>El Paso</v>
      </c>
      <c r="P23">
        <f>_xlfn.XLOOKUP(Table4[[#This Row],[id]],prov_color!A:A,prov_color!C:C)</f>
        <v>46</v>
      </c>
    </row>
    <row r="24" spans="1:16" hidden="1" x14ac:dyDescent="0.25">
      <c r="A24">
        <v>23</v>
      </c>
      <c r="B24" t="s">
        <v>11</v>
      </c>
      <c r="C24" t="s">
        <v>45</v>
      </c>
      <c r="D24" t="s">
        <v>46</v>
      </c>
      <c r="E24" t="s">
        <v>52</v>
      </c>
      <c r="F24" t="s">
        <v>15</v>
      </c>
      <c r="G24" t="s">
        <v>47</v>
      </c>
      <c r="H24" t="s">
        <v>57</v>
      </c>
      <c r="I24" t="s">
        <v>41</v>
      </c>
      <c r="J24" t="s">
        <v>66</v>
      </c>
      <c r="K24">
        <v>7</v>
      </c>
      <c r="L24">
        <v>1</v>
      </c>
      <c r="M24">
        <v>1</v>
      </c>
      <c r="N24">
        <v>23</v>
      </c>
      <c r="O24" t="str">
        <f>_xlfn.XLOOKUP(Table4[[#This Row],[id]],VALINA[id],VALINA[name])</f>
        <v>Coahuilha</v>
      </c>
      <c r="P24">
        <f>_xlfn.XLOOKUP(Table4[[#This Row],[id]],prov_color!A:A,prov_color!C:C)</f>
        <v>81</v>
      </c>
    </row>
    <row r="25" spans="1:16" hidden="1" x14ac:dyDescent="0.25">
      <c r="A25">
        <v>24</v>
      </c>
      <c r="B25" t="s">
        <v>11</v>
      </c>
      <c r="C25" t="s">
        <v>45</v>
      </c>
      <c r="D25" t="s">
        <v>67</v>
      </c>
      <c r="E25" t="s">
        <v>14</v>
      </c>
      <c r="F25" t="s">
        <v>15</v>
      </c>
      <c r="G25" t="s">
        <v>35</v>
      </c>
      <c r="H25" t="s">
        <v>68</v>
      </c>
      <c r="I25" t="s">
        <v>18</v>
      </c>
      <c r="J25" t="s">
        <v>69</v>
      </c>
      <c r="K25">
        <v>3</v>
      </c>
      <c r="L25">
        <v>1</v>
      </c>
      <c r="M25">
        <v>5</v>
      </c>
      <c r="N25">
        <v>24</v>
      </c>
      <c r="O25" t="str">
        <f>_xlfn.XLOOKUP(Table4[[#This Row],[id]],VALINA[id],VALINA[name])</f>
        <v>Jalisco</v>
      </c>
      <c r="P25">
        <f>_xlfn.XLOOKUP(Table4[[#This Row],[id]],prov_color!A:A,prov_color!C:C)</f>
        <v>58</v>
      </c>
    </row>
    <row r="26" spans="1:16" hidden="1" x14ac:dyDescent="0.25">
      <c r="A26">
        <v>25</v>
      </c>
      <c r="B26" t="s">
        <v>11</v>
      </c>
      <c r="C26" t="s">
        <v>45</v>
      </c>
      <c r="D26" t="s">
        <v>67</v>
      </c>
      <c r="E26" t="s">
        <v>34</v>
      </c>
      <c r="F26" t="s">
        <v>15</v>
      </c>
      <c r="G26" t="s">
        <v>35</v>
      </c>
      <c r="H26" t="s">
        <v>68</v>
      </c>
      <c r="I26" t="s">
        <v>18</v>
      </c>
      <c r="J26" t="s">
        <v>70</v>
      </c>
      <c r="K26">
        <v>6</v>
      </c>
      <c r="L26">
        <v>1</v>
      </c>
      <c r="M26">
        <v>2</v>
      </c>
      <c r="N26">
        <v>25</v>
      </c>
      <c r="O26" t="str">
        <f>_xlfn.XLOOKUP(Table4[[#This Row],[id]],VALINA[id],VALINA[name])</f>
        <v>Saltillo</v>
      </c>
      <c r="P26">
        <f>_xlfn.XLOOKUP(Table4[[#This Row],[id]],prov_color!A:A,prov_color!C:C)</f>
        <v>64</v>
      </c>
    </row>
    <row r="27" spans="1:16" hidden="1" x14ac:dyDescent="0.25">
      <c r="A27">
        <v>26</v>
      </c>
      <c r="B27" t="s">
        <v>11</v>
      </c>
      <c r="C27" t="s">
        <v>45</v>
      </c>
      <c r="D27" t="s">
        <v>67</v>
      </c>
      <c r="E27" t="s">
        <v>14</v>
      </c>
      <c r="F27" t="s">
        <v>15</v>
      </c>
      <c r="G27" t="s">
        <v>35</v>
      </c>
      <c r="H27" t="s">
        <v>68</v>
      </c>
      <c r="I27" t="s">
        <v>18</v>
      </c>
      <c r="J27" t="s">
        <v>71</v>
      </c>
      <c r="K27">
        <v>3</v>
      </c>
      <c r="L27">
        <v>3</v>
      </c>
      <c r="M27">
        <v>7</v>
      </c>
      <c r="N27">
        <v>26</v>
      </c>
      <c r="O27" t="str">
        <f>_xlfn.XLOOKUP(Table4[[#This Row],[id]],VALINA[id],VALINA[name])</f>
        <v>Michoagan</v>
      </c>
      <c r="P27">
        <f>_xlfn.XLOOKUP(Table4[[#This Row],[id]],prov_color!A:A,prov_color!C:C)</f>
        <v>61</v>
      </c>
    </row>
    <row r="28" spans="1:16" hidden="1" x14ac:dyDescent="0.25">
      <c r="A28">
        <v>27</v>
      </c>
      <c r="B28" t="s">
        <v>11</v>
      </c>
      <c r="C28" t="s">
        <v>45</v>
      </c>
      <c r="D28" t="s">
        <v>67</v>
      </c>
      <c r="E28" t="s">
        <v>14</v>
      </c>
      <c r="F28" t="s">
        <v>15</v>
      </c>
      <c r="G28" t="s">
        <v>35</v>
      </c>
      <c r="H28" t="s">
        <v>68</v>
      </c>
      <c r="I28" t="s">
        <v>18</v>
      </c>
      <c r="J28" t="s">
        <v>72</v>
      </c>
      <c r="K28">
        <v>3</v>
      </c>
      <c r="L28">
        <v>3</v>
      </c>
      <c r="M28">
        <v>8</v>
      </c>
      <c r="N28">
        <v>27</v>
      </c>
      <c r="O28" t="str">
        <f>_xlfn.XLOOKUP(Table4[[#This Row],[id]],VALINA[id],VALINA[name])</f>
        <v>Tenochtitlan</v>
      </c>
      <c r="P28">
        <f>_xlfn.XLOOKUP(Table4[[#This Row],[id]],prov_color!A:A,prov_color!C:C)</f>
        <v>54</v>
      </c>
    </row>
    <row r="29" spans="1:16" hidden="1" x14ac:dyDescent="0.25">
      <c r="A29">
        <v>28</v>
      </c>
      <c r="B29" t="s">
        <v>11</v>
      </c>
      <c r="C29" t="s">
        <v>45</v>
      </c>
      <c r="D29" t="s">
        <v>67</v>
      </c>
      <c r="E29" t="s">
        <v>34</v>
      </c>
      <c r="F29" t="s">
        <v>15</v>
      </c>
      <c r="G29" t="s">
        <v>35</v>
      </c>
      <c r="H29" t="s">
        <v>68</v>
      </c>
      <c r="I29" t="s">
        <v>73</v>
      </c>
      <c r="J29" t="s">
        <v>74</v>
      </c>
      <c r="K29">
        <v>6</v>
      </c>
      <c r="L29">
        <v>2</v>
      </c>
      <c r="M29">
        <v>3</v>
      </c>
      <c r="N29">
        <v>28</v>
      </c>
      <c r="O29" t="str">
        <f>_xlfn.XLOOKUP(Table4[[#This Row],[id]],VALINA[id],VALINA[name])</f>
        <v>Tampico</v>
      </c>
      <c r="P29">
        <f>_xlfn.XLOOKUP(Table4[[#This Row],[id]],prov_color!A:A,prov_color!C:C)</f>
        <v>48</v>
      </c>
    </row>
    <row r="30" spans="1:16" hidden="1" x14ac:dyDescent="0.25">
      <c r="A30">
        <v>29</v>
      </c>
      <c r="B30" t="s">
        <v>11</v>
      </c>
      <c r="C30" t="s">
        <v>45</v>
      </c>
      <c r="D30" t="s">
        <v>67</v>
      </c>
      <c r="E30" t="s">
        <v>34</v>
      </c>
      <c r="F30" t="s">
        <v>15</v>
      </c>
      <c r="G30" t="s">
        <v>75</v>
      </c>
      <c r="H30" t="s">
        <v>76</v>
      </c>
      <c r="I30" t="s">
        <v>73</v>
      </c>
      <c r="J30" t="s">
        <v>77</v>
      </c>
      <c r="K30">
        <v>4</v>
      </c>
      <c r="L30">
        <v>2</v>
      </c>
      <c r="M30">
        <v>5</v>
      </c>
      <c r="N30">
        <v>29</v>
      </c>
      <c r="O30" t="str">
        <f>_xlfn.XLOOKUP(Table4[[#This Row],[id]],VALINA[id],VALINA[name])</f>
        <v>Tlaxcala</v>
      </c>
      <c r="P30">
        <f>_xlfn.XLOOKUP(Table4[[#This Row],[id]],prov_color!A:A,prov_color!C:C)</f>
        <v>57</v>
      </c>
    </row>
    <row r="31" spans="1:16" hidden="1" x14ac:dyDescent="0.25">
      <c r="A31">
        <v>30</v>
      </c>
      <c r="B31" t="s">
        <v>11</v>
      </c>
      <c r="C31" t="s">
        <v>45</v>
      </c>
      <c r="D31" t="s">
        <v>67</v>
      </c>
      <c r="E31" t="s">
        <v>34</v>
      </c>
      <c r="F31" t="s">
        <v>15</v>
      </c>
      <c r="G31" t="s">
        <v>75</v>
      </c>
      <c r="H31" t="s">
        <v>76</v>
      </c>
      <c r="I31" t="s">
        <v>27</v>
      </c>
      <c r="J31" t="s">
        <v>78</v>
      </c>
      <c r="K31">
        <v>4</v>
      </c>
      <c r="L31">
        <v>1</v>
      </c>
      <c r="M31">
        <v>5</v>
      </c>
      <c r="N31">
        <v>30</v>
      </c>
      <c r="O31" t="str">
        <f>_xlfn.XLOOKUP(Table4[[#This Row],[id]],VALINA[id],VALINA[name])</f>
        <v>Atlixco</v>
      </c>
      <c r="P31">
        <f>_xlfn.XLOOKUP(Table4[[#This Row],[id]],prov_color!A:A,prov_color!C:C)</f>
        <v>53</v>
      </c>
    </row>
    <row r="32" spans="1:16" hidden="1" x14ac:dyDescent="0.25">
      <c r="A32">
        <v>31</v>
      </c>
      <c r="B32" t="s">
        <v>11</v>
      </c>
      <c r="C32" t="s">
        <v>45</v>
      </c>
      <c r="D32" t="s">
        <v>67</v>
      </c>
      <c r="E32" t="s">
        <v>14</v>
      </c>
      <c r="F32" t="s">
        <v>15</v>
      </c>
      <c r="G32" t="s">
        <v>75</v>
      </c>
      <c r="H32" t="s">
        <v>76</v>
      </c>
      <c r="I32" t="s">
        <v>43</v>
      </c>
      <c r="J32" t="s">
        <v>79</v>
      </c>
      <c r="K32">
        <v>3</v>
      </c>
      <c r="L32">
        <v>1</v>
      </c>
      <c r="M32">
        <v>3</v>
      </c>
      <c r="N32">
        <v>31</v>
      </c>
      <c r="O32" t="str">
        <f>_xlfn.XLOOKUP(Table4[[#This Row],[id]],VALINA[id],VALINA[name])</f>
        <v>Tehuantepec</v>
      </c>
      <c r="P32">
        <f>_xlfn.XLOOKUP(Table4[[#This Row],[id]],prov_color!A:A,prov_color!C:C)</f>
        <v>35</v>
      </c>
    </row>
    <row r="33" spans="1:16" hidden="1" x14ac:dyDescent="0.25">
      <c r="A33">
        <v>32</v>
      </c>
      <c r="B33" t="s">
        <v>11</v>
      </c>
      <c r="C33" t="s">
        <v>45</v>
      </c>
      <c r="D33" t="s">
        <v>67</v>
      </c>
      <c r="E33" t="s">
        <v>80</v>
      </c>
      <c r="F33" t="s">
        <v>15</v>
      </c>
      <c r="G33" t="s">
        <v>75</v>
      </c>
      <c r="H33" t="s">
        <v>81</v>
      </c>
      <c r="I33" t="s">
        <v>73</v>
      </c>
      <c r="J33" t="s">
        <v>82</v>
      </c>
      <c r="K33">
        <v>5</v>
      </c>
      <c r="L33">
        <v>1</v>
      </c>
      <c r="M33">
        <v>5</v>
      </c>
      <c r="N33">
        <v>32</v>
      </c>
      <c r="O33" t="str">
        <f>_xlfn.XLOOKUP(Table4[[#This Row],[id]],VALINA[id],VALINA[name])</f>
        <v>Tehuacan</v>
      </c>
      <c r="P33">
        <f>_xlfn.XLOOKUP(Table4[[#This Row],[id]],prov_color!A:A,prov_color!C:C)</f>
        <v>39</v>
      </c>
    </row>
    <row r="34" spans="1:16" hidden="1" x14ac:dyDescent="0.25">
      <c r="A34">
        <v>33</v>
      </c>
      <c r="B34" t="s">
        <v>11</v>
      </c>
      <c r="C34" t="s">
        <v>45</v>
      </c>
      <c r="D34" t="s">
        <v>83</v>
      </c>
      <c r="E34" t="s">
        <v>14</v>
      </c>
      <c r="F34" t="s">
        <v>15</v>
      </c>
      <c r="G34" t="s">
        <v>75</v>
      </c>
      <c r="H34" t="s">
        <v>81</v>
      </c>
      <c r="I34" t="s">
        <v>84</v>
      </c>
      <c r="J34" t="s">
        <v>85</v>
      </c>
      <c r="K34">
        <v>4</v>
      </c>
      <c r="L34">
        <v>1</v>
      </c>
      <c r="M34">
        <v>3</v>
      </c>
      <c r="N34">
        <v>33</v>
      </c>
      <c r="O34" t="str">
        <f>_xlfn.XLOOKUP(Table4[[#This Row],[id]],VALINA[id],VALINA[name])</f>
        <v>Guatemala</v>
      </c>
      <c r="P34">
        <f>_xlfn.XLOOKUP(Table4[[#This Row],[id]],prov_color!A:A,prov_color!C:C)</f>
        <v>43</v>
      </c>
    </row>
    <row r="35" spans="1:16" hidden="1" x14ac:dyDescent="0.25">
      <c r="A35">
        <v>34</v>
      </c>
      <c r="B35" t="s">
        <v>11</v>
      </c>
      <c r="C35" t="s">
        <v>45</v>
      </c>
      <c r="D35" t="s">
        <v>83</v>
      </c>
      <c r="E35" t="s">
        <v>80</v>
      </c>
      <c r="F35" t="s">
        <v>15</v>
      </c>
      <c r="G35" t="s">
        <v>75</v>
      </c>
      <c r="H35" t="s">
        <v>81</v>
      </c>
      <c r="I35" t="s">
        <v>73</v>
      </c>
      <c r="J35" t="s">
        <v>86</v>
      </c>
      <c r="K35">
        <v>6</v>
      </c>
      <c r="L35">
        <v>1</v>
      </c>
      <c r="M35">
        <v>4</v>
      </c>
      <c r="N35">
        <v>34</v>
      </c>
      <c r="O35" t="str">
        <f>_xlfn.XLOOKUP(Table4[[#This Row],[id]],VALINA[id],VALINA[name])</f>
        <v>Campeche</v>
      </c>
      <c r="P35">
        <f>_xlfn.XLOOKUP(Table4[[#This Row],[id]],prov_color!A:A,prov_color!C:C)</f>
        <v>44</v>
      </c>
    </row>
    <row r="36" spans="1:16" hidden="1" x14ac:dyDescent="0.25">
      <c r="A36">
        <v>35</v>
      </c>
      <c r="B36" t="s">
        <v>11</v>
      </c>
      <c r="C36" t="s">
        <v>45</v>
      </c>
      <c r="D36" t="s">
        <v>83</v>
      </c>
      <c r="E36" t="s">
        <v>22</v>
      </c>
      <c r="F36" t="s">
        <v>15</v>
      </c>
      <c r="G36" t="s">
        <v>75</v>
      </c>
      <c r="H36" t="s">
        <v>81</v>
      </c>
      <c r="I36" t="s">
        <v>27</v>
      </c>
      <c r="J36" t="s">
        <v>87</v>
      </c>
      <c r="K36">
        <v>7</v>
      </c>
      <c r="L36">
        <v>1</v>
      </c>
      <c r="M36">
        <v>2</v>
      </c>
      <c r="N36">
        <v>35</v>
      </c>
      <c r="O36" t="str">
        <f>_xlfn.XLOOKUP(Table4[[#This Row],[id]],VALINA[id],VALINA[name])</f>
        <v>Yucatan</v>
      </c>
      <c r="P36">
        <f>_xlfn.XLOOKUP(Table4[[#This Row],[id]],prov_color!A:A,prov_color!C:C)</f>
        <v>39</v>
      </c>
    </row>
    <row r="37" spans="1:16" hidden="1" x14ac:dyDescent="0.25">
      <c r="A37">
        <v>36</v>
      </c>
      <c r="B37" t="s">
        <v>11</v>
      </c>
      <c r="C37" t="s">
        <v>45</v>
      </c>
      <c r="D37" t="s">
        <v>83</v>
      </c>
      <c r="E37" t="s">
        <v>22</v>
      </c>
      <c r="F37" t="s">
        <v>15</v>
      </c>
      <c r="G37" t="s">
        <v>75</v>
      </c>
      <c r="H37" t="s">
        <v>88</v>
      </c>
      <c r="I37" t="s">
        <v>84</v>
      </c>
      <c r="J37" t="s">
        <v>89</v>
      </c>
      <c r="K37">
        <v>5</v>
      </c>
      <c r="L37">
        <v>1</v>
      </c>
      <c r="M37">
        <v>3</v>
      </c>
      <c r="N37">
        <v>36</v>
      </c>
      <c r="O37" t="str">
        <f>_xlfn.XLOOKUP(Table4[[#This Row],[id]],VALINA[id],VALINA[name])</f>
        <v>Honduras</v>
      </c>
      <c r="P37">
        <f>_xlfn.XLOOKUP(Table4[[#This Row],[id]],prov_color!A:A,prov_color!C:C)</f>
        <v>53</v>
      </c>
    </row>
    <row r="38" spans="1:16" hidden="1" x14ac:dyDescent="0.25">
      <c r="A38">
        <v>37</v>
      </c>
      <c r="B38" t="s">
        <v>11</v>
      </c>
      <c r="C38" t="s">
        <v>45</v>
      </c>
      <c r="D38" t="s">
        <v>83</v>
      </c>
      <c r="E38" t="s">
        <v>80</v>
      </c>
      <c r="F38" t="s">
        <v>15</v>
      </c>
      <c r="G38" t="s">
        <v>75</v>
      </c>
      <c r="H38" t="s">
        <v>88</v>
      </c>
      <c r="I38" t="s">
        <v>84</v>
      </c>
      <c r="J38" t="s">
        <v>90</v>
      </c>
      <c r="K38">
        <v>6</v>
      </c>
      <c r="L38">
        <v>1</v>
      </c>
      <c r="M38">
        <v>3</v>
      </c>
      <c r="N38">
        <v>37</v>
      </c>
      <c r="O38" t="str">
        <f>_xlfn.XLOOKUP(Table4[[#This Row],[id]],VALINA[id],VALINA[name])</f>
        <v>Nicaragua</v>
      </c>
      <c r="P38">
        <f>_xlfn.XLOOKUP(Table4[[#This Row],[id]],prov_color!A:A,prov_color!C:C)</f>
        <v>47</v>
      </c>
    </row>
    <row r="39" spans="1:16" hidden="1" x14ac:dyDescent="0.25">
      <c r="A39">
        <v>38</v>
      </c>
      <c r="B39" t="s">
        <v>11</v>
      </c>
      <c r="C39" t="s">
        <v>45</v>
      </c>
      <c r="D39" t="s">
        <v>83</v>
      </c>
      <c r="E39" t="s">
        <v>80</v>
      </c>
      <c r="F39" t="s">
        <v>15</v>
      </c>
      <c r="G39" t="s">
        <v>75</v>
      </c>
      <c r="H39" t="s">
        <v>91</v>
      </c>
      <c r="I39" t="s">
        <v>29</v>
      </c>
      <c r="J39" t="s">
        <v>92</v>
      </c>
      <c r="K39">
        <v>7</v>
      </c>
      <c r="L39">
        <v>1</v>
      </c>
      <c r="M39">
        <v>1</v>
      </c>
      <c r="N39">
        <v>38</v>
      </c>
      <c r="O39" t="str">
        <f>_xlfn.XLOOKUP(Table4[[#This Row],[id]],VALINA[id],VALINA[name])</f>
        <v>Mosquitos</v>
      </c>
      <c r="P39">
        <f>_xlfn.XLOOKUP(Table4[[#This Row],[id]],prov_color!A:A,prov_color!C:C)</f>
        <v>26</v>
      </c>
    </row>
    <row r="40" spans="1:16" hidden="1" x14ac:dyDescent="0.25">
      <c r="A40">
        <v>39</v>
      </c>
      <c r="B40" t="s">
        <v>11</v>
      </c>
      <c r="C40" t="s">
        <v>45</v>
      </c>
      <c r="D40" t="s">
        <v>93</v>
      </c>
      <c r="E40" t="s">
        <v>80</v>
      </c>
      <c r="F40" t="s">
        <v>15</v>
      </c>
      <c r="G40" t="s">
        <v>75</v>
      </c>
      <c r="H40" t="s">
        <v>91</v>
      </c>
      <c r="I40" t="s">
        <v>27</v>
      </c>
      <c r="J40" t="s">
        <v>94</v>
      </c>
      <c r="K40">
        <v>6</v>
      </c>
      <c r="L40">
        <v>1</v>
      </c>
      <c r="M40">
        <v>2</v>
      </c>
      <c r="N40">
        <v>39</v>
      </c>
      <c r="O40" t="str">
        <f>_xlfn.XLOOKUP(Table4[[#This Row],[id]],VALINA[id],VALINA[name])</f>
        <v>Isthmus</v>
      </c>
      <c r="P40">
        <f>_xlfn.XLOOKUP(Table4[[#This Row],[id]],prov_color!A:A,prov_color!C:C)</f>
        <v>41</v>
      </c>
    </row>
    <row r="41" spans="1:16" hidden="1" x14ac:dyDescent="0.25">
      <c r="A41">
        <v>40</v>
      </c>
      <c r="B41" t="s">
        <v>11</v>
      </c>
      <c r="C41" t="s">
        <v>12</v>
      </c>
      <c r="D41" t="s">
        <v>64</v>
      </c>
      <c r="E41" t="s">
        <v>34</v>
      </c>
      <c r="F41" t="s">
        <v>15</v>
      </c>
      <c r="G41" t="s">
        <v>35</v>
      </c>
      <c r="H41" t="s">
        <v>59</v>
      </c>
      <c r="I41" t="s">
        <v>41</v>
      </c>
      <c r="J41" t="s">
        <v>95</v>
      </c>
      <c r="K41">
        <v>6</v>
      </c>
      <c r="L41">
        <v>1</v>
      </c>
      <c r="M41">
        <v>2</v>
      </c>
      <c r="N41">
        <v>40</v>
      </c>
      <c r="O41" t="str">
        <f>_xlfn.XLOOKUP(Table4[[#This Row],[id]],VALINA[id],VALINA[name])</f>
        <v>Pecos</v>
      </c>
      <c r="P41">
        <f>_xlfn.XLOOKUP(Table4[[#This Row],[id]],prov_color!A:A,prov_color!C:C)</f>
        <v>42</v>
      </c>
    </row>
    <row r="42" spans="1:16" hidden="1" x14ac:dyDescent="0.25">
      <c r="A42">
        <v>41</v>
      </c>
      <c r="B42" t="s">
        <v>11</v>
      </c>
      <c r="C42" t="s">
        <v>12</v>
      </c>
      <c r="D42" t="s">
        <v>64</v>
      </c>
      <c r="E42" t="s">
        <v>34</v>
      </c>
      <c r="F42" t="s">
        <v>15</v>
      </c>
      <c r="G42" t="s">
        <v>35</v>
      </c>
      <c r="H42" t="s">
        <v>96</v>
      </c>
      <c r="I42" t="s">
        <v>43</v>
      </c>
      <c r="J42" t="s">
        <v>97</v>
      </c>
      <c r="K42">
        <v>4</v>
      </c>
      <c r="L42">
        <v>1</v>
      </c>
      <c r="M42">
        <v>3</v>
      </c>
      <c r="N42">
        <v>41</v>
      </c>
      <c r="O42" t="str">
        <f>_xlfn.XLOOKUP(Table4[[#This Row],[id]],VALINA[id],VALINA[name])</f>
        <v>Rio Grande</v>
      </c>
      <c r="P42">
        <f>_xlfn.XLOOKUP(Table4[[#This Row],[id]],prov_color!A:A,prov_color!C:C)</f>
        <v>51</v>
      </c>
    </row>
    <row r="43" spans="1:16" hidden="1" x14ac:dyDescent="0.25">
      <c r="A43">
        <v>42</v>
      </c>
      <c r="B43" t="s">
        <v>11</v>
      </c>
      <c r="C43" t="s">
        <v>12</v>
      </c>
      <c r="D43" t="s">
        <v>64</v>
      </c>
      <c r="E43" t="s">
        <v>34</v>
      </c>
      <c r="F43" t="s">
        <v>15</v>
      </c>
      <c r="G43" t="s">
        <v>35</v>
      </c>
      <c r="H43" t="s">
        <v>59</v>
      </c>
      <c r="I43" t="s">
        <v>43</v>
      </c>
      <c r="J43" t="s">
        <v>98</v>
      </c>
      <c r="K43">
        <v>5</v>
      </c>
      <c r="L43">
        <v>1</v>
      </c>
      <c r="M43">
        <v>2</v>
      </c>
      <c r="N43">
        <v>42</v>
      </c>
      <c r="O43" t="str">
        <f>_xlfn.XLOOKUP(Table4[[#This Row],[id]],VALINA[id],VALINA[name])</f>
        <v>Concho</v>
      </c>
      <c r="P43">
        <f>_xlfn.XLOOKUP(Table4[[#This Row],[id]],prov_color!A:A,prov_color!C:C)</f>
        <v>44</v>
      </c>
    </row>
    <row r="44" spans="1:16" hidden="1" x14ac:dyDescent="0.25">
      <c r="A44">
        <v>43</v>
      </c>
      <c r="B44" t="s">
        <v>11</v>
      </c>
      <c r="C44" t="s">
        <v>12</v>
      </c>
      <c r="D44" t="s">
        <v>64</v>
      </c>
      <c r="E44" t="s">
        <v>80</v>
      </c>
      <c r="F44" t="s">
        <v>15</v>
      </c>
      <c r="G44" t="s">
        <v>35</v>
      </c>
      <c r="H44" t="s">
        <v>96</v>
      </c>
      <c r="I44" t="s">
        <v>73</v>
      </c>
      <c r="J44" t="s">
        <v>99</v>
      </c>
      <c r="K44">
        <v>5</v>
      </c>
      <c r="L44">
        <v>1</v>
      </c>
      <c r="M44">
        <v>3</v>
      </c>
      <c r="N44">
        <v>43</v>
      </c>
      <c r="O44" t="str">
        <f>_xlfn.XLOOKUP(Table4[[#This Row],[id]],VALINA[id],VALINA[name])</f>
        <v>Matagorda</v>
      </c>
      <c r="P44">
        <f>_xlfn.XLOOKUP(Table4[[#This Row],[id]],prov_color!A:A,prov_color!C:C)</f>
        <v>48</v>
      </c>
    </row>
    <row r="45" spans="1:16" hidden="1" x14ac:dyDescent="0.25">
      <c r="A45">
        <v>44</v>
      </c>
      <c r="B45" t="s">
        <v>11</v>
      </c>
      <c r="C45" t="s">
        <v>12</v>
      </c>
      <c r="D45" t="s">
        <v>100</v>
      </c>
      <c r="E45" t="s">
        <v>34</v>
      </c>
      <c r="F45" t="s">
        <v>15</v>
      </c>
      <c r="G45" t="s">
        <v>35</v>
      </c>
      <c r="H45" t="s">
        <v>59</v>
      </c>
      <c r="I45" t="s">
        <v>43</v>
      </c>
      <c r="J45" t="s">
        <v>101</v>
      </c>
      <c r="K45">
        <v>5</v>
      </c>
      <c r="L45">
        <v>1</v>
      </c>
      <c r="M45">
        <v>3</v>
      </c>
      <c r="N45">
        <v>44</v>
      </c>
      <c r="O45" t="str">
        <f>_xlfn.XLOOKUP(Table4[[#This Row],[id]],VALINA[id],VALINA[name])</f>
        <v>Wichita</v>
      </c>
      <c r="P45">
        <f>_xlfn.XLOOKUP(Table4[[#This Row],[id]],prov_color!A:A,prov_color!C:C)</f>
        <v>39</v>
      </c>
    </row>
    <row r="46" spans="1:16" hidden="1" x14ac:dyDescent="0.25">
      <c r="A46">
        <v>45</v>
      </c>
      <c r="B46" t="s">
        <v>11</v>
      </c>
      <c r="C46" t="s">
        <v>12</v>
      </c>
      <c r="D46" t="s">
        <v>100</v>
      </c>
      <c r="E46" t="s">
        <v>80</v>
      </c>
      <c r="F46" t="s">
        <v>15</v>
      </c>
      <c r="G46" t="s">
        <v>35</v>
      </c>
      <c r="H46" t="s">
        <v>102</v>
      </c>
      <c r="I46" t="s">
        <v>103</v>
      </c>
      <c r="J46" t="s">
        <v>104</v>
      </c>
      <c r="K46">
        <v>6</v>
      </c>
      <c r="L46">
        <v>1</v>
      </c>
      <c r="M46">
        <v>5</v>
      </c>
      <c r="N46">
        <v>45</v>
      </c>
      <c r="O46" t="str">
        <f>_xlfn.XLOOKUP(Table4[[#This Row],[id]],VALINA[id],VALINA[name])</f>
        <v>Bayou</v>
      </c>
      <c r="P46">
        <f>_xlfn.XLOOKUP(Table4[[#This Row],[id]],prov_color!A:A,prov_color!C:C)</f>
        <v>53</v>
      </c>
    </row>
    <row r="47" spans="1:16" hidden="1" x14ac:dyDescent="0.25">
      <c r="A47">
        <v>46</v>
      </c>
      <c r="B47" t="s">
        <v>11</v>
      </c>
      <c r="C47" t="s">
        <v>12</v>
      </c>
      <c r="D47" t="s">
        <v>100</v>
      </c>
      <c r="E47" t="s">
        <v>80</v>
      </c>
      <c r="F47" t="s">
        <v>15</v>
      </c>
      <c r="G47" t="s">
        <v>35</v>
      </c>
      <c r="H47" t="s">
        <v>102</v>
      </c>
      <c r="I47" t="s">
        <v>103</v>
      </c>
      <c r="J47" t="s">
        <v>105</v>
      </c>
      <c r="K47">
        <v>6</v>
      </c>
      <c r="L47">
        <v>1</v>
      </c>
      <c r="M47">
        <v>5</v>
      </c>
      <c r="N47">
        <v>46</v>
      </c>
      <c r="O47" t="str">
        <f>_xlfn.XLOOKUP(Table4[[#This Row],[id]],VALINA[id],VALINA[name])</f>
        <v>Biloxi</v>
      </c>
      <c r="P47">
        <f>_xlfn.XLOOKUP(Table4[[#This Row],[id]],prov_color!A:A,prov_color!C:C)</f>
        <v>43</v>
      </c>
    </row>
    <row r="48" spans="1:16" hidden="1" x14ac:dyDescent="0.25">
      <c r="A48">
        <v>47</v>
      </c>
      <c r="B48" t="s">
        <v>11</v>
      </c>
      <c r="C48" t="s">
        <v>12</v>
      </c>
      <c r="D48" t="s">
        <v>100</v>
      </c>
      <c r="E48" t="s">
        <v>80</v>
      </c>
      <c r="F48" t="s">
        <v>15</v>
      </c>
      <c r="G48" t="s">
        <v>35</v>
      </c>
      <c r="H48" t="s">
        <v>102</v>
      </c>
      <c r="I48" t="s">
        <v>103</v>
      </c>
      <c r="J48" t="s">
        <v>106</v>
      </c>
      <c r="K48">
        <v>4</v>
      </c>
      <c r="L48">
        <v>1</v>
      </c>
      <c r="M48">
        <v>5</v>
      </c>
      <c r="N48">
        <v>47</v>
      </c>
      <c r="O48" t="str">
        <f>_xlfn.XLOOKUP(Table4[[#This Row],[id]],VALINA[id],VALINA[name])</f>
        <v>Mobile</v>
      </c>
      <c r="P48">
        <f>_xlfn.XLOOKUP(Table4[[#This Row],[id]],prov_color!A:A,prov_color!C:C)</f>
        <v>24</v>
      </c>
    </row>
    <row r="49" spans="1:16" hidden="1" x14ac:dyDescent="0.25">
      <c r="A49">
        <v>48</v>
      </c>
      <c r="B49" t="s">
        <v>11</v>
      </c>
      <c r="C49" t="s">
        <v>12</v>
      </c>
      <c r="D49" t="s">
        <v>107</v>
      </c>
      <c r="E49" t="s">
        <v>80</v>
      </c>
      <c r="F49" t="s">
        <v>15</v>
      </c>
      <c r="G49" t="s">
        <v>35</v>
      </c>
      <c r="H49" t="s">
        <v>102</v>
      </c>
      <c r="I49" t="s">
        <v>103</v>
      </c>
      <c r="J49" t="s">
        <v>108</v>
      </c>
      <c r="K49">
        <v>5</v>
      </c>
      <c r="L49">
        <v>1</v>
      </c>
      <c r="M49">
        <v>4</v>
      </c>
      <c r="N49">
        <v>48</v>
      </c>
      <c r="O49" t="str">
        <f>_xlfn.XLOOKUP(Table4[[#This Row],[id]],VALINA[id],VALINA[name])</f>
        <v>Talahassee</v>
      </c>
      <c r="P49">
        <f>_xlfn.XLOOKUP(Table4[[#This Row],[id]],prov_color!A:A,prov_color!C:C)</f>
        <v>34</v>
      </c>
    </row>
    <row r="50" spans="1:16" hidden="1" x14ac:dyDescent="0.25">
      <c r="A50">
        <v>49</v>
      </c>
      <c r="B50" t="s">
        <v>11</v>
      </c>
      <c r="C50" t="s">
        <v>12</v>
      </c>
      <c r="D50" t="s">
        <v>107</v>
      </c>
      <c r="E50" t="s">
        <v>80</v>
      </c>
      <c r="F50" t="s">
        <v>15</v>
      </c>
      <c r="G50" t="s">
        <v>35</v>
      </c>
      <c r="H50" t="s">
        <v>102</v>
      </c>
      <c r="I50" t="s">
        <v>73</v>
      </c>
      <c r="J50" t="s">
        <v>109</v>
      </c>
      <c r="K50">
        <v>7</v>
      </c>
      <c r="L50">
        <v>1</v>
      </c>
      <c r="M50">
        <v>2</v>
      </c>
      <c r="N50">
        <v>49</v>
      </c>
      <c r="O50" t="str">
        <f>_xlfn.XLOOKUP(Table4[[#This Row],[id]],VALINA[id],VALINA[name])</f>
        <v>Seminole</v>
      </c>
      <c r="P50">
        <f>_xlfn.XLOOKUP(Table4[[#This Row],[id]],prov_color!A:A,prov_color!C:C)</f>
        <v>35</v>
      </c>
    </row>
    <row r="51" spans="1:16" hidden="1" x14ac:dyDescent="0.25">
      <c r="A51">
        <v>50</v>
      </c>
      <c r="B51" t="s">
        <v>11</v>
      </c>
      <c r="C51" t="s">
        <v>12</v>
      </c>
      <c r="D51" t="s">
        <v>107</v>
      </c>
      <c r="E51" t="s">
        <v>80</v>
      </c>
      <c r="F51" t="s">
        <v>15</v>
      </c>
      <c r="G51" t="s">
        <v>75</v>
      </c>
      <c r="H51" t="s">
        <v>102</v>
      </c>
      <c r="I51" t="s">
        <v>27</v>
      </c>
      <c r="J51" t="s">
        <v>110</v>
      </c>
      <c r="K51">
        <v>9</v>
      </c>
      <c r="L51">
        <v>1</v>
      </c>
      <c r="M51">
        <v>1</v>
      </c>
      <c r="N51">
        <v>50</v>
      </c>
      <c r="O51" t="str">
        <f>_xlfn.XLOOKUP(Table4[[#This Row],[id]],VALINA[id],VALINA[name])</f>
        <v>Everglades</v>
      </c>
      <c r="P51">
        <f>_xlfn.XLOOKUP(Table4[[#This Row],[id]],prov_color!A:A,prov_color!C:C)</f>
        <v>38</v>
      </c>
    </row>
    <row r="52" spans="1:16" hidden="1" x14ac:dyDescent="0.25">
      <c r="A52">
        <v>51</v>
      </c>
      <c r="B52" t="s">
        <v>11</v>
      </c>
      <c r="C52" t="s">
        <v>12</v>
      </c>
      <c r="D52" t="s">
        <v>100</v>
      </c>
      <c r="E52" t="s">
        <v>34</v>
      </c>
      <c r="F52" t="s">
        <v>15</v>
      </c>
      <c r="G52" t="s">
        <v>35</v>
      </c>
      <c r="H52" t="s">
        <v>111</v>
      </c>
      <c r="I52" t="s">
        <v>103</v>
      </c>
      <c r="J52" t="s">
        <v>112</v>
      </c>
      <c r="K52">
        <v>5</v>
      </c>
      <c r="L52">
        <v>1</v>
      </c>
      <c r="M52">
        <v>3</v>
      </c>
      <c r="N52">
        <v>51</v>
      </c>
      <c r="O52" t="str">
        <f>_xlfn.XLOOKUP(Table4[[#This Row],[id]],VALINA[id],VALINA[name])</f>
        <v>Arkansas</v>
      </c>
      <c r="P52">
        <f>_xlfn.XLOOKUP(Table4[[#This Row],[id]],prov_color!A:A,prov_color!C:C)</f>
        <v>55</v>
      </c>
    </row>
    <row r="53" spans="1:16" hidden="1" x14ac:dyDescent="0.25">
      <c r="A53">
        <v>52</v>
      </c>
      <c r="B53" t="s">
        <v>11</v>
      </c>
      <c r="C53" t="s">
        <v>12</v>
      </c>
      <c r="D53" t="s">
        <v>100</v>
      </c>
      <c r="E53" t="s">
        <v>22</v>
      </c>
      <c r="F53" t="s">
        <v>15</v>
      </c>
      <c r="G53" t="s">
        <v>26</v>
      </c>
      <c r="H53" t="s">
        <v>113</v>
      </c>
      <c r="I53" t="s">
        <v>103</v>
      </c>
      <c r="J53" t="s">
        <v>114</v>
      </c>
      <c r="K53">
        <v>5</v>
      </c>
      <c r="L53">
        <v>1</v>
      </c>
      <c r="M53">
        <v>4</v>
      </c>
      <c r="N53">
        <v>52</v>
      </c>
      <c r="O53" t="str">
        <f>_xlfn.XLOOKUP(Table4[[#This Row],[id]],VALINA[id],VALINA[name])</f>
        <v>Yazoo</v>
      </c>
      <c r="P53">
        <f>_xlfn.XLOOKUP(Table4[[#This Row],[id]],prov_color!A:A,prov_color!C:C)</f>
        <v>52</v>
      </c>
    </row>
    <row r="54" spans="1:16" hidden="1" x14ac:dyDescent="0.25">
      <c r="A54">
        <v>53</v>
      </c>
      <c r="B54" t="s">
        <v>11</v>
      </c>
      <c r="C54" t="s">
        <v>12</v>
      </c>
      <c r="D54" t="s">
        <v>100</v>
      </c>
      <c r="E54" t="s">
        <v>22</v>
      </c>
      <c r="F54" t="s">
        <v>15</v>
      </c>
      <c r="G54" t="s">
        <v>35</v>
      </c>
      <c r="H54" t="s">
        <v>113</v>
      </c>
      <c r="I54" t="s">
        <v>103</v>
      </c>
      <c r="J54" t="s">
        <v>115</v>
      </c>
      <c r="K54">
        <v>5</v>
      </c>
      <c r="L54">
        <v>2</v>
      </c>
      <c r="M54">
        <v>4</v>
      </c>
      <c r="N54">
        <v>53</v>
      </c>
      <c r="O54" t="str">
        <f>_xlfn.XLOOKUP(Table4[[#This Row],[id]],VALINA[id],VALINA[name])</f>
        <v>Tuscaloosa</v>
      </c>
      <c r="P54">
        <f>_xlfn.XLOOKUP(Table4[[#This Row],[id]],prov_color!A:A,prov_color!C:C)</f>
        <v>32</v>
      </c>
    </row>
    <row r="55" spans="1:16" hidden="1" x14ac:dyDescent="0.25">
      <c r="A55">
        <v>54</v>
      </c>
      <c r="B55" t="s">
        <v>11</v>
      </c>
      <c r="C55" t="s">
        <v>12</v>
      </c>
      <c r="D55" t="s">
        <v>116</v>
      </c>
      <c r="E55" t="s">
        <v>80</v>
      </c>
      <c r="F55" t="s">
        <v>15</v>
      </c>
      <c r="G55" t="s">
        <v>35</v>
      </c>
      <c r="H55" t="s">
        <v>102</v>
      </c>
      <c r="I55" t="s">
        <v>103</v>
      </c>
      <c r="J55" t="s">
        <v>117</v>
      </c>
      <c r="K55">
        <v>5</v>
      </c>
      <c r="L55">
        <v>2</v>
      </c>
      <c r="M55">
        <v>5</v>
      </c>
      <c r="N55">
        <v>54</v>
      </c>
      <c r="O55" t="str">
        <f>_xlfn.XLOOKUP(Table4[[#This Row],[id]],VALINA[id],VALINA[name])</f>
        <v>Savannah</v>
      </c>
      <c r="P55">
        <f>_xlfn.XLOOKUP(Table4[[#This Row],[id]],prov_color!A:A,prov_color!C:C)</f>
        <v>38</v>
      </c>
    </row>
    <row r="56" spans="1:16" hidden="1" x14ac:dyDescent="0.25">
      <c r="A56">
        <v>55</v>
      </c>
      <c r="B56" t="s">
        <v>11</v>
      </c>
      <c r="C56" t="s">
        <v>12</v>
      </c>
      <c r="D56" t="s">
        <v>116</v>
      </c>
      <c r="E56" t="s">
        <v>14</v>
      </c>
      <c r="F56" t="s">
        <v>15</v>
      </c>
      <c r="G56" t="s">
        <v>26</v>
      </c>
      <c r="H56" t="s">
        <v>113</v>
      </c>
      <c r="I56" t="s">
        <v>103</v>
      </c>
      <c r="J56" t="s">
        <v>118</v>
      </c>
      <c r="K56">
        <v>5</v>
      </c>
      <c r="L56">
        <v>2</v>
      </c>
      <c r="M56">
        <v>4</v>
      </c>
      <c r="N56">
        <v>55</v>
      </c>
      <c r="O56" t="str">
        <f>_xlfn.XLOOKUP(Table4[[#This Row],[id]],VALINA[id],VALINA[name])</f>
        <v>Alabama</v>
      </c>
      <c r="P56">
        <f>_xlfn.XLOOKUP(Table4[[#This Row],[id]],prov_color!A:A,prov_color!C:C)</f>
        <v>41</v>
      </c>
    </row>
    <row r="57" spans="1:16" hidden="1" x14ac:dyDescent="0.25">
      <c r="A57">
        <v>56</v>
      </c>
      <c r="B57" t="s">
        <v>11</v>
      </c>
      <c r="C57" t="s">
        <v>12</v>
      </c>
      <c r="D57" t="s">
        <v>116</v>
      </c>
      <c r="E57" t="s">
        <v>22</v>
      </c>
      <c r="F57" t="s">
        <v>15</v>
      </c>
      <c r="G57" t="s">
        <v>26</v>
      </c>
      <c r="H57" t="s">
        <v>113</v>
      </c>
      <c r="I57" t="s">
        <v>43</v>
      </c>
      <c r="J57" t="s">
        <v>119</v>
      </c>
      <c r="K57">
        <v>6</v>
      </c>
      <c r="L57">
        <v>2</v>
      </c>
      <c r="M57">
        <v>3</v>
      </c>
      <c r="N57">
        <v>56</v>
      </c>
      <c r="O57" t="str">
        <f>_xlfn.XLOOKUP(Table4[[#This Row],[id]],VALINA[id],VALINA[name])</f>
        <v>Tennessee</v>
      </c>
      <c r="P57">
        <f>_xlfn.XLOOKUP(Table4[[#This Row],[id]],prov_color!A:A,prov_color!C:C)</f>
        <v>47</v>
      </c>
    </row>
    <row r="58" spans="1:16" hidden="1" x14ac:dyDescent="0.25">
      <c r="A58">
        <v>57</v>
      </c>
      <c r="B58" t="s">
        <v>11</v>
      </c>
      <c r="C58" t="s">
        <v>12</v>
      </c>
      <c r="D58" t="s">
        <v>100</v>
      </c>
      <c r="E58" t="s">
        <v>34</v>
      </c>
      <c r="F58" t="s">
        <v>15</v>
      </c>
      <c r="G58" t="s">
        <v>26</v>
      </c>
      <c r="H58" t="s">
        <v>111</v>
      </c>
      <c r="I58" t="s">
        <v>43</v>
      </c>
      <c r="J58" t="s">
        <v>120</v>
      </c>
      <c r="K58">
        <v>4</v>
      </c>
      <c r="L58">
        <v>2</v>
      </c>
      <c r="M58">
        <v>3</v>
      </c>
      <c r="N58">
        <v>57</v>
      </c>
      <c r="O58" t="str">
        <f>_xlfn.XLOOKUP(Table4[[#This Row],[id]],VALINA[id],VALINA[name])</f>
        <v>Mississippi</v>
      </c>
      <c r="P58">
        <f>_xlfn.XLOOKUP(Table4[[#This Row],[id]],prov_color!A:A,prov_color!C:C)</f>
        <v>70</v>
      </c>
    </row>
    <row r="59" spans="1:16" hidden="1" x14ac:dyDescent="0.25">
      <c r="A59">
        <v>58</v>
      </c>
      <c r="B59" t="s">
        <v>11</v>
      </c>
      <c r="C59" t="s">
        <v>12</v>
      </c>
      <c r="D59" t="s">
        <v>121</v>
      </c>
      <c r="E59" t="s">
        <v>34</v>
      </c>
      <c r="F59" t="s">
        <v>15</v>
      </c>
      <c r="G59" t="s">
        <v>122</v>
      </c>
      <c r="H59" t="s">
        <v>111</v>
      </c>
      <c r="I59" t="s">
        <v>43</v>
      </c>
      <c r="J59" t="s">
        <v>123</v>
      </c>
      <c r="K59">
        <v>6</v>
      </c>
      <c r="L59">
        <v>2</v>
      </c>
      <c r="M59">
        <v>3</v>
      </c>
      <c r="N59">
        <v>58</v>
      </c>
      <c r="O59" t="str">
        <f>_xlfn.XLOOKUP(Table4[[#This Row],[id]],VALINA[id],VALINA[name])</f>
        <v>Missouri</v>
      </c>
      <c r="P59">
        <f>_xlfn.XLOOKUP(Table4[[#This Row],[id]],prov_color!A:A,prov_color!C:C)</f>
        <v>72</v>
      </c>
    </row>
    <row r="60" spans="1:16" hidden="1" x14ac:dyDescent="0.25">
      <c r="A60">
        <v>59</v>
      </c>
      <c r="B60" t="s">
        <v>11</v>
      </c>
      <c r="C60" t="s">
        <v>12</v>
      </c>
      <c r="D60" t="s">
        <v>124</v>
      </c>
      <c r="E60" t="s">
        <v>34</v>
      </c>
      <c r="F60" t="s">
        <v>15</v>
      </c>
      <c r="G60" t="s">
        <v>122</v>
      </c>
      <c r="H60" t="s">
        <v>111</v>
      </c>
      <c r="I60" t="s">
        <v>43</v>
      </c>
      <c r="J60" t="s">
        <v>124</v>
      </c>
      <c r="K60">
        <v>5</v>
      </c>
      <c r="L60">
        <v>2</v>
      </c>
      <c r="M60">
        <v>4</v>
      </c>
      <c r="N60">
        <v>59</v>
      </c>
      <c r="O60" t="str">
        <f>_xlfn.XLOOKUP(Table4[[#This Row],[id]],VALINA[id],VALINA[name])</f>
        <v>Illinois</v>
      </c>
      <c r="P60">
        <f>_xlfn.XLOOKUP(Table4[[#This Row],[id]],prov_color!A:A,prov_color!C:C)</f>
        <v>40</v>
      </c>
    </row>
    <row r="61" spans="1:16" hidden="1" x14ac:dyDescent="0.25">
      <c r="A61">
        <v>60</v>
      </c>
      <c r="B61" t="s">
        <v>11</v>
      </c>
      <c r="C61" t="s">
        <v>12</v>
      </c>
      <c r="D61" t="s">
        <v>124</v>
      </c>
      <c r="E61" t="s">
        <v>22</v>
      </c>
      <c r="F61" t="s">
        <v>15</v>
      </c>
      <c r="G61" t="s">
        <v>122</v>
      </c>
      <c r="H61" t="s">
        <v>125</v>
      </c>
      <c r="I61" t="s">
        <v>43</v>
      </c>
      <c r="J61" t="s">
        <v>126</v>
      </c>
      <c r="K61">
        <v>5</v>
      </c>
      <c r="L61">
        <v>1</v>
      </c>
      <c r="M61">
        <v>3</v>
      </c>
      <c r="N61">
        <v>60</v>
      </c>
      <c r="O61" t="str">
        <f>_xlfn.XLOOKUP(Table4[[#This Row],[id]],VALINA[id],VALINA[name])</f>
        <v>Miamis</v>
      </c>
      <c r="P61">
        <f>_xlfn.XLOOKUP(Table4[[#This Row],[id]],prov_color!A:A,prov_color!C:C)</f>
        <v>45</v>
      </c>
    </row>
    <row r="62" spans="1:16" hidden="1" x14ac:dyDescent="0.25">
      <c r="A62">
        <v>61</v>
      </c>
      <c r="B62" t="s">
        <v>11</v>
      </c>
      <c r="C62" t="s">
        <v>12</v>
      </c>
      <c r="D62" t="s">
        <v>127</v>
      </c>
      <c r="E62" t="s">
        <v>14</v>
      </c>
      <c r="F62" t="s">
        <v>15</v>
      </c>
      <c r="G62" t="s">
        <v>26</v>
      </c>
      <c r="H62" t="s">
        <v>113</v>
      </c>
      <c r="I62" t="s">
        <v>20</v>
      </c>
      <c r="J62" t="s">
        <v>128</v>
      </c>
      <c r="K62">
        <v>6</v>
      </c>
      <c r="L62">
        <v>1</v>
      </c>
      <c r="M62">
        <v>3</v>
      </c>
      <c r="N62">
        <v>61</v>
      </c>
      <c r="O62" t="str">
        <f>_xlfn.XLOOKUP(Table4[[#This Row],[id]],VALINA[id],VALINA[name])</f>
        <v>Alleghany</v>
      </c>
      <c r="P62">
        <f>_xlfn.XLOOKUP(Table4[[#This Row],[id]],prov_color!A:A,prov_color!C:C)</f>
        <v>35</v>
      </c>
    </row>
    <row r="63" spans="1:16" hidden="1" x14ac:dyDescent="0.25">
      <c r="A63">
        <v>62</v>
      </c>
      <c r="B63" t="s">
        <v>11</v>
      </c>
      <c r="C63" t="s">
        <v>12</v>
      </c>
      <c r="D63" t="s">
        <v>127</v>
      </c>
      <c r="E63" t="s">
        <v>22</v>
      </c>
      <c r="F63" t="s">
        <v>15</v>
      </c>
      <c r="G63" t="s">
        <v>35</v>
      </c>
      <c r="H63" t="s">
        <v>102</v>
      </c>
      <c r="I63" t="s">
        <v>103</v>
      </c>
      <c r="J63" t="s">
        <v>129</v>
      </c>
      <c r="K63">
        <v>5</v>
      </c>
      <c r="L63">
        <v>2</v>
      </c>
      <c r="M63">
        <v>5</v>
      </c>
      <c r="N63">
        <v>62</v>
      </c>
      <c r="O63" t="str">
        <f>_xlfn.XLOOKUP(Table4[[#This Row],[id]],VALINA[id],VALINA[name])</f>
        <v>Carolina</v>
      </c>
      <c r="P63">
        <f>_xlfn.XLOOKUP(Table4[[#This Row],[id]],prov_color!A:A,prov_color!C:C)</f>
        <v>25</v>
      </c>
    </row>
    <row r="64" spans="1:16" hidden="1" x14ac:dyDescent="0.25">
      <c r="A64">
        <v>63</v>
      </c>
      <c r="B64" t="s">
        <v>11</v>
      </c>
      <c r="C64" t="s">
        <v>12</v>
      </c>
      <c r="D64" t="s">
        <v>127</v>
      </c>
      <c r="E64" t="s">
        <v>22</v>
      </c>
      <c r="F64" t="s">
        <v>15</v>
      </c>
      <c r="G64" t="s">
        <v>35</v>
      </c>
      <c r="H64" t="s">
        <v>102</v>
      </c>
      <c r="I64" t="s">
        <v>103</v>
      </c>
      <c r="J64" t="s">
        <v>130</v>
      </c>
      <c r="K64">
        <v>5</v>
      </c>
      <c r="L64">
        <v>2</v>
      </c>
      <c r="M64">
        <v>4</v>
      </c>
      <c r="N64">
        <v>63</v>
      </c>
      <c r="O64" t="str">
        <f>_xlfn.XLOOKUP(Table4[[#This Row],[id]],VALINA[id],VALINA[name])</f>
        <v>Santee</v>
      </c>
      <c r="P64">
        <f>_xlfn.XLOOKUP(Table4[[#This Row],[id]],prov_color!A:A,prov_color!C:C)</f>
        <v>21</v>
      </c>
    </row>
    <row r="65" spans="1:16" hidden="1" x14ac:dyDescent="0.25">
      <c r="A65">
        <v>64</v>
      </c>
      <c r="B65" t="s">
        <v>11</v>
      </c>
      <c r="C65" t="s">
        <v>12</v>
      </c>
      <c r="D65" t="s">
        <v>127</v>
      </c>
      <c r="E65" t="s">
        <v>80</v>
      </c>
      <c r="F65" t="s">
        <v>15</v>
      </c>
      <c r="G65" t="s">
        <v>35</v>
      </c>
      <c r="H65" t="s">
        <v>102</v>
      </c>
      <c r="I65" t="s">
        <v>131</v>
      </c>
      <c r="J65" t="s">
        <v>132</v>
      </c>
      <c r="K65">
        <v>6</v>
      </c>
      <c r="L65">
        <v>2</v>
      </c>
      <c r="M65">
        <v>6</v>
      </c>
      <c r="N65">
        <v>64</v>
      </c>
      <c r="O65" t="str">
        <f>_xlfn.XLOOKUP(Table4[[#This Row],[id]],VALINA[id],VALINA[name])</f>
        <v>Roanoke</v>
      </c>
      <c r="P65">
        <f>_xlfn.XLOOKUP(Table4[[#This Row],[id]],prov_color!A:A,prov_color!C:C)</f>
        <v>36</v>
      </c>
    </row>
    <row r="66" spans="1:16" hidden="1" x14ac:dyDescent="0.25">
      <c r="A66">
        <v>65</v>
      </c>
      <c r="B66" t="s">
        <v>11</v>
      </c>
      <c r="C66" t="s">
        <v>12</v>
      </c>
      <c r="D66" t="s">
        <v>127</v>
      </c>
      <c r="E66" t="s">
        <v>22</v>
      </c>
      <c r="F66" t="s">
        <v>15</v>
      </c>
      <c r="G66" t="s">
        <v>26</v>
      </c>
      <c r="H66" t="s">
        <v>113</v>
      </c>
      <c r="I66" t="s">
        <v>131</v>
      </c>
      <c r="J66" t="s">
        <v>133</v>
      </c>
      <c r="K66">
        <v>5</v>
      </c>
      <c r="L66">
        <v>1</v>
      </c>
      <c r="M66">
        <v>4</v>
      </c>
      <c r="N66">
        <v>65</v>
      </c>
      <c r="O66" t="str">
        <f>_xlfn.XLOOKUP(Table4[[#This Row],[id]],VALINA[id],VALINA[name])</f>
        <v>Catawba</v>
      </c>
      <c r="P66">
        <f>_xlfn.XLOOKUP(Table4[[#This Row],[id]],prov_color!A:A,prov_color!C:C)</f>
        <v>36</v>
      </c>
    </row>
    <row r="67" spans="1:16" hidden="1" x14ac:dyDescent="0.25">
      <c r="A67">
        <v>66</v>
      </c>
      <c r="B67" t="s">
        <v>11</v>
      </c>
      <c r="C67" t="s">
        <v>12</v>
      </c>
      <c r="D67" t="s">
        <v>127</v>
      </c>
      <c r="E67" t="s">
        <v>14</v>
      </c>
      <c r="F67" t="s">
        <v>15</v>
      </c>
      <c r="G67" t="s">
        <v>26</v>
      </c>
      <c r="H67" t="s">
        <v>113</v>
      </c>
      <c r="I67" t="s">
        <v>29</v>
      </c>
      <c r="J67" t="s">
        <v>134</v>
      </c>
      <c r="K67">
        <v>7</v>
      </c>
      <c r="L67">
        <v>1</v>
      </c>
      <c r="M67">
        <v>3</v>
      </c>
      <c r="N67">
        <v>66</v>
      </c>
      <c r="O67" t="str">
        <f>_xlfn.XLOOKUP(Table4[[#This Row],[id]],VALINA[id],VALINA[name])</f>
        <v>Appalache</v>
      </c>
      <c r="P67">
        <f>_xlfn.XLOOKUP(Table4[[#This Row],[id]],prov_color!A:A,prov_color!C:C)</f>
        <v>35</v>
      </c>
    </row>
    <row r="68" spans="1:16" hidden="1" x14ac:dyDescent="0.25">
      <c r="A68">
        <v>67</v>
      </c>
      <c r="B68" t="s">
        <v>11</v>
      </c>
      <c r="C68" t="s">
        <v>12</v>
      </c>
      <c r="D68" t="s">
        <v>135</v>
      </c>
      <c r="E68" t="s">
        <v>22</v>
      </c>
      <c r="F68" t="s">
        <v>15</v>
      </c>
      <c r="G68" t="s">
        <v>122</v>
      </c>
      <c r="H68" t="s">
        <v>125</v>
      </c>
      <c r="I68" t="s">
        <v>20</v>
      </c>
      <c r="J68" t="s">
        <v>136</v>
      </c>
      <c r="K68">
        <v>5</v>
      </c>
      <c r="L68">
        <v>2</v>
      </c>
      <c r="M68">
        <v>3</v>
      </c>
      <c r="N68">
        <v>67</v>
      </c>
      <c r="O68" t="str">
        <f>_xlfn.XLOOKUP(Table4[[#This Row],[id]],VALINA[id],VALINA[name])</f>
        <v>Kentucky</v>
      </c>
      <c r="P68">
        <f>_xlfn.XLOOKUP(Table4[[#This Row],[id]],prov_color!A:A,prov_color!C:C)</f>
        <v>45</v>
      </c>
    </row>
    <row r="69" spans="1:16" hidden="1" x14ac:dyDescent="0.25">
      <c r="A69">
        <v>68</v>
      </c>
      <c r="B69" t="s">
        <v>11</v>
      </c>
      <c r="C69" t="s">
        <v>12</v>
      </c>
      <c r="D69" t="s">
        <v>127</v>
      </c>
      <c r="E69" t="s">
        <v>80</v>
      </c>
      <c r="F69" t="s">
        <v>15</v>
      </c>
      <c r="G69" t="s">
        <v>26</v>
      </c>
      <c r="H69" t="s">
        <v>137</v>
      </c>
      <c r="I69" t="s">
        <v>131</v>
      </c>
      <c r="J69" t="s">
        <v>138</v>
      </c>
      <c r="K69">
        <v>4</v>
      </c>
      <c r="L69">
        <v>2</v>
      </c>
      <c r="M69">
        <v>6</v>
      </c>
      <c r="N69">
        <v>68</v>
      </c>
      <c r="O69" t="str">
        <f>_xlfn.XLOOKUP(Table4[[#This Row],[id]],VALINA[id],VALINA[name])</f>
        <v>Chesapeake</v>
      </c>
      <c r="P69">
        <f>_xlfn.XLOOKUP(Table4[[#This Row],[id]],prov_color!A:A,prov_color!C:C)</f>
        <v>19</v>
      </c>
    </row>
    <row r="70" spans="1:16" hidden="1" x14ac:dyDescent="0.25">
      <c r="A70">
        <v>69</v>
      </c>
      <c r="B70" t="s">
        <v>11</v>
      </c>
      <c r="C70" t="s">
        <v>12</v>
      </c>
      <c r="D70" t="s">
        <v>127</v>
      </c>
      <c r="E70" t="s">
        <v>34</v>
      </c>
      <c r="F70" t="s">
        <v>15</v>
      </c>
      <c r="G70" t="s">
        <v>122</v>
      </c>
      <c r="H70" t="s">
        <v>139</v>
      </c>
      <c r="I70" t="s">
        <v>131</v>
      </c>
      <c r="J70" t="s">
        <v>140</v>
      </c>
      <c r="K70">
        <v>4</v>
      </c>
      <c r="L70">
        <v>2</v>
      </c>
      <c r="M70">
        <v>7</v>
      </c>
      <c r="N70">
        <v>69</v>
      </c>
      <c r="O70" t="str">
        <f>_xlfn.XLOOKUP(Table4[[#This Row],[id]],VALINA[id],VALINA[name])</f>
        <v>Powhatan</v>
      </c>
      <c r="P70">
        <f>_xlfn.XLOOKUP(Table4[[#This Row],[id]],prov_color!A:A,prov_color!C:C)</f>
        <v>19</v>
      </c>
    </row>
    <row r="71" spans="1:16" hidden="1" x14ac:dyDescent="0.25">
      <c r="A71">
        <v>70</v>
      </c>
      <c r="B71" t="s">
        <v>11</v>
      </c>
      <c r="C71" t="s">
        <v>12</v>
      </c>
      <c r="D71" t="s">
        <v>127</v>
      </c>
      <c r="E71" t="s">
        <v>14</v>
      </c>
      <c r="F71" t="s">
        <v>15</v>
      </c>
      <c r="G71" t="s">
        <v>122</v>
      </c>
      <c r="H71" t="s">
        <v>139</v>
      </c>
      <c r="I71" t="s">
        <v>141</v>
      </c>
      <c r="J71" t="s">
        <v>142</v>
      </c>
      <c r="K71">
        <v>5</v>
      </c>
      <c r="L71">
        <v>2</v>
      </c>
      <c r="M71">
        <v>5</v>
      </c>
      <c r="N71">
        <v>70</v>
      </c>
      <c r="O71" t="str">
        <f>_xlfn.XLOOKUP(Table4[[#This Row],[id]],VALINA[id],VALINA[name])</f>
        <v>Shenandoah</v>
      </c>
      <c r="P71">
        <f>_xlfn.XLOOKUP(Table4[[#This Row],[id]],prov_color!A:A,prov_color!C:C)</f>
        <v>23</v>
      </c>
    </row>
    <row r="72" spans="1:16" hidden="1" x14ac:dyDescent="0.25">
      <c r="A72">
        <v>71</v>
      </c>
      <c r="B72" t="s">
        <v>11</v>
      </c>
      <c r="C72" t="s">
        <v>12</v>
      </c>
      <c r="D72" t="s">
        <v>135</v>
      </c>
      <c r="E72" t="s">
        <v>22</v>
      </c>
      <c r="F72" t="s">
        <v>15</v>
      </c>
      <c r="G72" t="s">
        <v>122</v>
      </c>
      <c r="H72" t="s">
        <v>125</v>
      </c>
      <c r="I72" t="s">
        <v>20</v>
      </c>
      <c r="J72" t="s">
        <v>143</v>
      </c>
      <c r="K72">
        <v>6</v>
      </c>
      <c r="L72">
        <v>5</v>
      </c>
      <c r="M72">
        <v>3</v>
      </c>
      <c r="N72">
        <v>71</v>
      </c>
      <c r="O72" t="str">
        <f>_xlfn.XLOOKUP(Table4[[#This Row],[id]],VALINA[id],VALINA[name])</f>
        <v>Erie</v>
      </c>
      <c r="P72">
        <f>_xlfn.XLOOKUP(Table4[[#This Row],[id]],prov_color!A:A,prov_color!C:C)</f>
        <v>23</v>
      </c>
    </row>
    <row r="73" spans="1:16" hidden="1" x14ac:dyDescent="0.25">
      <c r="A73">
        <v>72</v>
      </c>
      <c r="B73" t="s">
        <v>11</v>
      </c>
      <c r="C73" t="s">
        <v>12</v>
      </c>
      <c r="D73" t="s">
        <v>144</v>
      </c>
      <c r="E73" t="s">
        <v>34</v>
      </c>
      <c r="F73" t="s">
        <v>15</v>
      </c>
      <c r="G73" t="s">
        <v>122</v>
      </c>
      <c r="H73" t="s">
        <v>125</v>
      </c>
      <c r="I73" t="s">
        <v>20</v>
      </c>
      <c r="J73" t="s">
        <v>145</v>
      </c>
      <c r="K73">
        <v>6</v>
      </c>
      <c r="L73">
        <v>2</v>
      </c>
      <c r="M73">
        <v>3</v>
      </c>
      <c r="N73">
        <v>72</v>
      </c>
      <c r="O73" t="str">
        <f>_xlfn.XLOOKUP(Table4[[#This Row],[id]],VALINA[id],VALINA[name])</f>
        <v>Hindua</v>
      </c>
      <c r="P73">
        <f>_xlfn.XLOOKUP(Table4[[#This Row],[id]],prov_color!A:A,prov_color!C:C)</f>
        <v>44</v>
      </c>
    </row>
    <row r="74" spans="1:16" hidden="1" x14ac:dyDescent="0.25">
      <c r="A74">
        <v>73</v>
      </c>
      <c r="B74" t="s">
        <v>11</v>
      </c>
      <c r="C74" t="s">
        <v>12</v>
      </c>
      <c r="D74" t="s">
        <v>124</v>
      </c>
      <c r="E74" t="s">
        <v>22</v>
      </c>
      <c r="F74" t="s">
        <v>15</v>
      </c>
      <c r="G74" t="s">
        <v>122</v>
      </c>
      <c r="H74" t="s">
        <v>125</v>
      </c>
      <c r="I74" t="s">
        <v>20</v>
      </c>
      <c r="J74" t="s">
        <v>146</v>
      </c>
      <c r="K74">
        <v>5</v>
      </c>
      <c r="L74">
        <v>2</v>
      </c>
      <c r="M74">
        <v>3</v>
      </c>
      <c r="N74">
        <v>73</v>
      </c>
      <c r="O74" t="str">
        <f>_xlfn.XLOOKUP(Table4[[#This Row],[id]],VALINA[id],VALINA[name])</f>
        <v>Fox</v>
      </c>
      <c r="P74">
        <f>_xlfn.XLOOKUP(Table4[[#This Row],[id]],prov_color!A:A,prov_color!C:C)</f>
        <v>64</v>
      </c>
    </row>
    <row r="75" spans="1:16" hidden="1" x14ac:dyDescent="0.25">
      <c r="A75">
        <v>74</v>
      </c>
      <c r="B75" t="s">
        <v>11</v>
      </c>
      <c r="C75" t="s">
        <v>12</v>
      </c>
      <c r="D75" t="s">
        <v>124</v>
      </c>
      <c r="E75" t="s">
        <v>34</v>
      </c>
      <c r="F75" t="s">
        <v>15</v>
      </c>
      <c r="G75" t="s">
        <v>122</v>
      </c>
      <c r="H75" t="s">
        <v>147</v>
      </c>
      <c r="I75" t="s">
        <v>20</v>
      </c>
      <c r="J75" t="s">
        <v>148</v>
      </c>
      <c r="K75">
        <v>5</v>
      </c>
      <c r="L75">
        <v>2</v>
      </c>
      <c r="M75">
        <v>3</v>
      </c>
      <c r="N75">
        <v>74</v>
      </c>
      <c r="O75" t="str">
        <f>_xlfn.XLOOKUP(Table4[[#This Row],[id]],VALINA[id],VALINA[name])</f>
        <v>Milwaukee</v>
      </c>
      <c r="P75">
        <f>_xlfn.XLOOKUP(Table4[[#This Row],[id]],prov_color!A:A,prov_color!C:C)</f>
        <v>58</v>
      </c>
    </row>
    <row r="76" spans="1:16" hidden="1" x14ac:dyDescent="0.25">
      <c r="A76">
        <v>75</v>
      </c>
      <c r="B76" t="s">
        <v>11</v>
      </c>
      <c r="C76" t="s">
        <v>12</v>
      </c>
      <c r="D76" t="s">
        <v>121</v>
      </c>
      <c r="E76" t="s">
        <v>34</v>
      </c>
      <c r="F76" t="s">
        <v>15</v>
      </c>
      <c r="G76" t="s">
        <v>122</v>
      </c>
      <c r="H76" t="s">
        <v>147</v>
      </c>
      <c r="I76" t="s">
        <v>43</v>
      </c>
      <c r="J76" t="s">
        <v>149</v>
      </c>
      <c r="K76">
        <v>6</v>
      </c>
      <c r="L76">
        <v>1</v>
      </c>
      <c r="M76">
        <v>3</v>
      </c>
      <c r="N76">
        <v>75</v>
      </c>
      <c r="O76" t="str">
        <f>_xlfn.XLOOKUP(Table4[[#This Row],[id]],VALINA[id],VALINA[name])</f>
        <v>Iowa</v>
      </c>
      <c r="P76">
        <f>_xlfn.XLOOKUP(Table4[[#This Row],[id]],prov_color!A:A,prov_color!C:C)</f>
        <v>81</v>
      </c>
    </row>
    <row r="77" spans="1:16" hidden="1" x14ac:dyDescent="0.25">
      <c r="A77">
        <v>76</v>
      </c>
      <c r="B77" t="s">
        <v>11</v>
      </c>
      <c r="C77" t="s">
        <v>12</v>
      </c>
      <c r="D77" t="s">
        <v>121</v>
      </c>
      <c r="E77" t="s">
        <v>34</v>
      </c>
      <c r="F77" t="s">
        <v>15</v>
      </c>
      <c r="G77" t="s">
        <v>16</v>
      </c>
      <c r="H77" t="s">
        <v>147</v>
      </c>
      <c r="I77" t="s">
        <v>43</v>
      </c>
      <c r="J77" t="s">
        <v>150</v>
      </c>
      <c r="K77">
        <v>7</v>
      </c>
      <c r="L77">
        <v>1</v>
      </c>
      <c r="M77">
        <v>3</v>
      </c>
      <c r="N77">
        <v>76</v>
      </c>
      <c r="O77" t="str">
        <f>_xlfn.XLOOKUP(Table4[[#This Row],[id]],VALINA[id],VALINA[name])</f>
        <v>Minnesota</v>
      </c>
      <c r="P77">
        <f>_xlfn.XLOOKUP(Table4[[#This Row],[id]],prov_color!A:A,prov_color!C:C)</f>
        <v>75</v>
      </c>
    </row>
    <row r="78" spans="1:16" hidden="1" x14ac:dyDescent="0.25">
      <c r="A78">
        <v>77</v>
      </c>
      <c r="B78" t="s">
        <v>11</v>
      </c>
      <c r="C78" t="s">
        <v>12</v>
      </c>
      <c r="D78" t="s">
        <v>151</v>
      </c>
      <c r="E78" t="s">
        <v>22</v>
      </c>
      <c r="F78" t="s">
        <v>15</v>
      </c>
      <c r="G78" t="s">
        <v>16</v>
      </c>
      <c r="H78" t="s">
        <v>147</v>
      </c>
      <c r="I78" t="s">
        <v>43</v>
      </c>
      <c r="J78" t="s">
        <v>152</v>
      </c>
      <c r="K78">
        <v>7</v>
      </c>
      <c r="L78">
        <v>1</v>
      </c>
      <c r="M78">
        <v>2</v>
      </c>
      <c r="N78">
        <v>77</v>
      </c>
      <c r="O78" t="str">
        <f>_xlfn.XLOOKUP(Table4[[#This Row],[id]],VALINA[id],VALINA[name])</f>
        <v>Mesabi</v>
      </c>
      <c r="P78">
        <f>_xlfn.XLOOKUP(Table4[[#This Row],[id]],prov_color!A:A,prov_color!C:C)</f>
        <v>46</v>
      </c>
    </row>
    <row r="79" spans="1:16" hidden="1" x14ac:dyDescent="0.25">
      <c r="A79">
        <v>78</v>
      </c>
      <c r="B79" t="s">
        <v>11</v>
      </c>
      <c r="C79" t="s">
        <v>12</v>
      </c>
      <c r="D79" t="s">
        <v>151</v>
      </c>
      <c r="E79" t="s">
        <v>22</v>
      </c>
      <c r="F79" t="s">
        <v>15</v>
      </c>
      <c r="G79" t="s">
        <v>16</v>
      </c>
      <c r="H79" t="s">
        <v>147</v>
      </c>
      <c r="I79" t="s">
        <v>43</v>
      </c>
      <c r="J79" t="s">
        <v>153</v>
      </c>
      <c r="K79">
        <v>6</v>
      </c>
      <c r="L79">
        <v>2</v>
      </c>
      <c r="M79">
        <v>3</v>
      </c>
      <c r="N79">
        <v>78</v>
      </c>
      <c r="O79" t="str">
        <f>_xlfn.XLOOKUP(Table4[[#This Row],[id]],VALINA[id],VALINA[name])</f>
        <v>Duluth</v>
      </c>
      <c r="P79">
        <f>_xlfn.XLOOKUP(Table4[[#This Row],[id]],prov_color!A:A,prov_color!C:C)</f>
        <v>96</v>
      </c>
    </row>
    <row r="80" spans="1:16" hidden="1" x14ac:dyDescent="0.25">
      <c r="A80">
        <v>79</v>
      </c>
      <c r="B80" t="s">
        <v>11</v>
      </c>
      <c r="C80" t="s">
        <v>12</v>
      </c>
      <c r="D80" t="s">
        <v>151</v>
      </c>
      <c r="E80" t="s">
        <v>22</v>
      </c>
      <c r="F80" t="s">
        <v>15</v>
      </c>
      <c r="G80" t="s">
        <v>122</v>
      </c>
      <c r="H80" t="s">
        <v>147</v>
      </c>
      <c r="I80" t="s">
        <v>141</v>
      </c>
      <c r="J80" t="s">
        <v>154</v>
      </c>
      <c r="K80">
        <v>7</v>
      </c>
      <c r="L80">
        <v>2</v>
      </c>
      <c r="M80">
        <v>2</v>
      </c>
      <c r="N80">
        <v>79</v>
      </c>
      <c r="O80" t="str">
        <f>_xlfn.XLOOKUP(Table4[[#This Row],[id]],VALINA[id],VALINA[name])</f>
        <v>Wisconsin</v>
      </c>
      <c r="P80">
        <f>_xlfn.XLOOKUP(Table4[[#This Row],[id]],prov_color!A:A,prov_color!C:C)</f>
        <v>59</v>
      </c>
    </row>
    <row r="81" spans="1:16" hidden="1" x14ac:dyDescent="0.25">
      <c r="A81">
        <v>80</v>
      </c>
      <c r="B81" t="s">
        <v>11</v>
      </c>
      <c r="C81" t="s">
        <v>12</v>
      </c>
      <c r="D81" t="s">
        <v>124</v>
      </c>
      <c r="E81" t="s">
        <v>22</v>
      </c>
      <c r="F81" t="s">
        <v>15</v>
      </c>
      <c r="G81" t="s">
        <v>122</v>
      </c>
      <c r="H81" t="s">
        <v>147</v>
      </c>
      <c r="I81" t="s">
        <v>20</v>
      </c>
      <c r="J81" t="s">
        <v>155</v>
      </c>
      <c r="K81">
        <v>6</v>
      </c>
      <c r="L81">
        <v>2</v>
      </c>
      <c r="M81">
        <v>2</v>
      </c>
      <c r="N81">
        <v>80</v>
      </c>
      <c r="O81" t="str">
        <f>_xlfn.XLOOKUP(Table4[[#This Row],[id]],VALINA[id],VALINA[name])</f>
        <v>Oskosh</v>
      </c>
      <c r="P81">
        <f>_xlfn.XLOOKUP(Table4[[#This Row],[id]],prov_color!A:A,prov_color!C:C)</f>
        <v>48</v>
      </c>
    </row>
    <row r="82" spans="1:16" hidden="1" x14ac:dyDescent="0.25">
      <c r="A82">
        <v>81</v>
      </c>
      <c r="B82" t="s">
        <v>11</v>
      </c>
      <c r="C82" t="s">
        <v>12</v>
      </c>
      <c r="D82" t="s">
        <v>144</v>
      </c>
      <c r="E82" t="s">
        <v>22</v>
      </c>
      <c r="F82" t="s">
        <v>15</v>
      </c>
      <c r="G82" t="s">
        <v>122</v>
      </c>
      <c r="H82" t="s">
        <v>125</v>
      </c>
      <c r="I82" t="s">
        <v>20</v>
      </c>
      <c r="J82" t="s">
        <v>156</v>
      </c>
      <c r="K82">
        <v>6</v>
      </c>
      <c r="L82">
        <v>1</v>
      </c>
      <c r="M82">
        <v>3</v>
      </c>
      <c r="N82">
        <v>81</v>
      </c>
      <c r="O82" t="str">
        <f>_xlfn.XLOOKUP(Table4[[#This Row],[id]],VALINA[id],VALINA[name])</f>
        <v>Michilimakinak</v>
      </c>
      <c r="P82">
        <f>_xlfn.XLOOKUP(Table4[[#This Row],[id]],prov_color!A:A,prov_color!C:C)</f>
        <v>39</v>
      </c>
    </row>
    <row r="83" spans="1:16" hidden="1" x14ac:dyDescent="0.25">
      <c r="A83">
        <v>82</v>
      </c>
      <c r="B83" t="s">
        <v>11</v>
      </c>
      <c r="C83" t="s">
        <v>12</v>
      </c>
      <c r="D83" t="s">
        <v>144</v>
      </c>
      <c r="E83" t="s">
        <v>34</v>
      </c>
      <c r="F83" t="s">
        <v>15</v>
      </c>
      <c r="G83" t="s">
        <v>122</v>
      </c>
      <c r="H83" t="s">
        <v>125</v>
      </c>
      <c r="I83" t="s">
        <v>20</v>
      </c>
      <c r="J83" t="s">
        <v>157</v>
      </c>
      <c r="K83">
        <v>5</v>
      </c>
      <c r="L83">
        <v>1</v>
      </c>
      <c r="M83">
        <v>3</v>
      </c>
      <c r="N83">
        <v>82</v>
      </c>
      <c r="O83" t="str">
        <f>_xlfn.XLOOKUP(Table4[[#This Row],[id]],VALINA[id],VALINA[name])</f>
        <v>Detroit</v>
      </c>
      <c r="P83">
        <f>_xlfn.XLOOKUP(Table4[[#This Row],[id]],prov_color!A:A,prov_color!C:C)</f>
        <v>28</v>
      </c>
    </row>
    <row r="84" spans="1:16" hidden="1" x14ac:dyDescent="0.25">
      <c r="A84">
        <v>83</v>
      </c>
      <c r="B84" t="s">
        <v>11</v>
      </c>
      <c r="C84" t="s">
        <v>12</v>
      </c>
      <c r="D84" t="s">
        <v>135</v>
      </c>
      <c r="E84" t="s">
        <v>14</v>
      </c>
      <c r="F84" t="s">
        <v>15</v>
      </c>
      <c r="G84" t="s">
        <v>122</v>
      </c>
      <c r="H84" t="s">
        <v>139</v>
      </c>
      <c r="I84" t="s">
        <v>20</v>
      </c>
      <c r="J84" t="s">
        <v>158</v>
      </c>
      <c r="K84">
        <v>7</v>
      </c>
      <c r="L84">
        <v>2</v>
      </c>
      <c r="M84">
        <v>2</v>
      </c>
      <c r="N84">
        <v>83</v>
      </c>
      <c r="O84" t="str">
        <f>_xlfn.XLOOKUP(Table4[[#This Row],[id]],VALINA[id],VALINA[name])</f>
        <v>Irondekoit</v>
      </c>
      <c r="P84">
        <f>_xlfn.XLOOKUP(Table4[[#This Row],[id]],prov_color!A:A,prov_color!C:C)</f>
        <v>18</v>
      </c>
    </row>
    <row r="85" spans="1:16" hidden="1" x14ac:dyDescent="0.25">
      <c r="A85">
        <v>84</v>
      </c>
      <c r="B85" t="s">
        <v>11</v>
      </c>
      <c r="C85" t="s">
        <v>12</v>
      </c>
      <c r="D85" t="s">
        <v>127</v>
      </c>
      <c r="E85" t="s">
        <v>22</v>
      </c>
      <c r="F85" t="s">
        <v>15</v>
      </c>
      <c r="G85" t="s">
        <v>122</v>
      </c>
      <c r="H85" t="s">
        <v>139</v>
      </c>
      <c r="I85" t="s">
        <v>20</v>
      </c>
      <c r="J85" t="s">
        <v>159</v>
      </c>
      <c r="K85">
        <v>5</v>
      </c>
      <c r="L85">
        <v>2</v>
      </c>
      <c r="M85">
        <v>4</v>
      </c>
      <c r="N85">
        <v>84</v>
      </c>
      <c r="O85" t="str">
        <f>_xlfn.XLOOKUP(Table4[[#This Row],[id]],VALINA[id],VALINA[name])</f>
        <v>Tuscarora</v>
      </c>
      <c r="P85">
        <f>_xlfn.XLOOKUP(Table4[[#This Row],[id]],prov_color!A:A,prov_color!C:C)</f>
        <v>21</v>
      </c>
    </row>
    <row r="86" spans="1:16" hidden="1" x14ac:dyDescent="0.25">
      <c r="A86">
        <v>85</v>
      </c>
      <c r="B86" t="s">
        <v>11</v>
      </c>
      <c r="C86" t="s">
        <v>12</v>
      </c>
      <c r="D86" t="s">
        <v>127</v>
      </c>
      <c r="E86" t="s">
        <v>22</v>
      </c>
      <c r="F86" t="s">
        <v>15</v>
      </c>
      <c r="G86" t="s">
        <v>122</v>
      </c>
      <c r="H86" t="s">
        <v>139</v>
      </c>
      <c r="I86" t="s">
        <v>43</v>
      </c>
      <c r="J86" t="s">
        <v>160</v>
      </c>
      <c r="K86">
        <v>5</v>
      </c>
      <c r="L86">
        <v>2</v>
      </c>
      <c r="M86">
        <v>6</v>
      </c>
      <c r="N86">
        <v>85</v>
      </c>
      <c r="O86" t="str">
        <f>_xlfn.XLOOKUP(Table4[[#This Row],[id]],VALINA[id],VALINA[name])</f>
        <v>Susquehanna</v>
      </c>
      <c r="P86">
        <f>_xlfn.XLOOKUP(Table4[[#This Row],[id]],prov_color!A:A,prov_color!C:C)</f>
        <v>12</v>
      </c>
    </row>
    <row r="87" spans="1:16" hidden="1" x14ac:dyDescent="0.25">
      <c r="A87">
        <v>86</v>
      </c>
      <c r="B87" t="s">
        <v>11</v>
      </c>
      <c r="C87" t="s">
        <v>12</v>
      </c>
      <c r="D87" t="s">
        <v>127</v>
      </c>
      <c r="E87" t="s">
        <v>22</v>
      </c>
      <c r="F87" t="s">
        <v>15</v>
      </c>
      <c r="G87" t="s">
        <v>26</v>
      </c>
      <c r="H87" t="s">
        <v>137</v>
      </c>
      <c r="I87" t="s">
        <v>131</v>
      </c>
      <c r="J87" t="s">
        <v>161</v>
      </c>
      <c r="K87">
        <v>4</v>
      </c>
      <c r="L87">
        <v>3</v>
      </c>
      <c r="M87">
        <v>6</v>
      </c>
      <c r="N87">
        <v>86</v>
      </c>
      <c r="O87" t="str">
        <f>_xlfn.XLOOKUP(Table4[[#This Row],[id]],VALINA[id],VALINA[name])</f>
        <v>Delaware</v>
      </c>
      <c r="P87">
        <f>_xlfn.XLOOKUP(Table4[[#This Row],[id]],prov_color!A:A,prov_color!C:C)</f>
        <v>19</v>
      </c>
    </row>
    <row r="88" spans="1:16" hidden="1" x14ac:dyDescent="0.25">
      <c r="A88">
        <v>87</v>
      </c>
      <c r="B88" t="s">
        <v>11</v>
      </c>
      <c r="C88" t="s">
        <v>12</v>
      </c>
      <c r="D88" t="s">
        <v>127</v>
      </c>
      <c r="E88" t="s">
        <v>22</v>
      </c>
      <c r="F88" t="s">
        <v>15</v>
      </c>
      <c r="G88" t="s">
        <v>26</v>
      </c>
      <c r="H88" t="s">
        <v>137</v>
      </c>
      <c r="I88" t="s">
        <v>20</v>
      </c>
      <c r="J88" t="s">
        <v>162</v>
      </c>
      <c r="K88">
        <v>4</v>
      </c>
      <c r="L88">
        <v>2</v>
      </c>
      <c r="M88">
        <v>7</v>
      </c>
      <c r="N88">
        <v>87</v>
      </c>
      <c r="O88" t="str">
        <f>_xlfn.XLOOKUP(Table4[[#This Row],[id]],VALINA[id],VALINA[name])</f>
        <v>Manhattan</v>
      </c>
      <c r="P88">
        <f>_xlfn.XLOOKUP(Table4[[#This Row],[id]],prov_color!A:A,prov_color!C:C)</f>
        <v>18</v>
      </c>
    </row>
    <row r="89" spans="1:16" hidden="1" x14ac:dyDescent="0.25">
      <c r="A89">
        <v>88</v>
      </c>
      <c r="B89" t="s">
        <v>11</v>
      </c>
      <c r="C89" t="s">
        <v>12</v>
      </c>
      <c r="D89" t="s">
        <v>127</v>
      </c>
      <c r="E89" t="s">
        <v>14</v>
      </c>
      <c r="F89" t="s">
        <v>15</v>
      </c>
      <c r="G89" t="s">
        <v>122</v>
      </c>
      <c r="H89" t="s">
        <v>139</v>
      </c>
      <c r="I89" t="s">
        <v>20</v>
      </c>
      <c r="J89" t="s">
        <v>163</v>
      </c>
      <c r="K89">
        <v>5</v>
      </c>
      <c r="L89">
        <v>1</v>
      </c>
      <c r="M89">
        <v>4</v>
      </c>
      <c r="N89">
        <v>88</v>
      </c>
      <c r="O89" t="str">
        <f>_xlfn.XLOOKUP(Table4[[#This Row],[id]],VALINA[id],VALINA[name])</f>
        <v>Catskill</v>
      </c>
      <c r="P89">
        <f>_xlfn.XLOOKUP(Table4[[#This Row],[id]],prov_color!A:A,prov_color!C:C)</f>
        <v>14</v>
      </c>
    </row>
    <row r="90" spans="1:16" hidden="1" x14ac:dyDescent="0.25">
      <c r="A90">
        <v>89</v>
      </c>
      <c r="B90" t="s">
        <v>11</v>
      </c>
      <c r="C90" t="s">
        <v>12</v>
      </c>
      <c r="D90" t="s">
        <v>127</v>
      </c>
      <c r="E90" t="s">
        <v>14</v>
      </c>
      <c r="F90" t="s">
        <v>15</v>
      </c>
      <c r="G90" t="s">
        <v>122</v>
      </c>
      <c r="H90" t="s">
        <v>139</v>
      </c>
      <c r="I90" t="s">
        <v>20</v>
      </c>
      <c r="J90" t="s">
        <v>164</v>
      </c>
      <c r="K90">
        <v>6</v>
      </c>
      <c r="L90">
        <v>1</v>
      </c>
      <c r="M90">
        <v>2</v>
      </c>
      <c r="N90">
        <v>89</v>
      </c>
      <c r="O90" t="str">
        <f>_xlfn.XLOOKUP(Table4[[#This Row],[id]],VALINA[id],VALINA[name])</f>
        <v>Oswego</v>
      </c>
      <c r="P90">
        <f>_xlfn.XLOOKUP(Table4[[#This Row],[id]],prov_color!A:A,prov_color!C:C)</f>
        <v>17</v>
      </c>
    </row>
    <row r="91" spans="1:16" hidden="1" x14ac:dyDescent="0.25">
      <c r="A91">
        <v>90</v>
      </c>
      <c r="B91" t="s">
        <v>11</v>
      </c>
      <c r="C91" t="s">
        <v>12</v>
      </c>
      <c r="D91" t="s">
        <v>135</v>
      </c>
      <c r="E91" t="s">
        <v>14</v>
      </c>
      <c r="F91" t="s">
        <v>15</v>
      </c>
      <c r="G91" t="s">
        <v>122</v>
      </c>
      <c r="H91" t="s">
        <v>139</v>
      </c>
      <c r="I91" t="s">
        <v>20</v>
      </c>
      <c r="J91" t="s">
        <v>165</v>
      </c>
      <c r="K91">
        <v>7</v>
      </c>
      <c r="L91">
        <v>2</v>
      </c>
      <c r="M91">
        <v>3</v>
      </c>
      <c r="N91">
        <v>90</v>
      </c>
      <c r="O91" t="str">
        <f>_xlfn.XLOOKUP(Table4[[#This Row],[id]],VALINA[id],VALINA[name])</f>
        <v>Mohawk</v>
      </c>
      <c r="P91">
        <f>_xlfn.XLOOKUP(Table4[[#This Row],[id]],prov_color!A:A,prov_color!C:C)</f>
        <v>13</v>
      </c>
    </row>
    <row r="92" spans="1:16" hidden="1" x14ac:dyDescent="0.25">
      <c r="A92">
        <v>91</v>
      </c>
      <c r="B92" t="s">
        <v>11</v>
      </c>
      <c r="C92" t="s">
        <v>12</v>
      </c>
      <c r="D92" t="s">
        <v>135</v>
      </c>
      <c r="E92" t="s">
        <v>22</v>
      </c>
      <c r="F92" t="s">
        <v>15</v>
      </c>
      <c r="G92" t="s">
        <v>122</v>
      </c>
      <c r="H92" t="s">
        <v>139</v>
      </c>
      <c r="I92" t="s">
        <v>20</v>
      </c>
      <c r="J92" t="s">
        <v>166</v>
      </c>
      <c r="K92">
        <v>7</v>
      </c>
      <c r="L92">
        <v>2</v>
      </c>
      <c r="M92">
        <v>3</v>
      </c>
      <c r="N92">
        <v>91</v>
      </c>
      <c r="O92" t="str">
        <f>_xlfn.XLOOKUP(Table4[[#This Row],[id]],VALINA[id],VALINA[name])</f>
        <v>Onondaga</v>
      </c>
      <c r="P92">
        <f>_xlfn.XLOOKUP(Table4[[#This Row],[id]],prov_color!A:A,prov_color!C:C)</f>
        <v>13</v>
      </c>
    </row>
    <row r="93" spans="1:16" hidden="1" x14ac:dyDescent="0.25">
      <c r="A93">
        <v>92</v>
      </c>
      <c r="B93" t="s">
        <v>11</v>
      </c>
      <c r="C93" t="s">
        <v>12</v>
      </c>
      <c r="D93" t="s">
        <v>144</v>
      </c>
      <c r="E93" t="s">
        <v>22</v>
      </c>
      <c r="F93" t="s">
        <v>15</v>
      </c>
      <c r="G93" t="s">
        <v>122</v>
      </c>
      <c r="H93" t="s">
        <v>167</v>
      </c>
      <c r="I93" t="s">
        <v>20</v>
      </c>
      <c r="J93" t="s">
        <v>168</v>
      </c>
      <c r="K93">
        <v>4</v>
      </c>
      <c r="L93">
        <v>2</v>
      </c>
      <c r="M93">
        <v>4</v>
      </c>
      <c r="N93">
        <v>92</v>
      </c>
      <c r="O93" t="str">
        <f>_xlfn.XLOOKUP(Table4[[#This Row],[id]],VALINA[id],VALINA[name])</f>
        <v>Niagara</v>
      </c>
      <c r="P93">
        <f>_xlfn.XLOOKUP(Table4[[#This Row],[id]],prov_color!A:A,prov_color!C:C)</f>
        <v>29</v>
      </c>
    </row>
    <row r="94" spans="1:16" hidden="1" x14ac:dyDescent="0.25">
      <c r="A94">
        <v>93</v>
      </c>
      <c r="B94" t="s">
        <v>11</v>
      </c>
      <c r="C94" t="s">
        <v>12</v>
      </c>
      <c r="D94" t="s">
        <v>144</v>
      </c>
      <c r="E94" t="s">
        <v>22</v>
      </c>
      <c r="F94" t="s">
        <v>15</v>
      </c>
      <c r="G94" t="s">
        <v>122</v>
      </c>
      <c r="H94" t="s">
        <v>147</v>
      </c>
      <c r="I94" t="s">
        <v>20</v>
      </c>
      <c r="J94" t="s">
        <v>169</v>
      </c>
      <c r="K94">
        <v>7</v>
      </c>
      <c r="L94">
        <v>1</v>
      </c>
      <c r="M94">
        <v>3</v>
      </c>
      <c r="N94">
        <v>93</v>
      </c>
      <c r="O94" t="str">
        <f>_xlfn.XLOOKUP(Table4[[#This Row],[id]],VALINA[id],VALINA[name])</f>
        <v>Sault</v>
      </c>
      <c r="P94">
        <f>_xlfn.XLOOKUP(Table4[[#This Row],[id]],prov_color!A:A,prov_color!C:C)</f>
        <v>38</v>
      </c>
    </row>
    <row r="95" spans="1:16" hidden="1" x14ac:dyDescent="0.25">
      <c r="A95">
        <v>94</v>
      </c>
      <c r="B95" t="s">
        <v>11</v>
      </c>
      <c r="C95" t="s">
        <v>12</v>
      </c>
      <c r="D95" t="s">
        <v>151</v>
      </c>
      <c r="E95" t="s">
        <v>22</v>
      </c>
      <c r="F95" t="s">
        <v>15</v>
      </c>
      <c r="G95" t="s">
        <v>16</v>
      </c>
      <c r="H95" t="s">
        <v>167</v>
      </c>
      <c r="I95" t="s">
        <v>29</v>
      </c>
      <c r="J95" t="s">
        <v>170</v>
      </c>
      <c r="K95">
        <v>8</v>
      </c>
      <c r="L95">
        <v>2</v>
      </c>
      <c r="M95">
        <v>2</v>
      </c>
      <c r="N95">
        <v>94</v>
      </c>
      <c r="O95" t="str">
        <f>_xlfn.XLOOKUP(Table4[[#This Row],[id]],VALINA[id],VALINA[name])</f>
        <v>Superior</v>
      </c>
      <c r="P95">
        <f>_xlfn.XLOOKUP(Table4[[#This Row],[id]],prov_color!A:A,prov_color!C:C)</f>
        <v>61</v>
      </c>
    </row>
    <row r="96" spans="1:16" hidden="1" x14ac:dyDescent="0.25">
      <c r="A96">
        <v>95</v>
      </c>
      <c r="B96" t="s">
        <v>11</v>
      </c>
      <c r="C96" t="s">
        <v>12</v>
      </c>
      <c r="D96" t="s">
        <v>144</v>
      </c>
      <c r="E96" t="s">
        <v>22</v>
      </c>
      <c r="F96" t="s">
        <v>15</v>
      </c>
      <c r="G96" t="s">
        <v>16</v>
      </c>
      <c r="H96" t="s">
        <v>167</v>
      </c>
      <c r="I96" t="s">
        <v>20</v>
      </c>
      <c r="J96" t="s">
        <v>171</v>
      </c>
      <c r="K96">
        <v>7</v>
      </c>
      <c r="L96">
        <v>1</v>
      </c>
      <c r="M96">
        <v>2</v>
      </c>
      <c r="N96">
        <v>95</v>
      </c>
      <c r="O96" t="str">
        <f>_xlfn.XLOOKUP(Table4[[#This Row],[id]],VALINA[id],VALINA[name])</f>
        <v>Nipigon</v>
      </c>
      <c r="P96">
        <f>_xlfn.XLOOKUP(Table4[[#This Row],[id]],prov_color!A:A,prov_color!C:C)</f>
        <v>54</v>
      </c>
    </row>
    <row r="97" spans="1:16" hidden="1" x14ac:dyDescent="0.25">
      <c r="A97">
        <v>96</v>
      </c>
      <c r="B97" t="s">
        <v>11</v>
      </c>
      <c r="C97" t="s">
        <v>12</v>
      </c>
      <c r="D97" t="s">
        <v>144</v>
      </c>
      <c r="E97" t="s">
        <v>22</v>
      </c>
      <c r="F97" t="s">
        <v>15</v>
      </c>
      <c r="G97" t="s">
        <v>16</v>
      </c>
      <c r="H97" t="s">
        <v>167</v>
      </c>
      <c r="I97" t="s">
        <v>20</v>
      </c>
      <c r="J97" t="s">
        <v>172</v>
      </c>
      <c r="K97">
        <v>7</v>
      </c>
      <c r="L97">
        <v>1</v>
      </c>
      <c r="M97">
        <v>2</v>
      </c>
      <c r="N97">
        <v>96</v>
      </c>
      <c r="O97" t="str">
        <f>_xlfn.XLOOKUP(Table4[[#This Row],[id]],VALINA[id],VALINA[name])</f>
        <v>Nipissing</v>
      </c>
      <c r="P97">
        <f>_xlfn.XLOOKUP(Table4[[#This Row],[id]],prov_color!A:A,prov_color!C:C)</f>
        <v>64</v>
      </c>
    </row>
    <row r="98" spans="1:16" hidden="1" x14ac:dyDescent="0.25">
      <c r="A98">
        <v>97</v>
      </c>
      <c r="B98" t="s">
        <v>11</v>
      </c>
      <c r="C98" t="s">
        <v>12</v>
      </c>
      <c r="D98" t="s">
        <v>144</v>
      </c>
      <c r="E98" t="s">
        <v>22</v>
      </c>
      <c r="F98" t="s">
        <v>15</v>
      </c>
      <c r="G98" t="s">
        <v>122</v>
      </c>
      <c r="H98" t="s">
        <v>167</v>
      </c>
      <c r="I98" t="s">
        <v>43</v>
      </c>
      <c r="J98" t="s">
        <v>173</v>
      </c>
      <c r="K98">
        <v>4</v>
      </c>
      <c r="L98">
        <v>2</v>
      </c>
      <c r="M98">
        <v>3</v>
      </c>
      <c r="N98">
        <v>97</v>
      </c>
      <c r="O98" t="str">
        <f>_xlfn.XLOOKUP(Table4[[#This Row],[id]],VALINA[id],VALINA[name])</f>
        <v>Oshawa</v>
      </c>
      <c r="P98">
        <f>_xlfn.XLOOKUP(Table4[[#This Row],[id]],prov_color!A:A,prov_color!C:C)</f>
        <v>26</v>
      </c>
    </row>
    <row r="99" spans="1:16" hidden="1" x14ac:dyDescent="0.25">
      <c r="A99">
        <v>98</v>
      </c>
      <c r="B99" t="s">
        <v>11</v>
      </c>
      <c r="C99" t="s">
        <v>12</v>
      </c>
      <c r="D99" t="s">
        <v>144</v>
      </c>
      <c r="E99" t="s">
        <v>22</v>
      </c>
      <c r="F99" t="s">
        <v>15</v>
      </c>
      <c r="G99" t="s">
        <v>122</v>
      </c>
      <c r="H99" t="s">
        <v>167</v>
      </c>
      <c r="I99" t="s">
        <v>20</v>
      </c>
      <c r="J99" t="s">
        <v>174</v>
      </c>
      <c r="K99">
        <v>5</v>
      </c>
      <c r="L99">
        <v>4</v>
      </c>
      <c r="M99">
        <v>5</v>
      </c>
      <c r="N99">
        <v>98</v>
      </c>
      <c r="O99" t="str">
        <f>_xlfn.XLOOKUP(Table4[[#This Row],[id]],VALINA[id],VALINA[name])</f>
        <v>Huron</v>
      </c>
      <c r="P99">
        <f>_xlfn.XLOOKUP(Table4[[#This Row],[id]],prov_color!A:A,prov_color!C:C)</f>
        <v>29</v>
      </c>
    </row>
    <row r="100" spans="1:16" hidden="1" x14ac:dyDescent="0.25">
      <c r="A100">
        <v>99</v>
      </c>
      <c r="B100" t="s">
        <v>11</v>
      </c>
      <c r="C100" t="s">
        <v>12</v>
      </c>
      <c r="D100" t="s">
        <v>127</v>
      </c>
      <c r="E100" t="s">
        <v>22</v>
      </c>
      <c r="F100" t="s">
        <v>15</v>
      </c>
      <c r="G100" t="s">
        <v>122</v>
      </c>
      <c r="H100" t="s">
        <v>167</v>
      </c>
      <c r="I100" t="s">
        <v>20</v>
      </c>
      <c r="J100" t="s">
        <v>175</v>
      </c>
      <c r="K100">
        <v>5</v>
      </c>
      <c r="L100">
        <v>2</v>
      </c>
      <c r="M100">
        <v>5</v>
      </c>
      <c r="N100">
        <v>99</v>
      </c>
      <c r="O100" t="str">
        <f>_xlfn.XLOOKUP(Table4[[#This Row],[id]],VALINA[id],VALINA[name])</f>
        <v>Ticonderoga</v>
      </c>
      <c r="P100">
        <f>_xlfn.XLOOKUP(Table4[[#This Row],[id]],prov_color!A:A,prov_color!C:C)</f>
        <v>19</v>
      </c>
    </row>
    <row r="101" spans="1:16" hidden="1" x14ac:dyDescent="0.25">
      <c r="A101">
        <v>100</v>
      </c>
      <c r="B101" t="s">
        <v>11</v>
      </c>
      <c r="C101" t="s">
        <v>12</v>
      </c>
      <c r="D101" t="s">
        <v>127</v>
      </c>
      <c r="E101" t="s">
        <v>22</v>
      </c>
      <c r="F101" t="s">
        <v>15</v>
      </c>
      <c r="G101" t="s">
        <v>122</v>
      </c>
      <c r="H101" t="s">
        <v>139</v>
      </c>
      <c r="I101" t="s">
        <v>20</v>
      </c>
      <c r="J101" t="s">
        <v>176</v>
      </c>
      <c r="K101">
        <v>5</v>
      </c>
      <c r="L101">
        <v>2</v>
      </c>
      <c r="M101">
        <v>5</v>
      </c>
      <c r="N101">
        <v>100</v>
      </c>
      <c r="O101" t="str">
        <f>_xlfn.XLOOKUP(Table4[[#This Row],[id]],VALINA[id],VALINA[name])</f>
        <v>Adirondak</v>
      </c>
      <c r="P101">
        <f>_xlfn.XLOOKUP(Table4[[#This Row],[id]],prov_color!A:A,prov_color!C:C)</f>
        <v>22</v>
      </c>
    </row>
    <row r="102" spans="1:16" hidden="1" x14ac:dyDescent="0.25">
      <c r="A102">
        <v>101</v>
      </c>
      <c r="B102" t="s">
        <v>11</v>
      </c>
      <c r="C102" t="s">
        <v>12</v>
      </c>
      <c r="D102" t="s">
        <v>177</v>
      </c>
      <c r="E102" t="s">
        <v>22</v>
      </c>
      <c r="F102" t="s">
        <v>15</v>
      </c>
      <c r="G102" t="s">
        <v>122</v>
      </c>
      <c r="H102" t="s">
        <v>139</v>
      </c>
      <c r="I102" t="s">
        <v>29</v>
      </c>
      <c r="J102" t="s">
        <v>178</v>
      </c>
      <c r="K102">
        <v>6</v>
      </c>
      <c r="L102">
        <v>1</v>
      </c>
      <c r="M102">
        <v>4</v>
      </c>
      <c r="N102">
        <v>101</v>
      </c>
      <c r="O102" t="str">
        <f>_xlfn.XLOOKUP(Table4[[#This Row],[id]],VALINA[id],VALINA[name])</f>
        <v>Sebago</v>
      </c>
      <c r="P102">
        <f>_xlfn.XLOOKUP(Table4[[#This Row],[id]],prov_color!A:A,prov_color!C:C)</f>
        <v>19</v>
      </c>
    </row>
    <row r="103" spans="1:16" hidden="1" x14ac:dyDescent="0.25">
      <c r="A103">
        <v>102</v>
      </c>
      <c r="B103" t="s">
        <v>11</v>
      </c>
      <c r="C103" t="s">
        <v>12</v>
      </c>
      <c r="D103" t="s">
        <v>177</v>
      </c>
      <c r="E103" t="s">
        <v>22</v>
      </c>
      <c r="F103" t="s">
        <v>15</v>
      </c>
      <c r="G103" t="s">
        <v>26</v>
      </c>
      <c r="H103" t="s">
        <v>137</v>
      </c>
      <c r="I103" t="s">
        <v>43</v>
      </c>
      <c r="J103" t="s">
        <v>179</v>
      </c>
      <c r="K103">
        <v>5</v>
      </c>
      <c r="L103">
        <v>2</v>
      </c>
      <c r="M103">
        <v>5</v>
      </c>
      <c r="N103">
        <v>102</v>
      </c>
      <c r="O103" t="str">
        <f>_xlfn.XLOOKUP(Table4[[#This Row],[id]],VALINA[id],VALINA[name])</f>
        <v>Connecticut</v>
      </c>
      <c r="P103">
        <f>_xlfn.XLOOKUP(Table4[[#This Row],[id]],prov_color!A:A,prov_color!C:C)</f>
        <v>21</v>
      </c>
    </row>
    <row r="104" spans="1:16" hidden="1" x14ac:dyDescent="0.25">
      <c r="A104">
        <v>103</v>
      </c>
      <c r="B104" t="s">
        <v>11</v>
      </c>
      <c r="C104" t="s">
        <v>12</v>
      </c>
      <c r="D104" t="s">
        <v>177</v>
      </c>
      <c r="E104" t="s">
        <v>22</v>
      </c>
      <c r="F104" t="s">
        <v>15</v>
      </c>
      <c r="G104" t="s">
        <v>26</v>
      </c>
      <c r="H104" t="s">
        <v>137</v>
      </c>
      <c r="I104" t="s">
        <v>27</v>
      </c>
      <c r="J104" t="s">
        <v>180</v>
      </c>
      <c r="K104">
        <v>5</v>
      </c>
      <c r="L104">
        <v>2</v>
      </c>
      <c r="M104">
        <v>5</v>
      </c>
      <c r="N104">
        <v>103</v>
      </c>
      <c r="O104" t="str">
        <f>_xlfn.XLOOKUP(Table4[[#This Row],[id]],VALINA[id],VALINA[name])</f>
        <v>Massachussetts</v>
      </c>
      <c r="P104">
        <f>_xlfn.XLOOKUP(Table4[[#This Row],[id]],prov_color!A:A,prov_color!C:C)</f>
        <v>22</v>
      </c>
    </row>
    <row r="105" spans="1:16" hidden="1" x14ac:dyDescent="0.25">
      <c r="A105">
        <v>104</v>
      </c>
      <c r="B105" t="s">
        <v>11</v>
      </c>
      <c r="C105" t="s">
        <v>12</v>
      </c>
      <c r="D105" t="s">
        <v>177</v>
      </c>
      <c r="E105" t="s">
        <v>22</v>
      </c>
      <c r="F105" t="s">
        <v>15</v>
      </c>
      <c r="G105" t="s">
        <v>122</v>
      </c>
      <c r="H105" t="s">
        <v>181</v>
      </c>
      <c r="I105" t="s">
        <v>29</v>
      </c>
      <c r="J105" t="s">
        <v>182</v>
      </c>
      <c r="K105">
        <v>6</v>
      </c>
      <c r="L105">
        <v>1</v>
      </c>
      <c r="M105">
        <v>4</v>
      </c>
      <c r="N105">
        <v>104</v>
      </c>
      <c r="O105" t="str">
        <f>_xlfn.XLOOKUP(Table4[[#This Row],[id]],VALINA[id],VALINA[name])</f>
        <v>Penobscot</v>
      </c>
      <c r="P105">
        <f>_xlfn.XLOOKUP(Table4[[#This Row],[id]],prov_color!A:A,prov_color!C:C)</f>
        <v>31</v>
      </c>
    </row>
    <row r="106" spans="1:16" hidden="1" x14ac:dyDescent="0.25">
      <c r="A106">
        <v>105</v>
      </c>
      <c r="B106" t="s">
        <v>11</v>
      </c>
      <c r="C106" t="s">
        <v>12</v>
      </c>
      <c r="D106" t="s">
        <v>183</v>
      </c>
      <c r="E106" t="s">
        <v>14</v>
      </c>
      <c r="F106" t="s">
        <v>15</v>
      </c>
      <c r="G106" t="s">
        <v>122</v>
      </c>
      <c r="H106" t="s">
        <v>181</v>
      </c>
      <c r="I106" t="s">
        <v>20</v>
      </c>
      <c r="J106" t="s">
        <v>184</v>
      </c>
      <c r="K106">
        <v>5</v>
      </c>
      <c r="L106">
        <v>1</v>
      </c>
      <c r="M106">
        <v>4</v>
      </c>
      <c r="N106">
        <v>105</v>
      </c>
      <c r="O106" t="str">
        <f>_xlfn.XLOOKUP(Table4[[#This Row],[id]],VALINA[id],VALINA[name])</f>
        <v>Megantic</v>
      </c>
      <c r="P106">
        <f>_xlfn.XLOOKUP(Table4[[#This Row],[id]],prov_color!A:A,prov_color!C:C)</f>
        <v>22</v>
      </c>
    </row>
    <row r="107" spans="1:16" hidden="1" x14ac:dyDescent="0.25">
      <c r="A107">
        <v>106</v>
      </c>
      <c r="B107" t="s">
        <v>11</v>
      </c>
      <c r="C107" t="s">
        <v>12</v>
      </c>
      <c r="D107" t="s">
        <v>183</v>
      </c>
      <c r="E107" t="s">
        <v>22</v>
      </c>
      <c r="F107" t="s">
        <v>15</v>
      </c>
      <c r="G107" t="s">
        <v>122</v>
      </c>
      <c r="H107" t="s">
        <v>167</v>
      </c>
      <c r="I107" t="s">
        <v>20</v>
      </c>
      <c r="J107" t="s">
        <v>185</v>
      </c>
      <c r="K107">
        <v>5</v>
      </c>
      <c r="L107">
        <v>1</v>
      </c>
      <c r="M107">
        <v>4</v>
      </c>
      <c r="N107">
        <v>106</v>
      </c>
      <c r="O107" t="str">
        <f>_xlfn.XLOOKUP(Table4[[#This Row],[id]],VALINA[id],VALINA[name])</f>
        <v>Hochelaga</v>
      </c>
      <c r="P107">
        <f>_xlfn.XLOOKUP(Table4[[#This Row],[id]],prov_color!A:A,prov_color!C:C)</f>
        <v>19</v>
      </c>
    </row>
    <row r="108" spans="1:16" hidden="1" x14ac:dyDescent="0.25">
      <c r="A108">
        <v>107</v>
      </c>
      <c r="B108" t="s">
        <v>11</v>
      </c>
      <c r="C108" t="s">
        <v>12</v>
      </c>
      <c r="D108" t="s">
        <v>183</v>
      </c>
      <c r="E108" t="s">
        <v>22</v>
      </c>
      <c r="F108" t="s">
        <v>15</v>
      </c>
      <c r="G108" t="s">
        <v>16</v>
      </c>
      <c r="H108" t="s">
        <v>167</v>
      </c>
      <c r="I108" t="s">
        <v>20</v>
      </c>
      <c r="J108" t="s">
        <v>186</v>
      </c>
      <c r="K108">
        <v>5</v>
      </c>
      <c r="L108">
        <v>2</v>
      </c>
      <c r="M108">
        <v>5</v>
      </c>
      <c r="N108">
        <v>107</v>
      </c>
      <c r="O108" t="str">
        <f>_xlfn.XLOOKUP(Table4[[#This Row],[id]],VALINA[id],VALINA[name])</f>
        <v>Ottawa</v>
      </c>
      <c r="P108">
        <f>_xlfn.XLOOKUP(Table4[[#This Row],[id]],prov_color!A:A,prov_color!C:C)</f>
        <v>43</v>
      </c>
    </row>
    <row r="109" spans="1:16" hidden="1" x14ac:dyDescent="0.25">
      <c r="A109">
        <v>108</v>
      </c>
      <c r="B109" t="s">
        <v>11</v>
      </c>
      <c r="C109" t="s">
        <v>12</v>
      </c>
      <c r="D109" t="s">
        <v>183</v>
      </c>
      <c r="E109" t="s">
        <v>22</v>
      </c>
      <c r="F109" t="s">
        <v>15</v>
      </c>
      <c r="G109" t="s">
        <v>16</v>
      </c>
      <c r="H109" t="s">
        <v>187</v>
      </c>
      <c r="I109" t="s">
        <v>20</v>
      </c>
      <c r="J109" t="s">
        <v>188</v>
      </c>
      <c r="K109">
        <v>5</v>
      </c>
      <c r="L109">
        <v>1</v>
      </c>
      <c r="M109">
        <v>3</v>
      </c>
      <c r="N109">
        <v>108</v>
      </c>
      <c r="O109" t="str">
        <f>_xlfn.XLOOKUP(Table4[[#This Row],[id]],VALINA[id],VALINA[name])</f>
        <v>Laurentia</v>
      </c>
      <c r="P109">
        <f>_xlfn.XLOOKUP(Table4[[#This Row],[id]],prov_color!A:A,prov_color!C:C)</f>
        <v>47</v>
      </c>
    </row>
    <row r="110" spans="1:16" hidden="1" x14ac:dyDescent="0.25">
      <c r="A110">
        <v>109</v>
      </c>
      <c r="B110" t="s">
        <v>11</v>
      </c>
      <c r="C110" t="s">
        <v>12</v>
      </c>
      <c r="D110" t="s">
        <v>183</v>
      </c>
      <c r="E110" t="s">
        <v>22</v>
      </c>
      <c r="F110" t="s">
        <v>15</v>
      </c>
      <c r="G110" t="s">
        <v>122</v>
      </c>
      <c r="H110" t="s">
        <v>187</v>
      </c>
      <c r="I110" t="s">
        <v>43</v>
      </c>
      <c r="J110" t="s">
        <v>189</v>
      </c>
      <c r="K110">
        <v>5</v>
      </c>
      <c r="L110">
        <v>1</v>
      </c>
      <c r="M110">
        <v>4</v>
      </c>
      <c r="N110">
        <v>109</v>
      </c>
      <c r="O110" t="str">
        <f>_xlfn.XLOOKUP(Table4[[#This Row],[id]],VALINA[id],VALINA[name])</f>
        <v>Shawinigan</v>
      </c>
      <c r="P110">
        <f>_xlfn.XLOOKUP(Table4[[#This Row],[id]],prov_color!A:A,prov_color!C:C)</f>
        <v>21</v>
      </c>
    </row>
    <row r="111" spans="1:16" hidden="1" x14ac:dyDescent="0.25">
      <c r="A111">
        <v>110</v>
      </c>
      <c r="B111" t="s">
        <v>11</v>
      </c>
      <c r="C111" t="s">
        <v>12</v>
      </c>
      <c r="D111" t="s">
        <v>183</v>
      </c>
      <c r="E111" t="s">
        <v>22</v>
      </c>
      <c r="F111" t="s">
        <v>15</v>
      </c>
      <c r="G111" t="s">
        <v>122</v>
      </c>
      <c r="H111" t="s">
        <v>187</v>
      </c>
      <c r="I111" t="s">
        <v>29</v>
      </c>
      <c r="J111" t="s">
        <v>190</v>
      </c>
      <c r="K111">
        <v>5</v>
      </c>
      <c r="L111">
        <v>3</v>
      </c>
      <c r="M111">
        <v>5</v>
      </c>
      <c r="N111">
        <v>110</v>
      </c>
      <c r="O111" t="str">
        <f>_xlfn.XLOOKUP(Table4[[#This Row],[id]],VALINA[id],VALINA[name])</f>
        <v>Stadacone</v>
      </c>
      <c r="P111">
        <f>_xlfn.XLOOKUP(Table4[[#This Row],[id]],prov_color!A:A,prov_color!C:C)</f>
        <v>25</v>
      </c>
    </row>
    <row r="112" spans="1:16" hidden="1" x14ac:dyDescent="0.25">
      <c r="A112">
        <v>111</v>
      </c>
      <c r="B112" t="s">
        <v>11</v>
      </c>
      <c r="C112" t="s">
        <v>12</v>
      </c>
      <c r="D112" t="s">
        <v>183</v>
      </c>
      <c r="E112" t="s">
        <v>14</v>
      </c>
      <c r="F112" t="s">
        <v>15</v>
      </c>
      <c r="G112" t="s">
        <v>122</v>
      </c>
      <c r="H112" t="s">
        <v>181</v>
      </c>
      <c r="I112" t="s">
        <v>20</v>
      </c>
      <c r="J112" t="s">
        <v>191</v>
      </c>
      <c r="K112">
        <v>5</v>
      </c>
      <c r="L112">
        <v>2</v>
      </c>
      <c r="M112">
        <v>3</v>
      </c>
      <c r="N112">
        <v>111</v>
      </c>
      <c r="O112" t="str">
        <f>_xlfn.XLOOKUP(Table4[[#This Row],[id]],VALINA[id],VALINA[name])</f>
        <v>Bas St-Laurent</v>
      </c>
      <c r="P112">
        <f>_xlfn.XLOOKUP(Table4[[#This Row],[id]],prov_color!A:A,prov_color!C:C)</f>
        <v>28</v>
      </c>
    </row>
    <row r="113" spans="1:16" hidden="1" x14ac:dyDescent="0.25">
      <c r="A113">
        <v>112</v>
      </c>
      <c r="B113" t="s">
        <v>11</v>
      </c>
      <c r="C113" t="s">
        <v>12</v>
      </c>
      <c r="D113" t="s">
        <v>177</v>
      </c>
      <c r="E113" t="s">
        <v>22</v>
      </c>
      <c r="F113" t="s">
        <v>15</v>
      </c>
      <c r="G113" t="s">
        <v>122</v>
      </c>
      <c r="H113" t="s">
        <v>181</v>
      </c>
      <c r="I113" t="s">
        <v>29</v>
      </c>
      <c r="J113" t="s">
        <v>192</v>
      </c>
      <c r="K113">
        <v>4</v>
      </c>
      <c r="L113">
        <v>2</v>
      </c>
      <c r="M113">
        <v>3</v>
      </c>
      <c r="N113">
        <v>112</v>
      </c>
      <c r="O113" t="str">
        <f>_xlfn.XLOOKUP(Table4[[#This Row],[id]],VALINA[id],VALINA[name])</f>
        <v>Bangor</v>
      </c>
      <c r="P113">
        <f>_xlfn.XLOOKUP(Table4[[#This Row],[id]],prov_color!A:A,prov_color!C:C)</f>
        <v>26</v>
      </c>
    </row>
    <row r="114" spans="1:16" hidden="1" x14ac:dyDescent="0.25">
      <c r="A114">
        <v>113</v>
      </c>
      <c r="B114" t="s">
        <v>11</v>
      </c>
      <c r="C114" t="s">
        <v>12</v>
      </c>
      <c r="D114" t="s">
        <v>193</v>
      </c>
      <c r="E114" t="s">
        <v>22</v>
      </c>
      <c r="F114" t="s">
        <v>15</v>
      </c>
      <c r="G114" t="s">
        <v>122</v>
      </c>
      <c r="H114" t="s">
        <v>181</v>
      </c>
      <c r="I114" t="s">
        <v>27</v>
      </c>
      <c r="J114" t="s">
        <v>194</v>
      </c>
      <c r="K114">
        <v>4</v>
      </c>
      <c r="L114">
        <v>1</v>
      </c>
      <c r="M114">
        <v>3</v>
      </c>
      <c r="N114">
        <v>113</v>
      </c>
      <c r="O114" t="str">
        <f>_xlfn.XLOOKUP(Table4[[#This Row],[id]],VALINA[id],VALINA[name])</f>
        <v>Micmac</v>
      </c>
      <c r="P114">
        <f>_xlfn.XLOOKUP(Table4[[#This Row],[id]],prov_color!A:A,prov_color!C:C)</f>
        <v>24</v>
      </c>
    </row>
    <row r="115" spans="1:16" hidden="1" x14ac:dyDescent="0.25">
      <c r="A115">
        <v>114</v>
      </c>
      <c r="B115" t="s">
        <v>11</v>
      </c>
      <c r="C115" t="s">
        <v>12</v>
      </c>
      <c r="D115" t="s">
        <v>193</v>
      </c>
      <c r="E115" t="s">
        <v>14</v>
      </c>
      <c r="F115" t="s">
        <v>15</v>
      </c>
      <c r="G115" t="s">
        <v>122</v>
      </c>
      <c r="H115" t="s">
        <v>181</v>
      </c>
      <c r="I115" t="s">
        <v>27</v>
      </c>
      <c r="J115" t="s">
        <v>195</v>
      </c>
      <c r="K115">
        <v>5</v>
      </c>
      <c r="L115">
        <v>1</v>
      </c>
      <c r="M115">
        <v>2</v>
      </c>
      <c r="N115">
        <v>114</v>
      </c>
      <c r="O115" t="str">
        <f>_xlfn.XLOOKUP(Table4[[#This Row],[id]],VALINA[id],VALINA[name])</f>
        <v>Gasp�sie</v>
      </c>
      <c r="P115">
        <f>_xlfn.XLOOKUP(Table4[[#This Row],[id]],prov_color!A:A,prov_color!C:C)</f>
        <v>42</v>
      </c>
    </row>
    <row r="116" spans="1:16" hidden="1" x14ac:dyDescent="0.25">
      <c r="A116">
        <v>115</v>
      </c>
      <c r="B116" t="s">
        <v>11</v>
      </c>
      <c r="C116" t="s">
        <v>12</v>
      </c>
      <c r="D116" t="s">
        <v>193</v>
      </c>
      <c r="E116" t="s">
        <v>34</v>
      </c>
      <c r="F116" t="s">
        <v>15</v>
      </c>
      <c r="G116" t="s">
        <v>122</v>
      </c>
      <c r="H116" t="s">
        <v>181</v>
      </c>
      <c r="I116" t="s">
        <v>53</v>
      </c>
      <c r="J116" t="s">
        <v>193</v>
      </c>
      <c r="K116">
        <v>4</v>
      </c>
      <c r="L116">
        <v>1</v>
      </c>
      <c r="M116">
        <v>2</v>
      </c>
      <c r="N116">
        <v>115</v>
      </c>
      <c r="O116" t="str">
        <f>_xlfn.XLOOKUP(Table4[[#This Row],[id]],VALINA[id],VALINA[name])</f>
        <v>Acadie</v>
      </c>
      <c r="P116">
        <f>_xlfn.XLOOKUP(Table4[[#This Row],[id]],prov_color!A:A,prov_color!C:C)</f>
        <v>19</v>
      </c>
    </row>
    <row r="117" spans="1:16" hidden="1" x14ac:dyDescent="0.25">
      <c r="A117">
        <v>116</v>
      </c>
      <c r="B117" t="s">
        <v>11</v>
      </c>
      <c r="C117" t="s">
        <v>12</v>
      </c>
      <c r="D117" t="s">
        <v>193</v>
      </c>
      <c r="E117" t="s">
        <v>34</v>
      </c>
      <c r="F117" t="s">
        <v>15</v>
      </c>
      <c r="G117" t="s">
        <v>26</v>
      </c>
      <c r="H117" t="s">
        <v>181</v>
      </c>
      <c r="I117" t="s">
        <v>27</v>
      </c>
      <c r="J117" t="s">
        <v>196</v>
      </c>
      <c r="K117">
        <v>3</v>
      </c>
      <c r="L117">
        <v>1</v>
      </c>
      <c r="M117">
        <v>3</v>
      </c>
      <c r="N117">
        <v>116</v>
      </c>
      <c r="O117" t="str">
        <f>_xlfn.XLOOKUP(Table4[[#This Row],[id]],VALINA[id],VALINA[name])</f>
        <v>Nova Scotia</v>
      </c>
      <c r="P117">
        <f>_xlfn.XLOOKUP(Table4[[#This Row],[id]],prov_color!A:A,prov_color!C:C)</f>
        <v>31</v>
      </c>
    </row>
    <row r="118" spans="1:16" hidden="1" x14ac:dyDescent="0.25">
      <c r="A118">
        <v>117</v>
      </c>
      <c r="B118" t="s">
        <v>11</v>
      </c>
      <c r="C118" t="s">
        <v>12</v>
      </c>
      <c r="D118" t="s">
        <v>193</v>
      </c>
      <c r="E118" t="s">
        <v>22</v>
      </c>
      <c r="F118" t="s">
        <v>15</v>
      </c>
      <c r="G118" t="s">
        <v>26</v>
      </c>
      <c r="H118" t="s">
        <v>181</v>
      </c>
      <c r="I118" t="s">
        <v>29</v>
      </c>
      <c r="J118" t="s">
        <v>197</v>
      </c>
      <c r="K118">
        <v>4</v>
      </c>
      <c r="L118">
        <v>1</v>
      </c>
      <c r="M118">
        <v>2</v>
      </c>
      <c r="N118">
        <v>117</v>
      </c>
      <c r="O118" t="str">
        <f>_xlfn.XLOOKUP(Table4[[#This Row],[id]],VALINA[id],VALINA[name])</f>
        <v>Isle Royale</v>
      </c>
      <c r="P118">
        <f>_xlfn.XLOOKUP(Table4[[#This Row],[id]],prov_color!A:A,prov_color!C:C)</f>
        <v>14</v>
      </c>
    </row>
    <row r="119" spans="1:16" hidden="1" x14ac:dyDescent="0.25">
      <c r="A119">
        <v>118</v>
      </c>
      <c r="B119" t="s">
        <v>11</v>
      </c>
      <c r="C119" t="s">
        <v>12</v>
      </c>
      <c r="D119" t="s">
        <v>198</v>
      </c>
      <c r="E119" t="s">
        <v>14</v>
      </c>
      <c r="F119" t="s">
        <v>15</v>
      </c>
      <c r="G119" t="s">
        <v>122</v>
      </c>
      <c r="H119" t="s">
        <v>181</v>
      </c>
      <c r="I119" t="s">
        <v>27</v>
      </c>
      <c r="J119" t="s">
        <v>199</v>
      </c>
      <c r="K119">
        <v>7</v>
      </c>
      <c r="L119">
        <v>1</v>
      </c>
      <c r="M119">
        <v>1</v>
      </c>
      <c r="N119">
        <v>118</v>
      </c>
      <c r="O119" t="str">
        <f>_xlfn.XLOOKUP(Table4[[#This Row],[id]],VALINA[id],VALINA[name])</f>
        <v>Gander</v>
      </c>
      <c r="P119">
        <f>_xlfn.XLOOKUP(Table4[[#This Row],[id]],prov_color!A:A,prov_color!C:C)</f>
        <v>42</v>
      </c>
    </row>
    <row r="120" spans="1:16" hidden="1" x14ac:dyDescent="0.25">
      <c r="A120">
        <v>119</v>
      </c>
      <c r="B120" t="s">
        <v>11</v>
      </c>
      <c r="C120" t="s">
        <v>12</v>
      </c>
      <c r="D120" t="s">
        <v>198</v>
      </c>
      <c r="E120" t="s">
        <v>22</v>
      </c>
      <c r="F120" t="s">
        <v>15</v>
      </c>
      <c r="G120" t="s">
        <v>26</v>
      </c>
      <c r="H120" t="s">
        <v>181</v>
      </c>
      <c r="I120" t="s">
        <v>27</v>
      </c>
      <c r="J120" t="s">
        <v>200</v>
      </c>
      <c r="K120">
        <v>6</v>
      </c>
      <c r="L120">
        <v>1</v>
      </c>
      <c r="M120">
        <v>2</v>
      </c>
      <c r="N120">
        <v>119</v>
      </c>
      <c r="O120" t="str">
        <f>_xlfn.XLOOKUP(Table4[[#This Row],[id]],VALINA[id],VALINA[name])</f>
        <v>Placentia</v>
      </c>
      <c r="P120">
        <f>_xlfn.XLOOKUP(Table4[[#This Row],[id]],prov_color!A:A,prov_color!C:C)</f>
        <v>20</v>
      </c>
    </row>
    <row r="121" spans="1:16" hidden="1" x14ac:dyDescent="0.25">
      <c r="A121">
        <v>120</v>
      </c>
      <c r="B121" t="s">
        <v>11</v>
      </c>
      <c r="C121" t="s">
        <v>12</v>
      </c>
      <c r="D121" t="s">
        <v>198</v>
      </c>
      <c r="E121" t="s">
        <v>22</v>
      </c>
      <c r="F121" t="s">
        <v>15</v>
      </c>
      <c r="G121" t="s">
        <v>122</v>
      </c>
      <c r="H121" t="s">
        <v>181</v>
      </c>
      <c r="I121" t="s">
        <v>27</v>
      </c>
      <c r="J121" t="s">
        <v>201</v>
      </c>
      <c r="K121">
        <v>6</v>
      </c>
      <c r="L121">
        <v>1</v>
      </c>
      <c r="M121">
        <v>1</v>
      </c>
      <c r="N121">
        <v>120</v>
      </c>
      <c r="O121" t="str">
        <f>_xlfn.XLOOKUP(Table4[[#This Row],[id]],VALINA[id],VALINA[name])</f>
        <v>Wabana</v>
      </c>
      <c r="P121">
        <f>_xlfn.XLOOKUP(Table4[[#This Row],[id]],prov_color!A:A,prov_color!C:C)</f>
        <v>35</v>
      </c>
    </row>
    <row r="122" spans="1:16" hidden="1" x14ac:dyDescent="0.25">
      <c r="A122">
        <v>121</v>
      </c>
      <c r="B122" t="s">
        <v>11</v>
      </c>
      <c r="C122" t="s">
        <v>12</v>
      </c>
      <c r="D122" t="s">
        <v>183</v>
      </c>
      <c r="E122" t="s">
        <v>22</v>
      </c>
      <c r="F122" t="s">
        <v>15</v>
      </c>
      <c r="G122" t="s">
        <v>16</v>
      </c>
      <c r="H122" t="s">
        <v>187</v>
      </c>
      <c r="I122" t="s">
        <v>20</v>
      </c>
      <c r="J122" t="s">
        <v>202</v>
      </c>
      <c r="K122">
        <v>6</v>
      </c>
      <c r="L122">
        <v>1</v>
      </c>
      <c r="M122">
        <v>2</v>
      </c>
      <c r="N122">
        <v>121</v>
      </c>
      <c r="O122" t="str">
        <f>_xlfn.XLOOKUP(Table4[[#This Row],[id]],VALINA[id],VALINA[name])</f>
        <v>Saguenay</v>
      </c>
      <c r="P122">
        <f>_xlfn.XLOOKUP(Table4[[#This Row],[id]],prov_color!A:A,prov_color!C:C)</f>
        <v>56</v>
      </c>
    </row>
    <row r="123" spans="1:16" hidden="1" x14ac:dyDescent="0.25">
      <c r="A123">
        <v>122</v>
      </c>
      <c r="B123" t="s">
        <v>11</v>
      </c>
      <c r="C123" t="s">
        <v>12</v>
      </c>
      <c r="D123" t="s">
        <v>183</v>
      </c>
      <c r="E123" t="s">
        <v>22</v>
      </c>
      <c r="F123" t="s">
        <v>15</v>
      </c>
      <c r="G123" t="s">
        <v>16</v>
      </c>
      <c r="H123" t="s">
        <v>187</v>
      </c>
      <c r="I123" t="s">
        <v>27</v>
      </c>
      <c r="J123" t="s">
        <v>203</v>
      </c>
      <c r="K123">
        <v>6</v>
      </c>
      <c r="L123">
        <v>1</v>
      </c>
      <c r="M123">
        <v>1</v>
      </c>
      <c r="N123">
        <v>122</v>
      </c>
      <c r="O123" t="str">
        <f>_xlfn.XLOOKUP(Table4[[#This Row],[id]],VALINA[id],VALINA[name])</f>
        <v>Manicouagan</v>
      </c>
      <c r="P123">
        <f>_xlfn.XLOOKUP(Table4[[#This Row],[id]],prov_color!A:A,prov_color!C:C)</f>
        <v>54</v>
      </c>
    </row>
    <row r="124" spans="1:16" hidden="1" x14ac:dyDescent="0.25">
      <c r="A124">
        <v>123</v>
      </c>
      <c r="B124" t="s">
        <v>11</v>
      </c>
      <c r="C124" t="s">
        <v>12</v>
      </c>
      <c r="D124" t="s">
        <v>204</v>
      </c>
      <c r="E124" t="s">
        <v>22</v>
      </c>
      <c r="F124" t="s">
        <v>15</v>
      </c>
      <c r="G124" t="s">
        <v>16</v>
      </c>
      <c r="H124" t="s">
        <v>187</v>
      </c>
      <c r="I124" t="s">
        <v>27</v>
      </c>
      <c r="J124" t="s">
        <v>205</v>
      </c>
      <c r="K124">
        <v>8</v>
      </c>
      <c r="L124">
        <v>1</v>
      </c>
      <c r="M124">
        <v>1</v>
      </c>
      <c r="N124">
        <v>123</v>
      </c>
      <c r="O124" t="str">
        <f>_xlfn.XLOOKUP(Table4[[#This Row],[id]],VALINA[id],VALINA[name])</f>
        <v>Anticosti</v>
      </c>
      <c r="P124">
        <f>_xlfn.XLOOKUP(Table4[[#This Row],[id]],prov_color!A:A,prov_color!C:C)</f>
        <v>70</v>
      </c>
    </row>
    <row r="125" spans="1:16" hidden="1" x14ac:dyDescent="0.25">
      <c r="A125">
        <v>124</v>
      </c>
      <c r="B125" t="s">
        <v>11</v>
      </c>
      <c r="C125" t="s">
        <v>12</v>
      </c>
      <c r="D125" t="s">
        <v>204</v>
      </c>
      <c r="E125" t="s">
        <v>22</v>
      </c>
      <c r="F125" t="s">
        <v>15</v>
      </c>
      <c r="G125" t="s">
        <v>16</v>
      </c>
      <c r="H125" t="s">
        <v>187</v>
      </c>
      <c r="I125" t="s">
        <v>27</v>
      </c>
      <c r="J125" t="s">
        <v>206</v>
      </c>
      <c r="K125">
        <v>8</v>
      </c>
      <c r="L125">
        <v>1</v>
      </c>
      <c r="M125">
        <v>1</v>
      </c>
      <c r="N125">
        <v>124</v>
      </c>
      <c r="O125" t="str">
        <f>_xlfn.XLOOKUP(Table4[[#This Row],[id]],VALINA[id],VALINA[name])</f>
        <v>Belle Isle</v>
      </c>
      <c r="P125">
        <f>_xlfn.XLOOKUP(Table4[[#This Row],[id]],prov_color!A:A,prov_color!C:C)</f>
        <v>70</v>
      </c>
    </row>
    <row r="126" spans="1:16" hidden="1" x14ac:dyDescent="0.25">
      <c r="A126">
        <v>125</v>
      </c>
      <c r="B126" t="s">
        <v>11</v>
      </c>
      <c r="C126" t="s">
        <v>12</v>
      </c>
      <c r="D126" t="s">
        <v>204</v>
      </c>
      <c r="E126" t="s">
        <v>22</v>
      </c>
      <c r="F126" t="s">
        <v>15</v>
      </c>
      <c r="G126" t="s">
        <v>16</v>
      </c>
      <c r="H126" t="s">
        <v>187</v>
      </c>
      <c r="I126" t="s">
        <v>29</v>
      </c>
      <c r="J126" t="s">
        <v>207</v>
      </c>
      <c r="K126">
        <v>8</v>
      </c>
      <c r="L126">
        <v>1</v>
      </c>
      <c r="M126">
        <v>1</v>
      </c>
      <c r="N126">
        <v>125</v>
      </c>
      <c r="O126" t="str">
        <f>_xlfn.XLOOKUP(Table4[[#This Row],[id]],VALINA[id],VALINA[name])</f>
        <v>Caniapiscau</v>
      </c>
      <c r="P126">
        <f>_xlfn.XLOOKUP(Table4[[#This Row],[id]],prov_color!A:A,prov_color!C:C)</f>
        <v>38</v>
      </c>
    </row>
    <row r="127" spans="1:16" hidden="1" x14ac:dyDescent="0.25">
      <c r="A127">
        <v>126</v>
      </c>
      <c r="B127" t="s">
        <v>11</v>
      </c>
      <c r="C127" t="s">
        <v>12</v>
      </c>
      <c r="D127" t="s">
        <v>204</v>
      </c>
      <c r="E127" t="s">
        <v>22</v>
      </c>
      <c r="F127" t="s">
        <v>15</v>
      </c>
      <c r="G127" t="s">
        <v>16</v>
      </c>
      <c r="H127" t="s">
        <v>17</v>
      </c>
      <c r="I127" t="s">
        <v>20</v>
      </c>
      <c r="J127" t="s">
        <v>208</v>
      </c>
      <c r="K127">
        <v>8</v>
      </c>
      <c r="L127">
        <v>1</v>
      </c>
      <c r="M127">
        <v>1</v>
      </c>
      <c r="N127">
        <v>126</v>
      </c>
      <c r="O127" t="str">
        <f>_xlfn.XLOOKUP(Table4[[#This Row],[id]],VALINA[id],VALINA[name])</f>
        <v>Nain</v>
      </c>
      <c r="P127">
        <f>_xlfn.XLOOKUP(Table4[[#This Row],[id]],prov_color!A:A,prov_color!C:C)</f>
        <v>67</v>
      </c>
    </row>
    <row r="128" spans="1:16" hidden="1" x14ac:dyDescent="0.25">
      <c r="A128">
        <v>127</v>
      </c>
      <c r="B128" t="s">
        <v>11</v>
      </c>
      <c r="C128" t="s">
        <v>12</v>
      </c>
      <c r="D128" t="s">
        <v>204</v>
      </c>
      <c r="E128" t="s">
        <v>14</v>
      </c>
      <c r="F128" t="s">
        <v>15</v>
      </c>
      <c r="G128" t="s">
        <v>16</v>
      </c>
      <c r="H128" t="s">
        <v>17</v>
      </c>
      <c r="I128" t="s">
        <v>20</v>
      </c>
      <c r="J128" t="s">
        <v>209</v>
      </c>
      <c r="K128">
        <v>9</v>
      </c>
      <c r="L128">
        <v>1</v>
      </c>
      <c r="M128">
        <v>1</v>
      </c>
      <c r="N128">
        <v>127</v>
      </c>
      <c r="O128" t="str">
        <f>_xlfn.XLOOKUP(Table4[[#This Row],[id]],VALINA[id],VALINA[name])</f>
        <v>Torngat</v>
      </c>
      <c r="P128">
        <f>_xlfn.XLOOKUP(Table4[[#This Row],[id]],prov_color!A:A,prov_color!C:C)</f>
        <v>43</v>
      </c>
    </row>
    <row r="129" spans="1:16" hidden="1" x14ac:dyDescent="0.25">
      <c r="A129">
        <v>128</v>
      </c>
      <c r="B129" t="s">
        <v>11</v>
      </c>
      <c r="C129" t="s">
        <v>12</v>
      </c>
      <c r="D129" t="s">
        <v>210</v>
      </c>
      <c r="E129" t="s">
        <v>22</v>
      </c>
      <c r="F129" t="s">
        <v>15</v>
      </c>
      <c r="G129" t="s">
        <v>16</v>
      </c>
      <c r="H129" t="s">
        <v>17</v>
      </c>
      <c r="I129" t="s">
        <v>20</v>
      </c>
      <c r="J129" t="s">
        <v>211</v>
      </c>
      <c r="K129">
        <v>9</v>
      </c>
      <c r="L129">
        <v>1</v>
      </c>
      <c r="M129">
        <v>1</v>
      </c>
      <c r="N129">
        <v>128</v>
      </c>
      <c r="O129" t="str">
        <f>_xlfn.XLOOKUP(Table4[[#This Row],[id]],VALINA[id],VALINA[name])</f>
        <v>Ungava</v>
      </c>
      <c r="P129">
        <f>_xlfn.XLOOKUP(Table4[[#This Row],[id]],prov_color!A:A,prov_color!C:C)</f>
        <v>89</v>
      </c>
    </row>
    <row r="130" spans="1:16" hidden="1" x14ac:dyDescent="0.25">
      <c r="A130">
        <v>129</v>
      </c>
      <c r="B130" t="s">
        <v>11</v>
      </c>
      <c r="C130" t="s">
        <v>12</v>
      </c>
      <c r="D130" t="s">
        <v>210</v>
      </c>
      <c r="E130" t="s">
        <v>22</v>
      </c>
      <c r="F130" t="s">
        <v>15</v>
      </c>
      <c r="G130" t="s">
        <v>16</v>
      </c>
      <c r="H130" t="s">
        <v>17</v>
      </c>
      <c r="I130" t="s">
        <v>212</v>
      </c>
      <c r="J130" t="s">
        <v>213</v>
      </c>
      <c r="K130">
        <v>9</v>
      </c>
      <c r="L130">
        <v>1</v>
      </c>
      <c r="M130">
        <v>1</v>
      </c>
      <c r="N130">
        <v>129</v>
      </c>
      <c r="O130" t="str">
        <f>_xlfn.XLOOKUP(Table4[[#This Row],[id]],VALINA[id],VALINA[name])</f>
        <v>Minto</v>
      </c>
      <c r="P130">
        <f>_xlfn.XLOOKUP(Table4[[#This Row],[id]],prov_color!A:A,prov_color!C:C)</f>
        <v>51</v>
      </c>
    </row>
    <row r="131" spans="1:16" hidden="1" x14ac:dyDescent="0.25">
      <c r="A131">
        <v>130</v>
      </c>
      <c r="B131" t="s">
        <v>11</v>
      </c>
      <c r="C131" t="s">
        <v>12</v>
      </c>
      <c r="D131" t="s">
        <v>210</v>
      </c>
      <c r="E131" t="s">
        <v>22</v>
      </c>
      <c r="F131" t="s">
        <v>15</v>
      </c>
      <c r="G131" t="s">
        <v>16</v>
      </c>
      <c r="H131" t="s">
        <v>17</v>
      </c>
      <c r="I131" t="s">
        <v>27</v>
      </c>
      <c r="J131" t="s">
        <v>214</v>
      </c>
      <c r="K131">
        <v>8</v>
      </c>
      <c r="L131">
        <v>1</v>
      </c>
      <c r="M131">
        <v>1</v>
      </c>
      <c r="N131">
        <v>130</v>
      </c>
      <c r="O131" t="str">
        <f>_xlfn.XLOOKUP(Table4[[#This Row],[id]],VALINA[id],VALINA[name])</f>
        <v>Chisasibi</v>
      </c>
      <c r="P131">
        <f>_xlfn.XLOOKUP(Table4[[#This Row],[id]],prov_color!A:A,prov_color!C:C)</f>
        <v>61</v>
      </c>
    </row>
    <row r="132" spans="1:16" hidden="1" x14ac:dyDescent="0.25">
      <c r="A132">
        <v>131</v>
      </c>
      <c r="B132" t="s">
        <v>11</v>
      </c>
      <c r="C132" t="s">
        <v>12</v>
      </c>
      <c r="D132" t="s">
        <v>210</v>
      </c>
      <c r="E132" t="s">
        <v>22</v>
      </c>
      <c r="F132" t="s">
        <v>15</v>
      </c>
      <c r="G132" t="s">
        <v>16</v>
      </c>
      <c r="H132" t="s">
        <v>17</v>
      </c>
      <c r="I132" t="s">
        <v>20</v>
      </c>
      <c r="J132" t="s">
        <v>215</v>
      </c>
      <c r="K132">
        <v>8</v>
      </c>
      <c r="L132">
        <v>1</v>
      </c>
      <c r="M132">
        <v>1</v>
      </c>
      <c r="N132">
        <v>131</v>
      </c>
      <c r="O132" t="str">
        <f>_xlfn.XLOOKUP(Table4[[#This Row],[id]],VALINA[id],VALINA[name])</f>
        <v>Attawapiskat</v>
      </c>
      <c r="P132">
        <f>_xlfn.XLOOKUP(Table4[[#This Row],[id]],prov_color!A:A,prov_color!C:C)</f>
        <v>52</v>
      </c>
    </row>
    <row r="133" spans="1:16" hidden="1" x14ac:dyDescent="0.25">
      <c r="A133">
        <v>132</v>
      </c>
      <c r="B133" t="s">
        <v>11</v>
      </c>
      <c r="C133" t="s">
        <v>12</v>
      </c>
      <c r="D133" t="s">
        <v>210</v>
      </c>
      <c r="E133" t="s">
        <v>22</v>
      </c>
      <c r="F133" t="s">
        <v>15</v>
      </c>
      <c r="G133" t="s">
        <v>16</v>
      </c>
      <c r="H133" t="s">
        <v>216</v>
      </c>
      <c r="I133" t="s">
        <v>20</v>
      </c>
      <c r="J133" t="s">
        <v>217</v>
      </c>
      <c r="K133">
        <v>7</v>
      </c>
      <c r="L133">
        <v>1</v>
      </c>
      <c r="M133">
        <v>1</v>
      </c>
      <c r="N133">
        <v>132</v>
      </c>
      <c r="O133" t="str">
        <f>_xlfn.XLOOKUP(Table4[[#This Row],[id]],VALINA[id],VALINA[name])</f>
        <v>Winisk</v>
      </c>
      <c r="P133">
        <f>_xlfn.XLOOKUP(Table4[[#This Row],[id]],prov_color!A:A,prov_color!C:C)</f>
        <v>47</v>
      </c>
    </row>
    <row r="134" spans="1:16" hidden="1" x14ac:dyDescent="0.25">
      <c r="A134">
        <v>133</v>
      </c>
      <c r="B134" t="s">
        <v>11</v>
      </c>
      <c r="C134" t="s">
        <v>12</v>
      </c>
      <c r="D134" t="s">
        <v>151</v>
      </c>
      <c r="E134" t="s">
        <v>22</v>
      </c>
      <c r="F134" t="s">
        <v>15</v>
      </c>
      <c r="G134" t="s">
        <v>16</v>
      </c>
      <c r="H134" t="s">
        <v>216</v>
      </c>
      <c r="I134" t="s">
        <v>20</v>
      </c>
      <c r="J134" t="s">
        <v>218</v>
      </c>
      <c r="K134">
        <v>8</v>
      </c>
      <c r="L134">
        <v>1</v>
      </c>
      <c r="M134">
        <v>1</v>
      </c>
      <c r="N134">
        <v>133</v>
      </c>
      <c r="O134" t="str">
        <f>_xlfn.XLOOKUP(Table4[[#This Row],[id]],VALINA[id],VALINA[name])</f>
        <v>Athabaska</v>
      </c>
      <c r="P134">
        <f>_xlfn.XLOOKUP(Table4[[#This Row],[id]],prov_color!A:A,prov_color!C:C)</f>
        <v>61</v>
      </c>
    </row>
    <row r="135" spans="1:16" hidden="1" x14ac:dyDescent="0.25">
      <c r="A135">
        <v>134</v>
      </c>
      <c r="B135" t="s">
        <v>11</v>
      </c>
      <c r="C135" t="s">
        <v>12</v>
      </c>
      <c r="D135" t="s">
        <v>210</v>
      </c>
      <c r="E135" t="s">
        <v>22</v>
      </c>
      <c r="F135" t="s">
        <v>15</v>
      </c>
      <c r="G135" t="s">
        <v>16</v>
      </c>
      <c r="H135" t="s">
        <v>216</v>
      </c>
      <c r="I135" t="s">
        <v>20</v>
      </c>
      <c r="J135" t="s">
        <v>219</v>
      </c>
      <c r="K135">
        <v>7</v>
      </c>
      <c r="L135">
        <v>1</v>
      </c>
      <c r="M135">
        <v>1</v>
      </c>
      <c r="N135">
        <v>134</v>
      </c>
      <c r="O135" t="str">
        <f>_xlfn.XLOOKUP(Table4[[#This Row],[id]],VALINA[id],VALINA[name])</f>
        <v>Chimo</v>
      </c>
      <c r="P135">
        <f>_xlfn.XLOOKUP(Table4[[#This Row],[id]],prov_color!A:A,prov_color!C:C)</f>
        <v>60</v>
      </c>
    </row>
    <row r="136" spans="1:16" hidden="1" x14ac:dyDescent="0.25">
      <c r="A136">
        <v>135</v>
      </c>
      <c r="B136" t="s">
        <v>11</v>
      </c>
      <c r="C136" t="s">
        <v>12</v>
      </c>
      <c r="D136" t="s">
        <v>210</v>
      </c>
      <c r="E136" t="s">
        <v>22</v>
      </c>
      <c r="F136" t="s">
        <v>15</v>
      </c>
      <c r="G136" t="s">
        <v>16</v>
      </c>
      <c r="H136" t="s">
        <v>216</v>
      </c>
      <c r="I136" t="s">
        <v>20</v>
      </c>
      <c r="J136" t="s">
        <v>220</v>
      </c>
      <c r="K136">
        <v>8</v>
      </c>
      <c r="L136">
        <v>1</v>
      </c>
      <c r="M136">
        <v>1</v>
      </c>
      <c r="N136">
        <v>135</v>
      </c>
      <c r="O136" t="str">
        <f>_xlfn.XLOOKUP(Table4[[#This Row],[id]],VALINA[id],VALINA[name])</f>
        <v>Eskimalt</v>
      </c>
      <c r="P136">
        <f>_xlfn.XLOOKUP(Table4[[#This Row],[id]],prov_color!A:A,prov_color!C:C)</f>
        <v>36</v>
      </c>
    </row>
    <row r="137" spans="1:16" hidden="1" x14ac:dyDescent="0.25">
      <c r="A137">
        <v>136</v>
      </c>
      <c r="B137" t="s">
        <v>11</v>
      </c>
      <c r="C137" t="s">
        <v>12</v>
      </c>
      <c r="D137" t="s">
        <v>210</v>
      </c>
      <c r="E137" t="s">
        <v>22</v>
      </c>
      <c r="F137" t="s">
        <v>15</v>
      </c>
      <c r="G137" t="s">
        <v>16</v>
      </c>
      <c r="H137" t="s">
        <v>216</v>
      </c>
      <c r="I137" t="s">
        <v>20</v>
      </c>
      <c r="J137" t="s">
        <v>221</v>
      </c>
      <c r="K137">
        <v>8</v>
      </c>
      <c r="L137">
        <v>1</v>
      </c>
      <c r="M137">
        <v>1</v>
      </c>
      <c r="N137">
        <v>136</v>
      </c>
      <c r="O137" t="str">
        <f>_xlfn.XLOOKUP(Table4[[#This Row],[id]],VALINA[id],VALINA[name])</f>
        <v>Nueltin</v>
      </c>
      <c r="P137">
        <f>_xlfn.XLOOKUP(Table4[[#This Row],[id]],prov_color!A:A,prov_color!C:C)</f>
        <v>59</v>
      </c>
    </row>
    <row r="138" spans="1:16" hidden="1" x14ac:dyDescent="0.25">
      <c r="A138">
        <v>137</v>
      </c>
      <c r="B138" t="s">
        <v>11</v>
      </c>
      <c r="C138" t="s">
        <v>222</v>
      </c>
      <c r="D138" t="s">
        <v>223</v>
      </c>
      <c r="E138" t="s">
        <v>22</v>
      </c>
      <c r="F138" t="s">
        <v>15</v>
      </c>
      <c r="G138" t="s">
        <v>75</v>
      </c>
      <c r="H138" t="s">
        <v>224</v>
      </c>
      <c r="I138" t="s">
        <v>131</v>
      </c>
      <c r="J138" t="s">
        <v>225</v>
      </c>
      <c r="K138">
        <v>3</v>
      </c>
      <c r="L138">
        <v>1</v>
      </c>
      <c r="M138">
        <v>7</v>
      </c>
      <c r="N138">
        <v>137</v>
      </c>
      <c r="O138" t="str">
        <f>_xlfn.XLOOKUP(Table4[[#This Row],[id]],VALINA[id],VALINA[name])</f>
        <v>Havana</v>
      </c>
      <c r="P138">
        <f>_xlfn.XLOOKUP(Table4[[#This Row],[id]],prov_color!A:A,prov_color!C:C)</f>
        <v>21</v>
      </c>
    </row>
    <row r="139" spans="1:16" hidden="1" x14ac:dyDescent="0.25">
      <c r="A139">
        <v>138</v>
      </c>
      <c r="B139" t="s">
        <v>11</v>
      </c>
      <c r="C139" t="s">
        <v>222</v>
      </c>
      <c r="D139" t="s">
        <v>223</v>
      </c>
      <c r="E139" t="s">
        <v>22</v>
      </c>
      <c r="F139" t="s">
        <v>15</v>
      </c>
      <c r="G139" t="s">
        <v>75</v>
      </c>
      <c r="H139" t="s">
        <v>224</v>
      </c>
      <c r="I139" t="s">
        <v>84</v>
      </c>
      <c r="J139" t="s">
        <v>226</v>
      </c>
      <c r="K139">
        <v>3</v>
      </c>
      <c r="L139">
        <v>1</v>
      </c>
      <c r="M139">
        <v>5</v>
      </c>
      <c r="N139">
        <v>138</v>
      </c>
      <c r="O139" t="str">
        <f>_xlfn.XLOOKUP(Table4[[#This Row],[id]],VALINA[id],VALINA[name])</f>
        <v>Moron</v>
      </c>
      <c r="P139">
        <f>_xlfn.XLOOKUP(Table4[[#This Row],[id]],prov_color!A:A,prov_color!C:C)</f>
        <v>27</v>
      </c>
    </row>
    <row r="140" spans="1:16" hidden="1" x14ac:dyDescent="0.25">
      <c r="A140">
        <v>139</v>
      </c>
      <c r="B140" t="s">
        <v>11</v>
      </c>
      <c r="C140" t="s">
        <v>222</v>
      </c>
      <c r="D140" t="s">
        <v>223</v>
      </c>
      <c r="E140" t="s">
        <v>22</v>
      </c>
      <c r="F140" t="s">
        <v>15</v>
      </c>
      <c r="G140" t="s">
        <v>75</v>
      </c>
      <c r="H140" t="s">
        <v>224</v>
      </c>
      <c r="I140" t="s">
        <v>73</v>
      </c>
      <c r="J140" t="s">
        <v>227</v>
      </c>
      <c r="K140">
        <v>3</v>
      </c>
      <c r="L140">
        <v>1</v>
      </c>
      <c r="M140">
        <v>5</v>
      </c>
      <c r="N140">
        <v>139</v>
      </c>
      <c r="O140" t="str">
        <f>_xlfn.XLOOKUP(Table4[[#This Row],[id]],VALINA[id],VALINA[name])</f>
        <v>Guantanamo</v>
      </c>
      <c r="P140">
        <f>_xlfn.XLOOKUP(Table4[[#This Row],[id]],prov_color!A:A,prov_color!C:C)</f>
        <v>22</v>
      </c>
    </row>
    <row r="141" spans="1:16" hidden="1" x14ac:dyDescent="0.25">
      <c r="A141">
        <v>140</v>
      </c>
      <c r="B141" t="s">
        <v>11</v>
      </c>
      <c r="C141" t="s">
        <v>222</v>
      </c>
      <c r="D141" t="s">
        <v>223</v>
      </c>
      <c r="E141" t="s">
        <v>22</v>
      </c>
      <c r="F141" t="s">
        <v>15</v>
      </c>
      <c r="G141" t="s">
        <v>75</v>
      </c>
      <c r="H141" t="s">
        <v>224</v>
      </c>
      <c r="I141" t="s">
        <v>73</v>
      </c>
      <c r="J141" t="s">
        <v>228</v>
      </c>
      <c r="K141">
        <v>4</v>
      </c>
      <c r="L141">
        <v>1</v>
      </c>
      <c r="M141">
        <v>6</v>
      </c>
      <c r="N141">
        <v>140</v>
      </c>
      <c r="O141" t="str">
        <f>_xlfn.XLOOKUP(Table4[[#This Row],[id]],VALINA[id],VALINA[name])</f>
        <v>Jamaica</v>
      </c>
      <c r="P141">
        <f>_xlfn.XLOOKUP(Table4[[#This Row],[id]],prov_color!A:A,prov_color!C:C)</f>
        <v>15</v>
      </c>
    </row>
    <row r="142" spans="1:16" hidden="1" x14ac:dyDescent="0.25">
      <c r="A142">
        <v>141</v>
      </c>
      <c r="B142" t="s">
        <v>11</v>
      </c>
      <c r="C142" t="s">
        <v>222</v>
      </c>
      <c r="D142" t="s">
        <v>229</v>
      </c>
      <c r="E142" t="s">
        <v>80</v>
      </c>
      <c r="F142" t="s">
        <v>15</v>
      </c>
      <c r="G142" t="s">
        <v>75</v>
      </c>
      <c r="H142" t="s">
        <v>224</v>
      </c>
      <c r="I142" t="s">
        <v>73</v>
      </c>
      <c r="J142" t="s">
        <v>230</v>
      </c>
      <c r="K142">
        <v>6</v>
      </c>
      <c r="L142">
        <v>1</v>
      </c>
      <c r="M142">
        <v>7</v>
      </c>
      <c r="N142">
        <v>141</v>
      </c>
      <c r="O142" t="str">
        <f>_xlfn.XLOOKUP(Table4[[#This Row],[id]],VALINA[id],VALINA[name])</f>
        <v>Les Cayes</v>
      </c>
      <c r="P142">
        <f>_xlfn.XLOOKUP(Table4[[#This Row],[id]],prov_color!A:A,prov_color!C:C)</f>
        <v>12</v>
      </c>
    </row>
    <row r="143" spans="1:16" hidden="1" x14ac:dyDescent="0.25">
      <c r="A143">
        <v>142</v>
      </c>
      <c r="B143" t="s">
        <v>11</v>
      </c>
      <c r="C143" t="s">
        <v>222</v>
      </c>
      <c r="D143" t="s">
        <v>229</v>
      </c>
      <c r="E143" t="s">
        <v>14</v>
      </c>
      <c r="F143" t="s">
        <v>15</v>
      </c>
      <c r="G143" t="s">
        <v>75</v>
      </c>
      <c r="H143" t="s">
        <v>224</v>
      </c>
      <c r="I143" t="s">
        <v>73</v>
      </c>
      <c r="J143" t="s">
        <v>231</v>
      </c>
      <c r="K143">
        <v>5</v>
      </c>
      <c r="L143">
        <v>1</v>
      </c>
      <c r="M143">
        <v>4</v>
      </c>
      <c r="N143">
        <v>142</v>
      </c>
      <c r="O143" t="str">
        <f>_xlfn.XLOOKUP(Table4[[#This Row],[id]],VALINA[id],VALINA[name])</f>
        <v>Tortuga</v>
      </c>
      <c r="P143">
        <f>_xlfn.XLOOKUP(Table4[[#This Row],[id]],prov_color!A:A,prov_color!C:C)</f>
        <v>14</v>
      </c>
    </row>
    <row r="144" spans="1:16" hidden="1" x14ac:dyDescent="0.25">
      <c r="A144">
        <v>143</v>
      </c>
      <c r="B144" t="s">
        <v>11</v>
      </c>
      <c r="C144" t="s">
        <v>222</v>
      </c>
      <c r="D144" t="s">
        <v>229</v>
      </c>
      <c r="E144" t="s">
        <v>22</v>
      </c>
      <c r="F144" t="s">
        <v>15</v>
      </c>
      <c r="G144" t="s">
        <v>75</v>
      </c>
      <c r="H144" t="s">
        <v>224</v>
      </c>
      <c r="I144" t="s">
        <v>73</v>
      </c>
      <c r="J144" t="s">
        <v>232</v>
      </c>
      <c r="K144">
        <v>5</v>
      </c>
      <c r="L144">
        <v>1</v>
      </c>
      <c r="M144">
        <v>5</v>
      </c>
      <c r="N144">
        <v>143</v>
      </c>
      <c r="O144" t="str">
        <f>_xlfn.XLOOKUP(Table4[[#This Row],[id]],VALINA[id],VALINA[name])</f>
        <v>Barahona</v>
      </c>
      <c r="P144">
        <f>_xlfn.XLOOKUP(Table4[[#This Row],[id]],prov_color!A:A,prov_color!C:C)</f>
        <v>20</v>
      </c>
    </row>
    <row r="145" spans="1:16" hidden="1" x14ac:dyDescent="0.25">
      <c r="A145">
        <v>144</v>
      </c>
      <c r="B145" t="s">
        <v>11</v>
      </c>
      <c r="C145" t="s">
        <v>222</v>
      </c>
      <c r="D145" t="s">
        <v>233</v>
      </c>
      <c r="E145" t="s">
        <v>22</v>
      </c>
      <c r="F145" t="s">
        <v>15</v>
      </c>
      <c r="G145" t="s">
        <v>75</v>
      </c>
      <c r="H145" t="s">
        <v>224</v>
      </c>
      <c r="I145" t="s">
        <v>73</v>
      </c>
      <c r="J145" t="s">
        <v>234</v>
      </c>
      <c r="K145">
        <v>4</v>
      </c>
      <c r="L145">
        <v>1</v>
      </c>
      <c r="M145">
        <v>5</v>
      </c>
      <c r="N145">
        <v>144</v>
      </c>
      <c r="O145" t="str">
        <f>_xlfn.XLOOKUP(Table4[[#This Row],[id]],VALINA[id],VALINA[name])</f>
        <v>Puerto Rico</v>
      </c>
      <c r="P145">
        <f>_xlfn.XLOOKUP(Table4[[#This Row],[id]],prov_color!A:A,prov_color!C:C)</f>
        <v>11</v>
      </c>
    </row>
    <row r="146" spans="1:16" hidden="1" x14ac:dyDescent="0.25">
      <c r="A146">
        <v>145</v>
      </c>
      <c r="B146" t="s">
        <v>11</v>
      </c>
      <c r="C146" t="s">
        <v>222</v>
      </c>
      <c r="D146" t="s">
        <v>233</v>
      </c>
      <c r="E146" t="s">
        <v>22</v>
      </c>
      <c r="F146" t="s">
        <v>15</v>
      </c>
      <c r="G146" t="s">
        <v>75</v>
      </c>
      <c r="H146" t="s">
        <v>235</v>
      </c>
      <c r="I146" t="s">
        <v>73</v>
      </c>
      <c r="J146" t="s">
        <v>236</v>
      </c>
      <c r="K146">
        <v>2</v>
      </c>
      <c r="L146">
        <v>1</v>
      </c>
      <c r="M146">
        <v>5</v>
      </c>
      <c r="N146">
        <v>145</v>
      </c>
      <c r="O146" t="str">
        <f>_xlfn.XLOOKUP(Table4[[#This Row],[id]],VALINA[id],VALINA[name])</f>
        <v>St. Thomas</v>
      </c>
      <c r="P146">
        <f>_xlfn.XLOOKUP(Table4[[#This Row],[id]],prov_color!A:A,prov_color!C:C)</f>
        <v>6</v>
      </c>
    </row>
    <row r="147" spans="1:16" hidden="1" x14ac:dyDescent="0.25">
      <c r="A147">
        <v>146</v>
      </c>
      <c r="B147" t="s">
        <v>11</v>
      </c>
      <c r="C147" t="s">
        <v>222</v>
      </c>
      <c r="D147" t="s">
        <v>233</v>
      </c>
      <c r="E147" t="s">
        <v>22</v>
      </c>
      <c r="F147" t="s">
        <v>15</v>
      </c>
      <c r="G147" t="s">
        <v>75</v>
      </c>
      <c r="H147" t="s">
        <v>235</v>
      </c>
      <c r="I147" t="s">
        <v>73</v>
      </c>
      <c r="J147" t="s">
        <v>237</v>
      </c>
      <c r="K147">
        <v>3</v>
      </c>
      <c r="L147">
        <v>1</v>
      </c>
      <c r="M147">
        <v>6</v>
      </c>
      <c r="N147">
        <v>146</v>
      </c>
      <c r="O147" t="str">
        <f>_xlfn.XLOOKUP(Table4[[#This Row],[id]],VALINA[id],VALINA[name])</f>
        <v>St. Martin</v>
      </c>
      <c r="P147">
        <f>_xlfn.XLOOKUP(Table4[[#This Row],[id]],prov_color!A:A,prov_color!C:C)</f>
        <v>6</v>
      </c>
    </row>
    <row r="148" spans="1:16" hidden="1" x14ac:dyDescent="0.25">
      <c r="A148">
        <v>147</v>
      </c>
      <c r="B148" t="s">
        <v>11</v>
      </c>
      <c r="C148" t="s">
        <v>222</v>
      </c>
      <c r="D148" t="s">
        <v>233</v>
      </c>
      <c r="E148" t="s">
        <v>22</v>
      </c>
      <c r="F148" t="s">
        <v>15</v>
      </c>
      <c r="G148" t="s">
        <v>75</v>
      </c>
      <c r="H148" t="s">
        <v>235</v>
      </c>
      <c r="I148" t="s">
        <v>73</v>
      </c>
      <c r="J148" t="s">
        <v>238</v>
      </c>
      <c r="K148">
        <v>2</v>
      </c>
      <c r="L148">
        <v>1</v>
      </c>
      <c r="M148">
        <v>6</v>
      </c>
      <c r="N148">
        <v>147</v>
      </c>
      <c r="O148" t="str">
        <f>_xlfn.XLOOKUP(Table4[[#This Row],[id]],VALINA[id],VALINA[name])</f>
        <v>Antigua</v>
      </c>
      <c r="P148">
        <f>_xlfn.XLOOKUP(Table4[[#This Row],[id]],prov_color!A:A,prov_color!C:C)</f>
        <v>6</v>
      </c>
    </row>
    <row r="149" spans="1:16" hidden="1" x14ac:dyDescent="0.25">
      <c r="A149">
        <v>148</v>
      </c>
      <c r="B149" t="s">
        <v>11</v>
      </c>
      <c r="C149" t="s">
        <v>222</v>
      </c>
      <c r="D149" t="s">
        <v>233</v>
      </c>
      <c r="E149" t="s">
        <v>22</v>
      </c>
      <c r="F149" t="s">
        <v>15</v>
      </c>
      <c r="G149" t="s">
        <v>75</v>
      </c>
      <c r="H149" t="s">
        <v>235</v>
      </c>
      <c r="I149" t="s">
        <v>73</v>
      </c>
      <c r="J149" t="s">
        <v>239</v>
      </c>
      <c r="K149">
        <v>3</v>
      </c>
      <c r="L149">
        <v>1</v>
      </c>
      <c r="M149">
        <v>6</v>
      </c>
      <c r="N149">
        <v>148</v>
      </c>
      <c r="O149" t="str">
        <f>_xlfn.XLOOKUP(Table4[[#This Row],[id]],VALINA[id],VALINA[name])</f>
        <v>Dominica</v>
      </c>
      <c r="P149">
        <f>_xlfn.XLOOKUP(Table4[[#This Row],[id]],prov_color!A:A,prov_color!C:C)</f>
        <v>6</v>
      </c>
    </row>
    <row r="150" spans="1:16" hidden="1" x14ac:dyDescent="0.25">
      <c r="A150">
        <v>149</v>
      </c>
      <c r="B150" t="s">
        <v>11</v>
      </c>
      <c r="C150" t="s">
        <v>222</v>
      </c>
      <c r="D150" t="s">
        <v>233</v>
      </c>
      <c r="E150" t="s">
        <v>22</v>
      </c>
      <c r="F150" t="s">
        <v>15</v>
      </c>
      <c r="G150" t="s">
        <v>75</v>
      </c>
      <c r="H150" t="s">
        <v>235</v>
      </c>
      <c r="I150" t="s">
        <v>73</v>
      </c>
      <c r="J150" t="s">
        <v>240</v>
      </c>
      <c r="K150">
        <v>2</v>
      </c>
      <c r="L150">
        <v>1</v>
      </c>
      <c r="M150">
        <v>6</v>
      </c>
      <c r="N150">
        <v>149</v>
      </c>
      <c r="O150" t="str">
        <f>_xlfn.XLOOKUP(Table4[[#This Row],[id]],VALINA[id],VALINA[name])</f>
        <v>Guadeloupe</v>
      </c>
      <c r="P150">
        <f>_xlfn.XLOOKUP(Table4[[#This Row],[id]],prov_color!A:A,prov_color!C:C)</f>
        <v>6</v>
      </c>
    </row>
    <row r="151" spans="1:16" hidden="1" x14ac:dyDescent="0.25">
      <c r="A151">
        <v>150</v>
      </c>
      <c r="B151" t="s">
        <v>11</v>
      </c>
      <c r="C151" t="s">
        <v>222</v>
      </c>
      <c r="D151" t="s">
        <v>233</v>
      </c>
      <c r="E151" t="s">
        <v>22</v>
      </c>
      <c r="F151" t="s">
        <v>15</v>
      </c>
      <c r="G151" t="s">
        <v>75</v>
      </c>
      <c r="H151" t="s">
        <v>235</v>
      </c>
      <c r="I151" t="s">
        <v>73</v>
      </c>
      <c r="J151" t="s">
        <v>241</v>
      </c>
      <c r="K151">
        <v>2</v>
      </c>
      <c r="L151">
        <v>1</v>
      </c>
      <c r="M151">
        <v>6</v>
      </c>
      <c r="N151">
        <v>150</v>
      </c>
      <c r="O151" t="str">
        <f>_xlfn.XLOOKUP(Table4[[#This Row],[id]],VALINA[id],VALINA[name])</f>
        <v>Martinique</v>
      </c>
      <c r="P151">
        <f>_xlfn.XLOOKUP(Table4[[#This Row],[id]],prov_color!A:A,prov_color!C:C)</f>
        <v>6</v>
      </c>
    </row>
    <row r="152" spans="1:16" hidden="1" x14ac:dyDescent="0.25">
      <c r="A152">
        <v>151</v>
      </c>
      <c r="B152" t="s">
        <v>11</v>
      </c>
      <c r="C152" t="s">
        <v>222</v>
      </c>
      <c r="D152" t="s">
        <v>233</v>
      </c>
      <c r="E152" t="s">
        <v>22</v>
      </c>
      <c r="F152" t="s">
        <v>15</v>
      </c>
      <c r="G152" t="s">
        <v>75</v>
      </c>
      <c r="H152" t="s">
        <v>224</v>
      </c>
      <c r="I152" t="s">
        <v>73</v>
      </c>
      <c r="J152" t="s">
        <v>242</v>
      </c>
      <c r="K152">
        <v>3</v>
      </c>
      <c r="L152">
        <v>1</v>
      </c>
      <c r="M152">
        <v>6</v>
      </c>
      <c r="N152">
        <v>151</v>
      </c>
      <c r="O152" t="str">
        <f>_xlfn.XLOOKUP(Table4[[#This Row],[id]],VALINA[id],VALINA[name])</f>
        <v>Tobago &amp; Trinidad</v>
      </c>
      <c r="P152">
        <f>_xlfn.XLOOKUP(Table4[[#This Row],[id]],prov_color!A:A,prov_color!C:C)</f>
        <v>11</v>
      </c>
    </row>
    <row r="153" spans="1:16" hidden="1" x14ac:dyDescent="0.25">
      <c r="A153">
        <v>152</v>
      </c>
      <c r="B153" t="s">
        <v>11</v>
      </c>
      <c r="C153" t="s">
        <v>222</v>
      </c>
      <c r="D153" t="s">
        <v>233</v>
      </c>
      <c r="E153" t="s">
        <v>22</v>
      </c>
      <c r="F153" t="s">
        <v>15</v>
      </c>
      <c r="G153" t="s">
        <v>75</v>
      </c>
      <c r="H153" t="s">
        <v>235</v>
      </c>
      <c r="I153" t="s">
        <v>73</v>
      </c>
      <c r="J153" t="s">
        <v>243</v>
      </c>
      <c r="K153">
        <v>3</v>
      </c>
      <c r="L153">
        <v>1</v>
      </c>
      <c r="M153">
        <v>6</v>
      </c>
      <c r="N153">
        <v>152</v>
      </c>
      <c r="O153" t="str">
        <f>_xlfn.XLOOKUP(Table4[[#This Row],[id]],VALINA[id],VALINA[name])</f>
        <v>Barbados</v>
      </c>
      <c r="P153">
        <f>_xlfn.XLOOKUP(Table4[[#This Row],[id]],prov_color!A:A,prov_color!C:C)</f>
        <v>6</v>
      </c>
    </row>
    <row r="154" spans="1:16" hidden="1" x14ac:dyDescent="0.25">
      <c r="A154">
        <v>153</v>
      </c>
      <c r="B154" t="s">
        <v>11</v>
      </c>
      <c r="C154" t="s">
        <v>244</v>
      </c>
      <c r="D154" t="s">
        <v>245</v>
      </c>
      <c r="E154" t="s">
        <v>22</v>
      </c>
      <c r="F154" t="s">
        <v>15</v>
      </c>
      <c r="G154" t="s">
        <v>75</v>
      </c>
      <c r="H154" t="s">
        <v>224</v>
      </c>
      <c r="I154" t="s">
        <v>73</v>
      </c>
      <c r="J154" t="s">
        <v>246</v>
      </c>
      <c r="K154">
        <v>3</v>
      </c>
      <c r="L154">
        <v>1</v>
      </c>
      <c r="M154">
        <v>4</v>
      </c>
      <c r="N154">
        <v>153</v>
      </c>
      <c r="O154" t="str">
        <f>_xlfn.XLOOKUP(Table4[[#This Row],[id]],VALINA[id],VALINA[name])</f>
        <v>Curacao</v>
      </c>
      <c r="P154">
        <f>_xlfn.XLOOKUP(Table4[[#This Row],[id]],prov_color!A:A,prov_color!C:C)</f>
        <v>8</v>
      </c>
    </row>
    <row r="155" spans="1:16" hidden="1" x14ac:dyDescent="0.25">
      <c r="A155">
        <v>154</v>
      </c>
      <c r="B155" t="s">
        <v>11</v>
      </c>
      <c r="C155" t="s">
        <v>244</v>
      </c>
      <c r="D155" t="s">
        <v>245</v>
      </c>
      <c r="E155" t="s">
        <v>22</v>
      </c>
      <c r="F155" t="s">
        <v>15</v>
      </c>
      <c r="G155" t="s">
        <v>75</v>
      </c>
      <c r="H155" t="s">
        <v>224</v>
      </c>
      <c r="I155" t="s">
        <v>73</v>
      </c>
      <c r="J155" t="s">
        <v>247</v>
      </c>
      <c r="K155">
        <v>7</v>
      </c>
      <c r="L155">
        <v>1</v>
      </c>
      <c r="M155">
        <v>2</v>
      </c>
      <c r="N155">
        <v>154</v>
      </c>
      <c r="O155" t="str">
        <f>_xlfn.XLOOKUP(Table4[[#This Row],[id]],VALINA[id],VALINA[name])</f>
        <v>Yaraguay</v>
      </c>
      <c r="P155">
        <f>_xlfn.XLOOKUP(Table4[[#This Row],[id]],prov_color!A:A,prov_color!C:C)</f>
        <v>55</v>
      </c>
    </row>
    <row r="156" spans="1:16" hidden="1" x14ac:dyDescent="0.25">
      <c r="A156">
        <v>155</v>
      </c>
      <c r="B156" t="s">
        <v>11</v>
      </c>
      <c r="C156" t="s">
        <v>244</v>
      </c>
      <c r="D156" t="s">
        <v>245</v>
      </c>
      <c r="E156" t="s">
        <v>80</v>
      </c>
      <c r="F156" t="s">
        <v>15</v>
      </c>
      <c r="G156" t="s">
        <v>75</v>
      </c>
      <c r="H156" t="s">
        <v>224</v>
      </c>
      <c r="I156" t="s">
        <v>41</v>
      </c>
      <c r="J156" t="s">
        <v>248</v>
      </c>
      <c r="K156">
        <v>8</v>
      </c>
      <c r="L156">
        <v>1</v>
      </c>
      <c r="M156">
        <v>2</v>
      </c>
      <c r="N156">
        <v>155</v>
      </c>
      <c r="O156" t="str">
        <f>_xlfn.XLOOKUP(Table4[[#This Row],[id]],VALINA[id],VALINA[name])</f>
        <v>Apure</v>
      </c>
      <c r="P156">
        <f>_xlfn.XLOOKUP(Table4[[#This Row],[id]],prov_color!A:A,prov_color!C:C)</f>
        <v>33</v>
      </c>
    </row>
    <row r="157" spans="1:16" hidden="1" x14ac:dyDescent="0.25">
      <c r="A157">
        <v>156</v>
      </c>
      <c r="B157" t="s">
        <v>11</v>
      </c>
      <c r="C157" t="s">
        <v>244</v>
      </c>
      <c r="D157" t="s">
        <v>245</v>
      </c>
      <c r="E157" t="s">
        <v>22</v>
      </c>
      <c r="F157" t="s">
        <v>15</v>
      </c>
      <c r="G157" t="s">
        <v>75</v>
      </c>
      <c r="H157" t="s">
        <v>224</v>
      </c>
      <c r="I157" t="s">
        <v>73</v>
      </c>
      <c r="J157" t="s">
        <v>249</v>
      </c>
      <c r="K157">
        <v>7</v>
      </c>
      <c r="L157">
        <v>1</v>
      </c>
      <c r="M157">
        <v>3</v>
      </c>
      <c r="N157">
        <v>156</v>
      </c>
      <c r="O157" t="str">
        <f>_xlfn.XLOOKUP(Table4[[#This Row],[id]],VALINA[id],VALINA[name])</f>
        <v>Tocuvo</v>
      </c>
      <c r="P157">
        <f>_xlfn.XLOOKUP(Table4[[#This Row],[id]],prov_color!A:A,prov_color!C:C)</f>
        <v>47</v>
      </c>
    </row>
    <row r="158" spans="1:16" hidden="1" x14ac:dyDescent="0.25">
      <c r="A158">
        <v>157</v>
      </c>
      <c r="B158" t="s">
        <v>11</v>
      </c>
      <c r="C158" t="s">
        <v>244</v>
      </c>
      <c r="D158" t="s">
        <v>245</v>
      </c>
      <c r="E158" t="s">
        <v>80</v>
      </c>
      <c r="F158" t="s">
        <v>15</v>
      </c>
      <c r="G158" t="s">
        <v>75</v>
      </c>
      <c r="H158" t="s">
        <v>91</v>
      </c>
      <c r="I158" t="s">
        <v>84</v>
      </c>
      <c r="J158" t="s">
        <v>250</v>
      </c>
      <c r="K158">
        <v>6</v>
      </c>
      <c r="L158">
        <v>1</v>
      </c>
      <c r="M158">
        <v>3</v>
      </c>
      <c r="N158">
        <v>157</v>
      </c>
      <c r="O158" t="str">
        <f>_xlfn.XLOOKUP(Table4[[#This Row],[id]],VALINA[id],VALINA[name])</f>
        <v>Maracaibo</v>
      </c>
      <c r="P158">
        <f>_xlfn.XLOOKUP(Table4[[#This Row],[id]],prov_color!A:A,prov_color!C:C)</f>
        <v>54</v>
      </c>
    </row>
    <row r="159" spans="1:16" hidden="1" x14ac:dyDescent="0.25">
      <c r="A159">
        <v>158</v>
      </c>
      <c r="B159" t="s">
        <v>11</v>
      </c>
      <c r="C159" t="s">
        <v>244</v>
      </c>
      <c r="D159" t="s">
        <v>245</v>
      </c>
      <c r="E159" t="s">
        <v>80</v>
      </c>
      <c r="F159" t="s">
        <v>15</v>
      </c>
      <c r="G159" t="s">
        <v>75</v>
      </c>
      <c r="H159" t="s">
        <v>91</v>
      </c>
      <c r="I159" t="s">
        <v>84</v>
      </c>
      <c r="J159" t="s">
        <v>251</v>
      </c>
      <c r="K159">
        <v>5</v>
      </c>
      <c r="L159">
        <v>1</v>
      </c>
      <c r="M159">
        <v>4</v>
      </c>
      <c r="N159">
        <v>158</v>
      </c>
      <c r="O159" t="str">
        <f>_xlfn.XLOOKUP(Table4[[#This Row],[id]],VALINA[id],VALINA[name])</f>
        <v>Cartagena</v>
      </c>
      <c r="P159">
        <f>_xlfn.XLOOKUP(Table4[[#This Row],[id]],prov_color!A:A,prov_color!C:C)</f>
        <v>47</v>
      </c>
    </row>
    <row r="160" spans="1:16" hidden="1" x14ac:dyDescent="0.25">
      <c r="A160">
        <v>159</v>
      </c>
      <c r="B160" t="s">
        <v>11</v>
      </c>
      <c r="C160" t="s">
        <v>244</v>
      </c>
      <c r="D160" t="s">
        <v>245</v>
      </c>
      <c r="E160" t="s">
        <v>14</v>
      </c>
      <c r="F160" t="s">
        <v>15</v>
      </c>
      <c r="G160" t="s">
        <v>75</v>
      </c>
      <c r="H160" t="s">
        <v>91</v>
      </c>
      <c r="I160" t="s">
        <v>18</v>
      </c>
      <c r="J160" t="s">
        <v>252</v>
      </c>
      <c r="K160">
        <v>6</v>
      </c>
      <c r="L160">
        <v>1</v>
      </c>
      <c r="M160">
        <v>3</v>
      </c>
      <c r="N160">
        <v>159</v>
      </c>
      <c r="O160" t="str">
        <f>_xlfn.XLOOKUP(Table4[[#This Row],[id]],VALINA[id],VALINA[name])</f>
        <v>Yarumal</v>
      </c>
      <c r="P160">
        <f>_xlfn.XLOOKUP(Table4[[#This Row],[id]],prov_color!A:A,prov_color!C:C)</f>
        <v>40</v>
      </c>
    </row>
    <row r="161" spans="1:16" hidden="1" x14ac:dyDescent="0.25">
      <c r="A161">
        <v>160</v>
      </c>
      <c r="B161" t="s">
        <v>11</v>
      </c>
      <c r="C161" t="s">
        <v>244</v>
      </c>
      <c r="D161" t="s">
        <v>245</v>
      </c>
      <c r="E161" t="s">
        <v>14</v>
      </c>
      <c r="F161" t="s">
        <v>15</v>
      </c>
      <c r="G161" t="s">
        <v>75</v>
      </c>
      <c r="H161" t="s">
        <v>91</v>
      </c>
      <c r="I161" t="s">
        <v>84</v>
      </c>
      <c r="J161" t="s">
        <v>253</v>
      </c>
      <c r="K161">
        <v>5</v>
      </c>
      <c r="L161">
        <v>1</v>
      </c>
      <c r="M161">
        <v>4</v>
      </c>
      <c r="N161">
        <v>160</v>
      </c>
      <c r="O161" t="str">
        <f>_xlfn.XLOOKUP(Table4[[#This Row],[id]],VALINA[id],VALINA[name])</f>
        <v>Bogota</v>
      </c>
      <c r="P161">
        <f>_xlfn.XLOOKUP(Table4[[#This Row],[id]],prov_color!A:A,prov_color!C:C)</f>
        <v>58</v>
      </c>
    </row>
    <row r="162" spans="1:16" hidden="1" x14ac:dyDescent="0.25">
      <c r="A162">
        <v>161</v>
      </c>
      <c r="B162" t="s">
        <v>11</v>
      </c>
      <c r="C162" t="s">
        <v>244</v>
      </c>
      <c r="D162" t="s">
        <v>245</v>
      </c>
      <c r="E162" t="s">
        <v>22</v>
      </c>
      <c r="F162" t="s">
        <v>15</v>
      </c>
      <c r="G162" t="s">
        <v>75</v>
      </c>
      <c r="H162" t="s">
        <v>91</v>
      </c>
      <c r="I162" t="s">
        <v>20</v>
      </c>
      <c r="J162" t="s">
        <v>254</v>
      </c>
      <c r="K162">
        <v>6</v>
      </c>
      <c r="L162">
        <v>1</v>
      </c>
      <c r="M162">
        <v>2</v>
      </c>
      <c r="N162">
        <v>161</v>
      </c>
      <c r="O162" t="str">
        <f>_xlfn.XLOOKUP(Table4[[#This Row],[id]],VALINA[id],VALINA[name])</f>
        <v>Cupica</v>
      </c>
      <c r="P162">
        <f>_xlfn.XLOOKUP(Table4[[#This Row],[id]],prov_color!A:A,prov_color!C:C)</f>
        <v>34</v>
      </c>
    </row>
    <row r="163" spans="1:16" hidden="1" x14ac:dyDescent="0.25">
      <c r="A163">
        <v>162</v>
      </c>
      <c r="B163" t="s">
        <v>11</v>
      </c>
      <c r="C163" t="s">
        <v>244</v>
      </c>
      <c r="D163" t="s">
        <v>255</v>
      </c>
      <c r="E163" t="s">
        <v>22</v>
      </c>
      <c r="F163" t="s">
        <v>15</v>
      </c>
      <c r="G163" t="s">
        <v>75</v>
      </c>
      <c r="H163" t="s">
        <v>256</v>
      </c>
      <c r="I163" t="s">
        <v>43</v>
      </c>
      <c r="J163" t="s">
        <v>257</v>
      </c>
      <c r="K163">
        <v>5</v>
      </c>
      <c r="L163">
        <v>1</v>
      </c>
      <c r="M163">
        <v>2</v>
      </c>
      <c r="N163">
        <v>162</v>
      </c>
      <c r="O163" t="str">
        <f>_xlfn.XLOOKUP(Table4[[#This Row],[id]],VALINA[id],VALINA[name])</f>
        <v>Cali</v>
      </c>
      <c r="P163">
        <f>_xlfn.XLOOKUP(Table4[[#This Row],[id]],prov_color!A:A,prov_color!C:C)</f>
        <v>47</v>
      </c>
    </row>
    <row r="164" spans="1:16" hidden="1" x14ac:dyDescent="0.25">
      <c r="A164">
        <v>163</v>
      </c>
      <c r="B164" t="s">
        <v>11</v>
      </c>
      <c r="C164" t="s">
        <v>244</v>
      </c>
      <c r="D164" t="s">
        <v>255</v>
      </c>
      <c r="E164" t="s">
        <v>14</v>
      </c>
      <c r="F164" t="s">
        <v>15</v>
      </c>
      <c r="G164" t="s">
        <v>75</v>
      </c>
      <c r="H164" t="s">
        <v>256</v>
      </c>
      <c r="I164" t="s">
        <v>18</v>
      </c>
      <c r="J164" t="s">
        <v>258</v>
      </c>
      <c r="K164">
        <v>6</v>
      </c>
      <c r="L164">
        <v>1</v>
      </c>
      <c r="M164">
        <v>2</v>
      </c>
      <c r="N164">
        <v>163</v>
      </c>
      <c r="O164" t="str">
        <f>_xlfn.XLOOKUP(Table4[[#This Row],[id]],VALINA[id],VALINA[name])</f>
        <v>Azuay</v>
      </c>
      <c r="P164">
        <f>_xlfn.XLOOKUP(Table4[[#This Row],[id]],prov_color!A:A,prov_color!C:C)</f>
        <v>57</v>
      </c>
    </row>
    <row r="165" spans="1:16" hidden="1" x14ac:dyDescent="0.25">
      <c r="A165">
        <v>164</v>
      </c>
      <c r="B165" t="s">
        <v>11</v>
      </c>
      <c r="C165" t="s">
        <v>244</v>
      </c>
      <c r="D165" t="s">
        <v>255</v>
      </c>
      <c r="E165" t="s">
        <v>34</v>
      </c>
      <c r="F165" t="s">
        <v>15</v>
      </c>
      <c r="G165" t="s">
        <v>75</v>
      </c>
      <c r="H165" t="s">
        <v>256</v>
      </c>
      <c r="I165" t="s">
        <v>43</v>
      </c>
      <c r="J165" t="s">
        <v>259</v>
      </c>
      <c r="K165">
        <v>4</v>
      </c>
      <c r="L165">
        <v>1</v>
      </c>
      <c r="M165">
        <v>3</v>
      </c>
      <c r="N165">
        <v>164</v>
      </c>
      <c r="O165" t="str">
        <f>_xlfn.XLOOKUP(Table4[[#This Row],[id]],VALINA[id],VALINA[name])</f>
        <v>Guayaquil</v>
      </c>
      <c r="P165">
        <f>_xlfn.XLOOKUP(Table4[[#This Row],[id]],prov_color!A:A,prov_color!C:C)</f>
        <v>47</v>
      </c>
    </row>
    <row r="166" spans="1:16" hidden="1" x14ac:dyDescent="0.25">
      <c r="A166">
        <v>165</v>
      </c>
      <c r="B166" t="s">
        <v>11</v>
      </c>
      <c r="C166" t="s">
        <v>244</v>
      </c>
      <c r="D166" t="s">
        <v>260</v>
      </c>
      <c r="E166" t="s">
        <v>34</v>
      </c>
      <c r="F166" t="s">
        <v>15</v>
      </c>
      <c r="G166" t="s">
        <v>75</v>
      </c>
      <c r="H166" t="s">
        <v>256</v>
      </c>
      <c r="I166" t="s">
        <v>84</v>
      </c>
      <c r="J166" t="s">
        <v>261</v>
      </c>
      <c r="K166">
        <v>3</v>
      </c>
      <c r="L166">
        <v>1</v>
      </c>
      <c r="M166">
        <v>4</v>
      </c>
      <c r="N166">
        <v>165</v>
      </c>
      <c r="O166" t="str">
        <f>_xlfn.XLOOKUP(Table4[[#This Row],[id]],VALINA[id],VALINA[name])</f>
        <v>Cajamarca</v>
      </c>
      <c r="P166">
        <f>_xlfn.XLOOKUP(Table4[[#This Row],[id]],prov_color!A:A,prov_color!C:C)</f>
        <v>45</v>
      </c>
    </row>
    <row r="167" spans="1:16" hidden="1" x14ac:dyDescent="0.25">
      <c r="A167">
        <v>166</v>
      </c>
      <c r="B167" t="s">
        <v>11</v>
      </c>
      <c r="C167" t="s">
        <v>244</v>
      </c>
      <c r="D167" t="s">
        <v>260</v>
      </c>
      <c r="E167" t="s">
        <v>34</v>
      </c>
      <c r="F167" t="s">
        <v>15</v>
      </c>
      <c r="G167" t="s">
        <v>75</v>
      </c>
      <c r="H167" t="s">
        <v>256</v>
      </c>
      <c r="I167" t="s">
        <v>43</v>
      </c>
      <c r="J167" t="s">
        <v>262</v>
      </c>
      <c r="K167">
        <v>4</v>
      </c>
      <c r="L167">
        <v>1</v>
      </c>
      <c r="M167">
        <v>4</v>
      </c>
      <c r="N167">
        <v>166</v>
      </c>
      <c r="O167" t="str">
        <f>_xlfn.XLOOKUP(Table4[[#This Row],[id]],VALINA[id],VALINA[name])</f>
        <v>Huanuco</v>
      </c>
      <c r="P167">
        <f>_xlfn.XLOOKUP(Table4[[#This Row],[id]],prov_color!A:A,prov_color!C:C)</f>
        <v>35</v>
      </c>
    </row>
    <row r="168" spans="1:16" hidden="1" x14ac:dyDescent="0.25">
      <c r="A168">
        <v>167</v>
      </c>
      <c r="B168" t="s">
        <v>11</v>
      </c>
      <c r="C168" t="s">
        <v>244</v>
      </c>
      <c r="D168" t="s">
        <v>260</v>
      </c>
      <c r="E168" t="s">
        <v>14</v>
      </c>
      <c r="F168" t="s">
        <v>15</v>
      </c>
      <c r="G168" t="s">
        <v>35</v>
      </c>
      <c r="H168" t="s">
        <v>256</v>
      </c>
      <c r="I168" t="s">
        <v>18</v>
      </c>
      <c r="J168" t="s">
        <v>263</v>
      </c>
      <c r="K168">
        <v>4</v>
      </c>
      <c r="L168">
        <v>1</v>
      </c>
      <c r="M168">
        <v>3</v>
      </c>
      <c r="N168">
        <v>167</v>
      </c>
      <c r="O168" t="str">
        <f>_xlfn.XLOOKUP(Table4[[#This Row],[id]],VALINA[id],VALINA[name])</f>
        <v>Ayacucho</v>
      </c>
      <c r="P168">
        <f>_xlfn.XLOOKUP(Table4[[#This Row],[id]],prov_color!A:A,prov_color!C:C)</f>
        <v>28</v>
      </c>
    </row>
    <row r="169" spans="1:16" hidden="1" x14ac:dyDescent="0.25">
      <c r="A169">
        <v>168</v>
      </c>
      <c r="B169" t="s">
        <v>11</v>
      </c>
      <c r="C169" t="s">
        <v>244</v>
      </c>
      <c r="D169" t="s">
        <v>260</v>
      </c>
      <c r="E169" t="s">
        <v>34</v>
      </c>
      <c r="F169" t="s">
        <v>15</v>
      </c>
      <c r="G169" t="s">
        <v>35</v>
      </c>
      <c r="H169" t="s">
        <v>256</v>
      </c>
      <c r="I169" t="s">
        <v>27</v>
      </c>
      <c r="J169" t="s">
        <v>264</v>
      </c>
      <c r="K169">
        <v>4</v>
      </c>
      <c r="L169">
        <v>1</v>
      </c>
      <c r="M169">
        <v>6</v>
      </c>
      <c r="N169">
        <v>168</v>
      </c>
      <c r="O169" t="str">
        <f>_xlfn.XLOOKUP(Table4[[#This Row],[id]],VALINA[id],VALINA[name])</f>
        <v>Lima</v>
      </c>
      <c r="P169">
        <f>_xlfn.XLOOKUP(Table4[[#This Row],[id]],prov_color!A:A,prov_color!C:C)</f>
        <v>40</v>
      </c>
    </row>
    <row r="170" spans="1:16" hidden="1" x14ac:dyDescent="0.25">
      <c r="A170">
        <v>169</v>
      </c>
      <c r="B170" t="s">
        <v>11</v>
      </c>
      <c r="C170" t="s">
        <v>244</v>
      </c>
      <c r="D170" t="s">
        <v>260</v>
      </c>
      <c r="E170" t="s">
        <v>14</v>
      </c>
      <c r="F170" t="s">
        <v>15</v>
      </c>
      <c r="G170" t="s">
        <v>35</v>
      </c>
      <c r="H170" t="s">
        <v>256</v>
      </c>
      <c r="I170" t="s">
        <v>18</v>
      </c>
      <c r="J170" t="s">
        <v>265</v>
      </c>
      <c r="K170">
        <v>4</v>
      </c>
      <c r="L170">
        <v>3</v>
      </c>
      <c r="M170">
        <v>5</v>
      </c>
      <c r="N170">
        <v>169</v>
      </c>
      <c r="O170" t="str">
        <f>_xlfn.XLOOKUP(Table4[[#This Row],[id]],VALINA[id],VALINA[name])</f>
        <v>Cuzco</v>
      </c>
      <c r="P170">
        <f>_xlfn.XLOOKUP(Table4[[#This Row],[id]],prov_color!A:A,prov_color!C:C)</f>
        <v>34</v>
      </c>
    </row>
    <row r="171" spans="1:16" hidden="1" x14ac:dyDescent="0.25">
      <c r="A171">
        <v>170</v>
      </c>
      <c r="B171" t="s">
        <v>11</v>
      </c>
      <c r="C171" t="s">
        <v>244</v>
      </c>
      <c r="D171" t="s">
        <v>260</v>
      </c>
      <c r="E171" t="s">
        <v>14</v>
      </c>
      <c r="F171" t="s">
        <v>15</v>
      </c>
      <c r="G171" t="s">
        <v>35</v>
      </c>
      <c r="H171" t="s">
        <v>266</v>
      </c>
      <c r="I171" t="s">
        <v>43</v>
      </c>
      <c r="J171" t="s">
        <v>267</v>
      </c>
      <c r="K171">
        <v>4</v>
      </c>
      <c r="L171">
        <v>1</v>
      </c>
      <c r="M171">
        <v>5</v>
      </c>
      <c r="N171">
        <v>170</v>
      </c>
      <c r="O171" t="str">
        <f>_xlfn.XLOOKUP(Table4[[#This Row],[id]],VALINA[id],VALINA[name])</f>
        <v>Arequipa</v>
      </c>
      <c r="P171">
        <f>_xlfn.XLOOKUP(Table4[[#This Row],[id]],prov_color!A:A,prov_color!C:C)</f>
        <v>41</v>
      </c>
    </row>
    <row r="172" spans="1:16" hidden="1" x14ac:dyDescent="0.25">
      <c r="A172">
        <v>171</v>
      </c>
      <c r="B172" t="s">
        <v>11</v>
      </c>
      <c r="C172" t="s">
        <v>244</v>
      </c>
      <c r="D172" t="s">
        <v>260</v>
      </c>
      <c r="E172" t="s">
        <v>14</v>
      </c>
      <c r="F172" t="s">
        <v>15</v>
      </c>
      <c r="G172" t="s">
        <v>35</v>
      </c>
      <c r="H172" t="s">
        <v>266</v>
      </c>
      <c r="I172" t="s">
        <v>84</v>
      </c>
      <c r="J172" t="s">
        <v>268</v>
      </c>
      <c r="K172">
        <v>7</v>
      </c>
      <c r="L172">
        <v>1</v>
      </c>
      <c r="M172">
        <v>3</v>
      </c>
      <c r="N172">
        <v>171</v>
      </c>
      <c r="O172" t="str">
        <f>_xlfn.XLOOKUP(Table4[[#This Row],[id]],VALINA[id],VALINA[name])</f>
        <v>Moquega</v>
      </c>
      <c r="P172">
        <f>_xlfn.XLOOKUP(Table4[[#This Row],[id]],prov_color!A:A,prov_color!C:C)</f>
        <v>56</v>
      </c>
    </row>
    <row r="173" spans="1:16" hidden="1" x14ac:dyDescent="0.25">
      <c r="A173">
        <v>172</v>
      </c>
      <c r="B173" t="s">
        <v>11</v>
      </c>
      <c r="C173" t="s">
        <v>244</v>
      </c>
      <c r="D173" t="s">
        <v>260</v>
      </c>
      <c r="E173" t="s">
        <v>52</v>
      </c>
      <c r="F173" t="s">
        <v>15</v>
      </c>
      <c r="G173" t="s">
        <v>47</v>
      </c>
      <c r="H173" t="s">
        <v>266</v>
      </c>
      <c r="I173" t="s">
        <v>212</v>
      </c>
      <c r="J173" t="s">
        <v>269</v>
      </c>
      <c r="K173">
        <v>8</v>
      </c>
      <c r="L173">
        <v>1</v>
      </c>
      <c r="M173">
        <v>1</v>
      </c>
      <c r="N173">
        <v>172</v>
      </c>
      <c r="O173" t="str">
        <f>_xlfn.XLOOKUP(Table4[[#This Row],[id]],VALINA[id],VALINA[name])</f>
        <v>Arica</v>
      </c>
      <c r="P173">
        <f>_xlfn.XLOOKUP(Table4[[#This Row],[id]],prov_color!A:A,prov_color!C:C)</f>
        <v>54</v>
      </c>
    </row>
    <row r="174" spans="1:16" hidden="1" x14ac:dyDescent="0.25">
      <c r="A174">
        <v>173</v>
      </c>
      <c r="B174" t="s">
        <v>11</v>
      </c>
      <c r="C174" t="s">
        <v>244</v>
      </c>
      <c r="D174" t="s">
        <v>270</v>
      </c>
      <c r="E174" t="s">
        <v>34</v>
      </c>
      <c r="F174" t="s">
        <v>15</v>
      </c>
      <c r="G174" t="s">
        <v>47</v>
      </c>
      <c r="H174" t="s">
        <v>271</v>
      </c>
      <c r="I174" t="s">
        <v>212</v>
      </c>
      <c r="J174" t="s">
        <v>272</v>
      </c>
      <c r="K174">
        <v>6</v>
      </c>
      <c r="L174">
        <v>1</v>
      </c>
      <c r="M174">
        <v>2</v>
      </c>
      <c r="N174">
        <v>173</v>
      </c>
      <c r="O174" t="str">
        <f>_xlfn.XLOOKUP(Table4[[#This Row],[id]],VALINA[id],VALINA[name])</f>
        <v>Atacama</v>
      </c>
      <c r="P174">
        <f>_xlfn.XLOOKUP(Table4[[#This Row],[id]],prov_color!A:A,prov_color!C:C)</f>
        <v>48</v>
      </c>
    </row>
    <row r="175" spans="1:16" hidden="1" x14ac:dyDescent="0.25">
      <c r="A175">
        <v>174</v>
      </c>
      <c r="B175" t="s">
        <v>11</v>
      </c>
      <c r="C175" t="s">
        <v>244</v>
      </c>
      <c r="D175" t="s">
        <v>270</v>
      </c>
      <c r="E175" t="s">
        <v>22</v>
      </c>
      <c r="F175" t="s">
        <v>15</v>
      </c>
      <c r="G175" t="s">
        <v>35</v>
      </c>
      <c r="H175" t="s">
        <v>271</v>
      </c>
      <c r="I175" t="s">
        <v>43</v>
      </c>
      <c r="J175" t="s">
        <v>273</v>
      </c>
      <c r="K175">
        <v>5</v>
      </c>
      <c r="L175">
        <v>1</v>
      </c>
      <c r="M175">
        <v>3</v>
      </c>
      <c r="N175">
        <v>174</v>
      </c>
      <c r="O175" t="str">
        <f>_xlfn.XLOOKUP(Table4[[#This Row],[id]],VALINA[id],VALINA[name])</f>
        <v>Coquimbo</v>
      </c>
      <c r="P175">
        <f>_xlfn.XLOOKUP(Table4[[#This Row],[id]],prov_color!A:A,prov_color!C:C)</f>
        <v>53</v>
      </c>
    </row>
    <row r="176" spans="1:16" hidden="1" x14ac:dyDescent="0.25">
      <c r="A176">
        <v>175</v>
      </c>
      <c r="B176" t="s">
        <v>11</v>
      </c>
      <c r="C176" t="s">
        <v>244</v>
      </c>
      <c r="D176" t="s">
        <v>270</v>
      </c>
      <c r="E176" t="s">
        <v>22</v>
      </c>
      <c r="F176" t="s">
        <v>15</v>
      </c>
      <c r="G176" t="s">
        <v>35</v>
      </c>
      <c r="H176" t="s">
        <v>271</v>
      </c>
      <c r="I176" t="s">
        <v>27</v>
      </c>
      <c r="J176" t="s">
        <v>274</v>
      </c>
      <c r="K176">
        <v>4</v>
      </c>
      <c r="L176">
        <v>1</v>
      </c>
      <c r="M176">
        <v>6</v>
      </c>
      <c r="N176">
        <v>175</v>
      </c>
      <c r="O176" t="str">
        <f>_xlfn.XLOOKUP(Table4[[#This Row],[id]],VALINA[id],VALINA[name])</f>
        <v>Valparaiso</v>
      </c>
      <c r="P176">
        <f>_xlfn.XLOOKUP(Table4[[#This Row],[id]],prov_color!A:A,prov_color!C:C)</f>
        <v>51</v>
      </c>
    </row>
    <row r="177" spans="1:16" hidden="1" x14ac:dyDescent="0.25">
      <c r="A177">
        <v>176</v>
      </c>
      <c r="B177" t="s">
        <v>11</v>
      </c>
      <c r="C177" t="s">
        <v>244</v>
      </c>
      <c r="D177" t="s">
        <v>270</v>
      </c>
      <c r="E177" t="s">
        <v>22</v>
      </c>
      <c r="F177" t="s">
        <v>15</v>
      </c>
      <c r="G177" t="s">
        <v>35</v>
      </c>
      <c r="H177" t="s">
        <v>271</v>
      </c>
      <c r="I177" t="s">
        <v>29</v>
      </c>
      <c r="J177" t="s">
        <v>275</v>
      </c>
      <c r="K177">
        <v>5</v>
      </c>
      <c r="L177">
        <v>1</v>
      </c>
      <c r="M177">
        <v>4</v>
      </c>
      <c r="N177">
        <v>176</v>
      </c>
      <c r="O177" t="str">
        <f>_xlfn.XLOOKUP(Table4[[#This Row],[id]],VALINA[id],VALINA[name])</f>
        <v>Talca</v>
      </c>
      <c r="P177">
        <f>_xlfn.XLOOKUP(Table4[[#This Row],[id]],prov_color!A:A,prov_color!C:C)</f>
        <v>57</v>
      </c>
    </row>
    <row r="178" spans="1:16" hidden="1" x14ac:dyDescent="0.25">
      <c r="A178">
        <v>177</v>
      </c>
      <c r="B178" t="s">
        <v>11</v>
      </c>
      <c r="C178" t="s">
        <v>244</v>
      </c>
      <c r="D178" t="s">
        <v>270</v>
      </c>
      <c r="E178" t="s">
        <v>14</v>
      </c>
      <c r="F178" t="s">
        <v>15</v>
      </c>
      <c r="G178" t="s">
        <v>276</v>
      </c>
      <c r="H178" t="s">
        <v>271</v>
      </c>
      <c r="I178" t="s">
        <v>27</v>
      </c>
      <c r="J178" t="s">
        <v>277</v>
      </c>
      <c r="K178">
        <v>7</v>
      </c>
      <c r="L178">
        <v>1</v>
      </c>
      <c r="M178">
        <v>2</v>
      </c>
      <c r="N178">
        <v>177</v>
      </c>
      <c r="O178" t="str">
        <f>_xlfn.XLOOKUP(Table4[[#This Row],[id]],VALINA[id],VALINA[name])</f>
        <v>Aisen</v>
      </c>
      <c r="P178">
        <f>_xlfn.XLOOKUP(Table4[[#This Row],[id]],prov_color!A:A,prov_color!C:C)</f>
        <v>40</v>
      </c>
    </row>
    <row r="179" spans="1:16" hidden="1" x14ac:dyDescent="0.25">
      <c r="A179">
        <v>178</v>
      </c>
      <c r="B179" t="s">
        <v>11</v>
      </c>
      <c r="C179" t="s">
        <v>244</v>
      </c>
      <c r="D179" t="s">
        <v>245</v>
      </c>
      <c r="E179" t="s">
        <v>80</v>
      </c>
      <c r="F179" t="s">
        <v>15</v>
      </c>
      <c r="G179" t="s">
        <v>75</v>
      </c>
      <c r="H179" t="s">
        <v>224</v>
      </c>
      <c r="I179" t="s">
        <v>41</v>
      </c>
      <c r="J179" t="s">
        <v>278</v>
      </c>
      <c r="K179">
        <v>8</v>
      </c>
      <c r="L179">
        <v>1</v>
      </c>
      <c r="M179">
        <v>2</v>
      </c>
      <c r="N179">
        <v>178</v>
      </c>
      <c r="O179" t="str">
        <f>_xlfn.XLOOKUP(Table4[[#This Row],[id]],VALINA[id],VALINA[name])</f>
        <v>Caribe</v>
      </c>
      <c r="P179">
        <f>_xlfn.XLOOKUP(Table4[[#This Row],[id]],prov_color!A:A,prov_color!C:C)</f>
        <v>44</v>
      </c>
    </row>
    <row r="180" spans="1:16" hidden="1" x14ac:dyDescent="0.25">
      <c r="A180">
        <v>179</v>
      </c>
      <c r="B180" t="s">
        <v>11</v>
      </c>
      <c r="C180" t="s">
        <v>244</v>
      </c>
      <c r="D180" t="s">
        <v>279</v>
      </c>
      <c r="E180" t="s">
        <v>80</v>
      </c>
      <c r="F180" t="s">
        <v>15</v>
      </c>
      <c r="G180" t="s">
        <v>75</v>
      </c>
      <c r="H180" t="s">
        <v>224</v>
      </c>
      <c r="I180" t="s">
        <v>27</v>
      </c>
      <c r="J180" t="s">
        <v>280</v>
      </c>
      <c r="K180">
        <v>8</v>
      </c>
      <c r="L180">
        <v>1</v>
      </c>
      <c r="M180">
        <v>2</v>
      </c>
      <c r="N180">
        <v>179</v>
      </c>
      <c r="O180" t="str">
        <f>_xlfn.XLOOKUP(Table4[[#This Row],[id]],VALINA[id],VALINA[name])</f>
        <v>Cuyuni</v>
      </c>
      <c r="P180">
        <f>_xlfn.XLOOKUP(Table4[[#This Row],[id]],prov_color!A:A,prov_color!C:C)</f>
        <v>39</v>
      </c>
    </row>
    <row r="181" spans="1:16" hidden="1" x14ac:dyDescent="0.25">
      <c r="A181">
        <v>180</v>
      </c>
      <c r="B181" t="s">
        <v>11</v>
      </c>
      <c r="C181" t="s">
        <v>244</v>
      </c>
      <c r="D181" t="s">
        <v>279</v>
      </c>
      <c r="E181" t="s">
        <v>22</v>
      </c>
      <c r="F181" t="s">
        <v>15</v>
      </c>
      <c r="G181" t="s">
        <v>75</v>
      </c>
      <c r="H181" t="s">
        <v>224</v>
      </c>
      <c r="I181" t="s">
        <v>18</v>
      </c>
      <c r="J181" t="s">
        <v>281</v>
      </c>
      <c r="K181">
        <v>9</v>
      </c>
      <c r="L181">
        <v>1</v>
      </c>
      <c r="M181">
        <v>1</v>
      </c>
      <c r="N181">
        <v>180</v>
      </c>
      <c r="O181" t="str">
        <f>_xlfn.XLOOKUP(Table4[[#This Row],[id]],VALINA[id],VALINA[name])</f>
        <v>Guyana</v>
      </c>
      <c r="P181">
        <f>_xlfn.XLOOKUP(Table4[[#This Row],[id]],prov_color!A:A,prov_color!C:C)</f>
        <v>36</v>
      </c>
    </row>
    <row r="182" spans="1:16" hidden="1" x14ac:dyDescent="0.25">
      <c r="A182">
        <v>181</v>
      </c>
      <c r="B182" t="s">
        <v>11</v>
      </c>
      <c r="C182" t="s">
        <v>244</v>
      </c>
      <c r="D182" t="s">
        <v>279</v>
      </c>
      <c r="E182" t="s">
        <v>80</v>
      </c>
      <c r="F182" t="s">
        <v>15</v>
      </c>
      <c r="G182" t="s">
        <v>75</v>
      </c>
      <c r="H182" t="s">
        <v>224</v>
      </c>
      <c r="I182" t="s">
        <v>73</v>
      </c>
      <c r="J182" t="s">
        <v>282</v>
      </c>
      <c r="K182">
        <v>7</v>
      </c>
      <c r="L182">
        <v>1</v>
      </c>
      <c r="M182">
        <v>2</v>
      </c>
      <c r="N182">
        <v>181</v>
      </c>
      <c r="O182" t="str">
        <f>_xlfn.XLOOKUP(Table4[[#This Row],[id]],VALINA[id],VALINA[name])</f>
        <v>Surinam</v>
      </c>
      <c r="P182">
        <f>_xlfn.XLOOKUP(Table4[[#This Row],[id]],prov_color!A:A,prov_color!C:C)</f>
        <v>42</v>
      </c>
    </row>
    <row r="183" spans="1:16" hidden="1" x14ac:dyDescent="0.25">
      <c r="A183">
        <v>182</v>
      </c>
      <c r="B183" t="s">
        <v>11</v>
      </c>
      <c r="C183" t="s">
        <v>244</v>
      </c>
      <c r="D183" t="s">
        <v>279</v>
      </c>
      <c r="E183" t="s">
        <v>80</v>
      </c>
      <c r="F183" t="s">
        <v>15</v>
      </c>
      <c r="G183" t="s">
        <v>75</v>
      </c>
      <c r="H183" t="s">
        <v>224</v>
      </c>
      <c r="I183" t="s">
        <v>73</v>
      </c>
      <c r="J183" t="s">
        <v>283</v>
      </c>
      <c r="K183">
        <v>7</v>
      </c>
      <c r="L183">
        <v>1</v>
      </c>
      <c r="M183">
        <v>2</v>
      </c>
      <c r="N183">
        <v>182</v>
      </c>
      <c r="O183" t="str">
        <f>_xlfn.XLOOKUP(Table4[[#This Row],[id]],VALINA[id],VALINA[name])</f>
        <v>Maroni</v>
      </c>
      <c r="P183">
        <f>_xlfn.XLOOKUP(Table4[[#This Row],[id]],prov_color!A:A,prov_color!C:C)</f>
        <v>45</v>
      </c>
    </row>
    <row r="184" spans="1:16" hidden="1" x14ac:dyDescent="0.25">
      <c r="A184">
        <v>183</v>
      </c>
      <c r="B184" t="s">
        <v>11</v>
      </c>
      <c r="C184" t="s">
        <v>244</v>
      </c>
      <c r="D184" t="s">
        <v>279</v>
      </c>
      <c r="E184" t="s">
        <v>80</v>
      </c>
      <c r="F184" t="s">
        <v>15</v>
      </c>
      <c r="G184" t="s">
        <v>75</v>
      </c>
      <c r="H184" t="s">
        <v>224</v>
      </c>
      <c r="I184" t="s">
        <v>27</v>
      </c>
      <c r="J184" t="s">
        <v>284</v>
      </c>
      <c r="K184">
        <v>7</v>
      </c>
      <c r="L184">
        <v>1</v>
      </c>
      <c r="M184">
        <v>2</v>
      </c>
      <c r="N184">
        <v>183</v>
      </c>
      <c r="O184" t="str">
        <f>_xlfn.XLOOKUP(Table4[[#This Row],[id]],VALINA[id],VALINA[name])</f>
        <v>Amapa</v>
      </c>
      <c r="P184">
        <f>_xlfn.XLOOKUP(Table4[[#This Row],[id]],prov_color!A:A,prov_color!C:C)</f>
        <v>45</v>
      </c>
    </row>
    <row r="185" spans="1:16" hidden="1" x14ac:dyDescent="0.25">
      <c r="A185">
        <v>184</v>
      </c>
      <c r="B185" t="s">
        <v>11</v>
      </c>
      <c r="C185" t="s">
        <v>244</v>
      </c>
      <c r="D185" t="s">
        <v>285</v>
      </c>
      <c r="E185" t="s">
        <v>22</v>
      </c>
      <c r="F185" t="s">
        <v>15</v>
      </c>
      <c r="G185" t="s">
        <v>75</v>
      </c>
      <c r="H185" t="s">
        <v>286</v>
      </c>
      <c r="I185" t="s">
        <v>20</v>
      </c>
      <c r="J185" t="s">
        <v>287</v>
      </c>
      <c r="K185">
        <v>9</v>
      </c>
      <c r="L185">
        <v>1</v>
      </c>
      <c r="M185">
        <v>1</v>
      </c>
      <c r="N185">
        <v>184</v>
      </c>
      <c r="O185" t="str">
        <f>_xlfn.XLOOKUP(Table4[[#This Row],[id]],VALINA[id],VALINA[name])</f>
        <v>Manaus</v>
      </c>
      <c r="P185">
        <f>_xlfn.XLOOKUP(Table4[[#This Row],[id]],prov_color!A:A,prov_color!C:C)</f>
        <v>49</v>
      </c>
    </row>
    <row r="186" spans="1:16" hidden="1" x14ac:dyDescent="0.25">
      <c r="A186">
        <v>185</v>
      </c>
      <c r="B186" t="s">
        <v>11</v>
      </c>
      <c r="C186" t="s">
        <v>244</v>
      </c>
      <c r="D186" t="s">
        <v>285</v>
      </c>
      <c r="E186" t="s">
        <v>22</v>
      </c>
      <c r="F186" t="s">
        <v>15</v>
      </c>
      <c r="G186" t="s">
        <v>75</v>
      </c>
      <c r="H186" t="s">
        <v>286</v>
      </c>
      <c r="I186" t="s">
        <v>41</v>
      </c>
      <c r="J186" t="s">
        <v>288</v>
      </c>
      <c r="K186">
        <v>9</v>
      </c>
      <c r="L186">
        <v>1</v>
      </c>
      <c r="M186">
        <v>1</v>
      </c>
      <c r="N186">
        <v>185</v>
      </c>
      <c r="O186" t="str">
        <f>_xlfn.XLOOKUP(Table4[[#This Row],[id]],VALINA[id],VALINA[name])</f>
        <v>Solimoes</v>
      </c>
      <c r="P186">
        <f>_xlfn.XLOOKUP(Table4[[#This Row],[id]],prov_color!A:A,prov_color!C:C)</f>
        <v>55</v>
      </c>
    </row>
    <row r="187" spans="1:16" hidden="1" x14ac:dyDescent="0.25">
      <c r="A187">
        <v>186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20</v>
      </c>
      <c r="J187" t="s">
        <v>289</v>
      </c>
      <c r="K187">
        <v>8</v>
      </c>
      <c r="L187">
        <v>1</v>
      </c>
      <c r="M187">
        <v>1</v>
      </c>
      <c r="N187">
        <v>186</v>
      </c>
      <c r="O187" t="str">
        <f>_xlfn.XLOOKUP(Table4[[#This Row],[id]],VALINA[id],VALINA[name])</f>
        <v>Aleutes</v>
      </c>
      <c r="P187">
        <f>_xlfn.XLOOKUP(Table4[[#This Row],[id]],prov_color!A:A,prov_color!C:C)</f>
        <v>15</v>
      </c>
    </row>
    <row r="188" spans="1:16" hidden="1" x14ac:dyDescent="0.25">
      <c r="A188">
        <v>187</v>
      </c>
      <c r="B188" t="s">
        <v>11</v>
      </c>
      <c r="C188" t="s">
        <v>244</v>
      </c>
      <c r="D188" t="s">
        <v>255</v>
      </c>
      <c r="E188" t="s">
        <v>22</v>
      </c>
      <c r="F188" t="s">
        <v>15</v>
      </c>
      <c r="G188" t="s">
        <v>75</v>
      </c>
      <c r="H188" t="s">
        <v>286</v>
      </c>
      <c r="I188" t="s">
        <v>212</v>
      </c>
      <c r="J188" t="s">
        <v>290</v>
      </c>
      <c r="K188">
        <v>5</v>
      </c>
      <c r="L188">
        <v>1</v>
      </c>
      <c r="M188">
        <v>3</v>
      </c>
      <c r="N188">
        <v>187</v>
      </c>
      <c r="O188" t="str">
        <f>_xlfn.XLOOKUP(Table4[[#This Row],[id]],VALINA[id],VALINA[name])</f>
        <v>Pastaza</v>
      </c>
      <c r="P188">
        <f>_xlfn.XLOOKUP(Table4[[#This Row],[id]],prov_color!A:A,prov_color!C:C)</f>
        <v>49</v>
      </c>
    </row>
    <row r="189" spans="1:16" hidden="1" x14ac:dyDescent="0.25">
      <c r="A189">
        <v>188</v>
      </c>
      <c r="B189" t="s">
        <v>11</v>
      </c>
      <c r="C189" t="s">
        <v>244</v>
      </c>
      <c r="D189" t="s">
        <v>285</v>
      </c>
      <c r="E189" t="s">
        <v>80</v>
      </c>
      <c r="F189" t="s">
        <v>15</v>
      </c>
      <c r="G189" t="s">
        <v>75</v>
      </c>
      <c r="H189" t="s">
        <v>286</v>
      </c>
      <c r="I189" t="s">
        <v>29</v>
      </c>
      <c r="J189" t="s">
        <v>291</v>
      </c>
      <c r="K189">
        <v>9</v>
      </c>
      <c r="L189">
        <v>1</v>
      </c>
      <c r="M189">
        <v>1</v>
      </c>
      <c r="N189">
        <v>188</v>
      </c>
      <c r="O189" t="str">
        <f>_xlfn.XLOOKUP(Table4[[#This Row],[id]],VALINA[id],VALINA[name])</f>
        <v>Mirim</v>
      </c>
      <c r="P189">
        <f>_xlfn.XLOOKUP(Table4[[#This Row],[id]],prov_color!A:A,prov_color!C:C)</f>
        <v>46</v>
      </c>
    </row>
    <row r="190" spans="1:16" hidden="1" x14ac:dyDescent="0.25">
      <c r="A190">
        <v>189</v>
      </c>
      <c r="B190" t="s">
        <v>11</v>
      </c>
      <c r="C190" t="s">
        <v>244</v>
      </c>
      <c r="D190" t="s">
        <v>285</v>
      </c>
      <c r="E190" t="s">
        <v>22</v>
      </c>
      <c r="F190" t="s">
        <v>15</v>
      </c>
      <c r="G190" t="s">
        <v>75</v>
      </c>
      <c r="H190" t="s">
        <v>286</v>
      </c>
      <c r="I190" t="s">
        <v>29</v>
      </c>
      <c r="J190" t="s">
        <v>292</v>
      </c>
      <c r="K190">
        <v>9</v>
      </c>
      <c r="L190">
        <v>1</v>
      </c>
      <c r="M190">
        <v>1</v>
      </c>
      <c r="N190">
        <v>189</v>
      </c>
      <c r="O190" t="str">
        <f>_xlfn.XLOOKUP(Table4[[#This Row],[id]],VALINA[id],VALINA[name])</f>
        <v>Macacos</v>
      </c>
      <c r="P190">
        <f>_xlfn.XLOOKUP(Table4[[#This Row],[id]],prov_color!A:A,prov_color!C:C)</f>
        <v>57</v>
      </c>
    </row>
    <row r="191" spans="1:16" hidden="1" x14ac:dyDescent="0.25">
      <c r="A191">
        <v>190</v>
      </c>
      <c r="B191" t="s">
        <v>11</v>
      </c>
      <c r="C191" t="s">
        <v>244</v>
      </c>
      <c r="D191" t="s">
        <v>285</v>
      </c>
      <c r="E191" t="s">
        <v>22</v>
      </c>
      <c r="F191" t="s">
        <v>15</v>
      </c>
      <c r="G191" t="s">
        <v>75</v>
      </c>
      <c r="H191" t="s">
        <v>286</v>
      </c>
      <c r="I191" t="s">
        <v>20</v>
      </c>
      <c r="J191" t="s">
        <v>293</v>
      </c>
      <c r="K191">
        <v>9</v>
      </c>
      <c r="L191">
        <v>1</v>
      </c>
      <c r="M191">
        <v>1</v>
      </c>
      <c r="N191">
        <v>190</v>
      </c>
      <c r="O191" t="str">
        <f>_xlfn.XLOOKUP(Table4[[#This Row],[id]],VALINA[id],VALINA[name])</f>
        <v>Japura</v>
      </c>
      <c r="P191">
        <f>_xlfn.XLOOKUP(Table4[[#This Row],[id]],prov_color!A:A,prov_color!C:C)</f>
        <v>36</v>
      </c>
    </row>
    <row r="192" spans="1:16" hidden="1" x14ac:dyDescent="0.25">
      <c r="A192">
        <v>191</v>
      </c>
      <c r="B192" t="s">
        <v>11</v>
      </c>
      <c r="C192" t="s">
        <v>244</v>
      </c>
      <c r="D192" t="s">
        <v>285</v>
      </c>
      <c r="E192" t="s">
        <v>22</v>
      </c>
      <c r="F192" t="s">
        <v>15</v>
      </c>
      <c r="G192" t="s">
        <v>75</v>
      </c>
      <c r="H192" t="s">
        <v>286</v>
      </c>
      <c r="I192" t="s">
        <v>29</v>
      </c>
      <c r="J192" t="s">
        <v>294</v>
      </c>
      <c r="K192">
        <v>9</v>
      </c>
      <c r="L192">
        <v>1</v>
      </c>
      <c r="M192">
        <v>1</v>
      </c>
      <c r="N192">
        <v>191</v>
      </c>
      <c r="O192" t="str">
        <f>_xlfn.XLOOKUP(Table4[[#This Row],[id]],VALINA[id],VALINA[name])</f>
        <v>Canuma</v>
      </c>
      <c r="P192">
        <f>_xlfn.XLOOKUP(Table4[[#This Row],[id]],prov_color!A:A,prov_color!C:C)</f>
        <v>42</v>
      </c>
    </row>
    <row r="193" spans="1:16" hidden="1" x14ac:dyDescent="0.25">
      <c r="A193">
        <v>192</v>
      </c>
      <c r="B193" t="s">
        <v>11</v>
      </c>
      <c r="C193" t="s">
        <v>244</v>
      </c>
      <c r="D193" t="s">
        <v>285</v>
      </c>
      <c r="E193" t="s">
        <v>22</v>
      </c>
      <c r="F193" t="s">
        <v>15</v>
      </c>
      <c r="G193" t="s">
        <v>75</v>
      </c>
      <c r="H193" t="s">
        <v>266</v>
      </c>
      <c r="I193" t="s">
        <v>43</v>
      </c>
      <c r="J193" t="s">
        <v>295</v>
      </c>
      <c r="K193">
        <v>9</v>
      </c>
      <c r="L193">
        <v>1</v>
      </c>
      <c r="M193">
        <v>1</v>
      </c>
      <c r="N193">
        <v>192</v>
      </c>
      <c r="O193" t="str">
        <f>_xlfn.XLOOKUP(Table4[[#This Row],[id]],VALINA[id],VALINA[name])</f>
        <v>Taqari</v>
      </c>
      <c r="P193">
        <f>_xlfn.XLOOKUP(Table4[[#This Row],[id]],prov_color!A:A,prov_color!C:C)</f>
        <v>55</v>
      </c>
    </row>
    <row r="194" spans="1:16" hidden="1" x14ac:dyDescent="0.25">
      <c r="A194">
        <v>193</v>
      </c>
      <c r="B194" t="s">
        <v>11</v>
      </c>
      <c r="C194" t="s">
        <v>244</v>
      </c>
      <c r="D194" t="s">
        <v>260</v>
      </c>
      <c r="E194" t="s">
        <v>14</v>
      </c>
      <c r="F194" t="s">
        <v>15</v>
      </c>
      <c r="G194" t="s">
        <v>35</v>
      </c>
      <c r="H194" t="s">
        <v>266</v>
      </c>
      <c r="I194" t="s">
        <v>41</v>
      </c>
      <c r="J194" t="s">
        <v>296</v>
      </c>
      <c r="K194">
        <v>6</v>
      </c>
      <c r="L194">
        <v>1</v>
      </c>
      <c r="M194">
        <v>3</v>
      </c>
      <c r="N194">
        <v>193</v>
      </c>
      <c r="O194" t="str">
        <f>_xlfn.XLOOKUP(Table4[[#This Row],[id]],VALINA[id],VALINA[name])</f>
        <v>Titicaca</v>
      </c>
      <c r="P194">
        <f>_xlfn.XLOOKUP(Table4[[#This Row],[id]],prov_color!A:A,prov_color!C:C)</f>
        <v>28</v>
      </c>
    </row>
    <row r="195" spans="1:16" hidden="1" x14ac:dyDescent="0.25">
      <c r="A195">
        <v>194</v>
      </c>
      <c r="B195" t="s">
        <v>11</v>
      </c>
      <c r="C195" t="s">
        <v>244</v>
      </c>
      <c r="D195" t="s">
        <v>260</v>
      </c>
      <c r="E195" t="s">
        <v>14</v>
      </c>
      <c r="F195" t="s">
        <v>15</v>
      </c>
      <c r="G195" t="s">
        <v>35</v>
      </c>
      <c r="H195" t="s">
        <v>266</v>
      </c>
      <c r="I195" t="s">
        <v>18</v>
      </c>
      <c r="J195" t="s">
        <v>297</v>
      </c>
      <c r="K195">
        <v>5</v>
      </c>
      <c r="L195">
        <v>1</v>
      </c>
      <c r="M195">
        <v>3</v>
      </c>
      <c r="N195">
        <v>194</v>
      </c>
      <c r="O195" t="str">
        <f>_xlfn.XLOOKUP(Table4[[#This Row],[id]],VALINA[id],VALINA[name])</f>
        <v>Potosi</v>
      </c>
      <c r="P195">
        <f>_xlfn.XLOOKUP(Table4[[#This Row],[id]],prov_color!A:A,prov_color!C:C)</f>
        <v>40</v>
      </c>
    </row>
    <row r="196" spans="1:16" hidden="1" x14ac:dyDescent="0.25">
      <c r="A196">
        <v>195</v>
      </c>
      <c r="B196" t="s">
        <v>11</v>
      </c>
      <c r="C196" t="s">
        <v>244</v>
      </c>
      <c r="D196" t="s">
        <v>285</v>
      </c>
      <c r="E196" t="s">
        <v>22</v>
      </c>
      <c r="F196" t="s">
        <v>15</v>
      </c>
      <c r="G196" t="s">
        <v>75</v>
      </c>
      <c r="H196" t="s">
        <v>298</v>
      </c>
      <c r="I196" t="s">
        <v>18</v>
      </c>
      <c r="J196" t="s">
        <v>299</v>
      </c>
      <c r="K196">
        <v>9</v>
      </c>
      <c r="L196">
        <v>1</v>
      </c>
      <c r="M196">
        <v>1</v>
      </c>
      <c r="N196">
        <v>195</v>
      </c>
      <c r="O196" t="str">
        <f>_xlfn.XLOOKUP(Table4[[#This Row],[id]],VALINA[id],VALINA[name])</f>
        <v>Mato Grosso</v>
      </c>
      <c r="P196">
        <f>_xlfn.XLOOKUP(Table4[[#This Row],[id]],prov_color!A:A,prov_color!C:C)</f>
        <v>38</v>
      </c>
    </row>
    <row r="197" spans="1:16" hidden="1" x14ac:dyDescent="0.25">
      <c r="A197">
        <v>196</v>
      </c>
      <c r="B197" t="s">
        <v>11</v>
      </c>
      <c r="C197" t="s">
        <v>244</v>
      </c>
      <c r="D197" t="s">
        <v>285</v>
      </c>
      <c r="E197" t="s">
        <v>22</v>
      </c>
      <c r="F197" t="s">
        <v>15</v>
      </c>
      <c r="G197" t="s">
        <v>75</v>
      </c>
      <c r="H197" t="s">
        <v>298</v>
      </c>
      <c r="I197" t="s">
        <v>43</v>
      </c>
      <c r="J197" t="s">
        <v>300</v>
      </c>
      <c r="K197">
        <v>9</v>
      </c>
      <c r="L197">
        <v>1</v>
      </c>
      <c r="M197">
        <v>1</v>
      </c>
      <c r="N197">
        <v>196</v>
      </c>
      <c r="O197" t="str">
        <f>_xlfn.XLOOKUP(Table4[[#This Row],[id]],VALINA[id],VALINA[name])</f>
        <v>Goias</v>
      </c>
      <c r="P197">
        <f>_xlfn.XLOOKUP(Table4[[#This Row],[id]],prov_color!A:A,prov_color!C:C)</f>
        <v>34</v>
      </c>
    </row>
    <row r="198" spans="1:16" hidden="1" x14ac:dyDescent="0.25">
      <c r="A198">
        <v>197</v>
      </c>
      <c r="B198" t="s">
        <v>11</v>
      </c>
      <c r="C198" t="s">
        <v>244</v>
      </c>
      <c r="D198" t="s">
        <v>285</v>
      </c>
      <c r="E198" t="s">
        <v>80</v>
      </c>
      <c r="F198" t="s">
        <v>15</v>
      </c>
      <c r="G198" t="s">
        <v>75</v>
      </c>
      <c r="H198" t="s">
        <v>298</v>
      </c>
      <c r="I198" t="s">
        <v>20</v>
      </c>
      <c r="J198" t="s">
        <v>301</v>
      </c>
      <c r="K198">
        <v>9</v>
      </c>
      <c r="L198">
        <v>1</v>
      </c>
      <c r="M198">
        <v>1</v>
      </c>
      <c r="N198">
        <v>197</v>
      </c>
      <c r="O198" t="str">
        <f>_xlfn.XLOOKUP(Table4[[#This Row],[id]],VALINA[id],VALINA[name])</f>
        <v>Caracas</v>
      </c>
      <c r="P198">
        <f>_xlfn.XLOOKUP(Table4[[#This Row],[id]],prov_color!A:A,prov_color!C:C)</f>
        <v>34</v>
      </c>
    </row>
    <row r="199" spans="1:16" hidden="1" x14ac:dyDescent="0.25">
      <c r="A199">
        <v>198</v>
      </c>
      <c r="B199" t="s">
        <v>11</v>
      </c>
      <c r="C199" t="s">
        <v>244</v>
      </c>
      <c r="D199" t="s">
        <v>302</v>
      </c>
      <c r="E199" t="s">
        <v>80</v>
      </c>
      <c r="F199" t="s">
        <v>15</v>
      </c>
      <c r="G199" t="s">
        <v>75</v>
      </c>
      <c r="H199" t="s">
        <v>303</v>
      </c>
      <c r="I199" t="s">
        <v>73</v>
      </c>
      <c r="J199" t="s">
        <v>304</v>
      </c>
      <c r="K199">
        <v>7</v>
      </c>
      <c r="L199">
        <v>1</v>
      </c>
      <c r="M199">
        <v>4</v>
      </c>
      <c r="N199">
        <v>198</v>
      </c>
      <c r="O199" t="str">
        <f>_xlfn.XLOOKUP(Table4[[#This Row],[id]],VALINA[id],VALINA[name])</f>
        <v>Marajo</v>
      </c>
      <c r="P199">
        <f>_xlfn.XLOOKUP(Table4[[#This Row],[id]],prov_color!A:A,prov_color!C:C)</f>
        <v>48</v>
      </c>
    </row>
    <row r="200" spans="1:16" hidden="1" x14ac:dyDescent="0.25">
      <c r="A200">
        <v>199</v>
      </c>
      <c r="B200" t="s">
        <v>11</v>
      </c>
      <c r="C200" t="s">
        <v>244</v>
      </c>
      <c r="D200" t="s">
        <v>302</v>
      </c>
      <c r="E200" t="s">
        <v>22</v>
      </c>
      <c r="F200" t="s">
        <v>15</v>
      </c>
      <c r="G200" t="s">
        <v>75</v>
      </c>
      <c r="H200" t="s">
        <v>303</v>
      </c>
      <c r="I200" t="s">
        <v>131</v>
      </c>
      <c r="J200" t="s">
        <v>305</v>
      </c>
      <c r="K200">
        <v>6</v>
      </c>
      <c r="L200">
        <v>1</v>
      </c>
      <c r="M200">
        <v>2</v>
      </c>
      <c r="N200">
        <v>199</v>
      </c>
      <c r="O200" t="str">
        <f>_xlfn.XLOOKUP(Table4[[#This Row],[id]],VALINA[id],VALINA[name])</f>
        <v>Para</v>
      </c>
      <c r="P200">
        <f>_xlfn.XLOOKUP(Table4[[#This Row],[id]],prov_color!A:A,prov_color!C:C)</f>
        <v>64</v>
      </c>
    </row>
    <row r="201" spans="1:16" hidden="1" x14ac:dyDescent="0.25">
      <c r="A201">
        <v>200</v>
      </c>
      <c r="B201" t="s">
        <v>11</v>
      </c>
      <c r="C201" t="s">
        <v>244</v>
      </c>
      <c r="D201" t="s">
        <v>306</v>
      </c>
      <c r="E201" t="s">
        <v>22</v>
      </c>
      <c r="F201" t="s">
        <v>15</v>
      </c>
      <c r="G201" t="s">
        <v>75</v>
      </c>
      <c r="H201" t="s">
        <v>298</v>
      </c>
      <c r="I201" t="s">
        <v>73</v>
      </c>
      <c r="J201" t="s">
        <v>307</v>
      </c>
      <c r="K201">
        <v>5</v>
      </c>
      <c r="L201">
        <v>1</v>
      </c>
      <c r="M201">
        <v>4</v>
      </c>
      <c r="N201">
        <v>200</v>
      </c>
      <c r="O201" t="str">
        <f>_xlfn.XLOOKUP(Table4[[#This Row],[id]],VALINA[id],VALINA[name])</f>
        <v>Tiracambu</v>
      </c>
      <c r="P201">
        <f>_xlfn.XLOOKUP(Table4[[#This Row],[id]],prov_color!A:A,prov_color!C:C)</f>
        <v>36</v>
      </c>
    </row>
    <row r="202" spans="1:16" hidden="1" x14ac:dyDescent="0.25">
      <c r="A202">
        <v>201</v>
      </c>
      <c r="B202" t="s">
        <v>11</v>
      </c>
      <c r="C202" t="s">
        <v>244</v>
      </c>
      <c r="D202" t="s">
        <v>306</v>
      </c>
      <c r="E202" t="s">
        <v>22</v>
      </c>
      <c r="F202" t="s">
        <v>15</v>
      </c>
      <c r="G202" t="s">
        <v>75</v>
      </c>
      <c r="H202" t="s">
        <v>298</v>
      </c>
      <c r="I202" t="s">
        <v>43</v>
      </c>
      <c r="J202" t="s">
        <v>308</v>
      </c>
      <c r="K202">
        <v>5</v>
      </c>
      <c r="L202">
        <v>1</v>
      </c>
      <c r="M202">
        <v>3</v>
      </c>
      <c r="N202">
        <v>201</v>
      </c>
      <c r="O202" t="str">
        <f>_xlfn.XLOOKUP(Table4[[#This Row],[id]],VALINA[id],VALINA[name])</f>
        <v>Maranhao</v>
      </c>
      <c r="P202">
        <f>_xlfn.XLOOKUP(Table4[[#This Row],[id]],prov_color!A:A,prov_color!C:C)</f>
        <v>39</v>
      </c>
    </row>
    <row r="203" spans="1:16" hidden="1" x14ac:dyDescent="0.25">
      <c r="A203">
        <v>202</v>
      </c>
      <c r="B203" t="s">
        <v>11</v>
      </c>
      <c r="C203" t="s">
        <v>244</v>
      </c>
      <c r="D203" t="s">
        <v>306</v>
      </c>
      <c r="E203" t="s">
        <v>22</v>
      </c>
      <c r="F203" t="s">
        <v>15</v>
      </c>
      <c r="G203" t="s">
        <v>75</v>
      </c>
      <c r="H203" t="s">
        <v>303</v>
      </c>
      <c r="I203" t="s">
        <v>73</v>
      </c>
      <c r="J203" t="s">
        <v>309</v>
      </c>
      <c r="K203">
        <v>5</v>
      </c>
      <c r="L203">
        <v>1</v>
      </c>
      <c r="M203">
        <v>4</v>
      </c>
      <c r="N203">
        <v>202</v>
      </c>
      <c r="O203" t="str">
        <f>_xlfn.XLOOKUP(Table4[[#This Row],[id]],VALINA[id],VALINA[name])</f>
        <v>Parnaiba</v>
      </c>
      <c r="P203">
        <f>_xlfn.XLOOKUP(Table4[[#This Row],[id]],prov_color!A:A,prov_color!C:C)</f>
        <v>39</v>
      </c>
    </row>
    <row r="204" spans="1:16" hidden="1" x14ac:dyDescent="0.25">
      <c r="A204">
        <v>203</v>
      </c>
      <c r="B204" t="s">
        <v>11</v>
      </c>
      <c r="C204" t="s">
        <v>244</v>
      </c>
      <c r="D204" t="s">
        <v>306</v>
      </c>
      <c r="E204" t="s">
        <v>22</v>
      </c>
      <c r="F204" t="s">
        <v>15</v>
      </c>
      <c r="G204" t="s">
        <v>75</v>
      </c>
      <c r="H204" t="s">
        <v>303</v>
      </c>
      <c r="I204" t="s">
        <v>73</v>
      </c>
      <c r="J204" t="s">
        <v>306</v>
      </c>
      <c r="K204">
        <v>5</v>
      </c>
      <c r="L204">
        <v>1</v>
      </c>
      <c r="M204">
        <v>5</v>
      </c>
      <c r="N204">
        <v>203</v>
      </c>
      <c r="O204" t="str">
        <f>_xlfn.XLOOKUP(Table4[[#This Row],[id]],VALINA[id],VALINA[name])</f>
        <v>Recife</v>
      </c>
      <c r="P204">
        <f>_xlfn.XLOOKUP(Table4[[#This Row],[id]],prov_color!A:A,prov_color!C:C)</f>
        <v>49</v>
      </c>
    </row>
    <row r="205" spans="1:16" hidden="1" x14ac:dyDescent="0.25">
      <c r="A205">
        <v>204</v>
      </c>
      <c r="B205" t="s">
        <v>11</v>
      </c>
      <c r="C205" t="s">
        <v>244</v>
      </c>
      <c r="D205" t="s">
        <v>306</v>
      </c>
      <c r="E205" t="s">
        <v>22</v>
      </c>
      <c r="F205" t="s">
        <v>15</v>
      </c>
      <c r="G205" t="s">
        <v>75</v>
      </c>
      <c r="H205" t="s">
        <v>298</v>
      </c>
      <c r="I205" t="s">
        <v>131</v>
      </c>
      <c r="J205" t="s">
        <v>310</v>
      </c>
      <c r="K205">
        <v>5</v>
      </c>
      <c r="L205">
        <v>1</v>
      </c>
      <c r="M205">
        <v>3</v>
      </c>
      <c r="N205">
        <v>204</v>
      </c>
      <c r="O205" t="str">
        <f>_xlfn.XLOOKUP(Table4[[#This Row],[id]],VALINA[id],VALINA[name])</f>
        <v>Iguato</v>
      </c>
      <c r="P205">
        <f>_xlfn.XLOOKUP(Table4[[#This Row],[id]],prov_color!A:A,prov_color!C:C)</f>
        <v>58</v>
      </c>
    </row>
    <row r="206" spans="1:16" hidden="1" x14ac:dyDescent="0.25">
      <c r="A206">
        <v>205</v>
      </c>
      <c r="B206" t="s">
        <v>11</v>
      </c>
      <c r="C206" t="s">
        <v>244</v>
      </c>
      <c r="D206" t="s">
        <v>306</v>
      </c>
      <c r="E206" t="s">
        <v>22</v>
      </c>
      <c r="F206" t="s">
        <v>15</v>
      </c>
      <c r="G206" t="s">
        <v>75</v>
      </c>
      <c r="H206" t="s">
        <v>303</v>
      </c>
      <c r="I206" t="s">
        <v>131</v>
      </c>
      <c r="J206" t="s">
        <v>311</v>
      </c>
      <c r="K206">
        <v>5</v>
      </c>
      <c r="L206">
        <v>1</v>
      </c>
      <c r="M206">
        <v>6</v>
      </c>
      <c r="N206">
        <v>205</v>
      </c>
      <c r="O206" t="str">
        <f>_xlfn.XLOOKUP(Table4[[#This Row],[id]],VALINA[id],VALINA[name])</f>
        <v>Pernambuc</v>
      </c>
      <c r="P206">
        <f>_xlfn.XLOOKUP(Table4[[#This Row],[id]],prov_color!A:A,prov_color!C:C)</f>
        <v>31</v>
      </c>
    </row>
    <row r="207" spans="1:16" hidden="1" x14ac:dyDescent="0.25">
      <c r="A207">
        <v>206</v>
      </c>
      <c r="B207" t="s">
        <v>11</v>
      </c>
      <c r="C207" t="s">
        <v>244</v>
      </c>
      <c r="D207" t="s">
        <v>312</v>
      </c>
      <c r="E207" t="s">
        <v>22</v>
      </c>
      <c r="F207" t="s">
        <v>15</v>
      </c>
      <c r="G207" t="s">
        <v>75</v>
      </c>
      <c r="H207" t="s">
        <v>298</v>
      </c>
      <c r="I207" t="s">
        <v>43</v>
      </c>
      <c r="J207" t="s">
        <v>313</v>
      </c>
      <c r="K207">
        <v>5</v>
      </c>
      <c r="L207">
        <v>1</v>
      </c>
      <c r="M207">
        <v>3</v>
      </c>
      <c r="N207">
        <v>206</v>
      </c>
      <c r="O207" t="str">
        <f>_xlfn.XLOOKUP(Table4[[#This Row],[id]],VALINA[id],VALINA[name])</f>
        <v>Alagoas</v>
      </c>
      <c r="P207">
        <f>_xlfn.XLOOKUP(Table4[[#This Row],[id]],prov_color!A:A,prov_color!C:C)</f>
        <v>32</v>
      </c>
    </row>
    <row r="208" spans="1:16" hidden="1" x14ac:dyDescent="0.25">
      <c r="A208">
        <v>207</v>
      </c>
      <c r="B208" t="s">
        <v>11</v>
      </c>
      <c r="C208" t="s">
        <v>244</v>
      </c>
      <c r="D208" t="s">
        <v>312</v>
      </c>
      <c r="E208" t="s">
        <v>22</v>
      </c>
      <c r="F208" t="s">
        <v>15</v>
      </c>
      <c r="G208" t="s">
        <v>75</v>
      </c>
      <c r="H208" t="s">
        <v>303</v>
      </c>
      <c r="I208" t="s">
        <v>73</v>
      </c>
      <c r="J208" t="s">
        <v>314</v>
      </c>
      <c r="K208">
        <v>5</v>
      </c>
      <c r="L208">
        <v>1</v>
      </c>
      <c r="M208">
        <v>2</v>
      </c>
      <c r="N208">
        <v>207</v>
      </c>
      <c r="O208" t="str">
        <f>_xlfn.XLOOKUP(Table4[[#This Row],[id]],VALINA[id],VALINA[name])</f>
        <v>Diamentina</v>
      </c>
      <c r="P208">
        <f>_xlfn.XLOOKUP(Table4[[#This Row],[id]],prov_color!A:A,prov_color!C:C)</f>
        <v>38</v>
      </c>
    </row>
    <row r="209" spans="1:16" hidden="1" x14ac:dyDescent="0.25">
      <c r="A209">
        <v>208</v>
      </c>
      <c r="B209" t="s">
        <v>11</v>
      </c>
      <c r="C209" t="s">
        <v>244</v>
      </c>
      <c r="D209" t="s">
        <v>312</v>
      </c>
      <c r="E209" t="s">
        <v>22</v>
      </c>
      <c r="F209" t="s">
        <v>15</v>
      </c>
      <c r="G209" t="s">
        <v>75</v>
      </c>
      <c r="H209" t="s">
        <v>298</v>
      </c>
      <c r="I209" t="s">
        <v>212</v>
      </c>
      <c r="J209" t="s">
        <v>315</v>
      </c>
      <c r="K209">
        <v>5</v>
      </c>
      <c r="L209">
        <v>1</v>
      </c>
      <c r="M209">
        <v>2</v>
      </c>
      <c r="N209">
        <v>208</v>
      </c>
      <c r="O209" t="str">
        <f>_xlfn.XLOOKUP(Table4[[#This Row],[id]],VALINA[id],VALINA[name])</f>
        <v>Minas Gerais</v>
      </c>
      <c r="P209">
        <f>_xlfn.XLOOKUP(Table4[[#This Row],[id]],prov_color!A:A,prov_color!C:C)</f>
        <v>41</v>
      </c>
    </row>
    <row r="210" spans="1:16" hidden="1" x14ac:dyDescent="0.25">
      <c r="A210">
        <v>209</v>
      </c>
      <c r="B210" t="s">
        <v>11</v>
      </c>
      <c r="C210" t="s">
        <v>244</v>
      </c>
      <c r="D210" t="s">
        <v>312</v>
      </c>
      <c r="E210" t="s">
        <v>22</v>
      </c>
      <c r="F210" t="s">
        <v>15</v>
      </c>
      <c r="G210" t="s">
        <v>75</v>
      </c>
      <c r="H210" t="s">
        <v>298</v>
      </c>
      <c r="I210" t="s">
        <v>73</v>
      </c>
      <c r="J210" t="s">
        <v>316</v>
      </c>
      <c r="K210">
        <v>4</v>
      </c>
      <c r="L210">
        <v>1</v>
      </c>
      <c r="M210">
        <v>3</v>
      </c>
      <c r="N210">
        <v>209</v>
      </c>
      <c r="O210" t="str">
        <f>_xlfn.XLOOKUP(Table4[[#This Row],[id]],VALINA[id],VALINA[name])</f>
        <v>Salvador</v>
      </c>
      <c r="P210">
        <f>_xlfn.XLOOKUP(Table4[[#This Row],[id]],prov_color!A:A,prov_color!C:C)</f>
        <v>55</v>
      </c>
    </row>
    <row r="211" spans="1:16" hidden="1" x14ac:dyDescent="0.25">
      <c r="A211">
        <v>210</v>
      </c>
      <c r="B211" t="s">
        <v>11</v>
      </c>
      <c r="C211" t="s">
        <v>244</v>
      </c>
      <c r="D211" t="s">
        <v>312</v>
      </c>
      <c r="E211" t="s">
        <v>22</v>
      </c>
      <c r="F211" t="s">
        <v>15</v>
      </c>
      <c r="G211" t="s">
        <v>75</v>
      </c>
      <c r="H211" t="s">
        <v>303</v>
      </c>
      <c r="I211" t="s">
        <v>131</v>
      </c>
      <c r="J211" t="s">
        <v>317</v>
      </c>
      <c r="K211">
        <v>4</v>
      </c>
      <c r="L211">
        <v>1</v>
      </c>
      <c r="M211">
        <v>4</v>
      </c>
      <c r="N211">
        <v>210</v>
      </c>
      <c r="O211" t="str">
        <f>_xlfn.XLOOKUP(Table4[[#This Row],[id]],VALINA[id],VALINA[name])</f>
        <v>Itaimas</v>
      </c>
      <c r="P211">
        <f>_xlfn.XLOOKUP(Table4[[#This Row],[id]],prov_color!A:A,prov_color!C:C)</f>
        <v>70</v>
      </c>
    </row>
    <row r="212" spans="1:16" hidden="1" x14ac:dyDescent="0.25">
      <c r="A212">
        <v>211</v>
      </c>
      <c r="B212" t="s">
        <v>11</v>
      </c>
      <c r="C212" t="s">
        <v>244</v>
      </c>
      <c r="D212" t="s">
        <v>318</v>
      </c>
      <c r="E212" t="s">
        <v>22</v>
      </c>
      <c r="F212" t="s">
        <v>15</v>
      </c>
      <c r="G212" t="s">
        <v>75</v>
      </c>
      <c r="H212" t="s">
        <v>303</v>
      </c>
      <c r="I212" t="s">
        <v>73</v>
      </c>
      <c r="J212" t="s">
        <v>319</v>
      </c>
      <c r="K212">
        <v>5</v>
      </c>
      <c r="L212">
        <v>1</v>
      </c>
      <c r="M212">
        <v>5</v>
      </c>
      <c r="N212">
        <v>211</v>
      </c>
      <c r="O212" t="str">
        <f>_xlfn.XLOOKUP(Table4[[#This Row],[id]],VALINA[id],VALINA[name])</f>
        <v>Niteroi</v>
      </c>
      <c r="P212">
        <f>_xlfn.XLOOKUP(Table4[[#This Row],[id]],prov_color!A:A,prov_color!C:C)</f>
        <v>39</v>
      </c>
    </row>
    <row r="213" spans="1:16" hidden="1" x14ac:dyDescent="0.25">
      <c r="A213">
        <v>212</v>
      </c>
      <c r="B213" t="s">
        <v>11</v>
      </c>
      <c r="C213" t="s">
        <v>244</v>
      </c>
      <c r="D213" t="s">
        <v>318</v>
      </c>
      <c r="E213" t="s">
        <v>34</v>
      </c>
      <c r="F213" t="s">
        <v>15</v>
      </c>
      <c r="G213" t="s">
        <v>75</v>
      </c>
      <c r="H213" t="s">
        <v>298</v>
      </c>
      <c r="I213" t="s">
        <v>43</v>
      </c>
      <c r="J213" t="s">
        <v>320</v>
      </c>
      <c r="K213">
        <v>6</v>
      </c>
      <c r="L213">
        <v>1</v>
      </c>
      <c r="M213">
        <v>2</v>
      </c>
      <c r="N213">
        <v>212</v>
      </c>
      <c r="O213" t="str">
        <f>_xlfn.XLOOKUP(Table4[[#This Row],[id]],VALINA[id],VALINA[name])</f>
        <v>Araxa</v>
      </c>
      <c r="P213">
        <f>_xlfn.XLOOKUP(Table4[[#This Row],[id]],prov_color!A:A,prov_color!C:C)</f>
        <v>52</v>
      </c>
    </row>
    <row r="214" spans="1:16" hidden="1" x14ac:dyDescent="0.25">
      <c r="A214">
        <v>213</v>
      </c>
      <c r="B214" t="s">
        <v>11</v>
      </c>
      <c r="C214" t="s">
        <v>244</v>
      </c>
      <c r="D214" t="s">
        <v>318</v>
      </c>
      <c r="E214" t="s">
        <v>34</v>
      </c>
      <c r="F214" t="s">
        <v>15</v>
      </c>
      <c r="G214" t="s">
        <v>75</v>
      </c>
      <c r="H214" t="s">
        <v>303</v>
      </c>
      <c r="I214" t="s">
        <v>43</v>
      </c>
      <c r="J214" t="s">
        <v>321</v>
      </c>
      <c r="K214">
        <v>4</v>
      </c>
      <c r="L214">
        <v>1</v>
      </c>
      <c r="M214">
        <v>5</v>
      </c>
      <c r="N214">
        <v>213</v>
      </c>
      <c r="O214" t="str">
        <f>_xlfn.XLOOKUP(Table4[[#This Row],[id]],VALINA[id],VALINA[name])</f>
        <v>Curitiba</v>
      </c>
      <c r="P214">
        <f>_xlfn.XLOOKUP(Table4[[#This Row],[id]],prov_color!A:A,prov_color!C:C)</f>
        <v>43</v>
      </c>
    </row>
    <row r="215" spans="1:16" hidden="1" x14ac:dyDescent="0.25">
      <c r="A215">
        <v>214</v>
      </c>
      <c r="B215" t="s">
        <v>11</v>
      </c>
      <c r="C215" t="s">
        <v>244</v>
      </c>
      <c r="D215" t="s">
        <v>318</v>
      </c>
      <c r="E215" t="s">
        <v>22</v>
      </c>
      <c r="F215" t="s">
        <v>15</v>
      </c>
      <c r="G215" t="s">
        <v>75</v>
      </c>
      <c r="H215" t="s">
        <v>298</v>
      </c>
      <c r="I215" t="s">
        <v>43</v>
      </c>
      <c r="J215" t="s">
        <v>322</v>
      </c>
      <c r="K215">
        <v>4</v>
      </c>
      <c r="L215">
        <v>1</v>
      </c>
      <c r="M215">
        <v>3</v>
      </c>
      <c r="N215">
        <v>214</v>
      </c>
      <c r="O215" t="str">
        <f>_xlfn.XLOOKUP(Table4[[#This Row],[id]],VALINA[id],VALINA[name])</f>
        <v>Cangucu</v>
      </c>
      <c r="P215">
        <f>_xlfn.XLOOKUP(Table4[[#This Row],[id]],prov_color!A:A,prov_color!C:C)</f>
        <v>54</v>
      </c>
    </row>
    <row r="216" spans="1:16" hidden="1" x14ac:dyDescent="0.25">
      <c r="A216">
        <v>215</v>
      </c>
      <c r="B216" t="s">
        <v>11</v>
      </c>
      <c r="C216" t="s">
        <v>244</v>
      </c>
      <c r="D216" t="s">
        <v>323</v>
      </c>
      <c r="E216" t="s">
        <v>34</v>
      </c>
      <c r="F216" t="s">
        <v>15</v>
      </c>
      <c r="G216" t="s">
        <v>35</v>
      </c>
      <c r="H216" t="s">
        <v>298</v>
      </c>
      <c r="I216" t="s">
        <v>43</v>
      </c>
      <c r="J216" t="s">
        <v>324</v>
      </c>
      <c r="K216">
        <v>3</v>
      </c>
      <c r="L216">
        <v>1</v>
      </c>
      <c r="M216">
        <v>6</v>
      </c>
      <c r="N216">
        <v>215</v>
      </c>
      <c r="O216" t="str">
        <f>_xlfn.XLOOKUP(Table4[[#This Row],[id]],VALINA[id],VALINA[name])</f>
        <v>Uruguay</v>
      </c>
      <c r="P216">
        <f>_xlfn.XLOOKUP(Table4[[#This Row],[id]],prov_color!A:A,prov_color!C:C)</f>
        <v>48</v>
      </c>
    </row>
    <row r="217" spans="1:16" hidden="1" x14ac:dyDescent="0.25">
      <c r="A217">
        <v>216</v>
      </c>
      <c r="B217" t="s">
        <v>11</v>
      </c>
      <c r="C217" t="s">
        <v>244</v>
      </c>
      <c r="D217" t="s">
        <v>325</v>
      </c>
      <c r="E217" t="s">
        <v>22</v>
      </c>
      <c r="F217" t="s">
        <v>15</v>
      </c>
      <c r="G217" t="s">
        <v>75</v>
      </c>
      <c r="H217" t="s">
        <v>326</v>
      </c>
      <c r="I217" t="s">
        <v>43</v>
      </c>
      <c r="J217" t="s">
        <v>327</v>
      </c>
      <c r="K217">
        <v>6</v>
      </c>
      <c r="L217">
        <v>1</v>
      </c>
      <c r="M217">
        <v>2</v>
      </c>
      <c r="N217">
        <v>216</v>
      </c>
      <c r="O217" t="str">
        <f>_xlfn.XLOOKUP(Table4[[#This Row],[id]],VALINA[id],VALINA[name])</f>
        <v>Artigas</v>
      </c>
      <c r="P217">
        <f>_xlfn.XLOOKUP(Table4[[#This Row],[id]],prov_color!A:A,prov_color!C:C)</f>
        <v>67</v>
      </c>
    </row>
    <row r="218" spans="1:16" hidden="1" x14ac:dyDescent="0.25">
      <c r="A218">
        <v>217</v>
      </c>
      <c r="B218" t="s">
        <v>11</v>
      </c>
      <c r="C218" t="s">
        <v>244</v>
      </c>
      <c r="D218" t="s">
        <v>323</v>
      </c>
      <c r="E218" t="s">
        <v>22</v>
      </c>
      <c r="F218" t="s">
        <v>15</v>
      </c>
      <c r="G218" t="s">
        <v>35</v>
      </c>
      <c r="H218" t="s">
        <v>326</v>
      </c>
      <c r="I218" t="s">
        <v>41</v>
      </c>
      <c r="J218" t="s">
        <v>328</v>
      </c>
      <c r="K218">
        <v>4</v>
      </c>
      <c r="L218">
        <v>1</v>
      </c>
      <c r="M218">
        <v>5</v>
      </c>
      <c r="N218">
        <v>217</v>
      </c>
      <c r="O218" t="str">
        <f>_xlfn.XLOOKUP(Table4[[#This Row],[id]],VALINA[id],VALINA[name])</f>
        <v>Parana</v>
      </c>
      <c r="P218">
        <f>_xlfn.XLOOKUP(Table4[[#This Row],[id]],prov_color!A:A,prov_color!C:C)</f>
        <v>32</v>
      </c>
    </row>
    <row r="219" spans="1:16" hidden="1" x14ac:dyDescent="0.25">
      <c r="A219">
        <v>218</v>
      </c>
      <c r="B219" t="s">
        <v>11</v>
      </c>
      <c r="C219" t="s">
        <v>244</v>
      </c>
      <c r="D219" t="s">
        <v>325</v>
      </c>
      <c r="E219" t="s">
        <v>22</v>
      </c>
      <c r="F219" t="s">
        <v>15</v>
      </c>
      <c r="G219" t="s">
        <v>75</v>
      </c>
      <c r="H219" t="s">
        <v>326</v>
      </c>
      <c r="I219" t="s">
        <v>43</v>
      </c>
      <c r="J219" t="s">
        <v>329</v>
      </c>
      <c r="K219">
        <v>5</v>
      </c>
      <c r="L219">
        <v>1</v>
      </c>
      <c r="M219">
        <v>4</v>
      </c>
      <c r="N219">
        <v>218</v>
      </c>
      <c r="O219" t="str">
        <f>_xlfn.XLOOKUP(Table4[[#This Row],[id]],VALINA[id],VALINA[name])</f>
        <v>Neembucu</v>
      </c>
      <c r="P219">
        <f>_xlfn.XLOOKUP(Table4[[#This Row],[id]],prov_color!A:A,prov_color!C:C)</f>
        <v>41</v>
      </c>
    </row>
    <row r="220" spans="1:16" hidden="1" x14ac:dyDescent="0.25">
      <c r="A220">
        <v>219</v>
      </c>
      <c r="B220" t="s">
        <v>11</v>
      </c>
      <c r="C220" t="s">
        <v>244</v>
      </c>
      <c r="D220" t="s">
        <v>260</v>
      </c>
      <c r="E220" t="s">
        <v>14</v>
      </c>
      <c r="F220" t="s">
        <v>15</v>
      </c>
      <c r="G220" t="s">
        <v>35</v>
      </c>
      <c r="H220" t="s">
        <v>330</v>
      </c>
      <c r="I220" t="s">
        <v>18</v>
      </c>
      <c r="J220" t="s">
        <v>331</v>
      </c>
      <c r="K220">
        <v>5</v>
      </c>
      <c r="L220">
        <v>1</v>
      </c>
      <c r="M220">
        <v>2</v>
      </c>
      <c r="N220">
        <v>219</v>
      </c>
      <c r="O220" t="str">
        <f>_xlfn.XLOOKUP(Table4[[#This Row],[id]],VALINA[id],VALINA[name])</f>
        <v>Tucuman</v>
      </c>
      <c r="P220">
        <f>_xlfn.XLOOKUP(Table4[[#This Row],[id]],prov_color!A:A,prov_color!C:C)</f>
        <v>42</v>
      </c>
    </row>
    <row r="221" spans="1:16" hidden="1" x14ac:dyDescent="0.25">
      <c r="A221">
        <v>220</v>
      </c>
      <c r="B221" t="s">
        <v>11</v>
      </c>
      <c r="C221" t="s">
        <v>244</v>
      </c>
      <c r="D221" t="s">
        <v>260</v>
      </c>
      <c r="E221" t="s">
        <v>34</v>
      </c>
      <c r="F221" t="s">
        <v>15</v>
      </c>
      <c r="G221" t="s">
        <v>75</v>
      </c>
      <c r="H221" t="s">
        <v>330</v>
      </c>
      <c r="I221" t="s">
        <v>41</v>
      </c>
      <c r="J221" t="s">
        <v>332</v>
      </c>
      <c r="K221">
        <v>7</v>
      </c>
      <c r="L221">
        <v>1</v>
      </c>
      <c r="M221">
        <v>3</v>
      </c>
      <c r="N221">
        <v>220</v>
      </c>
      <c r="O221" t="str">
        <f>_xlfn.XLOOKUP(Table4[[#This Row],[id]],VALINA[id],VALINA[name])</f>
        <v>Jujuy</v>
      </c>
      <c r="P221">
        <f>_xlfn.XLOOKUP(Table4[[#This Row],[id]],prov_color!A:A,prov_color!C:C)</f>
        <v>46</v>
      </c>
    </row>
    <row r="222" spans="1:16" hidden="1" x14ac:dyDescent="0.25">
      <c r="A222">
        <v>221</v>
      </c>
      <c r="B222" t="s">
        <v>11</v>
      </c>
      <c r="C222" t="s">
        <v>244</v>
      </c>
      <c r="D222" t="s">
        <v>325</v>
      </c>
      <c r="E222" t="s">
        <v>22</v>
      </c>
      <c r="F222" t="s">
        <v>15</v>
      </c>
      <c r="G222" t="s">
        <v>35</v>
      </c>
      <c r="H222" t="s">
        <v>330</v>
      </c>
      <c r="I222" t="s">
        <v>43</v>
      </c>
      <c r="J222" t="s">
        <v>333</v>
      </c>
      <c r="K222">
        <v>5</v>
      </c>
      <c r="L222">
        <v>1</v>
      </c>
      <c r="M222">
        <v>3</v>
      </c>
      <c r="N222">
        <v>221</v>
      </c>
      <c r="O222" t="str">
        <f>_xlfn.XLOOKUP(Table4[[#This Row],[id]],VALINA[id],VALINA[name])</f>
        <v>Corrientes</v>
      </c>
      <c r="P222">
        <f>_xlfn.XLOOKUP(Table4[[#This Row],[id]],prov_color!A:A,prov_color!C:C)</f>
        <v>51</v>
      </c>
    </row>
    <row r="223" spans="1:16" hidden="1" x14ac:dyDescent="0.25">
      <c r="A223">
        <v>222</v>
      </c>
      <c r="B223" t="s">
        <v>11</v>
      </c>
      <c r="C223" t="s">
        <v>244</v>
      </c>
      <c r="D223" t="s">
        <v>323</v>
      </c>
      <c r="E223" t="s">
        <v>34</v>
      </c>
      <c r="F223" t="s">
        <v>15</v>
      </c>
      <c r="G223" t="s">
        <v>35</v>
      </c>
      <c r="H223" t="s">
        <v>326</v>
      </c>
      <c r="I223" t="s">
        <v>43</v>
      </c>
      <c r="J223" t="s">
        <v>334</v>
      </c>
      <c r="K223">
        <v>3</v>
      </c>
      <c r="L223">
        <v>1</v>
      </c>
      <c r="M223">
        <v>5</v>
      </c>
      <c r="N223">
        <v>222</v>
      </c>
      <c r="O223" t="str">
        <f>_xlfn.XLOOKUP(Table4[[#This Row],[id]],VALINA[id],VALINA[name])</f>
        <v>Rosario</v>
      </c>
      <c r="P223">
        <f>_xlfn.XLOOKUP(Table4[[#This Row],[id]],prov_color!A:A,prov_color!C:C)</f>
        <v>34</v>
      </c>
    </row>
    <row r="224" spans="1:16" hidden="1" x14ac:dyDescent="0.25">
      <c r="A224">
        <v>223</v>
      </c>
      <c r="B224" t="s">
        <v>11</v>
      </c>
      <c r="C224" t="s">
        <v>244</v>
      </c>
      <c r="D224" t="s">
        <v>323</v>
      </c>
      <c r="E224" t="s">
        <v>34</v>
      </c>
      <c r="F224" t="s">
        <v>15</v>
      </c>
      <c r="G224" t="s">
        <v>35</v>
      </c>
      <c r="H224" t="s">
        <v>326</v>
      </c>
      <c r="I224" t="s">
        <v>27</v>
      </c>
      <c r="J224" t="s">
        <v>335</v>
      </c>
      <c r="K224">
        <v>3</v>
      </c>
      <c r="L224">
        <v>1</v>
      </c>
      <c r="M224">
        <v>6</v>
      </c>
      <c r="N224">
        <v>223</v>
      </c>
      <c r="O224" t="str">
        <f>_xlfn.XLOOKUP(Table4[[#This Row],[id]],VALINA[id],VALINA[name])</f>
        <v>Aires</v>
      </c>
      <c r="P224">
        <f>_xlfn.XLOOKUP(Table4[[#This Row],[id]],prov_color!A:A,prov_color!C:C)</f>
        <v>48</v>
      </c>
    </row>
    <row r="225" spans="1:16" hidden="1" x14ac:dyDescent="0.25">
      <c r="A225">
        <v>224</v>
      </c>
      <c r="B225" t="s">
        <v>11</v>
      </c>
      <c r="C225" t="s">
        <v>244</v>
      </c>
      <c r="D225" t="s">
        <v>323</v>
      </c>
      <c r="E225" t="s">
        <v>34</v>
      </c>
      <c r="F225" t="s">
        <v>15</v>
      </c>
      <c r="G225" t="s">
        <v>35</v>
      </c>
      <c r="H225" t="s">
        <v>326</v>
      </c>
      <c r="I225" t="s">
        <v>43</v>
      </c>
      <c r="J225" t="s">
        <v>336</v>
      </c>
      <c r="K225">
        <v>3</v>
      </c>
      <c r="L225">
        <v>1</v>
      </c>
      <c r="M225">
        <v>4</v>
      </c>
      <c r="N225">
        <v>224</v>
      </c>
      <c r="O225" t="str">
        <f>_xlfn.XLOOKUP(Table4[[#This Row],[id]],VALINA[id],VALINA[name])</f>
        <v>Copetonas</v>
      </c>
      <c r="P225">
        <f>_xlfn.XLOOKUP(Table4[[#This Row],[id]],prov_color!A:A,prov_color!C:C)</f>
        <v>52</v>
      </c>
    </row>
    <row r="226" spans="1:16" hidden="1" x14ac:dyDescent="0.25">
      <c r="A226">
        <v>225</v>
      </c>
      <c r="B226" t="s">
        <v>11</v>
      </c>
      <c r="C226" t="s">
        <v>244</v>
      </c>
      <c r="D226" t="s">
        <v>337</v>
      </c>
      <c r="E226" t="s">
        <v>34</v>
      </c>
      <c r="F226" t="s">
        <v>15</v>
      </c>
      <c r="G226" t="s">
        <v>35</v>
      </c>
      <c r="H226" t="s">
        <v>338</v>
      </c>
      <c r="I226" t="s">
        <v>43</v>
      </c>
      <c r="J226" t="s">
        <v>339</v>
      </c>
      <c r="K226">
        <v>7</v>
      </c>
      <c r="L226">
        <v>1</v>
      </c>
      <c r="M226">
        <v>2</v>
      </c>
      <c r="N226">
        <v>225</v>
      </c>
      <c r="O226" t="str">
        <f>_xlfn.XLOOKUP(Table4[[#This Row],[id]],VALINA[id],VALINA[name])</f>
        <v>San Matias</v>
      </c>
      <c r="P226">
        <f>_xlfn.XLOOKUP(Table4[[#This Row],[id]],prov_color!A:A,prov_color!C:C)</f>
        <v>59</v>
      </c>
    </row>
    <row r="227" spans="1:16" hidden="1" x14ac:dyDescent="0.25">
      <c r="A227">
        <v>226</v>
      </c>
      <c r="B227" t="s">
        <v>11</v>
      </c>
      <c r="C227" t="s">
        <v>244</v>
      </c>
      <c r="D227" t="s">
        <v>337</v>
      </c>
      <c r="E227" t="s">
        <v>34</v>
      </c>
      <c r="F227" t="s">
        <v>15</v>
      </c>
      <c r="G227" t="s">
        <v>35</v>
      </c>
      <c r="H227" t="s">
        <v>338</v>
      </c>
      <c r="I227" t="s">
        <v>43</v>
      </c>
      <c r="J227" t="s">
        <v>340</v>
      </c>
      <c r="K227">
        <v>8</v>
      </c>
      <c r="L227">
        <v>1</v>
      </c>
      <c r="M227">
        <v>2</v>
      </c>
      <c r="N227">
        <v>226</v>
      </c>
      <c r="O227" t="str">
        <f>_xlfn.XLOOKUP(Table4[[#This Row],[id]],VALINA[id],VALINA[name])</f>
        <v>Chubut</v>
      </c>
      <c r="P227">
        <f>_xlfn.XLOOKUP(Table4[[#This Row],[id]],prov_color!A:A,prov_color!C:C)</f>
        <v>50</v>
      </c>
    </row>
    <row r="228" spans="1:16" hidden="1" x14ac:dyDescent="0.25">
      <c r="A228">
        <v>227</v>
      </c>
      <c r="B228" t="s">
        <v>11</v>
      </c>
      <c r="C228" t="s">
        <v>244</v>
      </c>
      <c r="D228" t="s">
        <v>337</v>
      </c>
      <c r="E228" t="s">
        <v>34</v>
      </c>
      <c r="F228" t="s">
        <v>15</v>
      </c>
      <c r="G228" t="s">
        <v>35</v>
      </c>
      <c r="H228" t="s">
        <v>338</v>
      </c>
      <c r="I228" t="s">
        <v>27</v>
      </c>
      <c r="J228" t="s">
        <v>341</v>
      </c>
      <c r="K228">
        <v>8</v>
      </c>
      <c r="L228">
        <v>1</v>
      </c>
      <c r="M228">
        <v>1</v>
      </c>
      <c r="N228">
        <v>227</v>
      </c>
      <c r="O228" t="str">
        <f>_xlfn.XLOOKUP(Table4[[#This Row],[id]],VALINA[id],VALINA[name])</f>
        <v>Santa Cruz</v>
      </c>
      <c r="P228">
        <f>_xlfn.XLOOKUP(Table4[[#This Row],[id]],prov_color!A:A,prov_color!C:C)</f>
        <v>42</v>
      </c>
    </row>
    <row r="229" spans="1:16" hidden="1" x14ac:dyDescent="0.25">
      <c r="A229">
        <v>228</v>
      </c>
      <c r="B229" t="s">
        <v>11</v>
      </c>
      <c r="C229" t="s">
        <v>244</v>
      </c>
      <c r="D229" t="s">
        <v>337</v>
      </c>
      <c r="E229" t="s">
        <v>14</v>
      </c>
      <c r="F229" t="s">
        <v>15</v>
      </c>
      <c r="G229" t="s">
        <v>276</v>
      </c>
      <c r="H229" t="s">
        <v>338</v>
      </c>
      <c r="I229" t="s">
        <v>27</v>
      </c>
      <c r="J229" t="s">
        <v>342</v>
      </c>
      <c r="K229">
        <v>9</v>
      </c>
      <c r="L229">
        <v>1</v>
      </c>
      <c r="M229">
        <v>1</v>
      </c>
      <c r="N229">
        <v>228</v>
      </c>
      <c r="O229" t="str">
        <f>_xlfn.XLOOKUP(Table4[[#This Row],[id]],VALINA[id],VALINA[name])</f>
        <v>Magallanes</v>
      </c>
      <c r="P229">
        <f>_xlfn.XLOOKUP(Table4[[#This Row],[id]],prov_color!A:A,prov_color!C:C)</f>
        <v>59</v>
      </c>
    </row>
    <row r="230" spans="1:16" hidden="1" x14ac:dyDescent="0.25">
      <c r="A230">
        <v>229</v>
      </c>
      <c r="B230" t="s">
        <v>11</v>
      </c>
      <c r="C230" t="s">
        <v>244</v>
      </c>
      <c r="D230" t="s">
        <v>337</v>
      </c>
      <c r="E230" t="s">
        <v>14</v>
      </c>
      <c r="F230" t="s">
        <v>15</v>
      </c>
      <c r="G230" t="s">
        <v>276</v>
      </c>
      <c r="H230" t="s">
        <v>338</v>
      </c>
      <c r="I230" t="s">
        <v>27</v>
      </c>
      <c r="J230" t="s">
        <v>343</v>
      </c>
      <c r="K230">
        <v>9</v>
      </c>
      <c r="L230">
        <v>1</v>
      </c>
      <c r="M230">
        <v>1</v>
      </c>
      <c r="N230">
        <v>229</v>
      </c>
      <c r="O230" t="str">
        <f>_xlfn.XLOOKUP(Table4[[#This Row],[id]],VALINA[id],VALINA[name])</f>
        <v>Tierra del Fuego</v>
      </c>
      <c r="P230">
        <f>_xlfn.XLOOKUP(Table4[[#This Row],[id]],prov_color!A:A,prov_color!C:C)</f>
        <v>38</v>
      </c>
    </row>
    <row r="231" spans="1:16" hidden="1" x14ac:dyDescent="0.25">
      <c r="A231">
        <v>230</v>
      </c>
      <c r="B231" t="s">
        <v>11</v>
      </c>
      <c r="C231" t="s">
        <v>244</v>
      </c>
      <c r="D231" t="s">
        <v>344</v>
      </c>
      <c r="E231" t="s">
        <v>34</v>
      </c>
      <c r="F231" t="s">
        <v>15</v>
      </c>
      <c r="G231" t="s">
        <v>276</v>
      </c>
      <c r="H231" t="s">
        <v>338</v>
      </c>
      <c r="I231" t="s">
        <v>27</v>
      </c>
      <c r="J231" t="s">
        <v>345</v>
      </c>
      <c r="K231">
        <v>8</v>
      </c>
      <c r="L231">
        <v>1</v>
      </c>
      <c r="M231">
        <v>1</v>
      </c>
      <c r="N231">
        <v>230</v>
      </c>
      <c r="O231" t="str">
        <f>_xlfn.XLOOKUP(Table4[[#This Row],[id]],VALINA[id],VALINA[name])</f>
        <v>The Falklands</v>
      </c>
      <c r="P231">
        <f>_xlfn.XLOOKUP(Table4[[#This Row],[id]],prov_color!A:A,prov_color!C:C)</f>
        <v>14</v>
      </c>
    </row>
    <row r="232" spans="1:16" hidden="1" x14ac:dyDescent="0.25">
      <c r="A232">
        <v>231</v>
      </c>
      <c r="B232" t="s">
        <v>346</v>
      </c>
      <c r="C232" t="s">
        <v>347</v>
      </c>
      <c r="D232" t="s">
        <v>348</v>
      </c>
      <c r="E232" t="s">
        <v>80</v>
      </c>
      <c r="F232" t="s">
        <v>349</v>
      </c>
      <c r="G232" t="s">
        <v>35</v>
      </c>
      <c r="H232" t="s">
        <v>350</v>
      </c>
      <c r="I232" t="s">
        <v>27</v>
      </c>
      <c r="J232" t="s">
        <v>351</v>
      </c>
      <c r="K232">
        <v>0</v>
      </c>
      <c r="L232">
        <v>1</v>
      </c>
      <c r="M232">
        <v>5</v>
      </c>
      <c r="N232">
        <v>231</v>
      </c>
      <c r="O232" t="str">
        <f>_xlfn.XLOOKUP(Table4[[#This Row],[id]],VALINA[id],VALINA[name])</f>
        <v>Connaught</v>
      </c>
      <c r="P232">
        <f>_xlfn.XLOOKUP(Table4[[#This Row],[id]],prov_color!A:A,prov_color!C:C)</f>
        <v>20</v>
      </c>
    </row>
    <row r="233" spans="1:16" hidden="1" x14ac:dyDescent="0.25">
      <c r="A233">
        <v>232</v>
      </c>
      <c r="B233" t="s">
        <v>346</v>
      </c>
      <c r="C233" t="s">
        <v>347</v>
      </c>
      <c r="D233" t="s">
        <v>348</v>
      </c>
      <c r="E233" t="s">
        <v>14</v>
      </c>
      <c r="F233" t="s">
        <v>349</v>
      </c>
      <c r="G233" t="s">
        <v>35</v>
      </c>
      <c r="H233" t="s">
        <v>350</v>
      </c>
      <c r="I233" t="s">
        <v>352</v>
      </c>
      <c r="J233" t="s">
        <v>353</v>
      </c>
      <c r="K233">
        <v>0</v>
      </c>
      <c r="L233">
        <v>2</v>
      </c>
      <c r="M233">
        <v>7</v>
      </c>
      <c r="N233">
        <v>232</v>
      </c>
      <c r="O233" t="str">
        <f>_xlfn.XLOOKUP(Table4[[#This Row],[id]],VALINA[id],VALINA[name])</f>
        <v>Ulster</v>
      </c>
      <c r="P233">
        <f>_xlfn.XLOOKUP(Table4[[#This Row],[id]],prov_color!A:A,prov_color!C:C)</f>
        <v>14</v>
      </c>
    </row>
    <row r="234" spans="1:16" hidden="1" x14ac:dyDescent="0.25">
      <c r="A234">
        <v>233</v>
      </c>
      <c r="B234" t="s">
        <v>346</v>
      </c>
      <c r="C234" t="s">
        <v>347</v>
      </c>
      <c r="D234" t="s">
        <v>348</v>
      </c>
      <c r="E234" t="s">
        <v>80</v>
      </c>
      <c r="F234" t="s">
        <v>349</v>
      </c>
      <c r="G234" t="s">
        <v>35</v>
      </c>
      <c r="H234" t="s">
        <v>350</v>
      </c>
      <c r="I234" t="s">
        <v>43</v>
      </c>
      <c r="J234" t="s">
        <v>354</v>
      </c>
      <c r="K234">
        <v>0</v>
      </c>
      <c r="L234">
        <v>2</v>
      </c>
      <c r="M234">
        <v>5</v>
      </c>
      <c r="N234">
        <v>233</v>
      </c>
      <c r="O234" t="str">
        <f>_xlfn.XLOOKUP(Table4[[#This Row],[id]],VALINA[id],VALINA[name])</f>
        <v>Meath</v>
      </c>
      <c r="P234">
        <f>_xlfn.XLOOKUP(Table4[[#This Row],[id]],prov_color!A:A,prov_color!C:C)</f>
        <v>12</v>
      </c>
    </row>
    <row r="235" spans="1:16" hidden="1" x14ac:dyDescent="0.25">
      <c r="A235">
        <v>234</v>
      </c>
      <c r="B235" t="s">
        <v>346</v>
      </c>
      <c r="C235" t="s">
        <v>347</v>
      </c>
      <c r="D235" t="s">
        <v>348</v>
      </c>
      <c r="E235" t="s">
        <v>14</v>
      </c>
      <c r="F235" t="s">
        <v>349</v>
      </c>
      <c r="G235" t="s">
        <v>35</v>
      </c>
      <c r="H235" t="s">
        <v>350</v>
      </c>
      <c r="I235" t="s">
        <v>27</v>
      </c>
      <c r="J235" t="s">
        <v>355</v>
      </c>
      <c r="K235">
        <v>0</v>
      </c>
      <c r="L235">
        <v>2</v>
      </c>
      <c r="M235">
        <v>6</v>
      </c>
      <c r="N235">
        <v>234</v>
      </c>
      <c r="O235" t="str">
        <f>_xlfn.XLOOKUP(Table4[[#This Row],[id]],VALINA[id],VALINA[name])</f>
        <v>Leinster</v>
      </c>
      <c r="P235">
        <f>_xlfn.XLOOKUP(Table4[[#This Row],[id]],prov_color!A:A,prov_color!C:C)</f>
        <v>13</v>
      </c>
    </row>
    <row r="236" spans="1:16" hidden="1" x14ac:dyDescent="0.25">
      <c r="A236">
        <v>235</v>
      </c>
      <c r="B236" t="s">
        <v>346</v>
      </c>
      <c r="C236" t="s">
        <v>347</v>
      </c>
      <c r="D236" t="s">
        <v>348</v>
      </c>
      <c r="E236" t="s">
        <v>14</v>
      </c>
      <c r="F236" t="s">
        <v>349</v>
      </c>
      <c r="G236" t="s">
        <v>35</v>
      </c>
      <c r="H236" t="s">
        <v>350</v>
      </c>
      <c r="I236" t="s">
        <v>27</v>
      </c>
      <c r="J236" t="s">
        <v>356</v>
      </c>
      <c r="K236">
        <v>0</v>
      </c>
      <c r="L236">
        <v>2</v>
      </c>
      <c r="M236">
        <v>5</v>
      </c>
      <c r="N236">
        <v>235</v>
      </c>
      <c r="O236" t="str">
        <f>_xlfn.XLOOKUP(Table4[[#This Row],[id]],VALINA[id],VALINA[name])</f>
        <v>Munster</v>
      </c>
      <c r="P236">
        <f>_xlfn.XLOOKUP(Table4[[#This Row],[id]],prov_color!A:A,prov_color!C:C)</f>
        <v>20</v>
      </c>
    </row>
    <row r="237" spans="1:16" hidden="1" x14ac:dyDescent="0.25">
      <c r="A237">
        <v>236</v>
      </c>
      <c r="B237" t="s">
        <v>346</v>
      </c>
      <c r="C237" t="s">
        <v>347</v>
      </c>
      <c r="D237" t="s">
        <v>357</v>
      </c>
      <c r="E237" t="s">
        <v>14</v>
      </c>
      <c r="F237" t="s">
        <v>349</v>
      </c>
      <c r="G237" t="s">
        <v>35</v>
      </c>
      <c r="H237" t="s">
        <v>350</v>
      </c>
      <c r="I237" t="s">
        <v>27</v>
      </c>
      <c r="J237" t="s">
        <v>358</v>
      </c>
      <c r="K237">
        <v>0</v>
      </c>
      <c r="L237">
        <v>3</v>
      </c>
      <c r="M237">
        <v>3</v>
      </c>
      <c r="N237">
        <v>236</v>
      </c>
      <c r="O237" t="str">
        <f>_xlfn.XLOOKUP(Table4[[#This Row],[id]],VALINA[id],VALINA[name])</f>
        <v>The Highlands</v>
      </c>
      <c r="P237">
        <f>_xlfn.XLOOKUP(Table4[[#This Row],[id]],prov_color!A:A,prov_color!C:C)</f>
        <v>26</v>
      </c>
    </row>
    <row r="238" spans="1:16" hidden="1" x14ac:dyDescent="0.25">
      <c r="A238">
        <v>237</v>
      </c>
      <c r="B238" t="s">
        <v>346</v>
      </c>
      <c r="C238" t="s">
        <v>347</v>
      </c>
      <c r="D238" t="s">
        <v>357</v>
      </c>
      <c r="E238" t="s">
        <v>14</v>
      </c>
      <c r="F238" t="s">
        <v>349</v>
      </c>
      <c r="G238" t="s">
        <v>35</v>
      </c>
      <c r="H238" t="s">
        <v>350</v>
      </c>
      <c r="I238" t="s">
        <v>41</v>
      </c>
      <c r="J238" t="s">
        <v>359</v>
      </c>
      <c r="K238">
        <v>0</v>
      </c>
      <c r="L238">
        <v>2</v>
      </c>
      <c r="M238">
        <v>5</v>
      </c>
      <c r="N238">
        <v>237</v>
      </c>
      <c r="O238" t="str">
        <f>_xlfn.XLOOKUP(Table4[[#This Row],[id]],VALINA[id],VALINA[name])</f>
        <v>The Grampians</v>
      </c>
      <c r="P238">
        <f>_xlfn.XLOOKUP(Table4[[#This Row],[id]],prov_color!A:A,prov_color!C:C)</f>
        <v>20</v>
      </c>
    </row>
    <row r="239" spans="1:16" hidden="1" x14ac:dyDescent="0.25">
      <c r="A239">
        <v>238</v>
      </c>
      <c r="B239" t="s">
        <v>346</v>
      </c>
      <c r="C239" t="s">
        <v>347</v>
      </c>
      <c r="D239" t="s">
        <v>357</v>
      </c>
      <c r="E239" t="s">
        <v>34</v>
      </c>
      <c r="F239" t="s">
        <v>349</v>
      </c>
      <c r="G239" t="s">
        <v>35</v>
      </c>
      <c r="H239" t="s">
        <v>360</v>
      </c>
      <c r="I239" t="s">
        <v>27</v>
      </c>
      <c r="J239" t="s">
        <v>361</v>
      </c>
      <c r="K239">
        <v>0</v>
      </c>
      <c r="L239">
        <v>3</v>
      </c>
      <c r="M239">
        <v>6</v>
      </c>
      <c r="N239">
        <v>238</v>
      </c>
      <c r="O239" t="str">
        <f>_xlfn.XLOOKUP(Table4[[#This Row],[id]],VALINA[id],VALINA[name])</f>
        <v>Lothian</v>
      </c>
      <c r="P239">
        <f>_xlfn.XLOOKUP(Table4[[#This Row],[id]],prov_color!A:A,prov_color!C:C)</f>
        <v>10</v>
      </c>
    </row>
    <row r="240" spans="1:16" hidden="1" x14ac:dyDescent="0.25">
      <c r="A240">
        <v>239</v>
      </c>
      <c r="B240" t="s">
        <v>346</v>
      </c>
      <c r="C240" t="s">
        <v>347</v>
      </c>
      <c r="D240" t="s">
        <v>357</v>
      </c>
      <c r="E240" t="s">
        <v>14</v>
      </c>
      <c r="F240" t="s">
        <v>349</v>
      </c>
      <c r="G240" t="s">
        <v>35</v>
      </c>
      <c r="H240" t="s">
        <v>360</v>
      </c>
      <c r="I240" t="s">
        <v>141</v>
      </c>
      <c r="J240" t="s">
        <v>362</v>
      </c>
      <c r="K240">
        <v>0</v>
      </c>
      <c r="L240">
        <v>2</v>
      </c>
      <c r="M240">
        <v>7</v>
      </c>
      <c r="N240">
        <v>239</v>
      </c>
      <c r="O240" t="str">
        <f>_xlfn.XLOOKUP(Table4[[#This Row],[id]],VALINA[id],VALINA[name])</f>
        <v>Strathclyde</v>
      </c>
      <c r="P240">
        <f>_xlfn.XLOOKUP(Table4[[#This Row],[id]],prov_color!A:A,prov_color!C:C)</f>
        <v>11</v>
      </c>
    </row>
    <row r="241" spans="1:16" hidden="1" x14ac:dyDescent="0.25">
      <c r="A241">
        <v>240</v>
      </c>
      <c r="B241" t="s">
        <v>346</v>
      </c>
      <c r="C241" t="s">
        <v>347</v>
      </c>
      <c r="D241" t="s">
        <v>363</v>
      </c>
      <c r="E241" t="s">
        <v>14</v>
      </c>
      <c r="F241" t="s">
        <v>349</v>
      </c>
      <c r="G241" t="s">
        <v>35</v>
      </c>
      <c r="H241" t="s">
        <v>360</v>
      </c>
      <c r="I241" t="s">
        <v>352</v>
      </c>
      <c r="J241" t="s">
        <v>364</v>
      </c>
      <c r="K241">
        <v>0</v>
      </c>
      <c r="L241">
        <v>2</v>
      </c>
      <c r="M241">
        <v>7</v>
      </c>
      <c r="N241">
        <v>240</v>
      </c>
      <c r="O241" t="str">
        <f>_xlfn.XLOOKUP(Table4[[#This Row],[id]],VALINA[id],VALINA[name])</f>
        <v>Northumberland</v>
      </c>
      <c r="P241">
        <f>_xlfn.XLOOKUP(Table4[[#This Row],[id]],prov_color!A:A,prov_color!C:C)</f>
        <v>13</v>
      </c>
    </row>
    <row r="242" spans="1:16" hidden="1" x14ac:dyDescent="0.25">
      <c r="A242">
        <v>241</v>
      </c>
      <c r="B242" t="s">
        <v>346</v>
      </c>
      <c r="C242" t="s">
        <v>347</v>
      </c>
      <c r="D242" t="s">
        <v>363</v>
      </c>
      <c r="E242" t="s">
        <v>34</v>
      </c>
      <c r="F242" t="s">
        <v>349</v>
      </c>
      <c r="G242" t="s">
        <v>35</v>
      </c>
      <c r="H242" t="s">
        <v>360</v>
      </c>
      <c r="I242" t="s">
        <v>352</v>
      </c>
      <c r="J242" t="s">
        <v>365</v>
      </c>
      <c r="K242">
        <v>0</v>
      </c>
      <c r="L242">
        <v>3</v>
      </c>
      <c r="M242">
        <v>9</v>
      </c>
      <c r="N242">
        <v>241</v>
      </c>
      <c r="O242" t="str">
        <f>_xlfn.XLOOKUP(Table4[[#This Row],[id]],VALINA[id],VALINA[name])</f>
        <v>Yorkshire</v>
      </c>
      <c r="P242">
        <f>_xlfn.XLOOKUP(Table4[[#This Row],[id]],prov_color!A:A,prov_color!C:C)</f>
        <v>12</v>
      </c>
    </row>
    <row r="243" spans="1:16" hidden="1" x14ac:dyDescent="0.25">
      <c r="A243">
        <v>242</v>
      </c>
      <c r="B243" t="s">
        <v>346</v>
      </c>
      <c r="C243" t="s">
        <v>347</v>
      </c>
      <c r="D243" t="s">
        <v>363</v>
      </c>
      <c r="E243" t="s">
        <v>22</v>
      </c>
      <c r="F243" t="s">
        <v>349</v>
      </c>
      <c r="G243" t="s">
        <v>35</v>
      </c>
      <c r="H243" t="s">
        <v>360</v>
      </c>
      <c r="I243" t="s">
        <v>141</v>
      </c>
      <c r="J243" t="s">
        <v>366</v>
      </c>
      <c r="K243">
        <v>0</v>
      </c>
      <c r="L243">
        <v>5</v>
      </c>
      <c r="M243">
        <v>11</v>
      </c>
      <c r="N243">
        <v>242</v>
      </c>
      <c r="O243" t="str">
        <f>_xlfn.XLOOKUP(Table4[[#This Row],[id]],VALINA[id],VALINA[name])</f>
        <v>Lancashire</v>
      </c>
      <c r="P243">
        <f>_xlfn.XLOOKUP(Table4[[#This Row],[id]],prov_color!A:A,prov_color!C:C)</f>
        <v>11</v>
      </c>
    </row>
    <row r="244" spans="1:16" hidden="1" x14ac:dyDescent="0.25">
      <c r="A244">
        <v>243</v>
      </c>
      <c r="B244" t="s">
        <v>346</v>
      </c>
      <c r="C244" t="s">
        <v>347</v>
      </c>
      <c r="D244" t="s">
        <v>363</v>
      </c>
      <c r="E244" t="s">
        <v>14</v>
      </c>
      <c r="F244" t="s">
        <v>349</v>
      </c>
      <c r="G244" t="s">
        <v>35</v>
      </c>
      <c r="H244" t="s">
        <v>350</v>
      </c>
      <c r="I244" t="s">
        <v>141</v>
      </c>
      <c r="J244" t="s">
        <v>367</v>
      </c>
      <c r="K244">
        <v>0</v>
      </c>
      <c r="L244">
        <v>3</v>
      </c>
      <c r="M244">
        <v>7</v>
      </c>
      <c r="N244">
        <v>243</v>
      </c>
      <c r="O244" t="str">
        <f>_xlfn.XLOOKUP(Table4[[#This Row],[id]],VALINA[id],VALINA[name])</f>
        <v>Wales</v>
      </c>
      <c r="P244">
        <f>_xlfn.XLOOKUP(Table4[[#This Row],[id]],prov_color!A:A,prov_color!C:C)</f>
        <v>20</v>
      </c>
    </row>
    <row r="245" spans="1:16" hidden="1" x14ac:dyDescent="0.25">
      <c r="A245">
        <v>244</v>
      </c>
      <c r="B245" t="s">
        <v>346</v>
      </c>
      <c r="C245" t="s">
        <v>347</v>
      </c>
      <c r="D245" t="s">
        <v>363</v>
      </c>
      <c r="E245" t="s">
        <v>34</v>
      </c>
      <c r="F245" t="s">
        <v>349</v>
      </c>
      <c r="G245" t="s">
        <v>35</v>
      </c>
      <c r="H245" t="s">
        <v>360</v>
      </c>
      <c r="I245" t="s">
        <v>141</v>
      </c>
      <c r="J245" t="s">
        <v>368</v>
      </c>
      <c r="K245">
        <v>0</v>
      </c>
      <c r="L245">
        <v>5</v>
      </c>
      <c r="M245">
        <v>11</v>
      </c>
      <c r="N245">
        <v>244</v>
      </c>
      <c r="O245" t="str">
        <f>_xlfn.XLOOKUP(Table4[[#This Row],[id]],VALINA[id],VALINA[name])</f>
        <v>Midlands</v>
      </c>
      <c r="P245">
        <f>_xlfn.XLOOKUP(Table4[[#This Row],[id]],prov_color!A:A,prov_color!C:C)</f>
        <v>14</v>
      </c>
    </row>
    <row r="246" spans="1:16" hidden="1" x14ac:dyDescent="0.25">
      <c r="A246">
        <v>245</v>
      </c>
      <c r="B246" t="s">
        <v>346</v>
      </c>
      <c r="C246" t="s">
        <v>347</v>
      </c>
      <c r="D246" t="s">
        <v>363</v>
      </c>
      <c r="E246" t="s">
        <v>34</v>
      </c>
      <c r="F246" t="s">
        <v>349</v>
      </c>
      <c r="G246" t="s">
        <v>35</v>
      </c>
      <c r="H246" t="s">
        <v>360</v>
      </c>
      <c r="I246" t="s">
        <v>352</v>
      </c>
      <c r="J246" t="s">
        <v>369</v>
      </c>
      <c r="K246">
        <v>0</v>
      </c>
      <c r="L246">
        <v>4</v>
      </c>
      <c r="M246">
        <v>8</v>
      </c>
      <c r="N246">
        <v>245</v>
      </c>
      <c r="O246" t="str">
        <f>_xlfn.XLOOKUP(Table4[[#This Row],[id]],VALINA[id],VALINA[name])</f>
        <v>Lincoln</v>
      </c>
      <c r="P246">
        <f>_xlfn.XLOOKUP(Table4[[#This Row],[id]],prov_color!A:A,prov_color!C:C)</f>
        <v>13</v>
      </c>
    </row>
    <row r="247" spans="1:16" hidden="1" x14ac:dyDescent="0.25">
      <c r="A247">
        <v>246</v>
      </c>
      <c r="B247" t="s">
        <v>346</v>
      </c>
      <c r="C247" t="s">
        <v>347</v>
      </c>
      <c r="D247" t="s">
        <v>363</v>
      </c>
      <c r="E247" t="s">
        <v>34</v>
      </c>
      <c r="F247" t="s">
        <v>349</v>
      </c>
      <c r="G247" t="s">
        <v>35</v>
      </c>
      <c r="H247" t="s">
        <v>360</v>
      </c>
      <c r="I247" t="s">
        <v>27</v>
      </c>
      <c r="J247" t="s">
        <v>370</v>
      </c>
      <c r="K247">
        <v>0</v>
      </c>
      <c r="L247">
        <v>4</v>
      </c>
      <c r="M247">
        <v>9</v>
      </c>
      <c r="N247">
        <v>246</v>
      </c>
      <c r="O247" t="str">
        <f>_xlfn.XLOOKUP(Table4[[#This Row],[id]],VALINA[id],VALINA[name])</f>
        <v>Bristol</v>
      </c>
      <c r="P247">
        <f>_xlfn.XLOOKUP(Table4[[#This Row],[id]],prov_color!A:A,prov_color!C:C)</f>
        <v>10</v>
      </c>
    </row>
    <row r="248" spans="1:16" hidden="1" x14ac:dyDescent="0.25">
      <c r="A248">
        <v>247</v>
      </c>
      <c r="B248" t="s">
        <v>346</v>
      </c>
      <c r="C248" t="s">
        <v>347</v>
      </c>
      <c r="D248" t="s">
        <v>363</v>
      </c>
      <c r="E248" t="s">
        <v>80</v>
      </c>
      <c r="F248" t="s">
        <v>349</v>
      </c>
      <c r="G248" t="s">
        <v>35</v>
      </c>
      <c r="H248" t="s">
        <v>360</v>
      </c>
      <c r="I248" t="s">
        <v>43</v>
      </c>
      <c r="J248" t="s">
        <v>371</v>
      </c>
      <c r="K248">
        <v>0</v>
      </c>
      <c r="L248">
        <v>8</v>
      </c>
      <c r="M248">
        <v>16</v>
      </c>
      <c r="N248">
        <v>247</v>
      </c>
      <c r="O248" t="str">
        <f>_xlfn.XLOOKUP(Table4[[#This Row],[id]],VALINA[id],VALINA[name])</f>
        <v>Anglia</v>
      </c>
      <c r="P248">
        <f>_xlfn.XLOOKUP(Table4[[#This Row],[id]],prov_color!A:A,prov_color!C:C)</f>
        <v>14</v>
      </c>
    </row>
    <row r="249" spans="1:16" hidden="1" x14ac:dyDescent="0.25">
      <c r="A249">
        <v>248</v>
      </c>
      <c r="B249" t="s">
        <v>346</v>
      </c>
      <c r="C249" t="s">
        <v>347</v>
      </c>
      <c r="D249" t="s">
        <v>363</v>
      </c>
      <c r="E249" t="s">
        <v>34</v>
      </c>
      <c r="F249" t="s">
        <v>349</v>
      </c>
      <c r="G249" t="s">
        <v>35</v>
      </c>
      <c r="H249" t="s">
        <v>360</v>
      </c>
      <c r="I249" t="s">
        <v>43</v>
      </c>
      <c r="J249" t="s">
        <v>372</v>
      </c>
      <c r="K249">
        <v>0</v>
      </c>
      <c r="L249">
        <v>4</v>
      </c>
      <c r="M249">
        <v>9</v>
      </c>
      <c r="N249">
        <v>248</v>
      </c>
      <c r="O249" t="str">
        <f>_xlfn.XLOOKUP(Table4[[#This Row],[id]],VALINA[id],VALINA[name])</f>
        <v>Kent</v>
      </c>
      <c r="P249">
        <f>_xlfn.XLOOKUP(Table4[[#This Row],[id]],prov_color!A:A,prov_color!C:C)</f>
        <v>13</v>
      </c>
    </row>
    <row r="250" spans="1:16" hidden="1" x14ac:dyDescent="0.25">
      <c r="A250">
        <v>249</v>
      </c>
      <c r="B250" t="s">
        <v>346</v>
      </c>
      <c r="C250" t="s">
        <v>347</v>
      </c>
      <c r="D250" t="s">
        <v>363</v>
      </c>
      <c r="E250" t="s">
        <v>22</v>
      </c>
      <c r="F250" t="s">
        <v>349</v>
      </c>
      <c r="G250" t="s">
        <v>35</v>
      </c>
      <c r="H250" t="s">
        <v>360</v>
      </c>
      <c r="I250" t="s">
        <v>43</v>
      </c>
      <c r="J250" t="s">
        <v>373</v>
      </c>
      <c r="K250">
        <v>0</v>
      </c>
      <c r="L250">
        <v>3</v>
      </c>
      <c r="M250">
        <v>8</v>
      </c>
      <c r="N250">
        <v>249</v>
      </c>
      <c r="O250" t="str">
        <f>_xlfn.XLOOKUP(Table4[[#This Row],[id]],VALINA[id],VALINA[name])</f>
        <v>Wessex</v>
      </c>
      <c r="P250">
        <f>_xlfn.XLOOKUP(Table4[[#This Row],[id]],prov_color!A:A,prov_color!C:C)</f>
        <v>11</v>
      </c>
    </row>
    <row r="251" spans="1:16" hidden="1" x14ac:dyDescent="0.25">
      <c r="A251">
        <v>250</v>
      </c>
      <c r="B251" t="s">
        <v>346</v>
      </c>
      <c r="C251" t="s">
        <v>347</v>
      </c>
      <c r="D251" t="s">
        <v>363</v>
      </c>
      <c r="E251" t="s">
        <v>34</v>
      </c>
      <c r="F251" t="s">
        <v>349</v>
      </c>
      <c r="G251" t="s">
        <v>35</v>
      </c>
      <c r="H251" t="s">
        <v>350</v>
      </c>
      <c r="I251" t="s">
        <v>27</v>
      </c>
      <c r="J251" t="s">
        <v>374</v>
      </c>
      <c r="K251">
        <v>0</v>
      </c>
      <c r="L251">
        <v>2</v>
      </c>
      <c r="M251">
        <v>8</v>
      </c>
      <c r="N251">
        <v>250</v>
      </c>
      <c r="O251" t="str">
        <f>_xlfn.XLOOKUP(Table4[[#This Row],[id]],VALINA[id],VALINA[name])</f>
        <v>Cornwall</v>
      </c>
      <c r="P251">
        <f>_xlfn.XLOOKUP(Table4[[#This Row],[id]],prov_color!A:A,prov_color!C:C)</f>
        <v>15</v>
      </c>
    </row>
    <row r="252" spans="1:16" hidden="1" x14ac:dyDescent="0.25">
      <c r="A252">
        <v>251</v>
      </c>
      <c r="B252" t="s">
        <v>346</v>
      </c>
      <c r="C252" t="s">
        <v>375</v>
      </c>
      <c r="D252" t="s">
        <v>376</v>
      </c>
      <c r="E252" t="s">
        <v>34</v>
      </c>
      <c r="F252" t="s">
        <v>349</v>
      </c>
      <c r="G252" t="s">
        <v>35</v>
      </c>
      <c r="H252" t="s">
        <v>377</v>
      </c>
      <c r="I252" t="s">
        <v>43</v>
      </c>
      <c r="J252" t="s">
        <v>378</v>
      </c>
      <c r="K252">
        <v>0</v>
      </c>
      <c r="L252">
        <v>5</v>
      </c>
      <c r="M252">
        <v>15</v>
      </c>
      <c r="N252">
        <v>251</v>
      </c>
      <c r="O252" t="str">
        <f>_xlfn.XLOOKUP(Table4[[#This Row],[id]],VALINA[id],VALINA[name])</f>
        <v>Sk�ne</v>
      </c>
      <c r="P252">
        <f>_xlfn.XLOOKUP(Table4[[#This Row],[id]],prov_color!A:A,prov_color!C:C)</f>
        <v>16</v>
      </c>
    </row>
    <row r="253" spans="1:16" hidden="1" x14ac:dyDescent="0.25">
      <c r="A253">
        <v>252</v>
      </c>
      <c r="B253" t="s">
        <v>346</v>
      </c>
      <c r="C253" t="s">
        <v>375</v>
      </c>
      <c r="D253" t="s">
        <v>379</v>
      </c>
      <c r="E253" t="s">
        <v>22</v>
      </c>
      <c r="F253" t="s">
        <v>349</v>
      </c>
      <c r="G253" t="s">
        <v>26</v>
      </c>
      <c r="H253" t="s">
        <v>377</v>
      </c>
      <c r="I253" t="s">
        <v>29</v>
      </c>
      <c r="J253" t="s">
        <v>380</v>
      </c>
      <c r="K253">
        <v>0</v>
      </c>
      <c r="L253">
        <v>2</v>
      </c>
      <c r="M253">
        <v>4</v>
      </c>
      <c r="N253">
        <v>252</v>
      </c>
      <c r="O253" t="str">
        <f>_xlfn.XLOOKUP(Table4[[#This Row],[id]],VALINA[id],VALINA[name])</f>
        <v>Sm�land</v>
      </c>
      <c r="P253">
        <f>_xlfn.XLOOKUP(Table4[[#This Row],[id]],prov_color!A:A,prov_color!C:C)</f>
        <v>26</v>
      </c>
    </row>
    <row r="254" spans="1:16" hidden="1" x14ac:dyDescent="0.25">
      <c r="A254">
        <v>253</v>
      </c>
      <c r="B254" t="s">
        <v>346</v>
      </c>
      <c r="C254" t="s">
        <v>375</v>
      </c>
      <c r="D254" t="s">
        <v>379</v>
      </c>
      <c r="E254" t="s">
        <v>22</v>
      </c>
      <c r="F254" t="s">
        <v>349</v>
      </c>
      <c r="G254" t="s">
        <v>26</v>
      </c>
      <c r="H254" t="s">
        <v>377</v>
      </c>
      <c r="I254" t="s">
        <v>43</v>
      </c>
      <c r="J254" t="s">
        <v>381</v>
      </c>
      <c r="K254">
        <v>0</v>
      </c>
      <c r="L254">
        <v>2</v>
      </c>
      <c r="M254">
        <v>6</v>
      </c>
      <c r="N254">
        <v>253</v>
      </c>
      <c r="O254" t="str">
        <f>_xlfn.XLOOKUP(Table4[[#This Row],[id]],VALINA[id],VALINA[name])</f>
        <v>V�sterg�tland</v>
      </c>
      <c r="P254">
        <f>_xlfn.XLOOKUP(Table4[[#This Row],[id]],prov_color!A:A,prov_color!C:C)</f>
        <v>31</v>
      </c>
    </row>
    <row r="255" spans="1:16" hidden="1" x14ac:dyDescent="0.25">
      <c r="A255">
        <v>254</v>
      </c>
      <c r="B255" t="s">
        <v>346</v>
      </c>
      <c r="C255" t="s">
        <v>375</v>
      </c>
      <c r="D255" t="s">
        <v>379</v>
      </c>
      <c r="E255" t="s">
        <v>22</v>
      </c>
      <c r="F255" t="s">
        <v>349</v>
      </c>
      <c r="G255" t="s">
        <v>26</v>
      </c>
      <c r="H255" t="s">
        <v>377</v>
      </c>
      <c r="I255" t="s">
        <v>27</v>
      </c>
      <c r="J255" t="s">
        <v>382</v>
      </c>
      <c r="K255">
        <v>0</v>
      </c>
      <c r="L255">
        <v>5</v>
      </c>
      <c r="M255">
        <v>10</v>
      </c>
      <c r="N255">
        <v>254</v>
      </c>
      <c r="O255" t="str">
        <f>_xlfn.XLOOKUP(Table4[[#This Row],[id]],VALINA[id],VALINA[name])</f>
        <v>Svealand</v>
      </c>
      <c r="P255">
        <f>_xlfn.XLOOKUP(Table4[[#This Row],[id]],prov_color!A:A,prov_color!C:C)</f>
        <v>34</v>
      </c>
    </row>
    <row r="256" spans="1:16" hidden="1" x14ac:dyDescent="0.25">
      <c r="A256">
        <v>255</v>
      </c>
      <c r="B256" t="s">
        <v>346</v>
      </c>
      <c r="C256" t="s">
        <v>375</v>
      </c>
      <c r="D256" t="s">
        <v>383</v>
      </c>
      <c r="E256" t="s">
        <v>14</v>
      </c>
      <c r="F256" t="s">
        <v>349</v>
      </c>
      <c r="G256" t="s">
        <v>26</v>
      </c>
      <c r="H256" t="s">
        <v>377</v>
      </c>
      <c r="I256" t="s">
        <v>29</v>
      </c>
      <c r="J256" t="s">
        <v>384</v>
      </c>
      <c r="K256">
        <v>0</v>
      </c>
      <c r="L256">
        <v>2</v>
      </c>
      <c r="M256">
        <v>7</v>
      </c>
      <c r="N256">
        <v>255</v>
      </c>
      <c r="O256" t="str">
        <f>_xlfn.XLOOKUP(Table4[[#This Row],[id]],VALINA[id],VALINA[name])</f>
        <v>�stlandet</v>
      </c>
      <c r="P256">
        <f>_xlfn.XLOOKUP(Table4[[#This Row],[id]],prov_color!A:A,prov_color!C:C)</f>
        <v>40</v>
      </c>
    </row>
    <row r="257" spans="1:16" hidden="1" x14ac:dyDescent="0.25">
      <c r="A257">
        <v>256</v>
      </c>
      <c r="B257" t="s">
        <v>346</v>
      </c>
      <c r="C257" t="s">
        <v>375</v>
      </c>
      <c r="D257" t="s">
        <v>383</v>
      </c>
      <c r="E257" t="s">
        <v>14</v>
      </c>
      <c r="F257" t="s">
        <v>349</v>
      </c>
      <c r="G257" t="s">
        <v>122</v>
      </c>
      <c r="H257" t="s">
        <v>377</v>
      </c>
      <c r="I257" t="s">
        <v>27</v>
      </c>
      <c r="J257" t="s">
        <v>385</v>
      </c>
      <c r="K257">
        <v>0</v>
      </c>
      <c r="L257">
        <v>2</v>
      </c>
      <c r="M257">
        <v>6</v>
      </c>
      <c r="N257">
        <v>256</v>
      </c>
      <c r="O257" t="str">
        <f>_xlfn.XLOOKUP(Table4[[#This Row],[id]],VALINA[id],VALINA[name])</f>
        <v>Bergenshus</v>
      </c>
      <c r="P257">
        <f>_xlfn.XLOOKUP(Table4[[#This Row],[id]],prov_color!A:A,prov_color!C:C)</f>
        <v>43</v>
      </c>
    </row>
    <row r="258" spans="1:16" hidden="1" x14ac:dyDescent="0.25">
      <c r="A258">
        <v>257</v>
      </c>
      <c r="B258" t="s">
        <v>346</v>
      </c>
      <c r="C258" t="s">
        <v>375</v>
      </c>
      <c r="D258" t="s">
        <v>379</v>
      </c>
      <c r="E258" t="s">
        <v>22</v>
      </c>
      <c r="F258" t="s">
        <v>349</v>
      </c>
      <c r="G258" t="s">
        <v>122</v>
      </c>
      <c r="H258" t="s">
        <v>377</v>
      </c>
      <c r="I258" t="s">
        <v>212</v>
      </c>
      <c r="J258" t="s">
        <v>386</v>
      </c>
      <c r="K258">
        <v>0</v>
      </c>
      <c r="L258">
        <v>2</v>
      </c>
      <c r="M258">
        <v>8</v>
      </c>
      <c r="N258">
        <v>257</v>
      </c>
      <c r="O258" t="str">
        <f>_xlfn.XLOOKUP(Table4[[#This Row],[id]],VALINA[id],VALINA[name])</f>
        <v>Bergslagen</v>
      </c>
      <c r="P258">
        <f>_xlfn.XLOOKUP(Table4[[#This Row],[id]],prov_color!A:A,prov_color!C:C)</f>
        <v>36</v>
      </c>
    </row>
    <row r="259" spans="1:16" hidden="1" x14ac:dyDescent="0.25">
      <c r="A259">
        <v>258</v>
      </c>
      <c r="B259" t="s">
        <v>346</v>
      </c>
      <c r="C259" t="s">
        <v>375</v>
      </c>
      <c r="D259" t="s">
        <v>383</v>
      </c>
      <c r="E259" t="s">
        <v>14</v>
      </c>
      <c r="F259" t="s">
        <v>349</v>
      </c>
      <c r="G259" t="s">
        <v>122</v>
      </c>
      <c r="H259" t="s">
        <v>377</v>
      </c>
      <c r="I259" t="s">
        <v>27</v>
      </c>
      <c r="J259" t="s">
        <v>387</v>
      </c>
      <c r="K259">
        <v>0</v>
      </c>
      <c r="L259">
        <v>2</v>
      </c>
      <c r="M259">
        <v>5</v>
      </c>
      <c r="N259">
        <v>258</v>
      </c>
      <c r="O259" t="str">
        <f>_xlfn.XLOOKUP(Table4[[#This Row],[id]],VALINA[id],VALINA[name])</f>
        <v>Tr�ndelag</v>
      </c>
      <c r="P259">
        <f>_xlfn.XLOOKUP(Table4[[#This Row],[id]],prov_color!A:A,prov_color!C:C)</f>
        <v>37</v>
      </c>
    </row>
    <row r="260" spans="1:16" hidden="1" x14ac:dyDescent="0.25">
      <c r="A260">
        <v>259</v>
      </c>
      <c r="B260" t="s">
        <v>346</v>
      </c>
      <c r="C260" t="s">
        <v>375</v>
      </c>
      <c r="D260" t="s">
        <v>383</v>
      </c>
      <c r="E260" t="s">
        <v>14</v>
      </c>
      <c r="F260" t="s">
        <v>349</v>
      </c>
      <c r="G260" t="s">
        <v>122</v>
      </c>
      <c r="H260" t="s">
        <v>388</v>
      </c>
      <c r="I260" t="s">
        <v>27</v>
      </c>
      <c r="J260" t="s">
        <v>389</v>
      </c>
      <c r="K260">
        <v>0</v>
      </c>
      <c r="L260">
        <v>1</v>
      </c>
      <c r="M260">
        <v>2</v>
      </c>
      <c r="N260">
        <v>259</v>
      </c>
      <c r="O260" t="str">
        <f>_xlfn.XLOOKUP(Table4[[#This Row],[id]],VALINA[id],VALINA[name])</f>
        <v>Narvik</v>
      </c>
      <c r="P260">
        <f>_xlfn.XLOOKUP(Table4[[#This Row],[id]],prov_color!A:A,prov_color!C:C)</f>
        <v>29</v>
      </c>
    </row>
    <row r="261" spans="1:16" hidden="1" x14ac:dyDescent="0.25">
      <c r="A261">
        <v>260</v>
      </c>
      <c r="B261" t="s">
        <v>346</v>
      </c>
      <c r="C261" t="s">
        <v>375</v>
      </c>
      <c r="D261" t="s">
        <v>379</v>
      </c>
      <c r="E261" t="s">
        <v>80</v>
      </c>
      <c r="F261" t="s">
        <v>349</v>
      </c>
      <c r="G261" t="s">
        <v>122</v>
      </c>
      <c r="H261" t="s">
        <v>388</v>
      </c>
      <c r="I261" t="s">
        <v>141</v>
      </c>
      <c r="J261" t="s">
        <v>390</v>
      </c>
      <c r="K261">
        <v>0</v>
      </c>
      <c r="L261">
        <v>1</v>
      </c>
      <c r="M261">
        <v>1</v>
      </c>
      <c r="N261">
        <v>260</v>
      </c>
      <c r="O261" t="str">
        <f>_xlfn.XLOOKUP(Table4[[#This Row],[id]],VALINA[id],VALINA[name])</f>
        <v>Lappland</v>
      </c>
      <c r="P261">
        <f>_xlfn.XLOOKUP(Table4[[#This Row],[id]],prov_color!A:A,prov_color!C:C)</f>
        <v>41</v>
      </c>
    </row>
    <row r="262" spans="1:16" hidden="1" x14ac:dyDescent="0.25">
      <c r="A262">
        <v>261</v>
      </c>
      <c r="B262" t="s">
        <v>346</v>
      </c>
      <c r="C262" t="s">
        <v>375</v>
      </c>
      <c r="D262" t="s">
        <v>383</v>
      </c>
      <c r="E262" t="s">
        <v>14</v>
      </c>
      <c r="F262" t="s">
        <v>349</v>
      </c>
      <c r="G262" t="s">
        <v>122</v>
      </c>
      <c r="H262" t="s">
        <v>388</v>
      </c>
      <c r="I262" t="s">
        <v>27</v>
      </c>
      <c r="J262" t="s">
        <v>391</v>
      </c>
      <c r="K262">
        <v>0</v>
      </c>
      <c r="L262">
        <v>1</v>
      </c>
      <c r="M262">
        <v>1</v>
      </c>
      <c r="N262">
        <v>261</v>
      </c>
      <c r="O262" t="str">
        <f>_xlfn.XLOOKUP(Table4[[#This Row],[id]],VALINA[id],VALINA[name])</f>
        <v>Finnmark</v>
      </c>
      <c r="P262">
        <f>_xlfn.XLOOKUP(Table4[[#This Row],[id]],prov_color!A:A,prov_color!C:C)</f>
        <v>41</v>
      </c>
    </row>
    <row r="263" spans="1:16" hidden="1" x14ac:dyDescent="0.25">
      <c r="A263">
        <v>262</v>
      </c>
      <c r="B263" t="s">
        <v>346</v>
      </c>
      <c r="C263" t="s">
        <v>392</v>
      </c>
      <c r="D263" t="s">
        <v>393</v>
      </c>
      <c r="E263" t="s">
        <v>14</v>
      </c>
      <c r="F263" t="s">
        <v>394</v>
      </c>
      <c r="G263" t="s">
        <v>122</v>
      </c>
      <c r="H263" t="s">
        <v>388</v>
      </c>
      <c r="I263" t="s">
        <v>20</v>
      </c>
      <c r="J263" t="s">
        <v>395</v>
      </c>
      <c r="K263">
        <v>0</v>
      </c>
      <c r="L263">
        <v>1</v>
      </c>
      <c r="M263">
        <v>4</v>
      </c>
      <c r="N263">
        <v>262</v>
      </c>
      <c r="O263" t="str">
        <f>_xlfn.XLOOKUP(Table4[[#This Row],[id]],VALINA[id],VALINA[name])</f>
        <v>Kola</v>
      </c>
      <c r="P263">
        <f>_xlfn.XLOOKUP(Table4[[#This Row],[id]],prov_color!A:A,prov_color!C:C)</f>
        <v>82</v>
      </c>
    </row>
    <row r="264" spans="1:16" hidden="1" x14ac:dyDescent="0.25">
      <c r="A264">
        <v>263</v>
      </c>
      <c r="B264" t="s">
        <v>346</v>
      </c>
      <c r="C264" t="s">
        <v>375</v>
      </c>
      <c r="D264" t="s">
        <v>396</v>
      </c>
      <c r="E264" t="s">
        <v>22</v>
      </c>
      <c r="F264" t="s">
        <v>349</v>
      </c>
      <c r="G264" t="s">
        <v>122</v>
      </c>
      <c r="H264" t="s">
        <v>388</v>
      </c>
      <c r="I264" t="s">
        <v>20</v>
      </c>
      <c r="J264" t="s">
        <v>397</v>
      </c>
      <c r="K264">
        <v>0</v>
      </c>
      <c r="L264">
        <v>1</v>
      </c>
      <c r="M264">
        <v>1</v>
      </c>
      <c r="N264">
        <v>263</v>
      </c>
      <c r="O264" t="str">
        <f>_xlfn.XLOOKUP(Table4[[#This Row],[id]],VALINA[id],VALINA[name])</f>
        <v>�sterbotten</v>
      </c>
      <c r="P264">
        <f>_xlfn.XLOOKUP(Table4[[#This Row],[id]],prov_color!A:A,prov_color!C:C)</f>
        <v>50</v>
      </c>
    </row>
    <row r="265" spans="1:16" hidden="1" x14ac:dyDescent="0.25">
      <c r="A265">
        <v>264</v>
      </c>
      <c r="B265" t="s">
        <v>346</v>
      </c>
      <c r="C265" t="s">
        <v>375</v>
      </c>
      <c r="D265" t="s">
        <v>396</v>
      </c>
      <c r="E265" t="s">
        <v>22</v>
      </c>
      <c r="F265" t="s">
        <v>349</v>
      </c>
      <c r="G265" t="s">
        <v>122</v>
      </c>
      <c r="H265" t="s">
        <v>388</v>
      </c>
      <c r="I265" t="s">
        <v>29</v>
      </c>
      <c r="J265" t="s">
        <v>398</v>
      </c>
      <c r="K265">
        <v>0</v>
      </c>
      <c r="L265">
        <v>1</v>
      </c>
      <c r="M265">
        <v>1</v>
      </c>
      <c r="N265">
        <v>264</v>
      </c>
      <c r="O265" t="str">
        <f>_xlfn.XLOOKUP(Table4[[#This Row],[id]],VALINA[id],VALINA[name])</f>
        <v>Tavastland</v>
      </c>
      <c r="P265">
        <f>_xlfn.XLOOKUP(Table4[[#This Row],[id]],prov_color!A:A,prov_color!C:C)</f>
        <v>30</v>
      </c>
    </row>
    <row r="266" spans="1:16" hidden="1" x14ac:dyDescent="0.25">
      <c r="A266">
        <v>265</v>
      </c>
      <c r="B266" t="s">
        <v>346</v>
      </c>
      <c r="C266" t="s">
        <v>375</v>
      </c>
      <c r="D266" t="s">
        <v>396</v>
      </c>
      <c r="E266" t="s">
        <v>22</v>
      </c>
      <c r="F266" t="s">
        <v>349</v>
      </c>
      <c r="G266" t="s">
        <v>122</v>
      </c>
      <c r="H266" t="s">
        <v>388</v>
      </c>
      <c r="I266" t="s">
        <v>29</v>
      </c>
      <c r="J266" t="s">
        <v>399</v>
      </c>
      <c r="K266">
        <v>0</v>
      </c>
      <c r="L266">
        <v>2</v>
      </c>
      <c r="M266">
        <v>4</v>
      </c>
      <c r="N266">
        <v>265</v>
      </c>
      <c r="O266" t="str">
        <f>_xlfn.XLOOKUP(Table4[[#This Row],[id]],VALINA[id],VALINA[name])</f>
        <v>Nyland</v>
      </c>
      <c r="P266">
        <f>_xlfn.XLOOKUP(Table4[[#This Row],[id]],prov_color!A:A,prov_color!C:C)</f>
        <v>25</v>
      </c>
    </row>
    <row r="267" spans="1:16" hidden="1" x14ac:dyDescent="0.25">
      <c r="A267">
        <v>266</v>
      </c>
      <c r="B267" t="s">
        <v>346</v>
      </c>
      <c r="C267" t="s">
        <v>392</v>
      </c>
      <c r="D267" t="s">
        <v>393</v>
      </c>
      <c r="E267" t="s">
        <v>80</v>
      </c>
      <c r="F267" t="s">
        <v>394</v>
      </c>
      <c r="G267" t="s">
        <v>122</v>
      </c>
      <c r="H267" t="s">
        <v>388</v>
      </c>
      <c r="I267" t="s">
        <v>29</v>
      </c>
      <c r="J267" t="s">
        <v>400</v>
      </c>
      <c r="K267">
        <v>0</v>
      </c>
      <c r="L267">
        <v>2</v>
      </c>
      <c r="M267">
        <v>5</v>
      </c>
      <c r="N267">
        <v>266</v>
      </c>
      <c r="O267" t="str">
        <f>_xlfn.XLOOKUP(Table4[[#This Row],[id]],VALINA[id],VALINA[name])</f>
        <v>Kexholm</v>
      </c>
      <c r="P267">
        <f>_xlfn.XLOOKUP(Table4[[#This Row],[id]],prov_color!A:A,prov_color!C:C)</f>
        <v>36</v>
      </c>
    </row>
    <row r="268" spans="1:16" hidden="1" x14ac:dyDescent="0.25">
      <c r="A268">
        <v>267</v>
      </c>
      <c r="B268" t="s">
        <v>346</v>
      </c>
      <c r="C268" t="s">
        <v>392</v>
      </c>
      <c r="D268" t="s">
        <v>393</v>
      </c>
      <c r="E268" t="s">
        <v>22</v>
      </c>
      <c r="F268" t="s">
        <v>394</v>
      </c>
      <c r="G268" t="s">
        <v>122</v>
      </c>
      <c r="H268" t="s">
        <v>388</v>
      </c>
      <c r="I268" t="s">
        <v>20</v>
      </c>
      <c r="J268" t="s">
        <v>401</v>
      </c>
      <c r="K268">
        <v>0</v>
      </c>
      <c r="L268">
        <v>4</v>
      </c>
      <c r="M268">
        <v>5</v>
      </c>
      <c r="N268">
        <v>267</v>
      </c>
      <c r="O268" t="str">
        <f>_xlfn.XLOOKUP(Table4[[#This Row],[id]],VALINA[id],VALINA[name])</f>
        <v>Olonets</v>
      </c>
      <c r="P268">
        <f>_xlfn.XLOOKUP(Table4[[#This Row],[id]],prov_color!A:A,prov_color!C:C)</f>
        <v>65</v>
      </c>
    </row>
    <row r="269" spans="1:16" hidden="1" x14ac:dyDescent="0.25">
      <c r="A269">
        <v>268</v>
      </c>
      <c r="B269" t="s">
        <v>346</v>
      </c>
      <c r="C269" t="s">
        <v>392</v>
      </c>
      <c r="D269" t="s">
        <v>402</v>
      </c>
      <c r="E269" t="s">
        <v>22</v>
      </c>
      <c r="F269" t="s">
        <v>394</v>
      </c>
      <c r="G269" t="s">
        <v>122</v>
      </c>
      <c r="H269" t="s">
        <v>403</v>
      </c>
      <c r="I269" t="s">
        <v>29</v>
      </c>
      <c r="J269" t="s">
        <v>404</v>
      </c>
      <c r="K269">
        <v>0</v>
      </c>
      <c r="L269">
        <v>4</v>
      </c>
      <c r="M269">
        <v>6</v>
      </c>
      <c r="N269">
        <v>268</v>
      </c>
      <c r="O269" t="str">
        <f>_xlfn.XLOOKUP(Table4[[#This Row],[id]],VALINA[id],VALINA[name])</f>
        <v>Vologda</v>
      </c>
      <c r="P269">
        <f>_xlfn.XLOOKUP(Table4[[#This Row],[id]],prov_color!A:A,prov_color!C:C)</f>
        <v>77</v>
      </c>
    </row>
    <row r="270" spans="1:16" hidden="1" x14ac:dyDescent="0.25">
      <c r="A270">
        <v>269</v>
      </c>
      <c r="B270" t="s">
        <v>346</v>
      </c>
      <c r="C270" t="s">
        <v>392</v>
      </c>
      <c r="D270" t="s">
        <v>393</v>
      </c>
      <c r="E270" t="s">
        <v>22</v>
      </c>
      <c r="F270" t="s">
        <v>394</v>
      </c>
      <c r="G270" t="s">
        <v>122</v>
      </c>
      <c r="H270" t="s">
        <v>388</v>
      </c>
      <c r="I270" t="s">
        <v>20</v>
      </c>
      <c r="J270" t="s">
        <v>405</v>
      </c>
      <c r="K270">
        <v>0</v>
      </c>
      <c r="L270">
        <v>2</v>
      </c>
      <c r="M270">
        <v>9</v>
      </c>
      <c r="N270">
        <v>269</v>
      </c>
      <c r="O270" t="str">
        <f>_xlfn.XLOOKUP(Table4[[#This Row],[id]],VALINA[id],VALINA[name])</f>
        <v>Arkhangelsk</v>
      </c>
      <c r="P270">
        <f>_xlfn.XLOOKUP(Table4[[#This Row],[id]],prov_color!A:A,prov_color!C:C)</f>
        <v>102</v>
      </c>
    </row>
    <row r="271" spans="1:16" hidden="1" x14ac:dyDescent="0.25">
      <c r="A271">
        <v>270</v>
      </c>
      <c r="B271" t="s">
        <v>346</v>
      </c>
      <c r="C271" t="s">
        <v>392</v>
      </c>
      <c r="D271" t="s">
        <v>402</v>
      </c>
      <c r="E271" t="s">
        <v>22</v>
      </c>
      <c r="F271" t="s">
        <v>394</v>
      </c>
      <c r="G271" t="s">
        <v>122</v>
      </c>
      <c r="H271" t="s">
        <v>403</v>
      </c>
      <c r="I271" t="s">
        <v>43</v>
      </c>
      <c r="J271" t="s">
        <v>406</v>
      </c>
      <c r="K271">
        <v>0</v>
      </c>
      <c r="L271">
        <v>12</v>
      </c>
      <c r="M271">
        <v>13</v>
      </c>
      <c r="N271">
        <v>270</v>
      </c>
      <c r="O271" t="str">
        <f>_xlfn.XLOOKUP(Table4[[#This Row],[id]],VALINA[id],VALINA[name])</f>
        <v>Moscow</v>
      </c>
      <c r="P271">
        <f>_xlfn.XLOOKUP(Table4[[#This Row],[id]],prov_color!A:A,prov_color!C:C)</f>
        <v>47</v>
      </c>
    </row>
    <row r="272" spans="1:16" hidden="1" x14ac:dyDescent="0.25">
      <c r="A272">
        <v>271</v>
      </c>
      <c r="B272" t="s">
        <v>346</v>
      </c>
      <c r="C272" t="s">
        <v>392</v>
      </c>
      <c r="D272" t="s">
        <v>402</v>
      </c>
      <c r="E272" t="s">
        <v>22</v>
      </c>
      <c r="F272" t="s">
        <v>394</v>
      </c>
      <c r="G272" t="s">
        <v>122</v>
      </c>
      <c r="H272" t="s">
        <v>403</v>
      </c>
      <c r="I272" t="s">
        <v>212</v>
      </c>
      <c r="J272" t="s">
        <v>407</v>
      </c>
      <c r="K272">
        <v>0</v>
      </c>
      <c r="L272">
        <v>8</v>
      </c>
      <c r="M272">
        <v>8</v>
      </c>
      <c r="N272">
        <v>271</v>
      </c>
      <c r="O272" t="str">
        <f>_xlfn.XLOOKUP(Table4[[#This Row],[id]],VALINA[id],VALINA[name])</f>
        <v>Vladimir</v>
      </c>
      <c r="P272">
        <f>_xlfn.XLOOKUP(Table4[[#This Row],[id]],prov_color!A:A,prov_color!C:C)</f>
        <v>104</v>
      </c>
    </row>
    <row r="273" spans="1:16" hidden="1" x14ac:dyDescent="0.25">
      <c r="A273">
        <v>272</v>
      </c>
      <c r="B273" t="s">
        <v>346</v>
      </c>
      <c r="C273" t="s">
        <v>392</v>
      </c>
      <c r="D273" t="s">
        <v>402</v>
      </c>
      <c r="E273" t="s">
        <v>22</v>
      </c>
      <c r="F273" t="s">
        <v>394</v>
      </c>
      <c r="G273" t="s">
        <v>122</v>
      </c>
      <c r="H273" t="s">
        <v>403</v>
      </c>
      <c r="I273" t="s">
        <v>43</v>
      </c>
      <c r="J273" t="s">
        <v>408</v>
      </c>
      <c r="K273">
        <v>0</v>
      </c>
      <c r="L273">
        <v>6</v>
      </c>
      <c r="M273">
        <v>6</v>
      </c>
      <c r="N273">
        <v>272</v>
      </c>
      <c r="O273" t="str">
        <f>_xlfn.XLOOKUP(Table4[[#This Row],[id]],VALINA[id],VALINA[name])</f>
        <v>Nizhgorod</v>
      </c>
      <c r="P273">
        <f>_xlfn.XLOOKUP(Table4[[#This Row],[id]],prov_color!A:A,prov_color!C:C)</f>
        <v>48</v>
      </c>
    </row>
    <row r="274" spans="1:16" hidden="1" x14ac:dyDescent="0.25">
      <c r="A274">
        <v>273</v>
      </c>
      <c r="B274" t="s">
        <v>346</v>
      </c>
      <c r="C274" t="s">
        <v>375</v>
      </c>
      <c r="D274" t="s">
        <v>396</v>
      </c>
      <c r="E274" t="s">
        <v>22</v>
      </c>
      <c r="F274" t="s">
        <v>394</v>
      </c>
      <c r="G274" t="s">
        <v>122</v>
      </c>
      <c r="H274" t="s">
        <v>388</v>
      </c>
      <c r="I274" t="s">
        <v>141</v>
      </c>
      <c r="J274" t="s">
        <v>409</v>
      </c>
      <c r="K274">
        <v>0</v>
      </c>
      <c r="L274">
        <v>1</v>
      </c>
      <c r="M274">
        <v>2</v>
      </c>
      <c r="N274">
        <v>273</v>
      </c>
      <c r="O274" t="str">
        <f>_xlfn.XLOOKUP(Table4[[#This Row],[id]],VALINA[id],VALINA[name])</f>
        <v>Savolaks</v>
      </c>
      <c r="P274">
        <f>_xlfn.XLOOKUP(Table4[[#This Row],[id]],prov_color!A:A,prov_color!C:C)</f>
        <v>33</v>
      </c>
    </row>
    <row r="275" spans="1:16" hidden="1" x14ac:dyDescent="0.25">
      <c r="A275">
        <v>274</v>
      </c>
      <c r="B275" t="s">
        <v>346</v>
      </c>
      <c r="C275" t="s">
        <v>392</v>
      </c>
      <c r="D275" t="s">
        <v>402</v>
      </c>
      <c r="E275" t="s">
        <v>22</v>
      </c>
      <c r="F275" t="s">
        <v>394</v>
      </c>
      <c r="G275" t="s">
        <v>122</v>
      </c>
      <c r="H275" t="s">
        <v>403</v>
      </c>
      <c r="I275" t="s">
        <v>20</v>
      </c>
      <c r="J275" t="s">
        <v>410</v>
      </c>
      <c r="K275">
        <v>0</v>
      </c>
      <c r="L275">
        <v>8</v>
      </c>
      <c r="M275">
        <v>14</v>
      </c>
      <c r="N275">
        <v>274</v>
      </c>
      <c r="O275" t="str">
        <f>_xlfn.XLOOKUP(Table4[[#This Row],[id]],VALINA[id],VALINA[name])</f>
        <v>Novgorod</v>
      </c>
      <c r="P275">
        <f>_xlfn.XLOOKUP(Table4[[#This Row],[id]],prov_color!A:A,prov_color!C:C)</f>
        <v>42</v>
      </c>
    </row>
    <row r="276" spans="1:16" hidden="1" x14ac:dyDescent="0.25">
      <c r="A276">
        <v>275</v>
      </c>
      <c r="B276" t="s">
        <v>346</v>
      </c>
      <c r="C276" t="s">
        <v>392</v>
      </c>
      <c r="D276" t="s">
        <v>411</v>
      </c>
      <c r="E276" t="s">
        <v>80</v>
      </c>
      <c r="F276" t="s">
        <v>394</v>
      </c>
      <c r="G276" t="s">
        <v>122</v>
      </c>
      <c r="H276" t="s">
        <v>388</v>
      </c>
      <c r="I276" t="s">
        <v>141</v>
      </c>
      <c r="J276" t="s">
        <v>412</v>
      </c>
      <c r="K276">
        <v>0</v>
      </c>
      <c r="L276">
        <v>3</v>
      </c>
      <c r="M276">
        <v>7</v>
      </c>
      <c r="N276">
        <v>275</v>
      </c>
      <c r="O276" t="str">
        <f>_xlfn.XLOOKUP(Table4[[#This Row],[id]],VALINA[id],VALINA[name])</f>
        <v>Ingermanland</v>
      </c>
      <c r="P276">
        <f>_xlfn.XLOOKUP(Table4[[#This Row],[id]],prov_color!A:A,prov_color!C:C)</f>
        <v>17</v>
      </c>
    </row>
    <row r="277" spans="1:16" hidden="1" x14ac:dyDescent="0.25">
      <c r="A277">
        <v>276</v>
      </c>
      <c r="B277" t="s">
        <v>346</v>
      </c>
      <c r="C277" t="s">
        <v>392</v>
      </c>
      <c r="D277" t="s">
        <v>411</v>
      </c>
      <c r="E277" t="s">
        <v>22</v>
      </c>
      <c r="F277" t="s">
        <v>349</v>
      </c>
      <c r="G277" t="s">
        <v>122</v>
      </c>
      <c r="H277" t="s">
        <v>388</v>
      </c>
      <c r="I277" t="s">
        <v>43</v>
      </c>
      <c r="J277" t="s">
        <v>413</v>
      </c>
      <c r="K277">
        <v>0</v>
      </c>
      <c r="L277">
        <v>3</v>
      </c>
      <c r="M277">
        <v>6</v>
      </c>
      <c r="N277">
        <v>276</v>
      </c>
      <c r="O277" t="str">
        <f>_xlfn.XLOOKUP(Table4[[#This Row],[id]],VALINA[id],VALINA[name])</f>
        <v>Estland</v>
      </c>
      <c r="P277">
        <f>_xlfn.XLOOKUP(Table4[[#This Row],[id]],prov_color!A:A,prov_color!C:C)</f>
        <v>19</v>
      </c>
    </row>
    <row r="278" spans="1:16" hidden="1" x14ac:dyDescent="0.25">
      <c r="A278">
        <v>277</v>
      </c>
      <c r="B278" t="s">
        <v>346</v>
      </c>
      <c r="C278" t="s">
        <v>392</v>
      </c>
      <c r="D278" t="s">
        <v>402</v>
      </c>
      <c r="E278" t="s">
        <v>22</v>
      </c>
      <c r="F278" t="s">
        <v>394</v>
      </c>
      <c r="G278" t="s">
        <v>122</v>
      </c>
      <c r="H278" t="s">
        <v>403</v>
      </c>
      <c r="I278" t="s">
        <v>43</v>
      </c>
      <c r="J278" t="s">
        <v>414</v>
      </c>
      <c r="K278">
        <v>0</v>
      </c>
      <c r="L278">
        <v>5</v>
      </c>
      <c r="M278">
        <v>5</v>
      </c>
      <c r="N278">
        <v>277</v>
      </c>
      <c r="O278" t="str">
        <f>_xlfn.XLOOKUP(Table4[[#This Row],[id]],VALINA[id],VALINA[name])</f>
        <v>Pskov</v>
      </c>
      <c r="P278">
        <f>_xlfn.XLOOKUP(Table4[[#This Row],[id]],prov_color!A:A,prov_color!C:C)</f>
        <v>20</v>
      </c>
    </row>
    <row r="279" spans="1:16" hidden="1" x14ac:dyDescent="0.25">
      <c r="A279">
        <v>278</v>
      </c>
      <c r="B279" t="s">
        <v>346</v>
      </c>
      <c r="C279" t="s">
        <v>392</v>
      </c>
      <c r="D279" t="s">
        <v>402</v>
      </c>
      <c r="E279" t="s">
        <v>22</v>
      </c>
      <c r="F279" t="s">
        <v>394</v>
      </c>
      <c r="G279" t="s">
        <v>122</v>
      </c>
      <c r="H279" t="s">
        <v>403</v>
      </c>
      <c r="I279" t="s">
        <v>43</v>
      </c>
      <c r="J279" t="s">
        <v>415</v>
      </c>
      <c r="K279">
        <v>0</v>
      </c>
      <c r="L279">
        <v>5</v>
      </c>
      <c r="M279">
        <v>5</v>
      </c>
      <c r="N279">
        <v>278</v>
      </c>
      <c r="O279" t="str">
        <f>_xlfn.XLOOKUP(Table4[[#This Row],[id]],VALINA[id],VALINA[name])</f>
        <v>Tver</v>
      </c>
      <c r="P279">
        <f>_xlfn.XLOOKUP(Table4[[#This Row],[id]],prov_color!A:A,prov_color!C:C)</f>
        <v>28</v>
      </c>
    </row>
    <row r="280" spans="1:16" hidden="1" x14ac:dyDescent="0.25">
      <c r="A280">
        <v>279</v>
      </c>
      <c r="B280" t="s">
        <v>346</v>
      </c>
      <c r="C280" t="s">
        <v>392</v>
      </c>
      <c r="D280" t="s">
        <v>402</v>
      </c>
      <c r="E280" t="s">
        <v>22</v>
      </c>
      <c r="F280" t="s">
        <v>394</v>
      </c>
      <c r="G280" t="s">
        <v>122</v>
      </c>
      <c r="H280" t="s">
        <v>403</v>
      </c>
      <c r="I280" t="s">
        <v>43</v>
      </c>
      <c r="J280" t="s">
        <v>416</v>
      </c>
      <c r="K280">
        <v>0</v>
      </c>
      <c r="L280">
        <v>6</v>
      </c>
      <c r="M280">
        <v>6</v>
      </c>
      <c r="N280">
        <v>279</v>
      </c>
      <c r="O280" t="str">
        <f>_xlfn.XLOOKUP(Table4[[#This Row],[id]],VALINA[id],VALINA[name])</f>
        <v>Tula</v>
      </c>
      <c r="P280">
        <f>_xlfn.XLOOKUP(Table4[[#This Row],[id]],prov_color!A:A,prov_color!C:C)</f>
        <v>38</v>
      </c>
    </row>
    <row r="281" spans="1:16" hidden="1" x14ac:dyDescent="0.25">
      <c r="A281">
        <v>280</v>
      </c>
      <c r="B281" t="s">
        <v>346</v>
      </c>
      <c r="C281" t="s">
        <v>392</v>
      </c>
      <c r="D281" t="s">
        <v>402</v>
      </c>
      <c r="E281" t="s">
        <v>22</v>
      </c>
      <c r="F281" t="s">
        <v>394</v>
      </c>
      <c r="G281" t="s">
        <v>122</v>
      </c>
      <c r="H281" t="s">
        <v>403</v>
      </c>
      <c r="I281" t="s">
        <v>43</v>
      </c>
      <c r="J281" t="s">
        <v>417</v>
      </c>
      <c r="K281">
        <v>0</v>
      </c>
      <c r="L281">
        <v>5</v>
      </c>
      <c r="M281">
        <v>6</v>
      </c>
      <c r="N281">
        <v>280</v>
      </c>
      <c r="O281" t="str">
        <f>_xlfn.XLOOKUP(Table4[[#This Row],[id]],VALINA[id],VALINA[name])</f>
        <v>Welikia</v>
      </c>
      <c r="P281">
        <f>_xlfn.XLOOKUP(Table4[[#This Row],[id]],prov_color!A:A,prov_color!C:C)</f>
        <v>33</v>
      </c>
    </row>
    <row r="282" spans="1:16" hidden="1" x14ac:dyDescent="0.25">
      <c r="A282">
        <v>281</v>
      </c>
      <c r="B282" t="s">
        <v>346</v>
      </c>
      <c r="C282" t="s">
        <v>392</v>
      </c>
      <c r="D282" t="s">
        <v>402</v>
      </c>
      <c r="E282" t="s">
        <v>22</v>
      </c>
      <c r="F282" t="s">
        <v>394</v>
      </c>
      <c r="G282" t="s">
        <v>122</v>
      </c>
      <c r="H282" t="s">
        <v>418</v>
      </c>
      <c r="I282" t="s">
        <v>141</v>
      </c>
      <c r="J282" t="s">
        <v>419</v>
      </c>
      <c r="K282">
        <v>0</v>
      </c>
      <c r="L282">
        <v>5</v>
      </c>
      <c r="M282">
        <v>5</v>
      </c>
      <c r="N282">
        <v>281</v>
      </c>
      <c r="O282" t="str">
        <f>_xlfn.XLOOKUP(Table4[[#This Row],[id]],VALINA[id],VALINA[name])</f>
        <v>Polotsk</v>
      </c>
      <c r="P282">
        <f>_xlfn.XLOOKUP(Table4[[#This Row],[id]],prov_color!A:A,prov_color!C:C)</f>
        <v>23</v>
      </c>
    </row>
    <row r="283" spans="1:16" hidden="1" x14ac:dyDescent="0.25">
      <c r="A283">
        <v>282</v>
      </c>
      <c r="B283" t="s">
        <v>346</v>
      </c>
      <c r="C283" t="s">
        <v>392</v>
      </c>
      <c r="D283" t="s">
        <v>411</v>
      </c>
      <c r="E283" t="s">
        <v>80</v>
      </c>
      <c r="F283" t="s">
        <v>349</v>
      </c>
      <c r="G283" t="s">
        <v>26</v>
      </c>
      <c r="H283" t="s">
        <v>388</v>
      </c>
      <c r="I283" t="s">
        <v>43</v>
      </c>
      <c r="J283" t="s">
        <v>420</v>
      </c>
      <c r="K283">
        <v>0</v>
      </c>
      <c r="L283">
        <v>5</v>
      </c>
      <c r="M283">
        <v>6</v>
      </c>
      <c r="N283">
        <v>282</v>
      </c>
      <c r="O283" t="str">
        <f>_xlfn.XLOOKUP(Table4[[#This Row],[id]],VALINA[id],VALINA[name])</f>
        <v>Livland</v>
      </c>
      <c r="P283">
        <f>_xlfn.XLOOKUP(Table4[[#This Row],[id]],prov_color!A:A,prov_color!C:C)</f>
        <v>24</v>
      </c>
    </row>
    <row r="284" spans="1:16" hidden="1" x14ac:dyDescent="0.25">
      <c r="A284">
        <v>283</v>
      </c>
      <c r="B284" t="s">
        <v>346</v>
      </c>
      <c r="C284" t="s">
        <v>392</v>
      </c>
      <c r="D284" t="s">
        <v>411</v>
      </c>
      <c r="E284" t="s">
        <v>22</v>
      </c>
      <c r="F284" t="s">
        <v>349</v>
      </c>
      <c r="G284" t="s">
        <v>26</v>
      </c>
      <c r="H284" t="s">
        <v>421</v>
      </c>
      <c r="I284" t="s">
        <v>43</v>
      </c>
      <c r="J284" t="s">
        <v>422</v>
      </c>
      <c r="K284">
        <v>0</v>
      </c>
      <c r="L284">
        <v>4</v>
      </c>
      <c r="M284">
        <v>7</v>
      </c>
      <c r="N284">
        <v>283</v>
      </c>
      <c r="O284" t="str">
        <f>_xlfn.XLOOKUP(Table4[[#This Row],[id]],VALINA[id],VALINA[name])</f>
        <v>Kurland</v>
      </c>
      <c r="P284">
        <f>_xlfn.XLOOKUP(Table4[[#This Row],[id]],prov_color!A:A,prov_color!C:C)</f>
        <v>24</v>
      </c>
    </row>
    <row r="285" spans="1:16" hidden="1" x14ac:dyDescent="0.25">
      <c r="A285">
        <v>284</v>
      </c>
      <c r="B285" t="s">
        <v>346</v>
      </c>
      <c r="C285" t="s">
        <v>392</v>
      </c>
      <c r="D285" t="s">
        <v>402</v>
      </c>
      <c r="E285" t="s">
        <v>22</v>
      </c>
      <c r="F285" t="s">
        <v>394</v>
      </c>
      <c r="G285" t="s">
        <v>122</v>
      </c>
      <c r="H285" t="s">
        <v>418</v>
      </c>
      <c r="I285" t="s">
        <v>29</v>
      </c>
      <c r="J285" t="s">
        <v>423</v>
      </c>
      <c r="K285">
        <v>0</v>
      </c>
      <c r="L285">
        <v>5</v>
      </c>
      <c r="M285">
        <v>8</v>
      </c>
      <c r="N285">
        <v>284</v>
      </c>
      <c r="O285" t="str">
        <f>_xlfn.XLOOKUP(Table4[[#This Row],[id]],VALINA[id],VALINA[name])</f>
        <v>Belarus</v>
      </c>
      <c r="P285">
        <f>_xlfn.XLOOKUP(Table4[[#This Row],[id]],prov_color!A:A,prov_color!C:C)</f>
        <v>35</v>
      </c>
    </row>
    <row r="286" spans="1:16" hidden="1" x14ac:dyDescent="0.25">
      <c r="A286">
        <v>285</v>
      </c>
      <c r="B286" t="s">
        <v>346</v>
      </c>
      <c r="C286" t="s">
        <v>392</v>
      </c>
      <c r="D286" t="s">
        <v>402</v>
      </c>
      <c r="E286" t="s">
        <v>34</v>
      </c>
      <c r="F286" t="s">
        <v>394</v>
      </c>
      <c r="G286" t="s">
        <v>122</v>
      </c>
      <c r="H286" t="s">
        <v>403</v>
      </c>
      <c r="I286" t="s">
        <v>43</v>
      </c>
      <c r="J286" t="s">
        <v>424</v>
      </c>
      <c r="K286">
        <v>0</v>
      </c>
      <c r="L286">
        <v>5</v>
      </c>
      <c r="M286">
        <v>6</v>
      </c>
      <c r="N286">
        <v>285</v>
      </c>
      <c r="O286" t="str">
        <f>_xlfn.XLOOKUP(Table4[[#This Row],[id]],VALINA[id],VALINA[name])</f>
        <v>Smolensk</v>
      </c>
      <c r="P286">
        <f>_xlfn.XLOOKUP(Table4[[#This Row],[id]],prov_color!A:A,prov_color!C:C)</f>
        <v>29</v>
      </c>
    </row>
    <row r="287" spans="1:16" hidden="1" x14ac:dyDescent="0.25">
      <c r="A287">
        <v>286</v>
      </c>
      <c r="B287" t="s">
        <v>346</v>
      </c>
      <c r="C287" t="s">
        <v>392</v>
      </c>
      <c r="D287" t="s">
        <v>402</v>
      </c>
      <c r="E287" t="s">
        <v>34</v>
      </c>
      <c r="F287" t="s">
        <v>394</v>
      </c>
      <c r="G287" t="s">
        <v>122</v>
      </c>
      <c r="H287" t="s">
        <v>403</v>
      </c>
      <c r="I287" t="s">
        <v>43</v>
      </c>
      <c r="J287" t="s">
        <v>425</v>
      </c>
      <c r="K287">
        <v>0</v>
      </c>
      <c r="L287">
        <v>5</v>
      </c>
      <c r="M287">
        <v>4</v>
      </c>
      <c r="N287">
        <v>286</v>
      </c>
      <c r="O287" t="str">
        <f>_xlfn.XLOOKUP(Table4[[#This Row],[id]],VALINA[id],VALINA[name])</f>
        <v>Kursk</v>
      </c>
      <c r="P287">
        <f>_xlfn.XLOOKUP(Table4[[#This Row],[id]],prov_color!A:A,prov_color!C:C)</f>
        <v>47</v>
      </c>
    </row>
    <row r="288" spans="1:16" hidden="1" x14ac:dyDescent="0.25">
      <c r="A288">
        <v>287</v>
      </c>
      <c r="B288" t="s">
        <v>346</v>
      </c>
      <c r="C288" t="s">
        <v>392</v>
      </c>
      <c r="D288" t="s">
        <v>402</v>
      </c>
      <c r="E288" t="s">
        <v>34</v>
      </c>
      <c r="F288" t="s">
        <v>394</v>
      </c>
      <c r="G288" t="s">
        <v>122</v>
      </c>
      <c r="H288" t="s">
        <v>418</v>
      </c>
      <c r="I288" t="s">
        <v>41</v>
      </c>
      <c r="J288" t="s">
        <v>426</v>
      </c>
      <c r="K288">
        <v>0</v>
      </c>
      <c r="L288">
        <v>5</v>
      </c>
      <c r="M288">
        <v>3</v>
      </c>
      <c r="N288">
        <v>287</v>
      </c>
      <c r="O288" t="str">
        <f>_xlfn.XLOOKUP(Table4[[#This Row],[id]],VALINA[id],VALINA[name])</f>
        <v>Mozyr</v>
      </c>
      <c r="P288">
        <f>_xlfn.XLOOKUP(Table4[[#This Row],[id]],prov_color!A:A,prov_color!C:C)</f>
        <v>36</v>
      </c>
    </row>
    <row r="289" spans="1:16" hidden="1" x14ac:dyDescent="0.25">
      <c r="A289">
        <v>288</v>
      </c>
      <c r="B289" t="s">
        <v>346</v>
      </c>
      <c r="C289" t="s">
        <v>392</v>
      </c>
      <c r="D289" t="s">
        <v>427</v>
      </c>
      <c r="E289" t="s">
        <v>22</v>
      </c>
      <c r="F289" t="s">
        <v>349</v>
      </c>
      <c r="G289" t="s">
        <v>122</v>
      </c>
      <c r="H289" t="s">
        <v>418</v>
      </c>
      <c r="I289" t="s">
        <v>43</v>
      </c>
      <c r="J289" t="s">
        <v>428</v>
      </c>
      <c r="K289">
        <v>0</v>
      </c>
      <c r="L289">
        <v>5</v>
      </c>
      <c r="M289">
        <v>8</v>
      </c>
      <c r="N289">
        <v>288</v>
      </c>
      <c r="O289" t="str">
        <f>_xlfn.XLOOKUP(Table4[[#This Row],[id]],VALINA[id],VALINA[name])</f>
        <v>Lithuania</v>
      </c>
      <c r="P289">
        <f>_xlfn.XLOOKUP(Table4[[#This Row],[id]],prov_color!A:A,prov_color!C:C)</f>
        <v>40</v>
      </c>
    </row>
    <row r="290" spans="1:16" hidden="1" x14ac:dyDescent="0.25">
      <c r="A290">
        <v>289</v>
      </c>
      <c r="B290" t="s">
        <v>346</v>
      </c>
      <c r="C290" t="s">
        <v>392</v>
      </c>
      <c r="D290" t="s">
        <v>411</v>
      </c>
      <c r="E290" t="s">
        <v>80</v>
      </c>
      <c r="F290" t="s">
        <v>349</v>
      </c>
      <c r="G290" t="s">
        <v>26</v>
      </c>
      <c r="H290" t="s">
        <v>421</v>
      </c>
      <c r="I290" t="s">
        <v>43</v>
      </c>
      <c r="J290" t="s">
        <v>429</v>
      </c>
      <c r="K290">
        <v>0</v>
      </c>
      <c r="L290">
        <v>4</v>
      </c>
      <c r="M290">
        <v>6</v>
      </c>
      <c r="N290">
        <v>289</v>
      </c>
      <c r="O290" t="str">
        <f>_xlfn.XLOOKUP(Table4[[#This Row],[id]],VALINA[id],VALINA[name])</f>
        <v>Memel</v>
      </c>
      <c r="P290">
        <f>_xlfn.XLOOKUP(Table4[[#This Row],[id]],prov_color!A:A,prov_color!C:C)</f>
        <v>26</v>
      </c>
    </row>
    <row r="291" spans="1:16" hidden="1" x14ac:dyDescent="0.25">
      <c r="A291">
        <v>290</v>
      </c>
      <c r="B291" t="s">
        <v>346</v>
      </c>
      <c r="C291" t="s">
        <v>392</v>
      </c>
      <c r="D291" t="s">
        <v>411</v>
      </c>
      <c r="E291" t="s">
        <v>22</v>
      </c>
      <c r="F291" t="s">
        <v>349</v>
      </c>
      <c r="G291" t="s">
        <v>26</v>
      </c>
      <c r="H291" t="s">
        <v>421</v>
      </c>
      <c r="I291" t="s">
        <v>29</v>
      </c>
      <c r="J291" t="s">
        <v>430</v>
      </c>
      <c r="K291">
        <v>0</v>
      </c>
      <c r="L291">
        <v>4</v>
      </c>
      <c r="M291">
        <v>8</v>
      </c>
      <c r="N291">
        <v>290</v>
      </c>
      <c r="O291" t="str">
        <f>_xlfn.XLOOKUP(Table4[[#This Row],[id]],VALINA[id],VALINA[name])</f>
        <v>Prussia</v>
      </c>
      <c r="P291">
        <f>_xlfn.XLOOKUP(Table4[[#This Row],[id]],prov_color!A:A,prov_color!C:C)</f>
        <v>20</v>
      </c>
    </row>
    <row r="292" spans="1:16" hidden="1" x14ac:dyDescent="0.25">
      <c r="A292">
        <v>291</v>
      </c>
      <c r="B292" t="s">
        <v>346</v>
      </c>
      <c r="C292" t="s">
        <v>392</v>
      </c>
      <c r="D292" t="s">
        <v>427</v>
      </c>
      <c r="E292" t="s">
        <v>22</v>
      </c>
      <c r="F292" t="s">
        <v>349</v>
      </c>
      <c r="G292" t="s">
        <v>26</v>
      </c>
      <c r="H292" t="s">
        <v>431</v>
      </c>
      <c r="I292" t="s">
        <v>352</v>
      </c>
      <c r="J292" t="s">
        <v>432</v>
      </c>
      <c r="K292">
        <v>0</v>
      </c>
      <c r="L292">
        <v>6</v>
      </c>
      <c r="M292">
        <v>10</v>
      </c>
      <c r="N292">
        <v>291</v>
      </c>
      <c r="O292" t="str">
        <f>_xlfn.XLOOKUP(Table4[[#This Row],[id]],VALINA[id],VALINA[name])</f>
        <v>Mazovia</v>
      </c>
      <c r="P292">
        <f>_xlfn.XLOOKUP(Table4[[#This Row],[id]],prov_color!A:A,prov_color!C:C)</f>
        <v>23</v>
      </c>
    </row>
    <row r="293" spans="1:16" hidden="1" x14ac:dyDescent="0.25">
      <c r="A293">
        <v>292</v>
      </c>
      <c r="B293" t="s">
        <v>346</v>
      </c>
      <c r="C293" t="s">
        <v>392</v>
      </c>
      <c r="D293" t="s">
        <v>427</v>
      </c>
      <c r="E293" t="s">
        <v>80</v>
      </c>
      <c r="F293" t="s">
        <v>349</v>
      </c>
      <c r="G293" t="s">
        <v>122</v>
      </c>
      <c r="H293" t="s">
        <v>431</v>
      </c>
      <c r="I293" t="s">
        <v>43</v>
      </c>
      <c r="J293" t="s">
        <v>433</v>
      </c>
      <c r="K293">
        <v>0</v>
      </c>
      <c r="L293">
        <v>4</v>
      </c>
      <c r="M293">
        <v>6</v>
      </c>
      <c r="N293">
        <v>292</v>
      </c>
      <c r="O293" t="str">
        <f>_xlfn.XLOOKUP(Table4[[#This Row],[id]],VALINA[id],VALINA[name])</f>
        <v>Podlasia</v>
      </c>
      <c r="P293">
        <f>_xlfn.XLOOKUP(Table4[[#This Row],[id]],prov_color!A:A,prov_color!C:C)</f>
        <v>31</v>
      </c>
    </row>
    <row r="294" spans="1:16" hidden="1" x14ac:dyDescent="0.25">
      <c r="A294">
        <v>293</v>
      </c>
      <c r="B294" t="s">
        <v>346</v>
      </c>
      <c r="C294" t="s">
        <v>392</v>
      </c>
      <c r="D294" t="s">
        <v>427</v>
      </c>
      <c r="E294" t="s">
        <v>80</v>
      </c>
      <c r="F294" t="s">
        <v>349</v>
      </c>
      <c r="G294" t="s">
        <v>122</v>
      </c>
      <c r="H294" t="s">
        <v>418</v>
      </c>
      <c r="I294" t="s">
        <v>41</v>
      </c>
      <c r="J294" t="s">
        <v>434</v>
      </c>
      <c r="K294">
        <v>0</v>
      </c>
      <c r="L294">
        <v>4</v>
      </c>
      <c r="M294">
        <v>3</v>
      </c>
      <c r="N294">
        <v>293</v>
      </c>
      <c r="O294" t="str">
        <f>_xlfn.XLOOKUP(Table4[[#This Row],[id]],VALINA[id],VALINA[name])</f>
        <v>Volyn</v>
      </c>
      <c r="P294">
        <f>_xlfn.XLOOKUP(Table4[[#This Row],[id]],prov_color!A:A,prov_color!C:C)</f>
        <v>32</v>
      </c>
    </row>
    <row r="295" spans="1:16" hidden="1" x14ac:dyDescent="0.25">
      <c r="A295">
        <v>294</v>
      </c>
      <c r="B295" t="s">
        <v>346</v>
      </c>
      <c r="C295" t="s">
        <v>392</v>
      </c>
      <c r="D295" t="s">
        <v>435</v>
      </c>
      <c r="E295" t="s">
        <v>34</v>
      </c>
      <c r="F295" t="s">
        <v>394</v>
      </c>
      <c r="G295" t="s">
        <v>122</v>
      </c>
      <c r="H295" t="s">
        <v>436</v>
      </c>
      <c r="I295" t="s">
        <v>141</v>
      </c>
      <c r="J295" t="s">
        <v>437</v>
      </c>
      <c r="K295">
        <v>0</v>
      </c>
      <c r="L295">
        <v>4</v>
      </c>
      <c r="M295">
        <v>6</v>
      </c>
      <c r="N295">
        <v>294</v>
      </c>
      <c r="O295" t="str">
        <f>_xlfn.XLOOKUP(Table4[[#This Row],[id]],VALINA[id],VALINA[name])</f>
        <v>Chernigov</v>
      </c>
      <c r="P295">
        <f>_xlfn.XLOOKUP(Table4[[#This Row],[id]],prov_color!A:A,prov_color!C:C)</f>
        <v>32</v>
      </c>
    </row>
    <row r="296" spans="1:16" hidden="1" x14ac:dyDescent="0.25">
      <c r="A296">
        <v>295</v>
      </c>
      <c r="B296" t="s">
        <v>346</v>
      </c>
      <c r="C296" t="s">
        <v>392</v>
      </c>
      <c r="D296" t="s">
        <v>435</v>
      </c>
      <c r="E296" t="s">
        <v>34</v>
      </c>
      <c r="F296" t="s">
        <v>394</v>
      </c>
      <c r="G296" t="s">
        <v>122</v>
      </c>
      <c r="H296" t="s">
        <v>436</v>
      </c>
      <c r="I296" t="s">
        <v>43</v>
      </c>
      <c r="J296" t="s">
        <v>438</v>
      </c>
      <c r="K296">
        <v>0</v>
      </c>
      <c r="L296">
        <v>8</v>
      </c>
      <c r="M296">
        <v>14</v>
      </c>
      <c r="N296">
        <v>295</v>
      </c>
      <c r="O296" t="str">
        <f>_xlfn.XLOOKUP(Table4[[#This Row],[id]],VALINA[id],VALINA[name])</f>
        <v>Ukraina</v>
      </c>
      <c r="P296">
        <f>_xlfn.XLOOKUP(Table4[[#This Row],[id]],prov_color!A:A,prov_color!C:C)</f>
        <v>45</v>
      </c>
    </row>
    <row r="297" spans="1:16" hidden="1" x14ac:dyDescent="0.25">
      <c r="A297">
        <v>296</v>
      </c>
      <c r="B297" t="s">
        <v>346</v>
      </c>
      <c r="C297" t="s">
        <v>392</v>
      </c>
      <c r="D297" t="s">
        <v>435</v>
      </c>
      <c r="E297" t="s">
        <v>34</v>
      </c>
      <c r="F297" t="s">
        <v>394</v>
      </c>
      <c r="G297" t="s">
        <v>35</v>
      </c>
      <c r="H297" t="s">
        <v>439</v>
      </c>
      <c r="I297" t="s">
        <v>41</v>
      </c>
      <c r="J297" t="s">
        <v>440</v>
      </c>
      <c r="K297">
        <v>0</v>
      </c>
      <c r="L297">
        <v>5</v>
      </c>
      <c r="M297">
        <v>5</v>
      </c>
      <c r="N297">
        <v>296</v>
      </c>
      <c r="O297" t="str">
        <f>_xlfn.XLOOKUP(Table4[[#This Row],[id]],VALINA[id],VALINA[name])</f>
        <v>Jedisan</v>
      </c>
      <c r="P297">
        <f>_xlfn.XLOOKUP(Table4[[#This Row],[id]],prov_color!A:A,prov_color!C:C)</f>
        <v>32</v>
      </c>
    </row>
    <row r="298" spans="1:16" hidden="1" x14ac:dyDescent="0.25">
      <c r="A298">
        <v>297</v>
      </c>
      <c r="B298" t="s">
        <v>346</v>
      </c>
      <c r="C298" t="s">
        <v>392</v>
      </c>
      <c r="D298" t="s">
        <v>435</v>
      </c>
      <c r="E298" t="s">
        <v>34</v>
      </c>
      <c r="F298" t="s">
        <v>394</v>
      </c>
      <c r="G298" t="s">
        <v>122</v>
      </c>
      <c r="H298" t="s">
        <v>436</v>
      </c>
      <c r="I298" t="s">
        <v>43</v>
      </c>
      <c r="J298" t="s">
        <v>441</v>
      </c>
      <c r="K298">
        <v>0</v>
      </c>
      <c r="L298">
        <v>8</v>
      </c>
      <c r="M298">
        <v>12</v>
      </c>
      <c r="N298">
        <v>297</v>
      </c>
      <c r="O298" t="str">
        <f>_xlfn.XLOOKUP(Table4[[#This Row],[id]],VALINA[id],VALINA[name])</f>
        <v>Podolia</v>
      </c>
      <c r="P298">
        <f>_xlfn.XLOOKUP(Table4[[#This Row],[id]],prov_color!A:A,prov_color!C:C)</f>
        <v>31</v>
      </c>
    </row>
    <row r="299" spans="1:16" hidden="1" x14ac:dyDescent="0.25">
      <c r="A299">
        <v>298</v>
      </c>
      <c r="B299" t="s">
        <v>346</v>
      </c>
      <c r="C299" t="s">
        <v>392</v>
      </c>
      <c r="D299" t="s">
        <v>427</v>
      </c>
      <c r="E299" t="s">
        <v>34</v>
      </c>
      <c r="F299" t="s">
        <v>349</v>
      </c>
      <c r="G299" t="s">
        <v>122</v>
      </c>
      <c r="H299" t="s">
        <v>431</v>
      </c>
      <c r="I299" t="s">
        <v>43</v>
      </c>
      <c r="J299" t="s">
        <v>442</v>
      </c>
      <c r="K299">
        <v>0</v>
      </c>
      <c r="L299">
        <v>5</v>
      </c>
      <c r="M299">
        <v>9</v>
      </c>
      <c r="N299">
        <v>298</v>
      </c>
      <c r="O299" t="str">
        <f>_xlfn.XLOOKUP(Table4[[#This Row],[id]],VALINA[id],VALINA[name])</f>
        <v>Galizien</v>
      </c>
      <c r="P299">
        <f>_xlfn.XLOOKUP(Table4[[#This Row],[id]],prov_color!A:A,prov_color!C:C)</f>
        <v>40</v>
      </c>
    </row>
    <row r="300" spans="1:16" hidden="1" x14ac:dyDescent="0.25">
      <c r="A300">
        <v>299</v>
      </c>
      <c r="B300" t="s">
        <v>346</v>
      </c>
      <c r="C300" t="s">
        <v>392</v>
      </c>
      <c r="D300" t="s">
        <v>427</v>
      </c>
      <c r="E300" t="s">
        <v>22</v>
      </c>
      <c r="F300" t="s">
        <v>349</v>
      </c>
      <c r="G300" t="s">
        <v>26</v>
      </c>
      <c r="H300" t="s">
        <v>431</v>
      </c>
      <c r="I300" t="s">
        <v>352</v>
      </c>
      <c r="J300" t="s">
        <v>443</v>
      </c>
      <c r="K300">
        <v>0</v>
      </c>
      <c r="L300">
        <v>7</v>
      </c>
      <c r="M300">
        <v>13</v>
      </c>
      <c r="N300">
        <v>299</v>
      </c>
      <c r="O300" t="str">
        <f>_xlfn.XLOOKUP(Table4[[#This Row],[id]],VALINA[id],VALINA[name])</f>
        <v>Krakow</v>
      </c>
      <c r="P300">
        <f>_xlfn.XLOOKUP(Table4[[#This Row],[id]],prov_color!A:A,prov_color!C:C)</f>
        <v>23</v>
      </c>
    </row>
    <row r="301" spans="1:16" hidden="1" x14ac:dyDescent="0.25">
      <c r="A301">
        <v>300</v>
      </c>
      <c r="B301" t="s">
        <v>346</v>
      </c>
      <c r="C301" t="s">
        <v>392</v>
      </c>
      <c r="D301" t="s">
        <v>427</v>
      </c>
      <c r="E301" t="s">
        <v>34</v>
      </c>
      <c r="F301" t="s">
        <v>349</v>
      </c>
      <c r="G301" t="s">
        <v>26</v>
      </c>
      <c r="H301" t="s">
        <v>431</v>
      </c>
      <c r="I301" t="s">
        <v>352</v>
      </c>
      <c r="J301" t="s">
        <v>444</v>
      </c>
      <c r="K301">
        <v>0</v>
      </c>
      <c r="L301">
        <v>6</v>
      </c>
      <c r="M301">
        <v>12</v>
      </c>
      <c r="N301">
        <v>300</v>
      </c>
      <c r="O301" t="str">
        <f>_xlfn.XLOOKUP(Table4[[#This Row],[id]],VALINA[id],VALINA[name])</f>
        <v>Wielkopolska</v>
      </c>
      <c r="P301">
        <f>_xlfn.XLOOKUP(Table4[[#This Row],[id]],prov_color!A:A,prov_color!C:C)</f>
        <v>32</v>
      </c>
    </row>
    <row r="302" spans="1:16" hidden="1" x14ac:dyDescent="0.25">
      <c r="A302">
        <v>301</v>
      </c>
      <c r="B302" t="s">
        <v>346</v>
      </c>
      <c r="C302" t="s">
        <v>392</v>
      </c>
      <c r="D302" t="s">
        <v>411</v>
      </c>
      <c r="E302" t="s">
        <v>80</v>
      </c>
      <c r="F302" t="s">
        <v>349</v>
      </c>
      <c r="G302" t="s">
        <v>26</v>
      </c>
      <c r="H302" t="s">
        <v>445</v>
      </c>
      <c r="I302" t="s">
        <v>43</v>
      </c>
      <c r="J302" t="s">
        <v>446</v>
      </c>
      <c r="K302">
        <v>0</v>
      </c>
      <c r="L302">
        <v>5</v>
      </c>
      <c r="M302">
        <v>12</v>
      </c>
      <c r="N302">
        <v>301</v>
      </c>
      <c r="O302" t="str">
        <f>_xlfn.XLOOKUP(Table4[[#This Row],[id]],VALINA[id],VALINA[name])</f>
        <v>Danzig</v>
      </c>
      <c r="P302">
        <f>_xlfn.XLOOKUP(Table4[[#This Row],[id]],prov_color!A:A,prov_color!C:C)</f>
        <v>15</v>
      </c>
    </row>
    <row r="303" spans="1:16" hidden="1" x14ac:dyDescent="0.25">
      <c r="A303">
        <v>302</v>
      </c>
      <c r="B303" t="s">
        <v>346</v>
      </c>
      <c r="C303" t="s">
        <v>447</v>
      </c>
      <c r="D303" t="s">
        <v>448</v>
      </c>
      <c r="E303" t="s">
        <v>80</v>
      </c>
      <c r="F303" t="s">
        <v>349</v>
      </c>
      <c r="G303" t="s">
        <v>26</v>
      </c>
      <c r="H303" t="s">
        <v>445</v>
      </c>
      <c r="I303" t="s">
        <v>53</v>
      </c>
      <c r="J303" t="s">
        <v>449</v>
      </c>
      <c r="K303">
        <v>0</v>
      </c>
      <c r="L303">
        <v>4</v>
      </c>
      <c r="M303">
        <v>6</v>
      </c>
      <c r="N303">
        <v>302</v>
      </c>
      <c r="O303" t="str">
        <f>_xlfn.XLOOKUP(Table4[[#This Row],[id]],VALINA[id],VALINA[name])</f>
        <v>Hinterpommern</v>
      </c>
      <c r="P303">
        <f>_xlfn.XLOOKUP(Table4[[#This Row],[id]],prov_color!A:A,prov_color!C:C)</f>
        <v>16</v>
      </c>
    </row>
    <row r="304" spans="1:16" hidden="1" x14ac:dyDescent="0.25">
      <c r="A304">
        <v>303</v>
      </c>
      <c r="B304" t="s">
        <v>346</v>
      </c>
      <c r="C304" t="s">
        <v>392</v>
      </c>
      <c r="D304" t="s">
        <v>427</v>
      </c>
      <c r="E304" t="s">
        <v>22</v>
      </c>
      <c r="F304" t="s">
        <v>349</v>
      </c>
      <c r="G304" t="s">
        <v>26</v>
      </c>
      <c r="H304" t="s">
        <v>431</v>
      </c>
      <c r="I304" t="s">
        <v>53</v>
      </c>
      <c r="J304" t="s">
        <v>450</v>
      </c>
      <c r="K304">
        <v>0</v>
      </c>
      <c r="L304">
        <v>5</v>
      </c>
      <c r="M304">
        <v>7</v>
      </c>
      <c r="N304">
        <v>303</v>
      </c>
      <c r="O304" t="str">
        <f>_xlfn.XLOOKUP(Table4[[#This Row],[id]],VALINA[id],VALINA[name])</f>
        <v>Poznan</v>
      </c>
      <c r="P304">
        <f>_xlfn.XLOOKUP(Table4[[#This Row],[id]],prov_color!A:A,prov_color!C:C)</f>
        <v>32</v>
      </c>
    </row>
    <row r="305" spans="1:16" hidden="1" x14ac:dyDescent="0.25">
      <c r="A305">
        <v>304</v>
      </c>
      <c r="B305" t="s">
        <v>346</v>
      </c>
      <c r="C305" t="s">
        <v>447</v>
      </c>
      <c r="D305" t="s">
        <v>448</v>
      </c>
      <c r="E305" t="s">
        <v>80</v>
      </c>
      <c r="F305" t="s">
        <v>349</v>
      </c>
      <c r="G305" t="s">
        <v>26</v>
      </c>
      <c r="H305" t="s">
        <v>445</v>
      </c>
      <c r="I305" t="s">
        <v>29</v>
      </c>
      <c r="J305" t="s">
        <v>451</v>
      </c>
      <c r="K305">
        <v>0</v>
      </c>
      <c r="L305">
        <v>4</v>
      </c>
      <c r="M305">
        <v>7</v>
      </c>
      <c r="N305">
        <v>304</v>
      </c>
      <c r="O305" t="str">
        <f>_xlfn.XLOOKUP(Table4[[#This Row],[id]],VALINA[id],VALINA[name])</f>
        <v>Vorpommern</v>
      </c>
      <c r="P305">
        <f>_xlfn.XLOOKUP(Table4[[#This Row],[id]],prov_color!A:A,prov_color!C:C)</f>
        <v>14</v>
      </c>
    </row>
    <row r="306" spans="1:16" hidden="1" x14ac:dyDescent="0.25">
      <c r="A306">
        <v>305</v>
      </c>
      <c r="B306" t="s">
        <v>346</v>
      </c>
      <c r="C306" t="s">
        <v>447</v>
      </c>
      <c r="D306" t="s">
        <v>448</v>
      </c>
      <c r="E306" t="s">
        <v>34</v>
      </c>
      <c r="F306" t="s">
        <v>349</v>
      </c>
      <c r="G306" t="s">
        <v>35</v>
      </c>
      <c r="H306" t="s">
        <v>445</v>
      </c>
      <c r="I306" t="s">
        <v>29</v>
      </c>
      <c r="J306" t="s">
        <v>452</v>
      </c>
      <c r="K306">
        <v>0</v>
      </c>
      <c r="L306">
        <v>6</v>
      </c>
      <c r="M306">
        <v>10</v>
      </c>
      <c r="N306">
        <v>305</v>
      </c>
      <c r="O306" t="str">
        <f>_xlfn.XLOOKUP(Table4[[#This Row],[id]],VALINA[id],VALINA[name])</f>
        <v>Mecklemburg</v>
      </c>
      <c r="P306">
        <f>_xlfn.XLOOKUP(Table4[[#This Row],[id]],prov_color!A:A,prov_color!C:C)</f>
        <v>11</v>
      </c>
    </row>
    <row r="307" spans="1:16" hidden="1" x14ac:dyDescent="0.25">
      <c r="A307">
        <v>306</v>
      </c>
      <c r="B307" t="s">
        <v>346</v>
      </c>
      <c r="C307" t="s">
        <v>447</v>
      </c>
      <c r="D307" t="s">
        <v>448</v>
      </c>
      <c r="E307" t="s">
        <v>34</v>
      </c>
      <c r="F307" t="s">
        <v>349</v>
      </c>
      <c r="G307" t="s">
        <v>26</v>
      </c>
      <c r="H307" t="s">
        <v>445</v>
      </c>
      <c r="I307" t="s">
        <v>27</v>
      </c>
      <c r="J307" t="s">
        <v>453</v>
      </c>
      <c r="K307">
        <v>0</v>
      </c>
      <c r="L307">
        <v>5</v>
      </c>
      <c r="M307">
        <v>13</v>
      </c>
      <c r="N307">
        <v>306</v>
      </c>
      <c r="O307" t="str">
        <f>_xlfn.XLOOKUP(Table4[[#This Row],[id]],VALINA[id],VALINA[name])</f>
        <v>Holstein</v>
      </c>
      <c r="P307">
        <f>_xlfn.XLOOKUP(Table4[[#This Row],[id]],prov_color!A:A,prov_color!C:C)</f>
        <v>12</v>
      </c>
    </row>
    <row r="308" spans="1:16" hidden="1" x14ac:dyDescent="0.25">
      <c r="A308">
        <v>307</v>
      </c>
      <c r="B308" t="s">
        <v>346</v>
      </c>
      <c r="C308" t="s">
        <v>375</v>
      </c>
      <c r="D308" t="s">
        <v>376</v>
      </c>
      <c r="E308" t="s">
        <v>34</v>
      </c>
      <c r="F308" t="s">
        <v>349</v>
      </c>
      <c r="G308" t="s">
        <v>35</v>
      </c>
      <c r="H308" t="s">
        <v>377</v>
      </c>
      <c r="I308" t="s">
        <v>27</v>
      </c>
      <c r="J308" t="s">
        <v>454</v>
      </c>
      <c r="K308">
        <v>0</v>
      </c>
      <c r="L308">
        <v>6</v>
      </c>
      <c r="M308">
        <v>16</v>
      </c>
      <c r="N308">
        <v>307</v>
      </c>
      <c r="O308" t="str">
        <f>_xlfn.XLOOKUP(Table4[[#This Row],[id]],VALINA[id],VALINA[name])</f>
        <v>Sj�lland</v>
      </c>
      <c r="P308">
        <f>_xlfn.XLOOKUP(Table4[[#This Row],[id]],prov_color!A:A,prov_color!C:C)</f>
        <v>8</v>
      </c>
    </row>
    <row r="309" spans="1:16" hidden="1" x14ac:dyDescent="0.25">
      <c r="A309">
        <v>308</v>
      </c>
      <c r="B309" t="s">
        <v>346</v>
      </c>
      <c r="C309" t="s">
        <v>375</v>
      </c>
      <c r="D309" t="s">
        <v>376</v>
      </c>
      <c r="E309" t="s">
        <v>22</v>
      </c>
      <c r="F309" t="s">
        <v>349</v>
      </c>
      <c r="G309" t="s">
        <v>26</v>
      </c>
      <c r="H309" t="s">
        <v>377</v>
      </c>
      <c r="I309" t="s">
        <v>27</v>
      </c>
      <c r="J309" t="s">
        <v>455</v>
      </c>
      <c r="K309">
        <v>0</v>
      </c>
      <c r="L309">
        <v>2</v>
      </c>
      <c r="M309">
        <v>8</v>
      </c>
      <c r="N309">
        <v>308</v>
      </c>
      <c r="O309" t="str">
        <f>_xlfn.XLOOKUP(Table4[[#This Row],[id]],VALINA[id],VALINA[name])</f>
        <v>Gotland</v>
      </c>
      <c r="P309">
        <f>_xlfn.XLOOKUP(Table4[[#This Row],[id]],prov_color!A:A,prov_color!C:C)</f>
        <v>6</v>
      </c>
    </row>
    <row r="310" spans="1:16" hidden="1" x14ac:dyDescent="0.25">
      <c r="A310">
        <v>309</v>
      </c>
      <c r="B310" t="s">
        <v>346</v>
      </c>
      <c r="C310" t="s">
        <v>375</v>
      </c>
      <c r="D310" t="s">
        <v>376</v>
      </c>
      <c r="E310" t="s">
        <v>34</v>
      </c>
      <c r="F310" t="s">
        <v>349</v>
      </c>
      <c r="G310" t="s">
        <v>35</v>
      </c>
      <c r="H310" t="s">
        <v>377</v>
      </c>
      <c r="I310" t="s">
        <v>43</v>
      </c>
      <c r="J310" t="s">
        <v>456</v>
      </c>
      <c r="K310">
        <v>0</v>
      </c>
      <c r="L310">
        <v>5</v>
      </c>
      <c r="M310">
        <v>15</v>
      </c>
      <c r="N310">
        <v>309</v>
      </c>
      <c r="O310" t="str">
        <f>_xlfn.XLOOKUP(Table4[[#This Row],[id]],VALINA[id],VALINA[name])</f>
        <v>Jylland</v>
      </c>
      <c r="P310">
        <f>_xlfn.XLOOKUP(Table4[[#This Row],[id]],prov_color!A:A,prov_color!C:C)</f>
        <v>19</v>
      </c>
    </row>
    <row r="311" spans="1:16" hidden="1" x14ac:dyDescent="0.25">
      <c r="A311">
        <v>310</v>
      </c>
      <c r="B311" t="s">
        <v>346</v>
      </c>
      <c r="C311" t="s">
        <v>447</v>
      </c>
      <c r="D311" t="s">
        <v>457</v>
      </c>
      <c r="E311" t="s">
        <v>34</v>
      </c>
      <c r="F311" t="s">
        <v>349</v>
      </c>
      <c r="G311" t="s">
        <v>26</v>
      </c>
      <c r="H311" t="s">
        <v>445</v>
      </c>
      <c r="I311" t="s">
        <v>352</v>
      </c>
      <c r="J311" t="s">
        <v>458</v>
      </c>
      <c r="K311">
        <v>0</v>
      </c>
      <c r="L311">
        <v>5</v>
      </c>
      <c r="M311">
        <v>12</v>
      </c>
      <c r="N311">
        <v>310</v>
      </c>
      <c r="O311" t="str">
        <f>_xlfn.XLOOKUP(Table4[[#This Row],[id]],VALINA[id],VALINA[name])</f>
        <v>Hannover</v>
      </c>
      <c r="P311">
        <f>_xlfn.XLOOKUP(Table4[[#This Row],[id]],prov_color!A:A,prov_color!C:C)</f>
        <v>13</v>
      </c>
    </row>
    <row r="312" spans="1:16" hidden="1" x14ac:dyDescent="0.25">
      <c r="A312">
        <v>311</v>
      </c>
      <c r="B312" t="s">
        <v>346</v>
      </c>
      <c r="C312" t="s">
        <v>447</v>
      </c>
      <c r="D312" t="s">
        <v>457</v>
      </c>
      <c r="E312" t="s">
        <v>34</v>
      </c>
      <c r="F312" t="s">
        <v>349</v>
      </c>
      <c r="G312" t="s">
        <v>26</v>
      </c>
      <c r="H312" t="s">
        <v>445</v>
      </c>
      <c r="I312" t="s">
        <v>352</v>
      </c>
      <c r="J312" t="s">
        <v>459</v>
      </c>
      <c r="K312">
        <v>0</v>
      </c>
      <c r="L312">
        <v>4</v>
      </c>
      <c r="M312">
        <v>14</v>
      </c>
      <c r="N312">
        <v>311</v>
      </c>
      <c r="O312" t="str">
        <f>_xlfn.XLOOKUP(Table4[[#This Row],[id]],VALINA[id],VALINA[name])</f>
        <v>Magdeburg</v>
      </c>
      <c r="P312">
        <f>_xlfn.XLOOKUP(Table4[[#This Row],[id]],prov_color!A:A,prov_color!C:C)</f>
        <v>18</v>
      </c>
    </row>
    <row r="313" spans="1:16" hidden="1" x14ac:dyDescent="0.25">
      <c r="A313">
        <v>312</v>
      </c>
      <c r="B313" t="s">
        <v>346</v>
      </c>
      <c r="C313" t="s">
        <v>447</v>
      </c>
      <c r="D313" t="s">
        <v>457</v>
      </c>
      <c r="E313" t="s">
        <v>22</v>
      </c>
      <c r="F313" t="s">
        <v>349</v>
      </c>
      <c r="G313" t="s">
        <v>26</v>
      </c>
      <c r="H313" t="s">
        <v>445</v>
      </c>
      <c r="I313" t="s">
        <v>41</v>
      </c>
      <c r="J313" t="s">
        <v>460</v>
      </c>
      <c r="K313">
        <v>0</v>
      </c>
      <c r="L313">
        <v>8</v>
      </c>
      <c r="M313">
        <v>12</v>
      </c>
      <c r="N313">
        <v>312</v>
      </c>
      <c r="O313" t="str">
        <f>_xlfn.XLOOKUP(Table4[[#This Row],[id]],VALINA[id],VALINA[name])</f>
        <v>Brandenburg</v>
      </c>
      <c r="P313">
        <f>_xlfn.XLOOKUP(Table4[[#This Row],[id]],prov_color!A:A,prov_color!C:C)</f>
        <v>22</v>
      </c>
    </row>
    <row r="314" spans="1:16" hidden="1" x14ac:dyDescent="0.25">
      <c r="A314">
        <v>313</v>
      </c>
      <c r="B314" t="s">
        <v>346</v>
      </c>
      <c r="C314" t="s">
        <v>447</v>
      </c>
      <c r="D314" t="s">
        <v>457</v>
      </c>
      <c r="E314" t="s">
        <v>22</v>
      </c>
      <c r="F314" t="s">
        <v>349</v>
      </c>
      <c r="G314" t="s">
        <v>26</v>
      </c>
      <c r="H314" t="s">
        <v>445</v>
      </c>
      <c r="I314" t="s">
        <v>41</v>
      </c>
      <c r="J314" t="s">
        <v>461</v>
      </c>
      <c r="K314">
        <v>0</v>
      </c>
      <c r="L314">
        <v>4</v>
      </c>
      <c r="M314">
        <v>6</v>
      </c>
      <c r="N314">
        <v>313</v>
      </c>
      <c r="O314" t="str">
        <f>_xlfn.XLOOKUP(Table4[[#This Row],[id]],VALINA[id],VALINA[name])</f>
        <v>K�strin</v>
      </c>
      <c r="P314">
        <f>_xlfn.XLOOKUP(Table4[[#This Row],[id]],prov_color!A:A,prov_color!C:C)</f>
        <v>15</v>
      </c>
    </row>
    <row r="315" spans="1:16" hidden="1" x14ac:dyDescent="0.25">
      <c r="A315">
        <v>314</v>
      </c>
      <c r="B315" t="s">
        <v>346</v>
      </c>
      <c r="C315" t="s">
        <v>447</v>
      </c>
      <c r="D315" t="s">
        <v>457</v>
      </c>
      <c r="E315" t="s">
        <v>34</v>
      </c>
      <c r="F315" t="s">
        <v>349</v>
      </c>
      <c r="G315" t="s">
        <v>26</v>
      </c>
      <c r="H315" t="s">
        <v>445</v>
      </c>
      <c r="I315" t="s">
        <v>141</v>
      </c>
      <c r="J315" t="s">
        <v>462</v>
      </c>
      <c r="K315">
        <v>0</v>
      </c>
      <c r="L315">
        <v>6</v>
      </c>
      <c r="M315">
        <v>10</v>
      </c>
      <c r="N315">
        <v>314</v>
      </c>
      <c r="O315" t="str">
        <f>_xlfn.XLOOKUP(Table4[[#This Row],[id]],VALINA[id],VALINA[name])</f>
        <v>Silesia</v>
      </c>
      <c r="P315">
        <f>_xlfn.XLOOKUP(Table4[[#This Row],[id]],prov_color!A:A,prov_color!C:C)</f>
        <v>21</v>
      </c>
    </row>
    <row r="316" spans="1:16" hidden="1" x14ac:dyDescent="0.25">
      <c r="A316">
        <v>315</v>
      </c>
      <c r="B316" t="s">
        <v>346</v>
      </c>
      <c r="C316" t="s">
        <v>463</v>
      </c>
      <c r="D316" t="s">
        <v>464</v>
      </c>
      <c r="E316" t="s">
        <v>22</v>
      </c>
      <c r="F316" t="s">
        <v>349</v>
      </c>
      <c r="G316" t="s">
        <v>26</v>
      </c>
      <c r="H316" t="s">
        <v>465</v>
      </c>
      <c r="I316" t="s">
        <v>37</v>
      </c>
      <c r="J316" t="s">
        <v>466</v>
      </c>
      <c r="K316">
        <v>0</v>
      </c>
      <c r="L316">
        <v>5</v>
      </c>
      <c r="M316">
        <v>6</v>
      </c>
      <c r="N316">
        <v>315</v>
      </c>
      <c r="O316" t="str">
        <f>_xlfn.XLOOKUP(Table4[[#This Row],[id]],VALINA[id],VALINA[name])</f>
        <v>Moravia</v>
      </c>
      <c r="P316">
        <f>_xlfn.XLOOKUP(Table4[[#This Row],[id]],prov_color!A:A,prov_color!C:C)</f>
        <v>17</v>
      </c>
    </row>
    <row r="317" spans="1:16" hidden="1" x14ac:dyDescent="0.25">
      <c r="A317">
        <v>316</v>
      </c>
      <c r="B317" t="s">
        <v>346</v>
      </c>
      <c r="C317" t="s">
        <v>463</v>
      </c>
      <c r="D317" t="s">
        <v>464</v>
      </c>
      <c r="E317" t="s">
        <v>14</v>
      </c>
      <c r="F317" t="s">
        <v>349</v>
      </c>
      <c r="G317" t="s">
        <v>26</v>
      </c>
      <c r="H317" t="s">
        <v>467</v>
      </c>
      <c r="I317" t="s">
        <v>29</v>
      </c>
      <c r="J317" t="s">
        <v>468</v>
      </c>
      <c r="K317">
        <v>0</v>
      </c>
      <c r="L317">
        <v>3</v>
      </c>
      <c r="M317">
        <v>3</v>
      </c>
      <c r="N317">
        <v>316</v>
      </c>
      <c r="O317" t="str">
        <f>_xlfn.XLOOKUP(Table4[[#This Row],[id]],VALINA[id],VALINA[name])</f>
        <v>Carpathia</v>
      </c>
      <c r="P317">
        <f>_xlfn.XLOOKUP(Table4[[#This Row],[id]],prov_color!A:A,prov_color!C:C)</f>
        <v>25</v>
      </c>
    </row>
    <row r="318" spans="1:16" hidden="1" x14ac:dyDescent="0.25">
      <c r="A318">
        <v>317</v>
      </c>
      <c r="B318" t="s">
        <v>346</v>
      </c>
      <c r="C318" t="s">
        <v>463</v>
      </c>
      <c r="D318" t="s">
        <v>464</v>
      </c>
      <c r="E318" t="s">
        <v>14</v>
      </c>
      <c r="F318" t="s">
        <v>394</v>
      </c>
      <c r="G318" t="s">
        <v>26</v>
      </c>
      <c r="H318" t="s">
        <v>469</v>
      </c>
      <c r="I318" t="s">
        <v>43</v>
      </c>
      <c r="J318" t="s">
        <v>470</v>
      </c>
      <c r="K318">
        <v>0</v>
      </c>
      <c r="L318">
        <v>3</v>
      </c>
      <c r="M318">
        <v>3</v>
      </c>
      <c r="N318">
        <v>317</v>
      </c>
      <c r="O318" t="str">
        <f>_xlfn.XLOOKUP(Table4[[#This Row],[id]],VALINA[id],VALINA[name])</f>
        <v>Ruthenia</v>
      </c>
      <c r="P318">
        <f>_xlfn.XLOOKUP(Table4[[#This Row],[id]],prov_color!A:A,prov_color!C:C)</f>
        <v>28</v>
      </c>
    </row>
    <row r="319" spans="1:16" hidden="1" x14ac:dyDescent="0.25">
      <c r="A319">
        <v>318</v>
      </c>
      <c r="B319" t="s">
        <v>346</v>
      </c>
      <c r="C319" t="s">
        <v>463</v>
      </c>
      <c r="D319" t="s">
        <v>464</v>
      </c>
      <c r="E319" t="s">
        <v>22</v>
      </c>
      <c r="F319" t="s">
        <v>394</v>
      </c>
      <c r="G319" t="s">
        <v>26</v>
      </c>
      <c r="H319" t="s">
        <v>439</v>
      </c>
      <c r="I319" t="s">
        <v>41</v>
      </c>
      <c r="J319" t="s">
        <v>471</v>
      </c>
      <c r="K319">
        <v>0</v>
      </c>
      <c r="L319">
        <v>3</v>
      </c>
      <c r="M319">
        <v>6</v>
      </c>
      <c r="N319">
        <v>318</v>
      </c>
      <c r="O319" t="str">
        <f>_xlfn.XLOOKUP(Table4[[#This Row],[id]],VALINA[id],VALINA[name])</f>
        <v>Moldova</v>
      </c>
      <c r="P319">
        <f>_xlfn.XLOOKUP(Table4[[#This Row],[id]],prov_color!A:A,prov_color!C:C)</f>
        <v>28</v>
      </c>
    </row>
    <row r="320" spans="1:16" hidden="1" x14ac:dyDescent="0.25">
      <c r="A320">
        <v>319</v>
      </c>
      <c r="B320" t="s">
        <v>346</v>
      </c>
      <c r="C320" t="s">
        <v>463</v>
      </c>
      <c r="D320" t="s">
        <v>464</v>
      </c>
      <c r="E320" t="s">
        <v>80</v>
      </c>
      <c r="F320" t="s">
        <v>394</v>
      </c>
      <c r="G320" t="s">
        <v>35</v>
      </c>
      <c r="H320" t="s">
        <v>439</v>
      </c>
      <c r="I320" t="s">
        <v>41</v>
      </c>
      <c r="J320" t="s">
        <v>472</v>
      </c>
      <c r="K320">
        <v>0</v>
      </c>
      <c r="L320">
        <v>3</v>
      </c>
      <c r="M320">
        <v>5</v>
      </c>
      <c r="N320">
        <v>319</v>
      </c>
      <c r="O320" t="str">
        <f>_xlfn.XLOOKUP(Table4[[#This Row],[id]],VALINA[id],VALINA[name])</f>
        <v>Bujak</v>
      </c>
      <c r="P320">
        <f>_xlfn.XLOOKUP(Table4[[#This Row],[id]],prov_color!A:A,prov_color!C:C)</f>
        <v>22</v>
      </c>
    </row>
    <row r="321" spans="1:16" hidden="1" x14ac:dyDescent="0.25">
      <c r="A321">
        <v>320</v>
      </c>
      <c r="B321" t="s">
        <v>346</v>
      </c>
      <c r="C321" t="s">
        <v>463</v>
      </c>
      <c r="D321" t="s">
        <v>464</v>
      </c>
      <c r="E321" t="s">
        <v>80</v>
      </c>
      <c r="F321" t="s">
        <v>394</v>
      </c>
      <c r="G321" t="s">
        <v>35</v>
      </c>
      <c r="H321" t="s">
        <v>473</v>
      </c>
      <c r="I321" t="s">
        <v>27</v>
      </c>
      <c r="J321" t="s">
        <v>474</v>
      </c>
      <c r="K321">
        <v>0</v>
      </c>
      <c r="L321">
        <v>3</v>
      </c>
      <c r="M321">
        <v>3</v>
      </c>
      <c r="N321">
        <v>320</v>
      </c>
      <c r="O321" t="str">
        <f>_xlfn.XLOOKUP(Table4[[#This Row],[id]],VALINA[id],VALINA[name])</f>
        <v>Dobrudja</v>
      </c>
      <c r="P321">
        <f>_xlfn.XLOOKUP(Table4[[#This Row],[id]],prov_color!A:A,prov_color!C:C)</f>
        <v>24</v>
      </c>
    </row>
    <row r="322" spans="1:16" hidden="1" x14ac:dyDescent="0.25">
      <c r="A322">
        <v>321</v>
      </c>
      <c r="B322" t="s">
        <v>346</v>
      </c>
      <c r="C322" t="s">
        <v>463</v>
      </c>
      <c r="D322" t="s">
        <v>475</v>
      </c>
      <c r="E322" t="s">
        <v>22</v>
      </c>
      <c r="F322" t="s">
        <v>394</v>
      </c>
      <c r="G322" t="s">
        <v>35</v>
      </c>
      <c r="H322" t="s">
        <v>473</v>
      </c>
      <c r="I322" t="s">
        <v>29</v>
      </c>
      <c r="J322" t="s">
        <v>476</v>
      </c>
      <c r="K322">
        <v>0</v>
      </c>
      <c r="L322">
        <v>3</v>
      </c>
      <c r="M322">
        <v>6</v>
      </c>
      <c r="N322">
        <v>321</v>
      </c>
      <c r="O322" t="str">
        <f>_xlfn.XLOOKUP(Table4[[#This Row],[id]],VALINA[id],VALINA[name])</f>
        <v>Rumelia</v>
      </c>
      <c r="P322">
        <f>_xlfn.XLOOKUP(Table4[[#This Row],[id]],prov_color!A:A,prov_color!C:C)</f>
        <v>25</v>
      </c>
    </row>
    <row r="323" spans="1:16" hidden="1" x14ac:dyDescent="0.25">
      <c r="A323">
        <v>322</v>
      </c>
      <c r="B323" t="s">
        <v>346</v>
      </c>
      <c r="C323" t="s">
        <v>463</v>
      </c>
      <c r="D323" t="s">
        <v>464</v>
      </c>
      <c r="E323" t="s">
        <v>22</v>
      </c>
      <c r="F323" t="s">
        <v>394</v>
      </c>
      <c r="G323" t="s">
        <v>26</v>
      </c>
      <c r="H323" t="s">
        <v>439</v>
      </c>
      <c r="I323" t="s">
        <v>43</v>
      </c>
      <c r="J323" t="s">
        <v>477</v>
      </c>
      <c r="K323">
        <v>0</v>
      </c>
      <c r="L323">
        <v>3</v>
      </c>
      <c r="M323">
        <v>8</v>
      </c>
      <c r="N323">
        <v>322</v>
      </c>
      <c r="O323" t="str">
        <f>_xlfn.XLOOKUP(Table4[[#This Row],[id]],VALINA[id],VALINA[name])</f>
        <v>Wallachia</v>
      </c>
      <c r="P323">
        <f>_xlfn.XLOOKUP(Table4[[#This Row],[id]],prov_color!A:A,prov_color!C:C)</f>
        <v>33</v>
      </c>
    </row>
    <row r="324" spans="1:16" hidden="1" x14ac:dyDescent="0.25">
      <c r="A324">
        <v>323</v>
      </c>
      <c r="B324" t="s">
        <v>346</v>
      </c>
      <c r="C324" t="s">
        <v>463</v>
      </c>
      <c r="D324" t="s">
        <v>464</v>
      </c>
      <c r="E324" t="s">
        <v>14</v>
      </c>
      <c r="F324" t="s">
        <v>349</v>
      </c>
      <c r="G324" t="s">
        <v>26</v>
      </c>
      <c r="H324" t="s">
        <v>469</v>
      </c>
      <c r="I324" t="s">
        <v>41</v>
      </c>
      <c r="J324" t="s">
        <v>478</v>
      </c>
      <c r="K324">
        <v>0</v>
      </c>
      <c r="L324">
        <v>3</v>
      </c>
      <c r="M324">
        <v>6</v>
      </c>
      <c r="N324">
        <v>323</v>
      </c>
      <c r="O324" t="str">
        <f>_xlfn.XLOOKUP(Table4[[#This Row],[id]],VALINA[id],VALINA[name])</f>
        <v>Transylvania</v>
      </c>
      <c r="P324">
        <f>_xlfn.XLOOKUP(Table4[[#This Row],[id]],prov_color!A:A,prov_color!C:C)</f>
        <v>38</v>
      </c>
    </row>
    <row r="325" spans="1:16" hidden="1" x14ac:dyDescent="0.25">
      <c r="A325">
        <v>324</v>
      </c>
      <c r="B325" t="s">
        <v>346</v>
      </c>
      <c r="C325" t="s">
        <v>463</v>
      </c>
      <c r="D325" t="s">
        <v>464</v>
      </c>
      <c r="E325" t="s">
        <v>22</v>
      </c>
      <c r="F325" t="s">
        <v>349</v>
      </c>
      <c r="G325" t="s">
        <v>26</v>
      </c>
      <c r="H325" t="s">
        <v>469</v>
      </c>
      <c r="I325" t="s">
        <v>29</v>
      </c>
      <c r="J325" t="s">
        <v>479</v>
      </c>
      <c r="K325">
        <v>0</v>
      </c>
      <c r="L325">
        <v>4</v>
      </c>
      <c r="M325">
        <v>6</v>
      </c>
      <c r="N325">
        <v>324</v>
      </c>
      <c r="O325" t="str">
        <f>_xlfn.XLOOKUP(Table4[[#This Row],[id]],VALINA[id],VALINA[name])</f>
        <v>Maros</v>
      </c>
      <c r="P325">
        <f>_xlfn.XLOOKUP(Table4[[#This Row],[id]],prov_color!A:A,prov_color!C:C)</f>
        <v>33</v>
      </c>
    </row>
    <row r="326" spans="1:16" hidden="1" x14ac:dyDescent="0.25">
      <c r="A326">
        <v>325</v>
      </c>
      <c r="B326" t="s">
        <v>346</v>
      </c>
      <c r="C326" t="s">
        <v>463</v>
      </c>
      <c r="D326" t="s">
        <v>464</v>
      </c>
      <c r="E326" t="s">
        <v>34</v>
      </c>
      <c r="F326" t="s">
        <v>349</v>
      </c>
      <c r="G326" t="s">
        <v>26</v>
      </c>
      <c r="H326" t="s">
        <v>469</v>
      </c>
      <c r="I326" t="s">
        <v>43</v>
      </c>
      <c r="J326" t="s">
        <v>480</v>
      </c>
      <c r="K326">
        <v>0</v>
      </c>
      <c r="L326">
        <v>3</v>
      </c>
      <c r="M326">
        <v>11</v>
      </c>
      <c r="N326">
        <v>325</v>
      </c>
      <c r="O326" t="str">
        <f>_xlfn.XLOOKUP(Table4[[#This Row],[id]],VALINA[id],VALINA[name])</f>
        <v>Magyar</v>
      </c>
      <c r="P326">
        <f>_xlfn.XLOOKUP(Table4[[#This Row],[id]],prov_color!A:A,prov_color!C:C)</f>
        <v>32</v>
      </c>
    </row>
    <row r="327" spans="1:16" hidden="1" x14ac:dyDescent="0.25">
      <c r="A327">
        <v>326</v>
      </c>
      <c r="B327" t="s">
        <v>346</v>
      </c>
      <c r="C327" t="s">
        <v>463</v>
      </c>
      <c r="D327" t="s">
        <v>464</v>
      </c>
      <c r="E327" t="s">
        <v>34</v>
      </c>
      <c r="F327" t="s">
        <v>349</v>
      </c>
      <c r="G327" t="s">
        <v>26</v>
      </c>
      <c r="H327" t="s">
        <v>469</v>
      </c>
      <c r="I327" t="s">
        <v>43</v>
      </c>
      <c r="J327" t="s">
        <v>481</v>
      </c>
      <c r="K327">
        <v>0</v>
      </c>
      <c r="L327">
        <v>4</v>
      </c>
      <c r="M327">
        <v>6</v>
      </c>
      <c r="N327">
        <v>326</v>
      </c>
      <c r="O327" t="str">
        <f>_xlfn.XLOOKUP(Table4[[#This Row],[id]],VALINA[id],VALINA[name])</f>
        <v>Presburg</v>
      </c>
      <c r="P327">
        <f>_xlfn.XLOOKUP(Table4[[#This Row],[id]],prov_color!A:A,prov_color!C:C)</f>
        <v>13</v>
      </c>
    </row>
    <row r="328" spans="1:16" hidden="1" x14ac:dyDescent="0.25">
      <c r="A328">
        <v>327</v>
      </c>
      <c r="B328" t="s">
        <v>346</v>
      </c>
      <c r="C328" t="s">
        <v>463</v>
      </c>
      <c r="D328" t="s">
        <v>464</v>
      </c>
      <c r="E328" t="s">
        <v>22</v>
      </c>
      <c r="F328" t="s">
        <v>349</v>
      </c>
      <c r="G328" t="s">
        <v>26</v>
      </c>
      <c r="H328" t="s">
        <v>445</v>
      </c>
      <c r="I328" t="s">
        <v>141</v>
      </c>
      <c r="J328" t="s">
        <v>482</v>
      </c>
      <c r="K328">
        <v>0</v>
      </c>
      <c r="L328">
        <v>4</v>
      </c>
      <c r="M328">
        <v>8</v>
      </c>
      <c r="N328">
        <v>327</v>
      </c>
      <c r="O328" t="str">
        <f>_xlfn.XLOOKUP(Table4[[#This Row],[id]],VALINA[id],VALINA[name])</f>
        <v>Ostmarch</v>
      </c>
      <c r="P328">
        <f>_xlfn.XLOOKUP(Table4[[#This Row],[id]],prov_color!A:A,prov_color!C:C)</f>
        <v>13</v>
      </c>
    </row>
    <row r="329" spans="1:16" hidden="1" x14ac:dyDescent="0.25">
      <c r="A329">
        <v>328</v>
      </c>
      <c r="B329" t="s">
        <v>346</v>
      </c>
      <c r="C329" t="s">
        <v>463</v>
      </c>
      <c r="D329" t="s">
        <v>464</v>
      </c>
      <c r="E329" t="s">
        <v>22</v>
      </c>
      <c r="F329" t="s">
        <v>349</v>
      </c>
      <c r="G329" t="s">
        <v>26</v>
      </c>
      <c r="H329" t="s">
        <v>465</v>
      </c>
      <c r="I329" t="s">
        <v>43</v>
      </c>
      <c r="J329" t="s">
        <v>483</v>
      </c>
      <c r="K329">
        <v>0</v>
      </c>
      <c r="L329">
        <v>4</v>
      </c>
      <c r="M329">
        <v>13</v>
      </c>
      <c r="N329">
        <v>328</v>
      </c>
      <c r="O329" t="str">
        <f>_xlfn.XLOOKUP(Table4[[#This Row],[id]],VALINA[id],VALINA[name])</f>
        <v>Bohemia</v>
      </c>
      <c r="P329">
        <f>_xlfn.XLOOKUP(Table4[[#This Row],[id]],prov_color!A:A,prov_color!C:C)</f>
        <v>24</v>
      </c>
    </row>
    <row r="330" spans="1:16" hidden="1" x14ac:dyDescent="0.25">
      <c r="A330">
        <v>329</v>
      </c>
      <c r="B330" t="s">
        <v>346</v>
      </c>
      <c r="C330" t="s">
        <v>463</v>
      </c>
      <c r="D330" t="s">
        <v>464</v>
      </c>
      <c r="E330" t="s">
        <v>14</v>
      </c>
      <c r="F330" t="s">
        <v>349</v>
      </c>
      <c r="G330" t="s">
        <v>26</v>
      </c>
      <c r="H330" t="s">
        <v>465</v>
      </c>
      <c r="I330" t="s">
        <v>141</v>
      </c>
      <c r="J330" t="s">
        <v>484</v>
      </c>
      <c r="K330">
        <v>0</v>
      </c>
      <c r="L330">
        <v>3</v>
      </c>
      <c r="M330">
        <v>5</v>
      </c>
      <c r="N330">
        <v>329</v>
      </c>
      <c r="O330" t="str">
        <f>_xlfn.XLOOKUP(Table4[[#This Row],[id]],VALINA[id],VALINA[name])</f>
        <v>Erz</v>
      </c>
      <c r="P330">
        <f>_xlfn.XLOOKUP(Table4[[#This Row],[id]],prov_color!A:A,prov_color!C:C)</f>
        <v>19</v>
      </c>
    </row>
    <row r="331" spans="1:16" hidden="1" x14ac:dyDescent="0.25">
      <c r="A331">
        <v>330</v>
      </c>
      <c r="B331" t="s">
        <v>346</v>
      </c>
      <c r="C331" t="s">
        <v>463</v>
      </c>
      <c r="D331" t="s">
        <v>464</v>
      </c>
      <c r="E331" t="s">
        <v>14</v>
      </c>
      <c r="F331" t="s">
        <v>349</v>
      </c>
      <c r="G331" t="s">
        <v>26</v>
      </c>
      <c r="H331" t="s">
        <v>465</v>
      </c>
      <c r="I331" t="s">
        <v>212</v>
      </c>
      <c r="J331" t="s">
        <v>485</v>
      </c>
      <c r="K331">
        <v>0</v>
      </c>
      <c r="L331">
        <v>3</v>
      </c>
      <c r="M331">
        <v>6</v>
      </c>
      <c r="N331">
        <v>330</v>
      </c>
      <c r="O331" t="str">
        <f>_xlfn.XLOOKUP(Table4[[#This Row],[id]],VALINA[id],VALINA[name])</f>
        <v>Sudeten</v>
      </c>
      <c r="P331">
        <f>_xlfn.XLOOKUP(Table4[[#This Row],[id]],prov_color!A:A,prov_color!C:C)</f>
        <v>16</v>
      </c>
    </row>
    <row r="332" spans="1:16" hidden="1" x14ac:dyDescent="0.25">
      <c r="A332">
        <v>331</v>
      </c>
      <c r="B332" t="s">
        <v>346</v>
      </c>
      <c r="C332" t="s">
        <v>447</v>
      </c>
      <c r="D332" t="s">
        <v>457</v>
      </c>
      <c r="E332" t="s">
        <v>22</v>
      </c>
      <c r="F332" t="s">
        <v>349</v>
      </c>
      <c r="G332" t="s">
        <v>26</v>
      </c>
      <c r="H332" t="s">
        <v>445</v>
      </c>
      <c r="I332" t="s">
        <v>141</v>
      </c>
      <c r="J332" t="s">
        <v>486</v>
      </c>
      <c r="K332">
        <v>0</v>
      </c>
      <c r="L332">
        <v>4</v>
      </c>
      <c r="M332">
        <v>11</v>
      </c>
      <c r="N332">
        <v>331</v>
      </c>
      <c r="O332" t="str">
        <f>_xlfn.XLOOKUP(Table4[[#This Row],[id]],VALINA[id],VALINA[name])</f>
        <v>Sachsen</v>
      </c>
      <c r="P332">
        <f>_xlfn.XLOOKUP(Table4[[#This Row],[id]],prov_color!A:A,prov_color!C:C)</f>
        <v>17</v>
      </c>
    </row>
    <row r="333" spans="1:16" hidden="1" x14ac:dyDescent="0.25">
      <c r="A333">
        <v>332</v>
      </c>
      <c r="B333" t="s">
        <v>346</v>
      </c>
      <c r="C333" t="s">
        <v>447</v>
      </c>
      <c r="D333" t="s">
        <v>457</v>
      </c>
      <c r="E333" t="s">
        <v>34</v>
      </c>
      <c r="F333" t="s">
        <v>349</v>
      </c>
      <c r="G333" t="s">
        <v>26</v>
      </c>
      <c r="H333" t="s">
        <v>445</v>
      </c>
      <c r="I333" t="s">
        <v>41</v>
      </c>
      <c r="J333" t="s">
        <v>487</v>
      </c>
      <c r="K333">
        <v>0</v>
      </c>
      <c r="L333">
        <v>4</v>
      </c>
      <c r="M333">
        <v>9</v>
      </c>
      <c r="N333">
        <v>332</v>
      </c>
      <c r="O333" t="str">
        <f>_xlfn.XLOOKUP(Table4[[#This Row],[id]],VALINA[id],VALINA[name])</f>
        <v>Anhalt</v>
      </c>
      <c r="P333">
        <f>_xlfn.XLOOKUP(Table4[[#This Row],[id]],prov_color!A:A,prov_color!C:C)</f>
        <v>16</v>
      </c>
    </row>
    <row r="334" spans="1:16" hidden="1" x14ac:dyDescent="0.25">
      <c r="A334">
        <v>333</v>
      </c>
      <c r="B334" t="s">
        <v>346</v>
      </c>
      <c r="C334" t="s">
        <v>447</v>
      </c>
      <c r="D334" t="s">
        <v>457</v>
      </c>
      <c r="E334" t="s">
        <v>22</v>
      </c>
      <c r="F334" t="s">
        <v>349</v>
      </c>
      <c r="G334" t="s">
        <v>26</v>
      </c>
      <c r="H334" t="s">
        <v>445</v>
      </c>
      <c r="I334" t="s">
        <v>352</v>
      </c>
      <c r="J334" t="s">
        <v>488</v>
      </c>
      <c r="K334">
        <v>0</v>
      </c>
      <c r="L334">
        <v>4</v>
      </c>
      <c r="M334">
        <v>11</v>
      </c>
      <c r="N334">
        <v>333</v>
      </c>
      <c r="O334" t="str">
        <f>_xlfn.XLOOKUP(Table4[[#This Row],[id]],VALINA[id],VALINA[name])</f>
        <v>Hessen</v>
      </c>
      <c r="P334">
        <f>_xlfn.XLOOKUP(Table4[[#This Row],[id]],prov_color!A:A,prov_color!C:C)</f>
        <v>14</v>
      </c>
    </row>
    <row r="335" spans="1:16" hidden="1" x14ac:dyDescent="0.25">
      <c r="A335">
        <v>334</v>
      </c>
      <c r="B335" t="s">
        <v>346</v>
      </c>
      <c r="C335" t="s">
        <v>447</v>
      </c>
      <c r="D335" t="s">
        <v>457</v>
      </c>
      <c r="E335" t="s">
        <v>34</v>
      </c>
      <c r="F335" t="s">
        <v>349</v>
      </c>
      <c r="G335" t="s">
        <v>26</v>
      </c>
      <c r="H335" t="s">
        <v>445</v>
      </c>
      <c r="I335" t="s">
        <v>53</v>
      </c>
      <c r="J335" t="s">
        <v>6455</v>
      </c>
      <c r="K335">
        <v>0</v>
      </c>
      <c r="L335">
        <v>4</v>
      </c>
      <c r="M335">
        <v>7</v>
      </c>
      <c r="N335">
        <v>334</v>
      </c>
      <c r="O335" t="str">
        <f>_xlfn.XLOOKUP(Table4[[#This Row],[id]],VALINA[id],VALINA[name])</f>
        <v>M�nster</v>
      </c>
      <c r="P335">
        <f>_xlfn.XLOOKUP(Table4[[#This Row],[id]],prov_color!A:A,prov_color!C:C)</f>
        <v>11</v>
      </c>
    </row>
    <row r="336" spans="1:16" hidden="1" x14ac:dyDescent="0.25">
      <c r="A336">
        <v>335</v>
      </c>
      <c r="B336" t="s">
        <v>346</v>
      </c>
      <c r="C336" t="s">
        <v>447</v>
      </c>
      <c r="D336" t="s">
        <v>448</v>
      </c>
      <c r="E336" t="s">
        <v>34</v>
      </c>
      <c r="F336" t="s">
        <v>349</v>
      </c>
      <c r="G336" t="s">
        <v>26</v>
      </c>
      <c r="H336" t="s">
        <v>445</v>
      </c>
      <c r="I336" t="s">
        <v>53</v>
      </c>
      <c r="J336" t="s">
        <v>489</v>
      </c>
      <c r="K336">
        <v>0</v>
      </c>
      <c r="L336">
        <v>4</v>
      </c>
      <c r="M336">
        <v>6</v>
      </c>
      <c r="N336">
        <v>335</v>
      </c>
      <c r="O336" t="str">
        <f>_xlfn.XLOOKUP(Table4[[#This Row],[id]],VALINA[id],VALINA[name])</f>
        <v>Oldenburg</v>
      </c>
      <c r="P336">
        <f>_xlfn.XLOOKUP(Table4[[#This Row],[id]],prov_color!A:A,prov_color!C:C)</f>
        <v>14</v>
      </c>
    </row>
    <row r="337" spans="1:16" hidden="1" x14ac:dyDescent="0.25">
      <c r="A337">
        <v>336</v>
      </c>
      <c r="B337" t="s">
        <v>346</v>
      </c>
      <c r="C337" t="s">
        <v>447</v>
      </c>
      <c r="D337" t="s">
        <v>448</v>
      </c>
      <c r="E337" t="s">
        <v>34</v>
      </c>
      <c r="F337" t="s">
        <v>349</v>
      </c>
      <c r="G337" t="s">
        <v>35</v>
      </c>
      <c r="H337" t="s">
        <v>445</v>
      </c>
      <c r="I337" t="s">
        <v>27</v>
      </c>
      <c r="J337" t="s">
        <v>490</v>
      </c>
      <c r="K337">
        <v>0</v>
      </c>
      <c r="L337">
        <v>4</v>
      </c>
      <c r="M337">
        <v>9</v>
      </c>
      <c r="N337">
        <v>336</v>
      </c>
      <c r="O337" t="str">
        <f>_xlfn.XLOOKUP(Table4[[#This Row],[id]],VALINA[id],VALINA[name])</f>
        <v>Bremen</v>
      </c>
      <c r="P337">
        <f>_xlfn.XLOOKUP(Table4[[#This Row],[id]],prov_color!A:A,prov_color!C:C)</f>
        <v>11</v>
      </c>
    </row>
    <row r="338" spans="1:16" hidden="1" x14ac:dyDescent="0.25">
      <c r="A338">
        <v>337</v>
      </c>
      <c r="B338" t="s">
        <v>346</v>
      </c>
      <c r="C338" t="s">
        <v>491</v>
      </c>
      <c r="D338" t="s">
        <v>492</v>
      </c>
      <c r="E338" t="s">
        <v>80</v>
      </c>
      <c r="F338" t="s">
        <v>349</v>
      </c>
      <c r="G338" t="s">
        <v>35</v>
      </c>
      <c r="H338" t="s">
        <v>493</v>
      </c>
      <c r="I338" t="s">
        <v>27</v>
      </c>
      <c r="J338" t="s">
        <v>494</v>
      </c>
      <c r="K338">
        <v>0</v>
      </c>
      <c r="L338">
        <v>4</v>
      </c>
      <c r="M338">
        <v>11</v>
      </c>
      <c r="N338">
        <v>337</v>
      </c>
      <c r="O338" t="str">
        <f>_xlfn.XLOOKUP(Table4[[#This Row],[id]],VALINA[id],VALINA[name])</f>
        <v>Friesen</v>
      </c>
      <c r="P338">
        <f>_xlfn.XLOOKUP(Table4[[#This Row],[id]],prov_color!A:A,prov_color!C:C)</f>
        <v>10</v>
      </c>
    </row>
    <row r="339" spans="1:16" hidden="1" x14ac:dyDescent="0.25">
      <c r="A339">
        <v>338</v>
      </c>
      <c r="B339" t="s">
        <v>346</v>
      </c>
      <c r="C339" t="s">
        <v>491</v>
      </c>
      <c r="D339" t="s">
        <v>492</v>
      </c>
      <c r="E339" t="s">
        <v>80</v>
      </c>
      <c r="F339" t="s">
        <v>349</v>
      </c>
      <c r="G339" t="s">
        <v>35</v>
      </c>
      <c r="H339" t="s">
        <v>493</v>
      </c>
      <c r="I339" t="s">
        <v>43</v>
      </c>
      <c r="J339" t="s">
        <v>495</v>
      </c>
      <c r="K339">
        <v>0</v>
      </c>
      <c r="L339">
        <v>5</v>
      </c>
      <c r="M339">
        <v>13</v>
      </c>
      <c r="N339">
        <v>338</v>
      </c>
      <c r="O339" t="str">
        <f>_xlfn.XLOOKUP(Table4[[#This Row],[id]],VALINA[id],VALINA[name])</f>
        <v>Geldre</v>
      </c>
      <c r="P339">
        <f>_xlfn.XLOOKUP(Table4[[#This Row],[id]],prov_color!A:A,prov_color!C:C)</f>
        <v>11</v>
      </c>
    </row>
    <row r="340" spans="1:16" hidden="1" x14ac:dyDescent="0.25">
      <c r="A340">
        <v>339</v>
      </c>
      <c r="B340" t="s">
        <v>346</v>
      </c>
      <c r="C340" t="s">
        <v>491</v>
      </c>
      <c r="D340" t="s">
        <v>492</v>
      </c>
      <c r="E340" t="s">
        <v>80</v>
      </c>
      <c r="F340" t="s">
        <v>349</v>
      </c>
      <c r="G340" t="s">
        <v>35</v>
      </c>
      <c r="H340" t="s">
        <v>493</v>
      </c>
      <c r="I340" t="s">
        <v>27</v>
      </c>
      <c r="J340" t="s">
        <v>496</v>
      </c>
      <c r="K340">
        <v>0</v>
      </c>
      <c r="L340">
        <v>5</v>
      </c>
      <c r="M340">
        <v>17</v>
      </c>
      <c r="N340">
        <v>339</v>
      </c>
      <c r="O340" t="str">
        <f>_xlfn.XLOOKUP(Table4[[#This Row],[id]],VALINA[id],VALINA[name])</f>
        <v>Holland</v>
      </c>
      <c r="P340">
        <f>_xlfn.XLOOKUP(Table4[[#This Row],[id]],prov_color!A:A,prov_color!C:C)</f>
        <v>12</v>
      </c>
    </row>
    <row r="341" spans="1:16" hidden="1" x14ac:dyDescent="0.25">
      <c r="A341">
        <v>340</v>
      </c>
      <c r="B341" t="s">
        <v>346</v>
      </c>
      <c r="C341" t="s">
        <v>491</v>
      </c>
      <c r="D341" t="s">
        <v>492</v>
      </c>
      <c r="E341" t="s">
        <v>80</v>
      </c>
      <c r="F341" t="s">
        <v>349</v>
      </c>
      <c r="G341" t="s">
        <v>35</v>
      </c>
      <c r="H341" t="s">
        <v>493</v>
      </c>
      <c r="I341" t="s">
        <v>27</v>
      </c>
      <c r="J341" t="s">
        <v>497</v>
      </c>
      <c r="K341">
        <v>0</v>
      </c>
      <c r="L341">
        <v>5</v>
      </c>
      <c r="M341">
        <v>15</v>
      </c>
      <c r="N341">
        <v>340</v>
      </c>
      <c r="O341" t="str">
        <f>_xlfn.XLOOKUP(Table4[[#This Row],[id]],VALINA[id],VALINA[name])</f>
        <v>Zeeland</v>
      </c>
      <c r="P341">
        <f>_xlfn.XLOOKUP(Table4[[#This Row],[id]],prov_color!A:A,prov_color!C:C)</f>
        <v>13</v>
      </c>
    </row>
    <row r="342" spans="1:16" hidden="1" x14ac:dyDescent="0.25">
      <c r="A342">
        <v>341</v>
      </c>
      <c r="B342" t="s">
        <v>346</v>
      </c>
      <c r="C342" t="s">
        <v>375</v>
      </c>
      <c r="D342" t="s">
        <v>379</v>
      </c>
      <c r="E342" t="s">
        <v>22</v>
      </c>
      <c r="F342" t="s">
        <v>349</v>
      </c>
      <c r="G342" t="s">
        <v>122</v>
      </c>
      <c r="H342" t="s">
        <v>377</v>
      </c>
      <c r="I342" t="s">
        <v>29</v>
      </c>
      <c r="J342" t="s">
        <v>498</v>
      </c>
      <c r="K342">
        <v>0</v>
      </c>
      <c r="L342">
        <v>1</v>
      </c>
      <c r="M342">
        <v>1</v>
      </c>
      <c r="N342">
        <v>341</v>
      </c>
      <c r="O342" t="str">
        <f>_xlfn.XLOOKUP(Table4[[#This Row],[id]],VALINA[id],VALINA[name])</f>
        <v>V�sterbotten</v>
      </c>
      <c r="P342">
        <f>_xlfn.XLOOKUP(Table4[[#This Row],[id]],prov_color!A:A,prov_color!C:C)</f>
        <v>33</v>
      </c>
    </row>
    <row r="343" spans="1:16" hidden="1" x14ac:dyDescent="0.25">
      <c r="A343">
        <v>342</v>
      </c>
      <c r="B343" t="s">
        <v>346</v>
      </c>
      <c r="C343" t="s">
        <v>375</v>
      </c>
      <c r="D343" t="s">
        <v>396</v>
      </c>
      <c r="E343" t="s">
        <v>22</v>
      </c>
      <c r="F343" t="s">
        <v>349</v>
      </c>
      <c r="G343" t="s">
        <v>122</v>
      </c>
      <c r="H343" t="s">
        <v>377</v>
      </c>
      <c r="I343" t="s">
        <v>43</v>
      </c>
      <c r="J343" t="s">
        <v>396</v>
      </c>
      <c r="K343">
        <v>0</v>
      </c>
      <c r="L343">
        <v>1</v>
      </c>
      <c r="M343">
        <v>4</v>
      </c>
      <c r="N343">
        <v>342</v>
      </c>
      <c r="O343" t="str">
        <f>_xlfn.XLOOKUP(Table4[[#This Row],[id]],VALINA[id],VALINA[name])</f>
        <v>Finland</v>
      </c>
      <c r="P343">
        <f>_xlfn.XLOOKUP(Table4[[#This Row],[id]],prov_color!A:A,prov_color!C:C)</f>
        <v>36</v>
      </c>
    </row>
    <row r="344" spans="1:16" hidden="1" x14ac:dyDescent="0.25">
      <c r="A344">
        <v>343</v>
      </c>
      <c r="B344" t="s">
        <v>346</v>
      </c>
      <c r="C344" t="s">
        <v>447</v>
      </c>
      <c r="D344" t="s">
        <v>457</v>
      </c>
      <c r="E344" t="s">
        <v>34</v>
      </c>
      <c r="F344" t="s">
        <v>349</v>
      </c>
      <c r="G344" t="s">
        <v>26</v>
      </c>
      <c r="H344" t="s">
        <v>445</v>
      </c>
      <c r="I344" t="s">
        <v>43</v>
      </c>
      <c r="J344" t="s">
        <v>499</v>
      </c>
      <c r="K344">
        <v>0</v>
      </c>
      <c r="L344">
        <v>4</v>
      </c>
      <c r="M344">
        <v>7</v>
      </c>
      <c r="N344">
        <v>343</v>
      </c>
      <c r="O344" t="str">
        <f>_xlfn.XLOOKUP(Table4[[#This Row],[id]],VALINA[id],VALINA[name])</f>
        <v>Kleves</v>
      </c>
      <c r="P344">
        <f>_xlfn.XLOOKUP(Table4[[#This Row],[id]],prov_color!A:A,prov_color!C:C)</f>
        <v>12</v>
      </c>
    </row>
    <row r="345" spans="1:16" hidden="1" x14ac:dyDescent="0.25">
      <c r="A345">
        <v>344</v>
      </c>
      <c r="B345" t="s">
        <v>346</v>
      </c>
      <c r="C345" t="s">
        <v>447</v>
      </c>
      <c r="D345" t="s">
        <v>457</v>
      </c>
      <c r="E345" t="s">
        <v>34</v>
      </c>
      <c r="F345" t="s">
        <v>349</v>
      </c>
      <c r="G345" t="s">
        <v>26</v>
      </c>
      <c r="H345" t="s">
        <v>445</v>
      </c>
      <c r="I345" t="s">
        <v>43</v>
      </c>
      <c r="J345" t="s">
        <v>500</v>
      </c>
      <c r="K345">
        <v>0</v>
      </c>
      <c r="L345">
        <v>4</v>
      </c>
      <c r="M345">
        <v>8</v>
      </c>
      <c r="N345">
        <v>344</v>
      </c>
      <c r="O345" t="str">
        <f>_xlfn.XLOOKUP(Table4[[#This Row],[id]],VALINA[id],VALINA[name])</f>
        <v>K�ln</v>
      </c>
      <c r="P345">
        <f>_xlfn.XLOOKUP(Table4[[#This Row],[id]],prov_color!A:A,prov_color!C:C)</f>
        <v>9</v>
      </c>
    </row>
    <row r="346" spans="1:16" hidden="1" x14ac:dyDescent="0.25">
      <c r="A346">
        <v>345</v>
      </c>
      <c r="B346" t="s">
        <v>346</v>
      </c>
      <c r="C346" t="s">
        <v>447</v>
      </c>
      <c r="D346" t="s">
        <v>457</v>
      </c>
      <c r="E346" t="s">
        <v>22</v>
      </c>
      <c r="F346" t="s">
        <v>349</v>
      </c>
      <c r="G346" t="s">
        <v>26</v>
      </c>
      <c r="H346" t="s">
        <v>445</v>
      </c>
      <c r="I346" t="s">
        <v>43</v>
      </c>
      <c r="J346" t="s">
        <v>501</v>
      </c>
      <c r="K346">
        <v>0</v>
      </c>
      <c r="L346">
        <v>4</v>
      </c>
      <c r="M346">
        <v>9</v>
      </c>
      <c r="N346">
        <v>345</v>
      </c>
      <c r="O346" t="str">
        <f>_xlfn.XLOOKUP(Table4[[#This Row],[id]],VALINA[id],VALINA[name])</f>
        <v>Pfalz</v>
      </c>
      <c r="P346">
        <f>_xlfn.XLOOKUP(Table4[[#This Row],[id]],prov_color!A:A,prov_color!C:C)</f>
        <v>12</v>
      </c>
    </row>
    <row r="347" spans="1:16" hidden="1" x14ac:dyDescent="0.25">
      <c r="A347">
        <v>346</v>
      </c>
      <c r="B347" t="s">
        <v>346</v>
      </c>
      <c r="C347" t="s">
        <v>447</v>
      </c>
      <c r="D347" t="s">
        <v>457</v>
      </c>
      <c r="E347" t="s">
        <v>22</v>
      </c>
      <c r="F347" t="s">
        <v>349</v>
      </c>
      <c r="G347" t="s">
        <v>26</v>
      </c>
      <c r="H347" t="s">
        <v>445</v>
      </c>
      <c r="I347" t="s">
        <v>41</v>
      </c>
      <c r="J347" t="s">
        <v>502</v>
      </c>
      <c r="K347">
        <v>0</v>
      </c>
      <c r="L347">
        <v>4</v>
      </c>
      <c r="M347">
        <v>7</v>
      </c>
      <c r="N347">
        <v>346</v>
      </c>
      <c r="O347" t="str">
        <f>_xlfn.XLOOKUP(Table4[[#This Row],[id]],VALINA[id],VALINA[name])</f>
        <v>Mainz</v>
      </c>
      <c r="P347">
        <f>_xlfn.XLOOKUP(Table4[[#This Row],[id]],prov_color!A:A,prov_color!C:C)</f>
        <v>15</v>
      </c>
    </row>
    <row r="348" spans="1:16" hidden="1" x14ac:dyDescent="0.25">
      <c r="A348">
        <v>347</v>
      </c>
      <c r="B348" t="s">
        <v>346</v>
      </c>
      <c r="C348" t="s">
        <v>447</v>
      </c>
      <c r="D348" t="s">
        <v>457</v>
      </c>
      <c r="E348" t="s">
        <v>22</v>
      </c>
      <c r="F348" t="s">
        <v>349</v>
      </c>
      <c r="G348" t="s">
        <v>26</v>
      </c>
      <c r="H348" t="s">
        <v>445</v>
      </c>
      <c r="I348" t="s">
        <v>41</v>
      </c>
      <c r="J348" t="s">
        <v>503</v>
      </c>
      <c r="K348">
        <v>0</v>
      </c>
      <c r="L348">
        <v>4</v>
      </c>
      <c r="M348">
        <v>10</v>
      </c>
      <c r="N348">
        <v>347</v>
      </c>
      <c r="O348" t="str">
        <f>_xlfn.XLOOKUP(Table4[[#This Row],[id]],VALINA[id],VALINA[name])</f>
        <v>W�rzburg</v>
      </c>
      <c r="P348">
        <f>_xlfn.XLOOKUP(Table4[[#This Row],[id]],prov_color!A:A,prov_color!C:C)</f>
        <v>20</v>
      </c>
    </row>
    <row r="349" spans="1:16" hidden="1" x14ac:dyDescent="0.25">
      <c r="A349">
        <v>348</v>
      </c>
      <c r="B349" t="s">
        <v>346</v>
      </c>
      <c r="C349" t="s">
        <v>447</v>
      </c>
      <c r="D349" t="s">
        <v>457</v>
      </c>
      <c r="E349" t="s">
        <v>22</v>
      </c>
      <c r="F349" t="s">
        <v>349</v>
      </c>
      <c r="G349" t="s">
        <v>26</v>
      </c>
      <c r="H349" t="s">
        <v>445</v>
      </c>
      <c r="I349" t="s">
        <v>141</v>
      </c>
      <c r="J349" t="s">
        <v>504</v>
      </c>
      <c r="K349">
        <v>0</v>
      </c>
      <c r="L349">
        <v>4</v>
      </c>
      <c r="M349">
        <v>8</v>
      </c>
      <c r="N349">
        <v>348</v>
      </c>
      <c r="O349" t="str">
        <f>_xlfn.XLOOKUP(Table4[[#This Row],[id]],VALINA[id],VALINA[name])</f>
        <v>Ansbach</v>
      </c>
      <c r="P349">
        <f>_xlfn.XLOOKUP(Table4[[#This Row],[id]],prov_color!A:A,prov_color!C:C)</f>
        <v>17</v>
      </c>
    </row>
    <row r="350" spans="1:16" hidden="1" x14ac:dyDescent="0.25">
      <c r="A350">
        <v>349</v>
      </c>
      <c r="B350" t="s">
        <v>346</v>
      </c>
      <c r="C350" t="s">
        <v>447</v>
      </c>
      <c r="D350" t="s">
        <v>457</v>
      </c>
      <c r="E350" t="s">
        <v>22</v>
      </c>
      <c r="F350" t="s">
        <v>349</v>
      </c>
      <c r="G350" t="s">
        <v>26</v>
      </c>
      <c r="H350" t="s">
        <v>445</v>
      </c>
      <c r="I350" t="s">
        <v>43</v>
      </c>
      <c r="J350" t="s">
        <v>505</v>
      </c>
      <c r="K350">
        <v>0</v>
      </c>
      <c r="L350">
        <v>6</v>
      </c>
      <c r="M350">
        <v>14</v>
      </c>
      <c r="N350">
        <v>349</v>
      </c>
      <c r="O350" t="str">
        <f>_xlfn.XLOOKUP(Table4[[#This Row],[id]],VALINA[id],VALINA[name])</f>
        <v>Bayern</v>
      </c>
      <c r="P350">
        <f>_xlfn.XLOOKUP(Table4[[#This Row],[id]],prov_color!A:A,prov_color!C:C)</f>
        <v>17</v>
      </c>
    </row>
    <row r="351" spans="1:16" hidden="1" x14ac:dyDescent="0.25">
      <c r="A351">
        <v>350</v>
      </c>
      <c r="B351" t="s">
        <v>346</v>
      </c>
      <c r="C351" t="s">
        <v>463</v>
      </c>
      <c r="D351" t="s">
        <v>464</v>
      </c>
      <c r="E351" t="s">
        <v>14</v>
      </c>
      <c r="F351" t="s">
        <v>349</v>
      </c>
      <c r="G351" t="s">
        <v>26</v>
      </c>
      <c r="H351" t="s">
        <v>445</v>
      </c>
      <c r="I351" t="s">
        <v>53</v>
      </c>
      <c r="J351" t="s">
        <v>506</v>
      </c>
      <c r="K351">
        <v>0</v>
      </c>
      <c r="L351">
        <v>4</v>
      </c>
      <c r="M351">
        <v>9</v>
      </c>
      <c r="N351">
        <v>350</v>
      </c>
      <c r="O351" t="str">
        <f>_xlfn.XLOOKUP(Table4[[#This Row],[id]],VALINA[id],VALINA[name])</f>
        <v>Salzburg</v>
      </c>
      <c r="P351">
        <f>_xlfn.XLOOKUP(Table4[[#This Row],[id]],prov_color!A:A,prov_color!C:C)</f>
        <v>14</v>
      </c>
    </row>
    <row r="352" spans="1:16" hidden="1" x14ac:dyDescent="0.25">
      <c r="A352">
        <v>351</v>
      </c>
      <c r="B352" t="s">
        <v>346</v>
      </c>
      <c r="C352" t="s">
        <v>463</v>
      </c>
      <c r="D352" t="s">
        <v>464</v>
      </c>
      <c r="E352" t="s">
        <v>22</v>
      </c>
      <c r="F352" t="s">
        <v>349</v>
      </c>
      <c r="G352" t="s">
        <v>26</v>
      </c>
      <c r="H352" t="s">
        <v>445</v>
      </c>
      <c r="I352" t="s">
        <v>43</v>
      </c>
      <c r="J352" t="s">
        <v>507</v>
      </c>
      <c r="K352">
        <v>0</v>
      </c>
      <c r="L352">
        <v>6</v>
      </c>
      <c r="M352">
        <v>13</v>
      </c>
      <c r="N352">
        <v>351</v>
      </c>
      <c r="O352" t="str">
        <f>_xlfn.XLOOKUP(Table4[[#This Row],[id]],VALINA[id],VALINA[name])</f>
        <v>Austria</v>
      </c>
      <c r="P352">
        <f>_xlfn.XLOOKUP(Table4[[#This Row],[id]],prov_color!A:A,prov_color!C:C)</f>
        <v>13</v>
      </c>
    </row>
    <row r="353" spans="1:16" hidden="1" x14ac:dyDescent="0.25">
      <c r="A353">
        <v>352</v>
      </c>
      <c r="B353" t="s">
        <v>346</v>
      </c>
      <c r="C353" t="s">
        <v>463</v>
      </c>
      <c r="D353" t="s">
        <v>464</v>
      </c>
      <c r="E353" t="s">
        <v>34</v>
      </c>
      <c r="F353" t="s">
        <v>349</v>
      </c>
      <c r="G353" t="s">
        <v>26</v>
      </c>
      <c r="H353" t="s">
        <v>469</v>
      </c>
      <c r="I353" t="s">
        <v>212</v>
      </c>
      <c r="J353" t="s">
        <v>508</v>
      </c>
      <c r="K353">
        <v>0</v>
      </c>
      <c r="L353">
        <v>3</v>
      </c>
      <c r="M353">
        <v>6</v>
      </c>
      <c r="N353">
        <v>352</v>
      </c>
      <c r="O353" t="str">
        <f>_xlfn.XLOOKUP(Table4[[#This Row],[id]],VALINA[id],VALINA[name])</f>
        <v>Odenburg</v>
      </c>
      <c r="P353">
        <f>_xlfn.XLOOKUP(Table4[[#This Row],[id]],prov_color!A:A,prov_color!C:C)</f>
        <v>14</v>
      </c>
    </row>
    <row r="354" spans="1:16" hidden="1" x14ac:dyDescent="0.25">
      <c r="A354">
        <v>353</v>
      </c>
      <c r="B354" t="s">
        <v>346</v>
      </c>
      <c r="C354" t="s">
        <v>463</v>
      </c>
      <c r="D354" t="s">
        <v>464</v>
      </c>
      <c r="E354" t="s">
        <v>34</v>
      </c>
      <c r="F354" t="s">
        <v>349</v>
      </c>
      <c r="G354" t="s">
        <v>26</v>
      </c>
      <c r="H354" t="s">
        <v>469</v>
      </c>
      <c r="I354" t="s">
        <v>43</v>
      </c>
      <c r="J354" t="s">
        <v>509</v>
      </c>
      <c r="K354">
        <v>0</v>
      </c>
      <c r="L354">
        <v>3</v>
      </c>
      <c r="M354">
        <v>10</v>
      </c>
      <c r="N354">
        <v>353</v>
      </c>
      <c r="O354" t="str">
        <f>_xlfn.XLOOKUP(Table4[[#This Row],[id]],VALINA[id],VALINA[name])</f>
        <v>Pest</v>
      </c>
      <c r="P354">
        <f>_xlfn.XLOOKUP(Table4[[#This Row],[id]],prov_color!A:A,prov_color!C:C)</f>
        <v>25</v>
      </c>
    </row>
    <row r="355" spans="1:16" hidden="1" x14ac:dyDescent="0.25">
      <c r="A355">
        <v>354</v>
      </c>
      <c r="B355" t="s">
        <v>346</v>
      </c>
      <c r="C355" t="s">
        <v>463</v>
      </c>
      <c r="D355" t="s">
        <v>464</v>
      </c>
      <c r="E355" t="s">
        <v>34</v>
      </c>
      <c r="F355" t="s">
        <v>349</v>
      </c>
      <c r="G355" t="s">
        <v>26</v>
      </c>
      <c r="H355" t="s">
        <v>469</v>
      </c>
      <c r="I355" t="s">
        <v>41</v>
      </c>
      <c r="J355" t="s">
        <v>510</v>
      </c>
      <c r="K355">
        <v>0</v>
      </c>
      <c r="L355">
        <v>3</v>
      </c>
      <c r="M355">
        <v>4</v>
      </c>
      <c r="N355">
        <v>354</v>
      </c>
      <c r="O355" t="str">
        <f>_xlfn.XLOOKUP(Table4[[#This Row],[id]],VALINA[id],VALINA[name])</f>
        <v>Banat</v>
      </c>
      <c r="P355">
        <f>_xlfn.XLOOKUP(Table4[[#This Row],[id]],prov_color!A:A,prov_color!C:C)</f>
        <v>23</v>
      </c>
    </row>
    <row r="356" spans="1:16" hidden="1" x14ac:dyDescent="0.25">
      <c r="A356">
        <v>355</v>
      </c>
      <c r="B356" t="s">
        <v>346</v>
      </c>
      <c r="C356" t="s">
        <v>463</v>
      </c>
      <c r="D356" t="s">
        <v>475</v>
      </c>
      <c r="E356" t="s">
        <v>34</v>
      </c>
      <c r="F356" t="s">
        <v>394</v>
      </c>
      <c r="G356" t="s">
        <v>26</v>
      </c>
      <c r="H356" t="s">
        <v>473</v>
      </c>
      <c r="I356" t="s">
        <v>43</v>
      </c>
      <c r="J356" t="s">
        <v>511</v>
      </c>
      <c r="K356">
        <v>0</v>
      </c>
      <c r="L356">
        <v>3</v>
      </c>
      <c r="M356">
        <v>6</v>
      </c>
      <c r="N356">
        <v>355</v>
      </c>
      <c r="O356" t="str">
        <f>_xlfn.XLOOKUP(Table4[[#This Row],[id]],VALINA[id],VALINA[name])</f>
        <v>Serbia</v>
      </c>
      <c r="P356">
        <f>_xlfn.XLOOKUP(Table4[[#This Row],[id]],prov_color!A:A,prov_color!C:C)</f>
        <v>24</v>
      </c>
    </row>
    <row r="357" spans="1:16" hidden="1" x14ac:dyDescent="0.25">
      <c r="A357">
        <v>356</v>
      </c>
      <c r="B357" t="s">
        <v>346</v>
      </c>
      <c r="C357" t="s">
        <v>463</v>
      </c>
      <c r="D357" t="s">
        <v>475</v>
      </c>
      <c r="E357" t="s">
        <v>14</v>
      </c>
      <c r="F357" t="s">
        <v>394</v>
      </c>
      <c r="G357" t="s">
        <v>26</v>
      </c>
      <c r="H357" t="s">
        <v>473</v>
      </c>
      <c r="I357" t="s">
        <v>141</v>
      </c>
      <c r="J357" t="s">
        <v>512</v>
      </c>
      <c r="K357">
        <v>0</v>
      </c>
      <c r="L357">
        <v>3</v>
      </c>
      <c r="M357">
        <v>5</v>
      </c>
      <c r="N357">
        <v>356</v>
      </c>
      <c r="O357" t="str">
        <f>_xlfn.XLOOKUP(Table4[[#This Row],[id]],VALINA[id],VALINA[name])</f>
        <v>Bulgaria</v>
      </c>
      <c r="P357">
        <f>_xlfn.XLOOKUP(Table4[[#This Row],[id]],prov_color!A:A,prov_color!C:C)</f>
        <v>24</v>
      </c>
    </row>
    <row r="358" spans="1:16" hidden="1" x14ac:dyDescent="0.25">
      <c r="A358">
        <v>357</v>
      </c>
      <c r="B358" t="s">
        <v>346</v>
      </c>
      <c r="C358" t="s">
        <v>463</v>
      </c>
      <c r="D358" t="s">
        <v>475</v>
      </c>
      <c r="E358" t="s">
        <v>34</v>
      </c>
      <c r="F358" t="s">
        <v>394</v>
      </c>
      <c r="G358" t="s">
        <v>35</v>
      </c>
      <c r="H358" t="s">
        <v>513</v>
      </c>
      <c r="I358" t="s">
        <v>43</v>
      </c>
      <c r="J358" t="s">
        <v>514</v>
      </c>
      <c r="K358">
        <v>0</v>
      </c>
      <c r="L358">
        <v>4</v>
      </c>
      <c r="M358">
        <v>17</v>
      </c>
      <c r="N358">
        <v>357</v>
      </c>
      <c r="O358" t="str">
        <f>_xlfn.XLOOKUP(Table4[[#This Row],[id]],VALINA[id],VALINA[name])</f>
        <v>Thrace</v>
      </c>
      <c r="P358">
        <f>_xlfn.XLOOKUP(Table4[[#This Row],[id]],prov_color!A:A,prov_color!C:C)</f>
        <v>24</v>
      </c>
    </row>
    <row r="359" spans="1:16" hidden="1" x14ac:dyDescent="0.25">
      <c r="A359">
        <v>358</v>
      </c>
      <c r="B359" t="s">
        <v>346</v>
      </c>
      <c r="C359" t="s">
        <v>463</v>
      </c>
      <c r="D359" t="s">
        <v>475</v>
      </c>
      <c r="E359" t="s">
        <v>34</v>
      </c>
      <c r="F359" t="s">
        <v>394</v>
      </c>
      <c r="G359" t="s">
        <v>35</v>
      </c>
      <c r="H359" t="s">
        <v>513</v>
      </c>
      <c r="I359" t="s">
        <v>43</v>
      </c>
      <c r="J359" t="s">
        <v>515</v>
      </c>
      <c r="K359">
        <v>0</v>
      </c>
      <c r="L359">
        <v>4</v>
      </c>
      <c r="M359">
        <v>11</v>
      </c>
      <c r="N359">
        <v>358</v>
      </c>
      <c r="O359" t="str">
        <f>_xlfn.XLOOKUP(Table4[[#This Row],[id]],VALINA[id],VALINA[name])</f>
        <v>Macedonia</v>
      </c>
      <c r="P359">
        <f>_xlfn.XLOOKUP(Table4[[#This Row],[id]],prov_color!A:A,prov_color!C:C)</f>
        <v>25</v>
      </c>
    </row>
    <row r="360" spans="1:16" hidden="1" x14ac:dyDescent="0.25">
      <c r="A360">
        <v>359</v>
      </c>
      <c r="B360" t="s">
        <v>346</v>
      </c>
      <c r="C360" t="s">
        <v>516</v>
      </c>
      <c r="D360" t="s">
        <v>517</v>
      </c>
      <c r="E360" t="s">
        <v>34</v>
      </c>
      <c r="F360" t="s">
        <v>394</v>
      </c>
      <c r="G360" t="s">
        <v>35</v>
      </c>
      <c r="H360" t="s">
        <v>513</v>
      </c>
      <c r="I360" t="s">
        <v>27</v>
      </c>
      <c r="J360" t="s">
        <v>518</v>
      </c>
      <c r="K360">
        <v>0</v>
      </c>
      <c r="L360">
        <v>3</v>
      </c>
      <c r="M360">
        <v>5</v>
      </c>
      <c r="N360">
        <v>359</v>
      </c>
      <c r="O360" t="str">
        <f>_xlfn.XLOOKUP(Table4[[#This Row],[id]],VALINA[id],VALINA[name])</f>
        <v>Hellas</v>
      </c>
      <c r="P360">
        <f>_xlfn.XLOOKUP(Table4[[#This Row],[id]],prov_color!A:A,prov_color!C:C)</f>
        <v>20</v>
      </c>
    </row>
    <row r="361" spans="1:16" hidden="1" x14ac:dyDescent="0.25">
      <c r="A361">
        <v>360</v>
      </c>
      <c r="B361" t="s">
        <v>346</v>
      </c>
      <c r="C361" t="s">
        <v>516</v>
      </c>
      <c r="D361" t="s">
        <v>517</v>
      </c>
      <c r="E361" t="s">
        <v>14</v>
      </c>
      <c r="F361" t="s">
        <v>394</v>
      </c>
      <c r="G361" t="s">
        <v>35</v>
      </c>
      <c r="H361" t="s">
        <v>513</v>
      </c>
      <c r="I361" t="s">
        <v>37</v>
      </c>
      <c r="J361" t="s">
        <v>519</v>
      </c>
      <c r="K361">
        <v>0</v>
      </c>
      <c r="L361">
        <v>3</v>
      </c>
      <c r="M361">
        <v>3</v>
      </c>
      <c r="N361">
        <v>360</v>
      </c>
      <c r="O361" t="str">
        <f>_xlfn.XLOOKUP(Table4[[#This Row],[id]],VALINA[id],VALINA[name])</f>
        <v>Morea</v>
      </c>
      <c r="P361">
        <f>_xlfn.XLOOKUP(Table4[[#This Row],[id]],prov_color!A:A,prov_color!C:C)</f>
        <v>15</v>
      </c>
    </row>
    <row r="362" spans="1:16" hidden="1" x14ac:dyDescent="0.25">
      <c r="A362">
        <v>361</v>
      </c>
      <c r="B362" t="s">
        <v>346</v>
      </c>
      <c r="C362" t="s">
        <v>463</v>
      </c>
      <c r="D362" t="s">
        <v>475</v>
      </c>
      <c r="E362" t="s">
        <v>14</v>
      </c>
      <c r="F362" t="s">
        <v>394</v>
      </c>
      <c r="G362" t="s">
        <v>35</v>
      </c>
      <c r="H362" t="s">
        <v>520</v>
      </c>
      <c r="I362" t="s">
        <v>41</v>
      </c>
      <c r="J362" t="s">
        <v>521</v>
      </c>
      <c r="K362">
        <v>0</v>
      </c>
      <c r="L362">
        <v>3</v>
      </c>
      <c r="M362">
        <v>2</v>
      </c>
      <c r="N362">
        <v>361</v>
      </c>
      <c r="O362" t="str">
        <f>_xlfn.XLOOKUP(Table4[[#This Row],[id]],VALINA[id],VALINA[name])</f>
        <v>Albania</v>
      </c>
      <c r="P362">
        <f>_xlfn.XLOOKUP(Table4[[#This Row],[id]],prov_color!A:A,prov_color!C:C)</f>
        <v>14</v>
      </c>
    </row>
    <row r="363" spans="1:16" hidden="1" x14ac:dyDescent="0.25">
      <c r="A363">
        <v>362</v>
      </c>
      <c r="B363" t="s">
        <v>346</v>
      </c>
      <c r="C363" t="s">
        <v>463</v>
      </c>
      <c r="D363" t="s">
        <v>475</v>
      </c>
      <c r="E363" t="s">
        <v>14</v>
      </c>
      <c r="F363" t="s">
        <v>349</v>
      </c>
      <c r="G363" t="s">
        <v>35</v>
      </c>
      <c r="H363" t="s">
        <v>473</v>
      </c>
      <c r="I363" t="s">
        <v>27</v>
      </c>
      <c r="J363" t="s">
        <v>522</v>
      </c>
      <c r="K363">
        <v>0</v>
      </c>
      <c r="L363">
        <v>3</v>
      </c>
      <c r="M363">
        <v>5</v>
      </c>
      <c r="N363">
        <v>362</v>
      </c>
      <c r="O363" t="str">
        <f>_xlfn.XLOOKUP(Table4[[#This Row],[id]],VALINA[id],VALINA[name])</f>
        <v>Ragusa</v>
      </c>
      <c r="P363">
        <f>_xlfn.XLOOKUP(Table4[[#This Row],[id]],prov_color!A:A,prov_color!C:C)</f>
        <v>12</v>
      </c>
    </row>
    <row r="364" spans="1:16" hidden="1" x14ac:dyDescent="0.25">
      <c r="A364">
        <v>363</v>
      </c>
      <c r="B364" t="s">
        <v>346</v>
      </c>
      <c r="C364" t="s">
        <v>463</v>
      </c>
      <c r="D364" t="s">
        <v>475</v>
      </c>
      <c r="E364" t="s">
        <v>22</v>
      </c>
      <c r="F364" t="s">
        <v>394</v>
      </c>
      <c r="G364" t="s">
        <v>26</v>
      </c>
      <c r="H364" t="s">
        <v>473</v>
      </c>
      <c r="I364" t="s">
        <v>41</v>
      </c>
      <c r="J364" t="s">
        <v>523</v>
      </c>
      <c r="K364">
        <v>0</v>
      </c>
      <c r="L364">
        <v>3</v>
      </c>
      <c r="M364">
        <v>4</v>
      </c>
      <c r="N364">
        <v>363</v>
      </c>
      <c r="O364" t="str">
        <f>_xlfn.XLOOKUP(Table4[[#This Row],[id]],VALINA[id],VALINA[name])</f>
        <v>Kosovo</v>
      </c>
      <c r="P364">
        <f>_xlfn.XLOOKUP(Table4[[#This Row],[id]],prov_color!A:A,prov_color!C:C)</f>
        <v>23</v>
      </c>
    </row>
    <row r="365" spans="1:16" hidden="1" x14ac:dyDescent="0.25">
      <c r="A365">
        <v>364</v>
      </c>
      <c r="B365" t="s">
        <v>346</v>
      </c>
      <c r="C365" t="s">
        <v>463</v>
      </c>
      <c r="D365" t="s">
        <v>475</v>
      </c>
      <c r="E365" t="s">
        <v>14</v>
      </c>
      <c r="F365" t="s">
        <v>349</v>
      </c>
      <c r="G365" t="s">
        <v>26</v>
      </c>
      <c r="H365" t="s">
        <v>473</v>
      </c>
      <c r="I365" t="s">
        <v>41</v>
      </c>
      <c r="J365" t="s">
        <v>524</v>
      </c>
      <c r="K365">
        <v>0</v>
      </c>
      <c r="L365">
        <v>3</v>
      </c>
      <c r="M365">
        <v>5</v>
      </c>
      <c r="N365">
        <v>364</v>
      </c>
      <c r="O365" t="str">
        <f>_xlfn.XLOOKUP(Table4[[#This Row],[id]],VALINA[id],VALINA[name])</f>
        <v>Bosnia</v>
      </c>
      <c r="P365">
        <f>_xlfn.XLOOKUP(Table4[[#This Row],[id]],prov_color!A:A,prov_color!C:C)</f>
        <v>24</v>
      </c>
    </row>
    <row r="366" spans="1:16" hidden="1" x14ac:dyDescent="0.25">
      <c r="A366">
        <v>365</v>
      </c>
      <c r="B366" t="s">
        <v>346</v>
      </c>
      <c r="C366" t="s">
        <v>463</v>
      </c>
      <c r="D366" t="s">
        <v>475</v>
      </c>
      <c r="E366" t="s">
        <v>14</v>
      </c>
      <c r="F366" t="s">
        <v>349</v>
      </c>
      <c r="G366" t="s">
        <v>35</v>
      </c>
      <c r="H366" t="s">
        <v>473</v>
      </c>
      <c r="I366" t="s">
        <v>41</v>
      </c>
      <c r="J366" t="s">
        <v>525</v>
      </c>
      <c r="K366">
        <v>0</v>
      </c>
      <c r="L366">
        <v>3</v>
      </c>
      <c r="M366">
        <v>5</v>
      </c>
      <c r="N366">
        <v>365</v>
      </c>
      <c r="O366" t="str">
        <f>_xlfn.XLOOKUP(Table4[[#This Row],[id]],VALINA[id],VALINA[name])</f>
        <v>Dalmatia</v>
      </c>
      <c r="P366">
        <f>_xlfn.XLOOKUP(Table4[[#This Row],[id]],prov_color!A:A,prov_color!C:C)</f>
        <v>18</v>
      </c>
    </row>
    <row r="367" spans="1:16" hidden="1" x14ac:dyDescent="0.25">
      <c r="A367">
        <v>366</v>
      </c>
      <c r="B367" t="s">
        <v>346</v>
      </c>
      <c r="C367" t="s">
        <v>463</v>
      </c>
      <c r="D367" t="s">
        <v>475</v>
      </c>
      <c r="E367" t="s">
        <v>22</v>
      </c>
      <c r="F367" t="s">
        <v>349</v>
      </c>
      <c r="G367" t="s">
        <v>26</v>
      </c>
      <c r="H367" t="s">
        <v>473</v>
      </c>
      <c r="I367" t="s">
        <v>352</v>
      </c>
      <c r="J367" t="s">
        <v>526</v>
      </c>
      <c r="K367">
        <v>0</v>
      </c>
      <c r="L367">
        <v>3</v>
      </c>
      <c r="M367">
        <v>5</v>
      </c>
      <c r="N367">
        <v>366</v>
      </c>
      <c r="O367" t="str">
        <f>_xlfn.XLOOKUP(Table4[[#This Row],[id]],VALINA[id],VALINA[name])</f>
        <v>Croatia</v>
      </c>
      <c r="P367">
        <f>_xlfn.XLOOKUP(Table4[[#This Row],[id]],prov_color!A:A,prov_color!C:C)</f>
        <v>31</v>
      </c>
    </row>
    <row r="368" spans="1:16" hidden="1" x14ac:dyDescent="0.25">
      <c r="A368">
        <v>367</v>
      </c>
      <c r="B368" t="s">
        <v>346</v>
      </c>
      <c r="C368" t="s">
        <v>463</v>
      </c>
      <c r="D368" t="s">
        <v>475</v>
      </c>
      <c r="E368" t="s">
        <v>14</v>
      </c>
      <c r="F368" t="s">
        <v>349</v>
      </c>
      <c r="G368" t="s">
        <v>26</v>
      </c>
      <c r="H368" t="s">
        <v>473</v>
      </c>
      <c r="I368" t="s">
        <v>141</v>
      </c>
      <c r="J368" t="s">
        <v>527</v>
      </c>
      <c r="K368">
        <v>0</v>
      </c>
      <c r="L368">
        <v>3</v>
      </c>
      <c r="M368">
        <v>5</v>
      </c>
      <c r="N368">
        <v>367</v>
      </c>
      <c r="O368" t="str">
        <f>_xlfn.XLOOKUP(Table4[[#This Row],[id]],VALINA[id],VALINA[name])</f>
        <v>Krain</v>
      </c>
      <c r="P368">
        <f>_xlfn.XLOOKUP(Table4[[#This Row],[id]],prov_color!A:A,prov_color!C:C)</f>
        <v>17</v>
      </c>
    </row>
    <row r="369" spans="1:16" hidden="1" x14ac:dyDescent="0.25">
      <c r="A369">
        <v>368</v>
      </c>
      <c r="B369" t="s">
        <v>346</v>
      </c>
      <c r="C369" t="s">
        <v>516</v>
      </c>
      <c r="D369" t="s">
        <v>528</v>
      </c>
      <c r="E369" t="s">
        <v>14</v>
      </c>
      <c r="F369" t="s">
        <v>349</v>
      </c>
      <c r="G369" t="s">
        <v>35</v>
      </c>
      <c r="H369" t="s">
        <v>529</v>
      </c>
      <c r="I369" t="s">
        <v>41</v>
      </c>
      <c r="J369" t="s">
        <v>530</v>
      </c>
      <c r="K369">
        <v>0</v>
      </c>
      <c r="L369">
        <v>3</v>
      </c>
      <c r="M369">
        <v>6</v>
      </c>
      <c r="N369">
        <v>368</v>
      </c>
      <c r="O369" t="str">
        <f>_xlfn.XLOOKUP(Table4[[#This Row],[id]],VALINA[id],VALINA[name])</f>
        <v>Istria</v>
      </c>
      <c r="P369">
        <f>_xlfn.XLOOKUP(Table4[[#This Row],[id]],prov_color!A:A,prov_color!C:C)</f>
        <v>21</v>
      </c>
    </row>
    <row r="370" spans="1:16" hidden="1" x14ac:dyDescent="0.25">
      <c r="A370">
        <v>369</v>
      </c>
      <c r="B370" t="s">
        <v>346</v>
      </c>
      <c r="C370" t="s">
        <v>463</v>
      </c>
      <c r="D370" t="s">
        <v>464</v>
      </c>
      <c r="E370" t="s">
        <v>14</v>
      </c>
      <c r="F370" t="s">
        <v>349</v>
      </c>
      <c r="G370" t="s">
        <v>26</v>
      </c>
      <c r="H370" t="s">
        <v>445</v>
      </c>
      <c r="I370" t="s">
        <v>18</v>
      </c>
      <c r="J370" t="s">
        <v>531</v>
      </c>
      <c r="K370">
        <v>0</v>
      </c>
      <c r="L370">
        <v>3</v>
      </c>
      <c r="M370">
        <v>9</v>
      </c>
      <c r="N370">
        <v>369</v>
      </c>
      <c r="O370" t="str">
        <f>_xlfn.XLOOKUP(Table4[[#This Row],[id]],VALINA[id],VALINA[name])</f>
        <v>Steiermark</v>
      </c>
      <c r="P370">
        <f>_xlfn.XLOOKUP(Table4[[#This Row],[id]],prov_color!A:A,prov_color!C:C)</f>
        <v>20</v>
      </c>
    </row>
    <row r="371" spans="1:16" hidden="1" x14ac:dyDescent="0.25">
      <c r="A371">
        <v>370</v>
      </c>
      <c r="B371" t="s">
        <v>346</v>
      </c>
      <c r="C371" t="s">
        <v>516</v>
      </c>
      <c r="D371" t="s">
        <v>528</v>
      </c>
      <c r="E371" t="s">
        <v>80</v>
      </c>
      <c r="F371" t="s">
        <v>349</v>
      </c>
      <c r="G371" t="s">
        <v>35</v>
      </c>
      <c r="H371" t="s">
        <v>529</v>
      </c>
      <c r="I371" t="s">
        <v>27</v>
      </c>
      <c r="J371" t="s">
        <v>532</v>
      </c>
      <c r="K371">
        <v>0</v>
      </c>
      <c r="L371">
        <v>6</v>
      </c>
      <c r="M371">
        <v>15</v>
      </c>
      <c r="N371">
        <v>370</v>
      </c>
      <c r="O371" t="str">
        <f>_xlfn.XLOOKUP(Table4[[#This Row],[id]],VALINA[id],VALINA[name])</f>
        <v>Veneto</v>
      </c>
      <c r="P371">
        <f>_xlfn.XLOOKUP(Table4[[#This Row],[id]],prov_color!A:A,prov_color!C:C)</f>
        <v>17</v>
      </c>
    </row>
    <row r="372" spans="1:16" hidden="1" x14ac:dyDescent="0.25">
      <c r="A372">
        <v>371</v>
      </c>
      <c r="B372" t="s">
        <v>346</v>
      </c>
      <c r="C372" t="s">
        <v>463</v>
      </c>
      <c r="D372" t="s">
        <v>464</v>
      </c>
      <c r="E372" t="s">
        <v>14</v>
      </c>
      <c r="F372" t="s">
        <v>349</v>
      </c>
      <c r="G372" t="s">
        <v>26</v>
      </c>
      <c r="H372" t="s">
        <v>445</v>
      </c>
      <c r="I372" t="s">
        <v>141</v>
      </c>
      <c r="J372" t="s">
        <v>533</v>
      </c>
      <c r="K372">
        <v>0</v>
      </c>
      <c r="L372">
        <v>2</v>
      </c>
      <c r="M372">
        <v>4</v>
      </c>
      <c r="N372">
        <v>371</v>
      </c>
      <c r="O372" t="str">
        <f>_xlfn.XLOOKUP(Table4[[#This Row],[id]],VALINA[id],VALINA[name])</f>
        <v>Tirol</v>
      </c>
      <c r="P372">
        <f>_xlfn.XLOOKUP(Table4[[#This Row],[id]],prov_color!A:A,prov_color!C:C)</f>
        <v>24</v>
      </c>
    </row>
    <row r="373" spans="1:16" hidden="1" x14ac:dyDescent="0.25">
      <c r="A373">
        <v>372</v>
      </c>
      <c r="B373" t="s">
        <v>346</v>
      </c>
      <c r="C373" t="s">
        <v>447</v>
      </c>
      <c r="D373" t="s">
        <v>457</v>
      </c>
      <c r="E373" t="s">
        <v>22</v>
      </c>
      <c r="F373" t="s">
        <v>349</v>
      </c>
      <c r="G373" t="s">
        <v>26</v>
      </c>
      <c r="H373" t="s">
        <v>445</v>
      </c>
      <c r="I373" t="s">
        <v>141</v>
      </c>
      <c r="J373" t="s">
        <v>534</v>
      </c>
      <c r="K373">
        <v>0</v>
      </c>
      <c r="L373">
        <v>4</v>
      </c>
      <c r="M373">
        <v>8</v>
      </c>
      <c r="N373">
        <v>372</v>
      </c>
      <c r="O373" t="str">
        <f>_xlfn.XLOOKUP(Table4[[#This Row],[id]],VALINA[id],VALINA[name])</f>
        <v>W�rttemberg</v>
      </c>
      <c r="P373">
        <f>_xlfn.XLOOKUP(Table4[[#This Row],[id]],prov_color!A:A,prov_color!C:C)</f>
        <v>20</v>
      </c>
    </row>
    <row r="374" spans="1:16" hidden="1" x14ac:dyDescent="0.25">
      <c r="A374">
        <v>373</v>
      </c>
      <c r="B374" t="s">
        <v>346</v>
      </c>
      <c r="C374" t="s">
        <v>447</v>
      </c>
      <c r="D374" t="s">
        <v>457</v>
      </c>
      <c r="E374" t="s">
        <v>22</v>
      </c>
      <c r="F374" t="s">
        <v>349</v>
      </c>
      <c r="G374" t="s">
        <v>26</v>
      </c>
      <c r="H374" t="s">
        <v>445</v>
      </c>
      <c r="I374" t="s">
        <v>18</v>
      </c>
      <c r="J374" t="s">
        <v>535</v>
      </c>
      <c r="K374">
        <v>0</v>
      </c>
      <c r="L374">
        <v>4</v>
      </c>
      <c r="M374">
        <v>7</v>
      </c>
      <c r="N374">
        <v>373</v>
      </c>
      <c r="O374" t="str">
        <f>_xlfn.XLOOKUP(Table4[[#This Row],[id]],VALINA[id],VALINA[name])</f>
        <v>Baden</v>
      </c>
      <c r="P374">
        <f>_xlfn.XLOOKUP(Table4[[#This Row],[id]],prov_color!A:A,prov_color!C:C)</f>
        <v>17</v>
      </c>
    </row>
    <row r="375" spans="1:16" hidden="1" x14ac:dyDescent="0.25">
      <c r="A375">
        <v>374</v>
      </c>
      <c r="B375" t="s">
        <v>346</v>
      </c>
      <c r="C375" t="s">
        <v>447</v>
      </c>
      <c r="D375" t="s">
        <v>536</v>
      </c>
      <c r="E375" t="s">
        <v>22</v>
      </c>
      <c r="F375" t="s">
        <v>349</v>
      </c>
      <c r="G375" t="s">
        <v>26</v>
      </c>
      <c r="H375" t="s">
        <v>445</v>
      </c>
      <c r="I375" t="s">
        <v>37</v>
      </c>
      <c r="J375" t="s">
        <v>537</v>
      </c>
      <c r="K375">
        <v>0</v>
      </c>
      <c r="L375">
        <v>6</v>
      </c>
      <c r="M375">
        <v>10</v>
      </c>
      <c r="N375">
        <v>374</v>
      </c>
      <c r="O375" t="str">
        <f>_xlfn.XLOOKUP(Table4[[#This Row],[id]],VALINA[id],VALINA[name])</f>
        <v>Alsace</v>
      </c>
      <c r="P375">
        <f>_xlfn.XLOOKUP(Table4[[#This Row],[id]],prov_color!A:A,prov_color!C:C)</f>
        <v>17</v>
      </c>
    </row>
    <row r="376" spans="1:16" hidden="1" x14ac:dyDescent="0.25">
      <c r="A376">
        <v>375</v>
      </c>
      <c r="B376" t="s">
        <v>346</v>
      </c>
      <c r="C376" t="s">
        <v>447</v>
      </c>
      <c r="D376" t="s">
        <v>536</v>
      </c>
      <c r="E376" t="s">
        <v>22</v>
      </c>
      <c r="F376" t="s">
        <v>349</v>
      </c>
      <c r="G376" t="s">
        <v>26</v>
      </c>
      <c r="H376" t="s">
        <v>538</v>
      </c>
      <c r="I376" t="s">
        <v>141</v>
      </c>
      <c r="J376" t="s">
        <v>539</v>
      </c>
      <c r="K376">
        <v>0</v>
      </c>
      <c r="L376">
        <v>6</v>
      </c>
      <c r="M376">
        <v>9</v>
      </c>
      <c r="N376">
        <v>375</v>
      </c>
      <c r="O376" t="str">
        <f>_xlfn.XLOOKUP(Table4[[#This Row],[id]],VALINA[id],VALINA[name])</f>
        <v>Lorraine</v>
      </c>
      <c r="P376">
        <f>_xlfn.XLOOKUP(Table4[[#This Row],[id]],prov_color!A:A,prov_color!C:C)</f>
        <v>12</v>
      </c>
    </row>
    <row r="377" spans="1:16" hidden="1" x14ac:dyDescent="0.25">
      <c r="A377">
        <v>376</v>
      </c>
      <c r="B377" t="s">
        <v>346</v>
      </c>
      <c r="C377" t="s">
        <v>491</v>
      </c>
      <c r="D377" t="s">
        <v>540</v>
      </c>
      <c r="E377" t="s">
        <v>34</v>
      </c>
      <c r="F377" t="s">
        <v>349</v>
      </c>
      <c r="G377" t="s">
        <v>26</v>
      </c>
      <c r="H377" t="s">
        <v>538</v>
      </c>
      <c r="I377" t="s">
        <v>37</v>
      </c>
      <c r="J377" t="s">
        <v>541</v>
      </c>
      <c r="K377">
        <v>0</v>
      </c>
      <c r="L377">
        <v>5</v>
      </c>
      <c r="M377">
        <v>13</v>
      </c>
      <c r="N377">
        <v>376</v>
      </c>
      <c r="O377" t="str">
        <f>_xlfn.XLOOKUP(Table4[[#This Row],[id]],VALINA[id],VALINA[name])</f>
        <v>Champagne</v>
      </c>
      <c r="P377">
        <f>_xlfn.XLOOKUP(Table4[[#This Row],[id]],prov_color!A:A,prov_color!C:C)</f>
        <v>12</v>
      </c>
    </row>
    <row r="378" spans="1:16" hidden="1" x14ac:dyDescent="0.25">
      <c r="A378">
        <v>377</v>
      </c>
      <c r="B378" t="s">
        <v>346</v>
      </c>
      <c r="C378" t="s">
        <v>491</v>
      </c>
      <c r="D378" t="s">
        <v>492</v>
      </c>
      <c r="E378" t="s">
        <v>22</v>
      </c>
      <c r="F378" t="s">
        <v>349</v>
      </c>
      <c r="G378" t="s">
        <v>26</v>
      </c>
      <c r="H378" t="s">
        <v>445</v>
      </c>
      <c r="I378" t="s">
        <v>141</v>
      </c>
      <c r="J378" t="s">
        <v>542</v>
      </c>
      <c r="K378">
        <v>0</v>
      </c>
      <c r="L378">
        <v>5</v>
      </c>
      <c r="M378">
        <v>10</v>
      </c>
      <c r="N378">
        <v>377</v>
      </c>
      <c r="O378" t="str">
        <f>_xlfn.XLOOKUP(Table4[[#This Row],[id]],VALINA[id],VALINA[name])</f>
        <v>Luxembourg</v>
      </c>
      <c r="P378">
        <f>_xlfn.XLOOKUP(Table4[[#This Row],[id]],prov_color!A:A,prov_color!C:C)</f>
        <v>10</v>
      </c>
    </row>
    <row r="379" spans="1:16" hidden="1" x14ac:dyDescent="0.25">
      <c r="A379">
        <v>378</v>
      </c>
      <c r="B379" t="s">
        <v>346</v>
      </c>
      <c r="C379" t="s">
        <v>491</v>
      </c>
      <c r="D379" t="s">
        <v>492</v>
      </c>
      <c r="E379" t="s">
        <v>34</v>
      </c>
      <c r="F379" t="s">
        <v>349</v>
      </c>
      <c r="G379" t="s">
        <v>35</v>
      </c>
      <c r="H379" t="s">
        <v>493</v>
      </c>
      <c r="I379" t="s">
        <v>352</v>
      </c>
      <c r="J379" t="s">
        <v>543</v>
      </c>
      <c r="K379">
        <v>0</v>
      </c>
      <c r="L379">
        <v>5</v>
      </c>
      <c r="M379">
        <v>15</v>
      </c>
      <c r="N379">
        <v>378</v>
      </c>
      <c r="O379" t="str">
        <f>_xlfn.XLOOKUP(Table4[[#This Row],[id]],VALINA[id],VALINA[name])</f>
        <v>Brabant</v>
      </c>
      <c r="P379">
        <f>_xlfn.XLOOKUP(Table4[[#This Row],[id]],prov_color!A:A,prov_color!C:C)</f>
        <v>9</v>
      </c>
    </row>
    <row r="380" spans="1:16" hidden="1" x14ac:dyDescent="0.25">
      <c r="A380">
        <v>379</v>
      </c>
      <c r="B380" t="s">
        <v>346</v>
      </c>
      <c r="C380" t="s">
        <v>491</v>
      </c>
      <c r="D380" t="s">
        <v>492</v>
      </c>
      <c r="E380" t="s">
        <v>34</v>
      </c>
      <c r="F380" t="s">
        <v>349</v>
      </c>
      <c r="G380" t="s">
        <v>35</v>
      </c>
      <c r="H380" t="s">
        <v>538</v>
      </c>
      <c r="I380" t="s">
        <v>352</v>
      </c>
      <c r="J380" t="s">
        <v>544</v>
      </c>
      <c r="K380">
        <v>0</v>
      </c>
      <c r="L380">
        <v>6</v>
      </c>
      <c r="M380">
        <v>10</v>
      </c>
      <c r="N380">
        <v>379</v>
      </c>
      <c r="O380" t="str">
        <f>_xlfn.XLOOKUP(Table4[[#This Row],[id]],VALINA[id],VALINA[name])</f>
        <v>Artois</v>
      </c>
      <c r="P380">
        <f>_xlfn.XLOOKUP(Table4[[#This Row],[id]],prov_color!A:A,prov_color!C:C)</f>
        <v>8</v>
      </c>
    </row>
    <row r="381" spans="1:16" hidden="1" x14ac:dyDescent="0.25">
      <c r="A381">
        <v>380</v>
      </c>
      <c r="B381" t="s">
        <v>346</v>
      </c>
      <c r="C381" t="s">
        <v>491</v>
      </c>
      <c r="D381" t="s">
        <v>492</v>
      </c>
      <c r="E381" t="s">
        <v>34</v>
      </c>
      <c r="F381" t="s">
        <v>349</v>
      </c>
      <c r="G381" t="s">
        <v>35</v>
      </c>
      <c r="H381" t="s">
        <v>493</v>
      </c>
      <c r="I381" t="s">
        <v>352</v>
      </c>
      <c r="J381" t="s">
        <v>545</v>
      </c>
      <c r="K381">
        <v>0</v>
      </c>
      <c r="L381">
        <v>6</v>
      </c>
      <c r="M381">
        <v>17</v>
      </c>
      <c r="N381">
        <v>380</v>
      </c>
      <c r="O381" t="str">
        <f>_xlfn.XLOOKUP(Table4[[#This Row],[id]],VALINA[id],VALINA[name])</f>
        <v>Flandern</v>
      </c>
      <c r="P381">
        <f>_xlfn.XLOOKUP(Table4[[#This Row],[id]],prov_color!A:A,prov_color!C:C)</f>
        <v>13</v>
      </c>
    </row>
    <row r="382" spans="1:16" hidden="1" x14ac:dyDescent="0.25">
      <c r="A382">
        <v>381</v>
      </c>
      <c r="B382" t="s">
        <v>346</v>
      </c>
      <c r="C382" t="s">
        <v>375</v>
      </c>
      <c r="D382" t="s">
        <v>383</v>
      </c>
      <c r="E382" t="s">
        <v>22</v>
      </c>
      <c r="F382" t="s">
        <v>349</v>
      </c>
      <c r="G382" t="s">
        <v>122</v>
      </c>
      <c r="H382" t="s">
        <v>377</v>
      </c>
      <c r="I382" t="s">
        <v>20</v>
      </c>
      <c r="J382" t="s">
        <v>546</v>
      </c>
      <c r="K382">
        <v>0</v>
      </c>
      <c r="L382">
        <v>1</v>
      </c>
      <c r="M382">
        <v>2</v>
      </c>
      <c r="N382">
        <v>381</v>
      </c>
      <c r="O382" t="str">
        <f>_xlfn.XLOOKUP(Table4[[#This Row],[id]],VALINA[id],VALINA[name])</f>
        <v>J�mtland</v>
      </c>
      <c r="P382">
        <f>_xlfn.XLOOKUP(Table4[[#This Row],[id]],prov_color!A:A,prov_color!C:C)</f>
        <v>37</v>
      </c>
    </row>
    <row r="383" spans="1:16" hidden="1" x14ac:dyDescent="0.25">
      <c r="A383">
        <v>382</v>
      </c>
      <c r="B383" t="s">
        <v>346</v>
      </c>
      <c r="C383" t="s">
        <v>491</v>
      </c>
      <c r="D383" t="s">
        <v>540</v>
      </c>
      <c r="E383" t="s">
        <v>34</v>
      </c>
      <c r="F383" t="s">
        <v>349</v>
      </c>
      <c r="G383" t="s">
        <v>35</v>
      </c>
      <c r="H383" t="s">
        <v>360</v>
      </c>
      <c r="I383" t="s">
        <v>352</v>
      </c>
      <c r="J383" t="s">
        <v>547</v>
      </c>
      <c r="K383">
        <v>0</v>
      </c>
      <c r="L383">
        <v>5</v>
      </c>
      <c r="M383">
        <v>15</v>
      </c>
      <c r="N383">
        <v>382</v>
      </c>
      <c r="O383" t="str">
        <f>_xlfn.XLOOKUP(Table4[[#This Row],[id]],VALINA[id],VALINA[name])</f>
        <v>Calais</v>
      </c>
      <c r="P383">
        <f>_xlfn.XLOOKUP(Table4[[#This Row],[id]],prov_color!A:A,prov_color!C:C)</f>
        <v>10</v>
      </c>
    </row>
    <row r="384" spans="1:16" hidden="1" x14ac:dyDescent="0.25">
      <c r="A384">
        <v>383</v>
      </c>
      <c r="B384" t="s">
        <v>346</v>
      </c>
      <c r="C384" t="s">
        <v>491</v>
      </c>
      <c r="D384" t="s">
        <v>540</v>
      </c>
      <c r="E384" t="s">
        <v>34</v>
      </c>
      <c r="F384" t="s">
        <v>349</v>
      </c>
      <c r="G384" t="s">
        <v>35</v>
      </c>
      <c r="H384" t="s">
        <v>538</v>
      </c>
      <c r="I384" t="s">
        <v>352</v>
      </c>
      <c r="J384" t="s">
        <v>548</v>
      </c>
      <c r="K384">
        <v>0</v>
      </c>
      <c r="L384">
        <v>5</v>
      </c>
      <c r="M384">
        <v>6</v>
      </c>
      <c r="N384">
        <v>383</v>
      </c>
      <c r="O384" t="str">
        <f>_xlfn.XLOOKUP(Table4[[#This Row],[id]],VALINA[id],VALINA[name])</f>
        <v>Picardie</v>
      </c>
      <c r="P384">
        <f>_xlfn.XLOOKUP(Table4[[#This Row],[id]],prov_color!A:A,prov_color!C:C)</f>
        <v>8</v>
      </c>
    </row>
    <row r="385" spans="1:16" hidden="1" x14ac:dyDescent="0.25">
      <c r="A385">
        <v>384</v>
      </c>
      <c r="B385" t="s">
        <v>346</v>
      </c>
      <c r="C385" t="s">
        <v>491</v>
      </c>
      <c r="D385" t="s">
        <v>540</v>
      </c>
      <c r="E385" t="s">
        <v>34</v>
      </c>
      <c r="F385" t="s">
        <v>349</v>
      </c>
      <c r="G385" t="s">
        <v>35</v>
      </c>
      <c r="H385" t="s">
        <v>538</v>
      </c>
      <c r="I385" t="s">
        <v>27</v>
      </c>
      <c r="J385" t="s">
        <v>549</v>
      </c>
      <c r="K385">
        <v>0</v>
      </c>
      <c r="L385">
        <v>5</v>
      </c>
      <c r="M385">
        <v>6</v>
      </c>
      <c r="N385">
        <v>384</v>
      </c>
      <c r="O385" t="str">
        <f>_xlfn.XLOOKUP(Table4[[#This Row],[id]],VALINA[id],VALINA[name])</f>
        <v>Caux</v>
      </c>
      <c r="P385">
        <f>_xlfn.XLOOKUP(Table4[[#This Row],[id]],prov_color!A:A,prov_color!C:C)</f>
        <v>12</v>
      </c>
    </row>
    <row r="386" spans="1:16" hidden="1" x14ac:dyDescent="0.25">
      <c r="A386">
        <v>385</v>
      </c>
      <c r="B386" t="s">
        <v>346</v>
      </c>
      <c r="C386" t="s">
        <v>491</v>
      </c>
      <c r="D386" t="s">
        <v>540</v>
      </c>
      <c r="E386" t="s">
        <v>34</v>
      </c>
      <c r="F386" t="s">
        <v>349</v>
      </c>
      <c r="G386" t="s">
        <v>35</v>
      </c>
      <c r="H386" t="s">
        <v>538</v>
      </c>
      <c r="I386" t="s">
        <v>43</v>
      </c>
      <c r="J386" t="s">
        <v>550</v>
      </c>
      <c r="K386">
        <v>0</v>
      </c>
      <c r="L386">
        <v>5</v>
      </c>
      <c r="M386">
        <v>15</v>
      </c>
      <c r="N386">
        <v>385</v>
      </c>
      <c r="O386" t="str">
        <f>_xlfn.XLOOKUP(Table4[[#This Row],[id]],VALINA[id],VALINA[name])</f>
        <v>Ile de France</v>
      </c>
      <c r="P386">
        <f>_xlfn.XLOOKUP(Table4[[#This Row],[id]],prov_color!A:A,prov_color!C:C)</f>
        <v>13</v>
      </c>
    </row>
    <row r="387" spans="1:16" hidden="1" x14ac:dyDescent="0.25">
      <c r="A387">
        <v>386</v>
      </c>
      <c r="B387" t="s">
        <v>346</v>
      </c>
      <c r="C387" t="s">
        <v>491</v>
      </c>
      <c r="D387" t="s">
        <v>540</v>
      </c>
      <c r="E387" t="s">
        <v>34</v>
      </c>
      <c r="F387" t="s">
        <v>349</v>
      </c>
      <c r="G387" t="s">
        <v>26</v>
      </c>
      <c r="H387" t="s">
        <v>538</v>
      </c>
      <c r="I387" t="s">
        <v>43</v>
      </c>
      <c r="J387" t="s">
        <v>551</v>
      </c>
      <c r="K387">
        <v>0</v>
      </c>
      <c r="L387">
        <v>5</v>
      </c>
      <c r="M387">
        <v>9</v>
      </c>
      <c r="N387">
        <v>386</v>
      </c>
      <c r="O387" t="str">
        <f>_xlfn.XLOOKUP(Table4[[#This Row],[id]],VALINA[id],VALINA[name])</f>
        <v>Nivernais</v>
      </c>
      <c r="P387">
        <f>_xlfn.XLOOKUP(Table4[[#This Row],[id]],prov_color!A:A,prov_color!C:C)</f>
        <v>19</v>
      </c>
    </row>
    <row r="388" spans="1:16" hidden="1" x14ac:dyDescent="0.25">
      <c r="A388">
        <v>387</v>
      </c>
      <c r="B388" t="s">
        <v>346</v>
      </c>
      <c r="C388" t="s">
        <v>447</v>
      </c>
      <c r="D388" t="s">
        <v>536</v>
      </c>
      <c r="E388" t="s">
        <v>22</v>
      </c>
      <c r="F388" t="s">
        <v>349</v>
      </c>
      <c r="G388" t="s">
        <v>26</v>
      </c>
      <c r="H388" t="s">
        <v>538</v>
      </c>
      <c r="I388" t="s">
        <v>212</v>
      </c>
      <c r="J388" t="s">
        <v>552</v>
      </c>
      <c r="K388">
        <v>0</v>
      </c>
      <c r="L388">
        <v>5</v>
      </c>
      <c r="M388">
        <v>7</v>
      </c>
      <c r="N388">
        <v>387</v>
      </c>
      <c r="O388" t="str">
        <f>_xlfn.XLOOKUP(Table4[[#This Row],[id]],VALINA[id],VALINA[name])</f>
        <v>Franche Comt�</v>
      </c>
      <c r="P388">
        <f>_xlfn.XLOOKUP(Table4[[#This Row],[id]],prov_color!A:A,prov_color!C:C)</f>
        <v>15</v>
      </c>
    </row>
    <row r="389" spans="1:16" hidden="1" x14ac:dyDescent="0.25">
      <c r="A389">
        <v>388</v>
      </c>
      <c r="B389" t="s">
        <v>346</v>
      </c>
      <c r="C389" t="s">
        <v>447</v>
      </c>
      <c r="D389" t="s">
        <v>553</v>
      </c>
      <c r="E389" t="s">
        <v>14</v>
      </c>
      <c r="F389" t="s">
        <v>349</v>
      </c>
      <c r="G389" t="s">
        <v>26</v>
      </c>
      <c r="H389" t="s">
        <v>554</v>
      </c>
      <c r="I389" t="s">
        <v>141</v>
      </c>
      <c r="J389" t="s">
        <v>555</v>
      </c>
      <c r="K389">
        <v>0</v>
      </c>
      <c r="L389">
        <v>7</v>
      </c>
      <c r="M389">
        <v>9</v>
      </c>
      <c r="N389">
        <v>388</v>
      </c>
      <c r="O389" t="str">
        <f>_xlfn.XLOOKUP(Table4[[#This Row],[id]],VALINA[id],VALINA[name])</f>
        <v>Bern</v>
      </c>
      <c r="P389">
        <f>_xlfn.XLOOKUP(Table4[[#This Row],[id]],prov_color!A:A,prov_color!C:C)</f>
        <v>18</v>
      </c>
    </row>
    <row r="390" spans="1:16" hidden="1" x14ac:dyDescent="0.25">
      <c r="A390">
        <v>389</v>
      </c>
      <c r="B390" t="s">
        <v>346</v>
      </c>
      <c r="C390" t="s">
        <v>516</v>
      </c>
      <c r="D390" t="s">
        <v>528</v>
      </c>
      <c r="E390" t="s">
        <v>34</v>
      </c>
      <c r="F390" t="s">
        <v>349</v>
      </c>
      <c r="G390" t="s">
        <v>35</v>
      </c>
      <c r="H390" t="s">
        <v>529</v>
      </c>
      <c r="I390" t="s">
        <v>352</v>
      </c>
      <c r="J390" t="s">
        <v>556</v>
      </c>
      <c r="K390">
        <v>0</v>
      </c>
      <c r="L390">
        <v>5</v>
      </c>
      <c r="M390">
        <v>16</v>
      </c>
      <c r="N390">
        <v>389</v>
      </c>
      <c r="O390" t="str">
        <f>_xlfn.XLOOKUP(Table4[[#This Row],[id]],VALINA[id],VALINA[name])</f>
        <v>Lombardia</v>
      </c>
      <c r="P390">
        <f>_xlfn.XLOOKUP(Table4[[#This Row],[id]],prov_color!A:A,prov_color!C:C)</f>
        <v>19</v>
      </c>
    </row>
    <row r="391" spans="1:16" hidden="1" x14ac:dyDescent="0.25">
      <c r="A391">
        <v>390</v>
      </c>
      <c r="B391" t="s">
        <v>346</v>
      </c>
      <c r="C391" t="s">
        <v>516</v>
      </c>
      <c r="D391" t="s">
        <v>528</v>
      </c>
      <c r="E391" t="s">
        <v>80</v>
      </c>
      <c r="F391" t="s">
        <v>349</v>
      </c>
      <c r="G391" t="s">
        <v>35</v>
      </c>
      <c r="H391" t="s">
        <v>529</v>
      </c>
      <c r="I391" t="s">
        <v>43</v>
      </c>
      <c r="J391" t="s">
        <v>557</v>
      </c>
      <c r="K391">
        <v>0</v>
      </c>
      <c r="L391">
        <v>5</v>
      </c>
      <c r="M391">
        <v>14</v>
      </c>
      <c r="N391">
        <v>390</v>
      </c>
      <c r="O391" t="str">
        <f>_xlfn.XLOOKUP(Table4[[#This Row],[id]],VALINA[id],VALINA[name])</f>
        <v>Mantua</v>
      </c>
      <c r="P391">
        <f>_xlfn.XLOOKUP(Table4[[#This Row],[id]],prov_color!A:A,prov_color!C:C)</f>
        <v>14</v>
      </c>
    </row>
    <row r="392" spans="1:16" hidden="1" x14ac:dyDescent="0.25">
      <c r="A392">
        <v>391</v>
      </c>
      <c r="B392" t="s">
        <v>346</v>
      </c>
      <c r="C392" t="s">
        <v>516</v>
      </c>
      <c r="D392" t="s">
        <v>528</v>
      </c>
      <c r="E392" t="s">
        <v>34</v>
      </c>
      <c r="F392" t="s">
        <v>349</v>
      </c>
      <c r="G392" t="s">
        <v>35</v>
      </c>
      <c r="H392" t="s">
        <v>529</v>
      </c>
      <c r="I392" t="s">
        <v>53</v>
      </c>
      <c r="J392" t="s">
        <v>558</v>
      </c>
      <c r="K392">
        <v>0</v>
      </c>
      <c r="L392">
        <v>5</v>
      </c>
      <c r="M392">
        <v>8</v>
      </c>
      <c r="N392">
        <v>391</v>
      </c>
      <c r="O392" t="str">
        <f>_xlfn.XLOOKUP(Table4[[#This Row],[id]],VALINA[id],VALINA[name])</f>
        <v>Romagna</v>
      </c>
      <c r="P392">
        <f>_xlfn.XLOOKUP(Table4[[#This Row],[id]],prov_color!A:A,prov_color!C:C)</f>
        <v>13</v>
      </c>
    </row>
    <row r="393" spans="1:16" hidden="1" x14ac:dyDescent="0.25">
      <c r="A393">
        <v>392</v>
      </c>
      <c r="B393" t="s">
        <v>346</v>
      </c>
      <c r="C393" t="s">
        <v>516</v>
      </c>
      <c r="D393" t="s">
        <v>528</v>
      </c>
      <c r="E393" t="s">
        <v>34</v>
      </c>
      <c r="F393" t="s">
        <v>349</v>
      </c>
      <c r="G393" t="s">
        <v>35</v>
      </c>
      <c r="H393" t="s">
        <v>529</v>
      </c>
      <c r="I393" t="s">
        <v>41</v>
      </c>
      <c r="J393" t="s">
        <v>559</v>
      </c>
      <c r="K393">
        <v>0</v>
      </c>
      <c r="L393">
        <v>5</v>
      </c>
      <c r="M393">
        <v>6</v>
      </c>
      <c r="N393">
        <v>392</v>
      </c>
      <c r="O393" t="str">
        <f>_xlfn.XLOOKUP(Table4[[#This Row],[id]],VALINA[id],VALINA[name])</f>
        <v>Marche</v>
      </c>
      <c r="P393">
        <f>_xlfn.XLOOKUP(Table4[[#This Row],[id]],prov_color!A:A,prov_color!C:C)</f>
        <v>21</v>
      </c>
    </row>
    <row r="394" spans="1:16" hidden="1" x14ac:dyDescent="0.25">
      <c r="A394">
        <v>393</v>
      </c>
      <c r="B394" t="s">
        <v>346</v>
      </c>
      <c r="C394" t="s">
        <v>516</v>
      </c>
      <c r="D394" t="s">
        <v>528</v>
      </c>
      <c r="E394" t="s">
        <v>34</v>
      </c>
      <c r="F394" t="s">
        <v>349</v>
      </c>
      <c r="G394" t="s">
        <v>35</v>
      </c>
      <c r="H394" t="s">
        <v>529</v>
      </c>
      <c r="I394" t="s">
        <v>37</v>
      </c>
      <c r="J394" t="s">
        <v>560</v>
      </c>
      <c r="K394">
        <v>0</v>
      </c>
      <c r="L394">
        <v>8</v>
      </c>
      <c r="M394">
        <v>12</v>
      </c>
      <c r="N394">
        <v>393</v>
      </c>
      <c r="O394" t="str">
        <f>_xlfn.XLOOKUP(Table4[[#This Row],[id]],VALINA[id],VALINA[name])</f>
        <v>Napoli</v>
      </c>
      <c r="P394">
        <f>_xlfn.XLOOKUP(Table4[[#This Row],[id]],prov_color!A:A,prov_color!C:C)</f>
        <v>30</v>
      </c>
    </row>
    <row r="395" spans="1:16" hidden="1" x14ac:dyDescent="0.25">
      <c r="A395">
        <v>394</v>
      </c>
      <c r="B395" t="s">
        <v>346</v>
      </c>
      <c r="C395" t="s">
        <v>516</v>
      </c>
      <c r="D395" t="s">
        <v>528</v>
      </c>
      <c r="E395" t="s">
        <v>14</v>
      </c>
      <c r="F395" t="s">
        <v>349</v>
      </c>
      <c r="G395" t="s">
        <v>35</v>
      </c>
      <c r="H395" t="s">
        <v>529</v>
      </c>
      <c r="I395" t="s">
        <v>53</v>
      </c>
      <c r="J395" t="s">
        <v>561</v>
      </c>
      <c r="K395">
        <v>0</v>
      </c>
      <c r="L395">
        <v>5</v>
      </c>
      <c r="M395">
        <v>4</v>
      </c>
      <c r="N395">
        <v>394</v>
      </c>
      <c r="O395" t="str">
        <f>_xlfn.XLOOKUP(Table4[[#This Row],[id]],VALINA[id],VALINA[name])</f>
        <v>Apulia</v>
      </c>
      <c r="P395">
        <f>_xlfn.XLOOKUP(Table4[[#This Row],[id]],prov_color!A:A,prov_color!C:C)</f>
        <v>40</v>
      </c>
    </row>
    <row r="396" spans="1:16" hidden="1" x14ac:dyDescent="0.25">
      <c r="A396">
        <v>395</v>
      </c>
      <c r="B396" t="s">
        <v>346</v>
      </c>
      <c r="C396" t="s">
        <v>516</v>
      </c>
      <c r="D396" t="s">
        <v>528</v>
      </c>
      <c r="E396" t="s">
        <v>14</v>
      </c>
      <c r="F396" t="s">
        <v>349</v>
      </c>
      <c r="G396" t="s">
        <v>35</v>
      </c>
      <c r="H396" t="s">
        <v>529</v>
      </c>
      <c r="I396" t="s">
        <v>27</v>
      </c>
      <c r="J396" t="s">
        <v>562</v>
      </c>
      <c r="K396">
        <v>0</v>
      </c>
      <c r="L396">
        <v>5</v>
      </c>
      <c r="M396">
        <v>6</v>
      </c>
      <c r="N396">
        <v>395</v>
      </c>
      <c r="O396" t="str">
        <f>_xlfn.XLOOKUP(Table4[[#This Row],[id]],VALINA[id],VALINA[name])</f>
        <v>Messina</v>
      </c>
      <c r="P396">
        <f>_xlfn.XLOOKUP(Table4[[#This Row],[id]],prov_color!A:A,prov_color!C:C)</f>
        <v>13</v>
      </c>
    </row>
    <row r="397" spans="1:16" hidden="1" x14ac:dyDescent="0.25">
      <c r="A397">
        <v>396</v>
      </c>
      <c r="B397" t="s">
        <v>346</v>
      </c>
      <c r="C397" t="s">
        <v>516</v>
      </c>
      <c r="D397" t="s">
        <v>528</v>
      </c>
      <c r="E397" t="s">
        <v>34</v>
      </c>
      <c r="F397" t="s">
        <v>349</v>
      </c>
      <c r="G397" t="s">
        <v>35</v>
      </c>
      <c r="H397" t="s">
        <v>529</v>
      </c>
      <c r="I397" t="s">
        <v>37</v>
      </c>
      <c r="J397" t="s">
        <v>563</v>
      </c>
      <c r="K397">
        <v>0</v>
      </c>
      <c r="L397">
        <v>5</v>
      </c>
      <c r="M397">
        <v>7</v>
      </c>
      <c r="N397">
        <v>396</v>
      </c>
      <c r="O397" t="str">
        <f>_xlfn.XLOOKUP(Table4[[#This Row],[id]],VALINA[id],VALINA[name])</f>
        <v>Sicily</v>
      </c>
      <c r="P397">
        <f>_xlfn.XLOOKUP(Table4[[#This Row],[id]],prov_color!A:A,prov_color!C:C)</f>
        <v>11</v>
      </c>
    </row>
    <row r="398" spans="1:16" hidden="1" x14ac:dyDescent="0.25">
      <c r="A398">
        <v>397</v>
      </c>
      <c r="B398" t="s">
        <v>346</v>
      </c>
      <c r="C398" t="s">
        <v>516</v>
      </c>
      <c r="D398" t="s">
        <v>528</v>
      </c>
      <c r="E398" t="s">
        <v>14</v>
      </c>
      <c r="F398" t="s">
        <v>349</v>
      </c>
      <c r="G398" t="s">
        <v>35</v>
      </c>
      <c r="H398" t="s">
        <v>529</v>
      </c>
      <c r="I398" t="s">
        <v>27</v>
      </c>
      <c r="J398" t="s">
        <v>564</v>
      </c>
      <c r="K398">
        <v>0</v>
      </c>
      <c r="L398">
        <v>2</v>
      </c>
      <c r="M398">
        <v>4</v>
      </c>
      <c r="N398">
        <v>397</v>
      </c>
      <c r="O398" t="str">
        <f>_xlfn.XLOOKUP(Table4[[#This Row],[id]],VALINA[id],VALINA[name])</f>
        <v>Sardinia</v>
      </c>
      <c r="P398">
        <f>_xlfn.XLOOKUP(Table4[[#This Row],[id]],prov_color!A:A,prov_color!C:C)</f>
        <v>11</v>
      </c>
    </row>
    <row r="399" spans="1:16" hidden="1" x14ac:dyDescent="0.25">
      <c r="A399">
        <v>398</v>
      </c>
      <c r="B399" t="s">
        <v>346</v>
      </c>
      <c r="C399" t="s">
        <v>516</v>
      </c>
      <c r="D399" t="s">
        <v>528</v>
      </c>
      <c r="E399" t="s">
        <v>14</v>
      </c>
      <c r="F399" t="s">
        <v>349</v>
      </c>
      <c r="G399" t="s">
        <v>35</v>
      </c>
      <c r="H399" t="s">
        <v>529</v>
      </c>
      <c r="I399" t="s">
        <v>29</v>
      </c>
      <c r="J399" t="s">
        <v>565</v>
      </c>
      <c r="K399">
        <v>0</v>
      </c>
      <c r="L399">
        <v>2</v>
      </c>
      <c r="M399">
        <v>3</v>
      </c>
      <c r="N399">
        <v>398</v>
      </c>
      <c r="O399" t="str">
        <f>_xlfn.XLOOKUP(Table4[[#This Row],[id]],VALINA[id],VALINA[name])</f>
        <v>Corsica</v>
      </c>
      <c r="P399">
        <f>_xlfn.XLOOKUP(Table4[[#This Row],[id]],prov_color!A:A,prov_color!C:C)</f>
        <v>7</v>
      </c>
    </row>
    <row r="400" spans="1:16" hidden="1" x14ac:dyDescent="0.25">
      <c r="A400">
        <v>399</v>
      </c>
      <c r="B400" t="s">
        <v>346</v>
      </c>
      <c r="C400" t="s">
        <v>516</v>
      </c>
      <c r="D400" t="s">
        <v>528</v>
      </c>
      <c r="E400" t="s">
        <v>34</v>
      </c>
      <c r="F400" t="s">
        <v>349</v>
      </c>
      <c r="G400" t="s">
        <v>35</v>
      </c>
      <c r="H400" t="s">
        <v>529</v>
      </c>
      <c r="I400" t="s">
        <v>43</v>
      </c>
      <c r="J400" t="s">
        <v>566</v>
      </c>
      <c r="K400">
        <v>0</v>
      </c>
      <c r="L400">
        <v>8</v>
      </c>
      <c r="M400">
        <v>12</v>
      </c>
      <c r="N400">
        <v>399</v>
      </c>
      <c r="O400" t="str">
        <f>_xlfn.XLOOKUP(Table4[[#This Row],[id]],VALINA[id],VALINA[name])</f>
        <v>Roma</v>
      </c>
      <c r="P400">
        <f>_xlfn.XLOOKUP(Table4[[#This Row],[id]],prov_color!A:A,prov_color!C:C)</f>
        <v>16</v>
      </c>
    </row>
    <row r="401" spans="1:16" hidden="1" x14ac:dyDescent="0.25">
      <c r="A401">
        <v>400</v>
      </c>
      <c r="B401" t="s">
        <v>346</v>
      </c>
      <c r="C401" t="s">
        <v>516</v>
      </c>
      <c r="D401" t="s">
        <v>528</v>
      </c>
      <c r="E401" t="s">
        <v>14</v>
      </c>
      <c r="F401" t="s">
        <v>349</v>
      </c>
      <c r="G401" t="s">
        <v>35</v>
      </c>
      <c r="H401" t="s">
        <v>529</v>
      </c>
      <c r="I401" t="s">
        <v>352</v>
      </c>
      <c r="J401" t="s">
        <v>567</v>
      </c>
      <c r="K401">
        <v>0</v>
      </c>
      <c r="L401">
        <v>6</v>
      </c>
      <c r="M401">
        <v>11</v>
      </c>
      <c r="N401">
        <v>400</v>
      </c>
      <c r="O401" t="str">
        <f>_xlfn.XLOOKUP(Table4[[#This Row],[id]],VALINA[id],VALINA[name])</f>
        <v>Siena</v>
      </c>
      <c r="P401">
        <f>_xlfn.XLOOKUP(Table4[[#This Row],[id]],prov_color!A:A,prov_color!C:C)</f>
        <v>14</v>
      </c>
    </row>
    <row r="402" spans="1:16" hidden="1" x14ac:dyDescent="0.25">
      <c r="A402">
        <v>401</v>
      </c>
      <c r="B402" t="s">
        <v>346</v>
      </c>
      <c r="C402" t="s">
        <v>516</v>
      </c>
      <c r="D402" t="s">
        <v>528</v>
      </c>
      <c r="E402" t="s">
        <v>34</v>
      </c>
      <c r="F402" t="s">
        <v>349</v>
      </c>
      <c r="G402" t="s">
        <v>35</v>
      </c>
      <c r="H402" t="s">
        <v>529</v>
      </c>
      <c r="I402" t="s">
        <v>37</v>
      </c>
      <c r="J402" t="s">
        <v>568</v>
      </c>
      <c r="K402">
        <v>0</v>
      </c>
      <c r="L402">
        <v>5</v>
      </c>
      <c r="M402">
        <v>16</v>
      </c>
      <c r="N402">
        <v>401</v>
      </c>
      <c r="O402" t="str">
        <f>_xlfn.XLOOKUP(Table4[[#This Row],[id]],VALINA[id],VALINA[name])</f>
        <v>Firenze</v>
      </c>
      <c r="P402">
        <f>_xlfn.XLOOKUP(Table4[[#This Row],[id]],prov_color!A:A,prov_color!C:C)</f>
        <v>12</v>
      </c>
    </row>
    <row r="403" spans="1:16" hidden="1" x14ac:dyDescent="0.25">
      <c r="A403">
        <v>402</v>
      </c>
      <c r="B403" t="s">
        <v>346</v>
      </c>
      <c r="C403" t="s">
        <v>516</v>
      </c>
      <c r="D403" t="s">
        <v>528</v>
      </c>
      <c r="E403" t="s">
        <v>34</v>
      </c>
      <c r="F403" t="s">
        <v>349</v>
      </c>
      <c r="G403" t="s">
        <v>35</v>
      </c>
      <c r="H403" t="s">
        <v>529</v>
      </c>
      <c r="I403" t="s">
        <v>37</v>
      </c>
      <c r="J403" t="s">
        <v>569</v>
      </c>
      <c r="K403">
        <v>0</v>
      </c>
      <c r="L403">
        <v>5</v>
      </c>
      <c r="M403">
        <v>10</v>
      </c>
      <c r="N403">
        <v>402</v>
      </c>
      <c r="O403" t="str">
        <f>_xlfn.XLOOKUP(Table4[[#This Row],[id]],VALINA[id],VALINA[name])</f>
        <v>Emilia</v>
      </c>
      <c r="P403">
        <f>_xlfn.XLOOKUP(Table4[[#This Row],[id]],prov_color!A:A,prov_color!C:C)</f>
        <v>12</v>
      </c>
    </row>
    <row r="404" spans="1:16" hidden="1" x14ac:dyDescent="0.25">
      <c r="A404">
        <v>403</v>
      </c>
      <c r="B404" t="s">
        <v>346</v>
      </c>
      <c r="C404" t="s">
        <v>516</v>
      </c>
      <c r="D404" t="s">
        <v>528</v>
      </c>
      <c r="E404" t="s">
        <v>14</v>
      </c>
      <c r="F404" t="s">
        <v>349</v>
      </c>
      <c r="G404" t="s">
        <v>35</v>
      </c>
      <c r="H404" t="s">
        <v>529</v>
      </c>
      <c r="I404" t="s">
        <v>41</v>
      </c>
      <c r="J404" t="s">
        <v>570</v>
      </c>
      <c r="K404">
        <v>0</v>
      </c>
      <c r="L404">
        <v>6</v>
      </c>
      <c r="M404">
        <v>10</v>
      </c>
      <c r="N404">
        <v>403</v>
      </c>
      <c r="O404" t="str">
        <f>_xlfn.XLOOKUP(Table4[[#This Row],[id]],VALINA[id],VALINA[name])</f>
        <v>Liguria</v>
      </c>
      <c r="P404">
        <f>_xlfn.XLOOKUP(Table4[[#This Row],[id]],prov_color!A:A,prov_color!C:C)</f>
        <v>11</v>
      </c>
    </row>
    <row r="405" spans="1:16" hidden="1" x14ac:dyDescent="0.25">
      <c r="A405">
        <v>404</v>
      </c>
      <c r="B405" t="s">
        <v>346</v>
      </c>
      <c r="C405" t="s">
        <v>516</v>
      </c>
      <c r="D405" t="s">
        <v>528</v>
      </c>
      <c r="E405" t="s">
        <v>14</v>
      </c>
      <c r="F405" t="s">
        <v>349</v>
      </c>
      <c r="G405" t="s">
        <v>35</v>
      </c>
      <c r="H405" t="s">
        <v>529</v>
      </c>
      <c r="I405" t="s">
        <v>27</v>
      </c>
      <c r="J405" t="s">
        <v>571</v>
      </c>
      <c r="K405">
        <v>0</v>
      </c>
      <c r="L405">
        <v>5</v>
      </c>
      <c r="M405">
        <v>6</v>
      </c>
      <c r="N405">
        <v>404</v>
      </c>
      <c r="O405" t="str">
        <f>_xlfn.XLOOKUP(Table4[[#This Row],[id]],VALINA[id],VALINA[name])</f>
        <v>Piemonte</v>
      </c>
      <c r="P405">
        <f>_xlfn.XLOOKUP(Table4[[#This Row],[id]],prov_color!A:A,prov_color!C:C)</f>
        <v>18</v>
      </c>
    </row>
    <row r="406" spans="1:16" hidden="1" x14ac:dyDescent="0.25">
      <c r="A406">
        <v>405</v>
      </c>
      <c r="B406" t="s">
        <v>346</v>
      </c>
      <c r="C406" t="s">
        <v>447</v>
      </c>
      <c r="D406" t="s">
        <v>536</v>
      </c>
      <c r="E406" t="s">
        <v>14</v>
      </c>
      <c r="F406" t="s">
        <v>349</v>
      </c>
      <c r="G406" t="s">
        <v>35</v>
      </c>
      <c r="H406" t="s">
        <v>538</v>
      </c>
      <c r="I406" t="s">
        <v>352</v>
      </c>
      <c r="J406" t="s">
        <v>572</v>
      </c>
      <c r="K406">
        <v>0</v>
      </c>
      <c r="L406">
        <v>6</v>
      </c>
      <c r="M406">
        <v>14</v>
      </c>
      <c r="N406">
        <v>405</v>
      </c>
      <c r="O406" t="str">
        <f>_xlfn.XLOOKUP(Table4[[#This Row],[id]],VALINA[id],VALINA[name])</f>
        <v>Savoie</v>
      </c>
      <c r="P406">
        <f>_xlfn.XLOOKUP(Table4[[#This Row],[id]],prov_color!A:A,prov_color!C:C)</f>
        <v>16</v>
      </c>
    </row>
    <row r="407" spans="1:16" hidden="1" x14ac:dyDescent="0.25">
      <c r="A407">
        <v>406</v>
      </c>
      <c r="B407" t="s">
        <v>346</v>
      </c>
      <c r="C407" t="s">
        <v>491</v>
      </c>
      <c r="D407" t="s">
        <v>540</v>
      </c>
      <c r="E407" t="s">
        <v>14</v>
      </c>
      <c r="F407" t="s">
        <v>349</v>
      </c>
      <c r="G407" t="s">
        <v>35</v>
      </c>
      <c r="H407" t="s">
        <v>573</v>
      </c>
      <c r="I407" t="s">
        <v>37</v>
      </c>
      <c r="J407" t="s">
        <v>574</v>
      </c>
      <c r="K407">
        <v>0</v>
      </c>
      <c r="L407">
        <v>5</v>
      </c>
      <c r="M407">
        <v>13</v>
      </c>
      <c r="N407">
        <v>406</v>
      </c>
      <c r="O407" t="str">
        <f>_xlfn.XLOOKUP(Table4[[#This Row],[id]],VALINA[id],VALINA[name])</f>
        <v>Provence</v>
      </c>
      <c r="P407">
        <f>_xlfn.XLOOKUP(Table4[[#This Row],[id]],prov_color!A:A,prov_color!C:C)</f>
        <v>15</v>
      </c>
    </row>
    <row r="408" spans="1:16" hidden="1" x14ac:dyDescent="0.25">
      <c r="A408">
        <v>407</v>
      </c>
      <c r="B408" t="s">
        <v>346</v>
      </c>
      <c r="C408" t="s">
        <v>491</v>
      </c>
      <c r="D408" t="s">
        <v>540</v>
      </c>
      <c r="E408" t="s">
        <v>14</v>
      </c>
      <c r="F408" t="s">
        <v>349</v>
      </c>
      <c r="G408" t="s">
        <v>26</v>
      </c>
      <c r="H408" t="s">
        <v>538</v>
      </c>
      <c r="I408" t="s">
        <v>141</v>
      </c>
      <c r="J408" t="s">
        <v>575</v>
      </c>
      <c r="K408">
        <v>0</v>
      </c>
      <c r="L408">
        <v>5</v>
      </c>
      <c r="M408">
        <v>9</v>
      </c>
      <c r="N408">
        <v>407</v>
      </c>
      <c r="O408" t="str">
        <f>_xlfn.XLOOKUP(Table4[[#This Row],[id]],VALINA[id],VALINA[name])</f>
        <v>Dauphin�</v>
      </c>
      <c r="P408">
        <f>_xlfn.XLOOKUP(Table4[[#This Row],[id]],prov_color!A:A,prov_color!C:C)</f>
        <v>16</v>
      </c>
    </row>
    <row r="409" spans="1:16" hidden="1" x14ac:dyDescent="0.25">
      <c r="A409">
        <v>408</v>
      </c>
      <c r="B409" t="s">
        <v>346</v>
      </c>
      <c r="C409" t="s">
        <v>491</v>
      </c>
      <c r="D409" t="s">
        <v>540</v>
      </c>
      <c r="E409" t="s">
        <v>34</v>
      </c>
      <c r="F409" t="s">
        <v>349</v>
      </c>
      <c r="G409" t="s">
        <v>26</v>
      </c>
      <c r="H409" t="s">
        <v>538</v>
      </c>
      <c r="I409" t="s">
        <v>43</v>
      </c>
      <c r="J409" t="s">
        <v>576</v>
      </c>
      <c r="K409">
        <v>0</v>
      </c>
      <c r="L409">
        <v>5</v>
      </c>
      <c r="M409">
        <v>13</v>
      </c>
      <c r="N409">
        <v>408</v>
      </c>
      <c r="O409" t="str">
        <f>_xlfn.XLOOKUP(Table4[[#This Row],[id]],VALINA[id],VALINA[name])</f>
        <v>Lyonnais</v>
      </c>
      <c r="P409">
        <f>_xlfn.XLOOKUP(Table4[[#This Row],[id]],prov_color!A:A,prov_color!C:C)</f>
        <v>23</v>
      </c>
    </row>
    <row r="410" spans="1:16" hidden="1" x14ac:dyDescent="0.25">
      <c r="A410">
        <v>409</v>
      </c>
      <c r="B410" t="s">
        <v>346</v>
      </c>
      <c r="C410" t="s">
        <v>491</v>
      </c>
      <c r="D410" t="s">
        <v>540</v>
      </c>
      <c r="E410" t="s">
        <v>34</v>
      </c>
      <c r="F410" t="s">
        <v>349</v>
      </c>
      <c r="G410" t="s">
        <v>26</v>
      </c>
      <c r="H410" t="s">
        <v>538</v>
      </c>
      <c r="I410" t="s">
        <v>37</v>
      </c>
      <c r="J410" t="s">
        <v>577</v>
      </c>
      <c r="K410">
        <v>0</v>
      </c>
      <c r="L410">
        <v>5</v>
      </c>
      <c r="M410">
        <v>10</v>
      </c>
      <c r="N410">
        <v>409</v>
      </c>
      <c r="O410" t="str">
        <f>_xlfn.XLOOKUP(Table4[[#This Row],[id]],VALINA[id],VALINA[name])</f>
        <v>Bourgogne</v>
      </c>
      <c r="P410">
        <f>_xlfn.XLOOKUP(Table4[[#This Row],[id]],prov_color!A:A,prov_color!C:C)</f>
        <v>23</v>
      </c>
    </row>
    <row r="411" spans="1:16" hidden="1" x14ac:dyDescent="0.25">
      <c r="A411">
        <v>410</v>
      </c>
      <c r="B411" t="s">
        <v>346</v>
      </c>
      <c r="C411" t="s">
        <v>491</v>
      </c>
      <c r="D411" t="s">
        <v>540</v>
      </c>
      <c r="E411" t="s">
        <v>34</v>
      </c>
      <c r="F411" t="s">
        <v>349</v>
      </c>
      <c r="G411" t="s">
        <v>35</v>
      </c>
      <c r="H411" t="s">
        <v>538</v>
      </c>
      <c r="I411" t="s">
        <v>43</v>
      </c>
      <c r="J411" t="s">
        <v>578</v>
      </c>
      <c r="K411">
        <v>0</v>
      </c>
      <c r="L411">
        <v>5</v>
      </c>
      <c r="M411">
        <v>8</v>
      </c>
      <c r="N411">
        <v>410</v>
      </c>
      <c r="O411" t="str">
        <f>_xlfn.XLOOKUP(Table4[[#This Row],[id]],VALINA[id],VALINA[name])</f>
        <v>Berri</v>
      </c>
      <c r="P411">
        <f>_xlfn.XLOOKUP(Table4[[#This Row],[id]],prov_color!A:A,prov_color!C:C)</f>
        <v>21</v>
      </c>
    </row>
    <row r="412" spans="1:16" hidden="1" x14ac:dyDescent="0.25">
      <c r="A412">
        <v>411</v>
      </c>
      <c r="B412" t="s">
        <v>346</v>
      </c>
      <c r="C412" t="s">
        <v>491</v>
      </c>
      <c r="D412" t="s">
        <v>540</v>
      </c>
      <c r="E412" t="s">
        <v>34</v>
      </c>
      <c r="F412" t="s">
        <v>349</v>
      </c>
      <c r="G412" t="s">
        <v>35</v>
      </c>
      <c r="H412" t="s">
        <v>538</v>
      </c>
      <c r="I412" t="s">
        <v>43</v>
      </c>
      <c r="J412" t="s">
        <v>579</v>
      </c>
      <c r="K412">
        <v>0</v>
      </c>
      <c r="L412">
        <v>5</v>
      </c>
      <c r="M412">
        <v>12</v>
      </c>
      <c r="N412">
        <v>411</v>
      </c>
      <c r="O412" t="str">
        <f>_xlfn.XLOOKUP(Table4[[#This Row],[id]],VALINA[id],VALINA[name])</f>
        <v>Orleanais</v>
      </c>
      <c r="P412">
        <f>_xlfn.XLOOKUP(Table4[[#This Row],[id]],prov_color!A:A,prov_color!C:C)</f>
        <v>25</v>
      </c>
    </row>
    <row r="413" spans="1:16" hidden="1" x14ac:dyDescent="0.25">
      <c r="A413">
        <v>412</v>
      </c>
      <c r="B413" t="s">
        <v>346</v>
      </c>
      <c r="C413" t="s">
        <v>491</v>
      </c>
      <c r="D413" t="s">
        <v>540</v>
      </c>
      <c r="E413" t="s">
        <v>34</v>
      </c>
      <c r="F413" t="s">
        <v>349</v>
      </c>
      <c r="G413" t="s">
        <v>35</v>
      </c>
      <c r="H413" t="s">
        <v>538</v>
      </c>
      <c r="I413" t="s">
        <v>43</v>
      </c>
      <c r="J413" t="s">
        <v>177</v>
      </c>
      <c r="K413">
        <v>0</v>
      </c>
      <c r="L413">
        <v>5</v>
      </c>
      <c r="M413">
        <v>10</v>
      </c>
      <c r="N413">
        <v>412</v>
      </c>
      <c r="O413" t="str">
        <f>_xlfn.XLOOKUP(Table4[[#This Row],[id]],VALINA[id],VALINA[name])</f>
        <v>Maine</v>
      </c>
      <c r="P413">
        <f>_xlfn.XLOOKUP(Table4[[#This Row],[id]],prov_color!A:A,prov_color!C:C)</f>
        <v>18</v>
      </c>
    </row>
    <row r="414" spans="1:16" hidden="1" x14ac:dyDescent="0.25">
      <c r="A414">
        <v>413</v>
      </c>
      <c r="B414" t="s">
        <v>346</v>
      </c>
      <c r="C414" t="s">
        <v>491</v>
      </c>
      <c r="D414" t="s">
        <v>540</v>
      </c>
      <c r="E414" t="s">
        <v>22</v>
      </c>
      <c r="F414" t="s">
        <v>349</v>
      </c>
      <c r="G414" t="s">
        <v>35</v>
      </c>
      <c r="H414" t="s">
        <v>538</v>
      </c>
      <c r="I414" t="s">
        <v>29</v>
      </c>
      <c r="J414" t="s">
        <v>580</v>
      </c>
      <c r="K414">
        <v>0</v>
      </c>
      <c r="L414">
        <v>5</v>
      </c>
      <c r="M414">
        <v>7</v>
      </c>
      <c r="N414">
        <v>413</v>
      </c>
      <c r="O414" t="str">
        <f>_xlfn.XLOOKUP(Table4[[#This Row],[id]],VALINA[id],VALINA[name])</f>
        <v>Normandie</v>
      </c>
      <c r="P414">
        <f>_xlfn.XLOOKUP(Table4[[#This Row],[id]],prov_color!A:A,prov_color!C:C)</f>
        <v>16</v>
      </c>
    </row>
    <row r="415" spans="1:16" hidden="1" x14ac:dyDescent="0.25">
      <c r="A415">
        <v>414</v>
      </c>
      <c r="B415" t="s">
        <v>346</v>
      </c>
      <c r="C415" t="s">
        <v>491</v>
      </c>
      <c r="D415" t="s">
        <v>540</v>
      </c>
      <c r="E415" t="s">
        <v>34</v>
      </c>
      <c r="F415" t="s">
        <v>349</v>
      </c>
      <c r="G415" t="s">
        <v>35</v>
      </c>
      <c r="H415" t="s">
        <v>538</v>
      </c>
      <c r="I415" t="s">
        <v>27</v>
      </c>
      <c r="J415" t="s">
        <v>581</v>
      </c>
      <c r="K415">
        <v>0</v>
      </c>
      <c r="L415">
        <v>5</v>
      </c>
      <c r="M415">
        <v>9</v>
      </c>
      <c r="N415">
        <v>414</v>
      </c>
      <c r="O415" t="str">
        <f>_xlfn.XLOOKUP(Table4[[#This Row],[id]],VALINA[id],VALINA[name])</f>
        <v>Armor</v>
      </c>
      <c r="P415">
        <f>_xlfn.XLOOKUP(Table4[[#This Row],[id]],prov_color!A:A,prov_color!C:C)</f>
        <v>15</v>
      </c>
    </row>
    <row r="416" spans="1:16" hidden="1" x14ac:dyDescent="0.25">
      <c r="A416">
        <v>415</v>
      </c>
      <c r="B416" t="s">
        <v>346</v>
      </c>
      <c r="C416" t="s">
        <v>491</v>
      </c>
      <c r="D416" t="s">
        <v>540</v>
      </c>
      <c r="E416" t="s">
        <v>22</v>
      </c>
      <c r="F416" t="s">
        <v>349</v>
      </c>
      <c r="G416" t="s">
        <v>35</v>
      </c>
      <c r="H416" t="s">
        <v>350</v>
      </c>
      <c r="I416" t="s">
        <v>27</v>
      </c>
      <c r="J416" t="s">
        <v>582</v>
      </c>
      <c r="K416">
        <v>0</v>
      </c>
      <c r="L416">
        <v>3</v>
      </c>
      <c r="M416">
        <v>7</v>
      </c>
      <c r="N416">
        <v>415</v>
      </c>
      <c r="O416" t="str">
        <f>_xlfn.XLOOKUP(Table4[[#This Row],[id]],VALINA[id],VALINA[name])</f>
        <v>Bretagne</v>
      </c>
      <c r="P416">
        <f>_xlfn.XLOOKUP(Table4[[#This Row],[id]],prov_color!A:A,prov_color!C:C)</f>
        <v>13</v>
      </c>
    </row>
    <row r="417" spans="1:16" hidden="1" x14ac:dyDescent="0.25">
      <c r="A417">
        <v>416</v>
      </c>
      <c r="B417" t="s">
        <v>346</v>
      </c>
      <c r="C417" t="s">
        <v>491</v>
      </c>
      <c r="D417" t="s">
        <v>540</v>
      </c>
      <c r="E417" t="s">
        <v>34</v>
      </c>
      <c r="F417" t="s">
        <v>349</v>
      </c>
      <c r="G417" t="s">
        <v>35</v>
      </c>
      <c r="H417" t="s">
        <v>538</v>
      </c>
      <c r="I417" t="s">
        <v>27</v>
      </c>
      <c r="J417" t="s">
        <v>583</v>
      </c>
      <c r="K417">
        <v>0</v>
      </c>
      <c r="L417">
        <v>4</v>
      </c>
      <c r="M417">
        <v>10</v>
      </c>
      <c r="N417">
        <v>416</v>
      </c>
      <c r="O417" t="str">
        <f>_xlfn.XLOOKUP(Table4[[#This Row],[id]],VALINA[id],VALINA[name])</f>
        <v>Morbihan</v>
      </c>
      <c r="P417">
        <f>_xlfn.XLOOKUP(Table4[[#This Row],[id]],prov_color!A:A,prov_color!C:C)</f>
        <v>13</v>
      </c>
    </row>
    <row r="418" spans="1:16" hidden="1" x14ac:dyDescent="0.25">
      <c r="A418">
        <v>417</v>
      </c>
      <c r="B418" t="s">
        <v>346</v>
      </c>
      <c r="C418" t="s">
        <v>491</v>
      </c>
      <c r="D418" t="s">
        <v>540</v>
      </c>
      <c r="E418" t="s">
        <v>22</v>
      </c>
      <c r="F418" t="s">
        <v>349</v>
      </c>
      <c r="G418" t="s">
        <v>35</v>
      </c>
      <c r="H418" t="s">
        <v>538</v>
      </c>
      <c r="I418" t="s">
        <v>53</v>
      </c>
      <c r="J418" t="s">
        <v>584</v>
      </c>
      <c r="K418">
        <v>0</v>
      </c>
      <c r="L418">
        <v>6</v>
      </c>
      <c r="M418">
        <v>7</v>
      </c>
      <c r="N418">
        <v>417</v>
      </c>
      <c r="O418" t="str">
        <f>_xlfn.XLOOKUP(Table4[[#This Row],[id]],VALINA[id],VALINA[name])</f>
        <v>Vend�e</v>
      </c>
      <c r="P418">
        <f>_xlfn.XLOOKUP(Table4[[#This Row],[id]],prov_color!A:A,prov_color!C:C)</f>
        <v>13</v>
      </c>
    </row>
    <row r="419" spans="1:16" hidden="1" x14ac:dyDescent="0.25">
      <c r="A419">
        <v>418</v>
      </c>
      <c r="B419" t="s">
        <v>346</v>
      </c>
      <c r="C419" t="s">
        <v>491</v>
      </c>
      <c r="D419" t="s">
        <v>540</v>
      </c>
      <c r="E419" t="s">
        <v>80</v>
      </c>
      <c r="F419" t="s">
        <v>349</v>
      </c>
      <c r="G419" t="s">
        <v>35</v>
      </c>
      <c r="H419" t="s">
        <v>538</v>
      </c>
      <c r="I419" t="s">
        <v>53</v>
      </c>
      <c r="J419" t="s">
        <v>585</v>
      </c>
      <c r="K419">
        <v>0</v>
      </c>
      <c r="L419">
        <v>5</v>
      </c>
      <c r="M419">
        <v>6</v>
      </c>
      <c r="N419">
        <v>418</v>
      </c>
      <c r="O419" t="str">
        <f>_xlfn.XLOOKUP(Table4[[#This Row],[id]],VALINA[id],VALINA[name])</f>
        <v>Poitou</v>
      </c>
      <c r="P419">
        <f>_xlfn.XLOOKUP(Table4[[#This Row],[id]],prov_color!A:A,prov_color!C:C)</f>
        <v>17</v>
      </c>
    </row>
    <row r="420" spans="1:16" hidden="1" x14ac:dyDescent="0.25">
      <c r="A420">
        <v>419</v>
      </c>
      <c r="B420" t="s">
        <v>346</v>
      </c>
      <c r="C420" t="s">
        <v>491</v>
      </c>
      <c r="D420" t="s">
        <v>540</v>
      </c>
      <c r="E420" t="s">
        <v>22</v>
      </c>
      <c r="F420" t="s">
        <v>349</v>
      </c>
      <c r="G420" t="s">
        <v>35</v>
      </c>
      <c r="H420" t="s">
        <v>573</v>
      </c>
      <c r="I420" t="s">
        <v>43</v>
      </c>
      <c r="J420" t="s">
        <v>586</v>
      </c>
      <c r="K420">
        <v>0</v>
      </c>
      <c r="L420">
        <v>5</v>
      </c>
      <c r="M420">
        <v>7</v>
      </c>
      <c r="N420">
        <v>419</v>
      </c>
      <c r="O420" t="str">
        <f>_xlfn.XLOOKUP(Table4[[#This Row],[id]],VALINA[id],VALINA[name])</f>
        <v>Limousin</v>
      </c>
      <c r="P420">
        <f>_xlfn.XLOOKUP(Table4[[#This Row],[id]],prov_color!A:A,prov_color!C:C)</f>
        <v>13</v>
      </c>
    </row>
    <row r="421" spans="1:16" hidden="1" x14ac:dyDescent="0.25">
      <c r="A421">
        <v>420</v>
      </c>
      <c r="B421" t="s">
        <v>346</v>
      </c>
      <c r="C421" t="s">
        <v>491</v>
      </c>
      <c r="D421" t="s">
        <v>540</v>
      </c>
      <c r="E421" t="s">
        <v>14</v>
      </c>
      <c r="F421" t="s">
        <v>349</v>
      </c>
      <c r="G421" t="s">
        <v>26</v>
      </c>
      <c r="H421" t="s">
        <v>573</v>
      </c>
      <c r="I421" t="s">
        <v>141</v>
      </c>
      <c r="J421" t="s">
        <v>587</v>
      </c>
      <c r="K421">
        <v>0</v>
      </c>
      <c r="L421">
        <v>5</v>
      </c>
      <c r="M421">
        <v>4</v>
      </c>
      <c r="N421">
        <v>420</v>
      </c>
      <c r="O421" t="str">
        <f>_xlfn.XLOOKUP(Table4[[#This Row],[id]],VALINA[id],VALINA[name])</f>
        <v>Auvergne</v>
      </c>
      <c r="P421">
        <f>_xlfn.XLOOKUP(Table4[[#This Row],[id]],prov_color!A:A,prov_color!C:C)</f>
        <v>14</v>
      </c>
    </row>
    <row r="422" spans="1:16" hidden="1" x14ac:dyDescent="0.25">
      <c r="A422">
        <v>421</v>
      </c>
      <c r="B422" t="s">
        <v>346</v>
      </c>
      <c r="C422" t="s">
        <v>491</v>
      </c>
      <c r="D422" t="s">
        <v>540</v>
      </c>
      <c r="E422" t="s">
        <v>14</v>
      </c>
      <c r="F422" t="s">
        <v>349</v>
      </c>
      <c r="G422" t="s">
        <v>26</v>
      </c>
      <c r="H422" t="s">
        <v>573</v>
      </c>
      <c r="I422" t="s">
        <v>41</v>
      </c>
      <c r="J422" t="s">
        <v>588</v>
      </c>
      <c r="K422">
        <v>0</v>
      </c>
      <c r="L422">
        <v>5</v>
      </c>
      <c r="M422">
        <v>4</v>
      </c>
      <c r="N422">
        <v>421</v>
      </c>
      <c r="O422" t="str">
        <f>_xlfn.XLOOKUP(Table4[[#This Row],[id]],VALINA[id],VALINA[name])</f>
        <v>C�vennes</v>
      </c>
      <c r="P422">
        <f>_xlfn.XLOOKUP(Table4[[#This Row],[id]],prov_color!A:A,prov_color!C:C)</f>
        <v>15</v>
      </c>
    </row>
    <row r="423" spans="1:16" hidden="1" x14ac:dyDescent="0.25">
      <c r="A423">
        <v>422</v>
      </c>
      <c r="B423" t="s">
        <v>346</v>
      </c>
      <c r="C423" t="s">
        <v>491</v>
      </c>
      <c r="D423" t="s">
        <v>540</v>
      </c>
      <c r="E423" t="s">
        <v>34</v>
      </c>
      <c r="F423" t="s">
        <v>349</v>
      </c>
      <c r="G423" t="s">
        <v>35</v>
      </c>
      <c r="H423" t="s">
        <v>573</v>
      </c>
      <c r="I423" t="s">
        <v>37</v>
      </c>
      <c r="J423" t="s">
        <v>589</v>
      </c>
      <c r="K423">
        <v>0</v>
      </c>
      <c r="L423">
        <v>5</v>
      </c>
      <c r="M423">
        <v>11</v>
      </c>
      <c r="N423">
        <v>422</v>
      </c>
      <c r="O423" t="str">
        <f>_xlfn.XLOOKUP(Table4[[#This Row],[id]],VALINA[id],VALINA[name])</f>
        <v>Languedoc</v>
      </c>
      <c r="P423">
        <f>_xlfn.XLOOKUP(Table4[[#This Row],[id]],prov_color!A:A,prov_color!C:C)</f>
        <v>16</v>
      </c>
    </row>
    <row r="424" spans="1:16" hidden="1" x14ac:dyDescent="0.25">
      <c r="A424">
        <v>423</v>
      </c>
      <c r="B424" t="s">
        <v>346</v>
      </c>
      <c r="C424" t="s">
        <v>491</v>
      </c>
      <c r="D424" t="s">
        <v>540</v>
      </c>
      <c r="E424" t="s">
        <v>22</v>
      </c>
      <c r="F424" t="s">
        <v>349</v>
      </c>
      <c r="G424" t="s">
        <v>35</v>
      </c>
      <c r="H424" t="s">
        <v>573</v>
      </c>
      <c r="I424" t="s">
        <v>37</v>
      </c>
      <c r="J424" t="s">
        <v>590</v>
      </c>
      <c r="K424">
        <v>0</v>
      </c>
      <c r="L424">
        <v>5</v>
      </c>
      <c r="M424">
        <v>11</v>
      </c>
      <c r="N424">
        <v>423</v>
      </c>
      <c r="O424" t="str">
        <f>_xlfn.XLOOKUP(Table4[[#This Row],[id]],VALINA[id],VALINA[name])</f>
        <v>Guyenne</v>
      </c>
      <c r="P424">
        <f>_xlfn.XLOOKUP(Table4[[#This Row],[id]],prov_color!A:A,prov_color!C:C)</f>
        <v>21</v>
      </c>
    </row>
    <row r="425" spans="1:16" hidden="1" x14ac:dyDescent="0.25">
      <c r="A425">
        <v>424</v>
      </c>
      <c r="B425" t="s">
        <v>346</v>
      </c>
      <c r="C425" t="s">
        <v>491</v>
      </c>
      <c r="D425" t="s">
        <v>540</v>
      </c>
      <c r="E425" t="s">
        <v>22</v>
      </c>
      <c r="F425" t="s">
        <v>349</v>
      </c>
      <c r="G425" t="s">
        <v>35</v>
      </c>
      <c r="H425" t="s">
        <v>573</v>
      </c>
      <c r="I425" t="s">
        <v>37</v>
      </c>
      <c r="J425" t="s">
        <v>591</v>
      </c>
      <c r="K425">
        <v>0</v>
      </c>
      <c r="L425">
        <v>5</v>
      </c>
      <c r="M425">
        <v>10</v>
      </c>
      <c r="N425">
        <v>424</v>
      </c>
      <c r="O425" t="str">
        <f>_xlfn.XLOOKUP(Table4[[#This Row],[id]],VALINA[id],VALINA[name])</f>
        <v>Gascogne</v>
      </c>
      <c r="P425">
        <f>_xlfn.XLOOKUP(Table4[[#This Row],[id]],prov_color!A:A,prov_color!C:C)</f>
        <v>22</v>
      </c>
    </row>
    <row r="426" spans="1:16" hidden="1" x14ac:dyDescent="0.25">
      <c r="A426">
        <v>425</v>
      </c>
      <c r="B426" t="s">
        <v>346</v>
      </c>
      <c r="C426" t="s">
        <v>491</v>
      </c>
      <c r="D426" t="s">
        <v>540</v>
      </c>
      <c r="E426" t="s">
        <v>22</v>
      </c>
      <c r="F426" t="s">
        <v>349</v>
      </c>
      <c r="G426" t="s">
        <v>35</v>
      </c>
      <c r="H426" t="s">
        <v>573</v>
      </c>
      <c r="I426" t="s">
        <v>41</v>
      </c>
      <c r="J426" t="s">
        <v>592</v>
      </c>
      <c r="K426">
        <v>0</v>
      </c>
      <c r="L426">
        <v>5</v>
      </c>
      <c r="M426">
        <v>6</v>
      </c>
      <c r="N426">
        <v>425</v>
      </c>
      <c r="O426" t="str">
        <f>_xlfn.XLOOKUP(Table4[[#This Row],[id]],VALINA[id],VALINA[name])</f>
        <v>B�arn</v>
      </c>
      <c r="P426">
        <f>_xlfn.XLOOKUP(Table4[[#This Row],[id]],prov_color!A:A,prov_color!C:C)</f>
        <v>13</v>
      </c>
    </row>
    <row r="427" spans="1:16" hidden="1" x14ac:dyDescent="0.25">
      <c r="A427">
        <v>426</v>
      </c>
      <c r="B427" t="s">
        <v>346</v>
      </c>
      <c r="C427" t="s">
        <v>491</v>
      </c>
      <c r="D427" t="s">
        <v>540</v>
      </c>
      <c r="E427" t="s">
        <v>34</v>
      </c>
      <c r="F427" t="s">
        <v>349</v>
      </c>
      <c r="G427" t="s">
        <v>35</v>
      </c>
      <c r="H427" t="s">
        <v>573</v>
      </c>
      <c r="I427" t="s">
        <v>37</v>
      </c>
      <c r="J427" t="s">
        <v>593</v>
      </c>
      <c r="K427">
        <v>0</v>
      </c>
      <c r="L427">
        <v>5</v>
      </c>
      <c r="M427">
        <v>5</v>
      </c>
      <c r="N427">
        <v>426</v>
      </c>
      <c r="O427" t="str">
        <f>_xlfn.XLOOKUP(Table4[[#This Row],[id]],VALINA[id],VALINA[name])</f>
        <v>Roussillon</v>
      </c>
      <c r="P427">
        <f>_xlfn.XLOOKUP(Table4[[#This Row],[id]],prov_color!A:A,prov_color!C:C)</f>
        <v>14</v>
      </c>
    </row>
    <row r="428" spans="1:16" hidden="1" x14ac:dyDescent="0.25">
      <c r="A428">
        <v>427</v>
      </c>
      <c r="B428" t="s">
        <v>346</v>
      </c>
      <c r="C428" t="s">
        <v>516</v>
      </c>
      <c r="D428" t="s">
        <v>594</v>
      </c>
      <c r="E428" t="s">
        <v>14</v>
      </c>
      <c r="F428" t="s">
        <v>349</v>
      </c>
      <c r="G428" t="s">
        <v>35</v>
      </c>
      <c r="H428" t="s">
        <v>595</v>
      </c>
      <c r="I428" t="s">
        <v>27</v>
      </c>
      <c r="J428" t="s">
        <v>596</v>
      </c>
      <c r="K428">
        <v>0</v>
      </c>
      <c r="L428">
        <v>5</v>
      </c>
      <c r="M428">
        <v>4</v>
      </c>
      <c r="N428">
        <v>427</v>
      </c>
      <c r="O428" t="str">
        <f>_xlfn.XLOOKUP(Table4[[#This Row],[id]],VALINA[id],VALINA[name])</f>
        <v>Gerona</v>
      </c>
      <c r="P428">
        <f>_xlfn.XLOOKUP(Table4[[#This Row],[id]],prov_color!A:A,prov_color!C:C)</f>
        <v>23</v>
      </c>
    </row>
    <row r="429" spans="1:16" hidden="1" x14ac:dyDescent="0.25">
      <c r="A429">
        <v>428</v>
      </c>
      <c r="B429" t="s">
        <v>346</v>
      </c>
      <c r="C429" t="s">
        <v>516</v>
      </c>
      <c r="D429" t="s">
        <v>594</v>
      </c>
      <c r="E429" t="s">
        <v>14</v>
      </c>
      <c r="F429" t="s">
        <v>349</v>
      </c>
      <c r="G429" t="s">
        <v>35</v>
      </c>
      <c r="H429" t="s">
        <v>597</v>
      </c>
      <c r="I429" t="s">
        <v>141</v>
      </c>
      <c r="J429" t="s">
        <v>598</v>
      </c>
      <c r="K429">
        <v>0</v>
      </c>
      <c r="L429">
        <v>5</v>
      </c>
      <c r="M429">
        <v>8</v>
      </c>
      <c r="N429">
        <v>428</v>
      </c>
      <c r="O429" t="str">
        <f>_xlfn.XLOOKUP(Table4[[#This Row],[id]],VALINA[id],VALINA[name])</f>
        <v>Navarra</v>
      </c>
      <c r="P429">
        <f>_xlfn.XLOOKUP(Table4[[#This Row],[id]],prov_color!A:A,prov_color!C:C)</f>
        <v>14</v>
      </c>
    </row>
    <row r="430" spans="1:16" hidden="1" x14ac:dyDescent="0.25">
      <c r="A430">
        <v>429</v>
      </c>
      <c r="B430" t="s">
        <v>346</v>
      </c>
      <c r="C430" t="s">
        <v>516</v>
      </c>
      <c r="D430" t="s">
        <v>594</v>
      </c>
      <c r="E430" t="s">
        <v>34</v>
      </c>
      <c r="F430" t="s">
        <v>349</v>
      </c>
      <c r="G430" t="s">
        <v>35</v>
      </c>
      <c r="H430" t="s">
        <v>595</v>
      </c>
      <c r="I430" t="s">
        <v>37</v>
      </c>
      <c r="J430" t="s">
        <v>599</v>
      </c>
      <c r="K430">
        <v>0</v>
      </c>
      <c r="L430">
        <v>7</v>
      </c>
      <c r="M430">
        <v>13</v>
      </c>
      <c r="N430">
        <v>429</v>
      </c>
      <c r="O430" t="str">
        <f>_xlfn.XLOOKUP(Table4[[#This Row],[id]],VALINA[id],VALINA[name])</f>
        <v>Catalonia</v>
      </c>
      <c r="P430">
        <f>_xlfn.XLOOKUP(Table4[[#This Row],[id]],prov_color!A:A,prov_color!C:C)</f>
        <v>31</v>
      </c>
    </row>
    <row r="431" spans="1:16" hidden="1" x14ac:dyDescent="0.25">
      <c r="A431">
        <v>430</v>
      </c>
      <c r="B431" t="s">
        <v>346</v>
      </c>
      <c r="C431" t="s">
        <v>516</v>
      </c>
      <c r="D431" t="s">
        <v>594</v>
      </c>
      <c r="E431" t="s">
        <v>14</v>
      </c>
      <c r="F431" t="s">
        <v>349</v>
      </c>
      <c r="G431" t="s">
        <v>35</v>
      </c>
      <c r="H431" t="s">
        <v>595</v>
      </c>
      <c r="I431" t="s">
        <v>141</v>
      </c>
      <c r="J431" t="s">
        <v>600</v>
      </c>
      <c r="K431">
        <v>0</v>
      </c>
      <c r="L431">
        <v>5</v>
      </c>
      <c r="M431">
        <v>7</v>
      </c>
      <c r="N431">
        <v>430</v>
      </c>
      <c r="O431" t="str">
        <f>_xlfn.XLOOKUP(Table4[[#This Row],[id]],VALINA[id],VALINA[name])</f>
        <v>Aragon</v>
      </c>
      <c r="P431">
        <f>_xlfn.XLOOKUP(Table4[[#This Row],[id]],prov_color!A:A,prov_color!C:C)</f>
        <v>31</v>
      </c>
    </row>
    <row r="432" spans="1:16" hidden="1" x14ac:dyDescent="0.25">
      <c r="A432">
        <v>431</v>
      </c>
      <c r="B432" t="s">
        <v>346</v>
      </c>
      <c r="C432" t="s">
        <v>516</v>
      </c>
      <c r="D432" t="s">
        <v>594</v>
      </c>
      <c r="E432" t="s">
        <v>22</v>
      </c>
      <c r="F432" t="s">
        <v>349</v>
      </c>
      <c r="G432" t="s">
        <v>35</v>
      </c>
      <c r="H432" t="s">
        <v>595</v>
      </c>
      <c r="I432" t="s">
        <v>29</v>
      </c>
      <c r="J432" t="s">
        <v>601</v>
      </c>
      <c r="K432">
        <v>0</v>
      </c>
      <c r="L432">
        <v>6</v>
      </c>
      <c r="M432">
        <v>9</v>
      </c>
      <c r="N432">
        <v>431</v>
      </c>
      <c r="O432" t="str">
        <f>_xlfn.XLOOKUP(Table4[[#This Row],[id]],VALINA[id],VALINA[name])</f>
        <v>Cantabria</v>
      </c>
      <c r="P432">
        <f>_xlfn.XLOOKUP(Table4[[#This Row],[id]],prov_color!A:A,prov_color!C:C)</f>
        <v>32</v>
      </c>
    </row>
    <row r="433" spans="1:16" hidden="1" x14ac:dyDescent="0.25">
      <c r="A433">
        <v>432</v>
      </c>
      <c r="B433" t="s">
        <v>346</v>
      </c>
      <c r="C433" t="s">
        <v>516</v>
      </c>
      <c r="D433" t="s">
        <v>594</v>
      </c>
      <c r="E433" t="s">
        <v>14</v>
      </c>
      <c r="F433" t="s">
        <v>349</v>
      </c>
      <c r="G433" t="s">
        <v>35</v>
      </c>
      <c r="H433" t="s">
        <v>595</v>
      </c>
      <c r="I433" t="s">
        <v>212</v>
      </c>
      <c r="J433" t="s">
        <v>602</v>
      </c>
      <c r="K433">
        <v>0</v>
      </c>
      <c r="L433">
        <v>5</v>
      </c>
      <c r="M433">
        <v>7</v>
      </c>
      <c r="N433">
        <v>432</v>
      </c>
      <c r="O433" t="str">
        <f>_xlfn.XLOOKUP(Table4[[#This Row],[id]],VALINA[id],VALINA[name])</f>
        <v>Asturias</v>
      </c>
      <c r="P433">
        <f>_xlfn.XLOOKUP(Table4[[#This Row],[id]],prov_color!A:A,prov_color!C:C)</f>
        <v>26</v>
      </c>
    </row>
    <row r="434" spans="1:16" hidden="1" x14ac:dyDescent="0.25">
      <c r="A434">
        <v>433</v>
      </c>
      <c r="B434" t="s">
        <v>346</v>
      </c>
      <c r="C434" t="s">
        <v>516</v>
      </c>
      <c r="D434" t="s">
        <v>594</v>
      </c>
      <c r="E434" t="s">
        <v>14</v>
      </c>
      <c r="F434" t="s">
        <v>349</v>
      </c>
      <c r="G434" t="s">
        <v>35</v>
      </c>
      <c r="H434" t="s">
        <v>595</v>
      </c>
      <c r="I434" t="s">
        <v>141</v>
      </c>
      <c r="J434" t="s">
        <v>603</v>
      </c>
      <c r="K434">
        <v>0</v>
      </c>
      <c r="L434">
        <v>5</v>
      </c>
      <c r="M434">
        <v>5</v>
      </c>
      <c r="N434">
        <v>433</v>
      </c>
      <c r="O434" t="str">
        <f>_xlfn.XLOOKUP(Table4[[#This Row],[id]],VALINA[id],VALINA[name])</f>
        <v>Galicia</v>
      </c>
      <c r="P434">
        <f>_xlfn.XLOOKUP(Table4[[#This Row],[id]],prov_color!A:A,prov_color!C:C)</f>
        <v>30</v>
      </c>
    </row>
    <row r="435" spans="1:16" hidden="1" x14ac:dyDescent="0.25">
      <c r="A435">
        <v>434</v>
      </c>
      <c r="B435" t="s">
        <v>346</v>
      </c>
      <c r="C435" t="s">
        <v>516</v>
      </c>
      <c r="D435" t="s">
        <v>594</v>
      </c>
      <c r="E435" t="s">
        <v>14</v>
      </c>
      <c r="F435" t="s">
        <v>349</v>
      </c>
      <c r="G435" t="s">
        <v>35</v>
      </c>
      <c r="H435" t="s">
        <v>604</v>
      </c>
      <c r="I435" t="s">
        <v>37</v>
      </c>
      <c r="J435" t="s">
        <v>605</v>
      </c>
      <c r="K435">
        <v>0</v>
      </c>
      <c r="L435">
        <v>6</v>
      </c>
      <c r="M435">
        <v>14</v>
      </c>
      <c r="N435">
        <v>434</v>
      </c>
      <c r="O435" t="str">
        <f>_xlfn.XLOOKUP(Table4[[#This Row],[id]],VALINA[id],VALINA[name])</f>
        <v>Oporto</v>
      </c>
      <c r="P435">
        <f>_xlfn.XLOOKUP(Table4[[#This Row],[id]],prov_color!A:A,prov_color!C:C)</f>
        <v>30</v>
      </c>
    </row>
    <row r="436" spans="1:16" hidden="1" x14ac:dyDescent="0.25">
      <c r="A436">
        <v>435</v>
      </c>
      <c r="B436" t="s">
        <v>346</v>
      </c>
      <c r="C436" t="s">
        <v>516</v>
      </c>
      <c r="D436" t="s">
        <v>594</v>
      </c>
      <c r="E436" t="s">
        <v>34</v>
      </c>
      <c r="F436" t="s">
        <v>349</v>
      </c>
      <c r="G436" t="s">
        <v>35</v>
      </c>
      <c r="H436" t="s">
        <v>595</v>
      </c>
      <c r="I436" t="s">
        <v>43</v>
      </c>
      <c r="J436" t="s">
        <v>606</v>
      </c>
      <c r="K436">
        <v>0</v>
      </c>
      <c r="L436">
        <v>7</v>
      </c>
      <c r="M436">
        <v>5</v>
      </c>
      <c r="N436">
        <v>435</v>
      </c>
      <c r="O436" t="str">
        <f>_xlfn.XLOOKUP(Table4[[#This Row],[id]],VALINA[id],VALINA[name])</f>
        <v>Leon</v>
      </c>
      <c r="P436">
        <f>_xlfn.XLOOKUP(Table4[[#This Row],[id]],prov_color!A:A,prov_color!C:C)</f>
        <v>33</v>
      </c>
    </row>
    <row r="437" spans="1:16" hidden="1" x14ac:dyDescent="0.25">
      <c r="A437">
        <v>436</v>
      </c>
      <c r="B437" t="s">
        <v>346</v>
      </c>
      <c r="C437" t="s">
        <v>516</v>
      </c>
      <c r="D437" t="s">
        <v>594</v>
      </c>
      <c r="E437" t="s">
        <v>14</v>
      </c>
      <c r="F437" t="s">
        <v>349</v>
      </c>
      <c r="G437" t="s">
        <v>35</v>
      </c>
      <c r="H437" t="s">
        <v>595</v>
      </c>
      <c r="I437" t="s">
        <v>141</v>
      </c>
      <c r="J437" t="s">
        <v>607</v>
      </c>
      <c r="K437">
        <v>0</v>
      </c>
      <c r="L437">
        <v>6</v>
      </c>
      <c r="M437">
        <v>11</v>
      </c>
      <c r="N437">
        <v>436</v>
      </c>
      <c r="O437" t="str">
        <f>_xlfn.XLOOKUP(Table4[[#This Row],[id]],VALINA[id],VALINA[name])</f>
        <v>Castilla</v>
      </c>
      <c r="P437">
        <f>_xlfn.XLOOKUP(Table4[[#This Row],[id]],prov_color!A:A,prov_color!C:C)</f>
        <v>37</v>
      </c>
    </row>
    <row r="438" spans="1:16" hidden="1" x14ac:dyDescent="0.25">
      <c r="A438">
        <v>437</v>
      </c>
      <c r="B438" t="s">
        <v>346</v>
      </c>
      <c r="C438" t="s">
        <v>516</v>
      </c>
      <c r="D438" t="s">
        <v>594</v>
      </c>
      <c r="E438" t="s">
        <v>34</v>
      </c>
      <c r="F438" t="s">
        <v>349</v>
      </c>
      <c r="G438" t="s">
        <v>35</v>
      </c>
      <c r="H438" t="s">
        <v>595</v>
      </c>
      <c r="I438" t="s">
        <v>37</v>
      </c>
      <c r="J438" t="s">
        <v>608</v>
      </c>
      <c r="K438">
        <v>0</v>
      </c>
      <c r="L438">
        <v>5</v>
      </c>
      <c r="M438">
        <v>9</v>
      </c>
      <c r="N438">
        <v>437</v>
      </c>
      <c r="O438" t="str">
        <f>_xlfn.XLOOKUP(Table4[[#This Row],[id]],VALINA[id],VALINA[name])</f>
        <v>Valencia</v>
      </c>
      <c r="P438">
        <f>_xlfn.XLOOKUP(Table4[[#This Row],[id]],prov_color!A:A,prov_color!C:C)</f>
        <v>27</v>
      </c>
    </row>
    <row r="439" spans="1:16" hidden="1" x14ac:dyDescent="0.25">
      <c r="A439">
        <v>438</v>
      </c>
      <c r="B439" t="s">
        <v>346</v>
      </c>
      <c r="C439" t="s">
        <v>516</v>
      </c>
      <c r="D439" t="s">
        <v>594</v>
      </c>
      <c r="E439" t="s">
        <v>14</v>
      </c>
      <c r="F439" t="s">
        <v>609</v>
      </c>
      <c r="G439" t="s">
        <v>35</v>
      </c>
      <c r="H439" t="s">
        <v>595</v>
      </c>
      <c r="I439" t="s">
        <v>53</v>
      </c>
      <c r="J439" t="s">
        <v>610</v>
      </c>
      <c r="K439">
        <v>0</v>
      </c>
      <c r="L439">
        <v>4</v>
      </c>
      <c r="M439">
        <v>5</v>
      </c>
      <c r="N439">
        <v>438</v>
      </c>
      <c r="O439" t="str">
        <f>_xlfn.XLOOKUP(Table4[[#This Row],[id]],VALINA[id],VALINA[name])</f>
        <v>Murcia</v>
      </c>
      <c r="P439">
        <f>_xlfn.XLOOKUP(Table4[[#This Row],[id]],prov_color!A:A,prov_color!C:C)</f>
        <v>25</v>
      </c>
    </row>
    <row r="440" spans="1:16" hidden="1" x14ac:dyDescent="0.25">
      <c r="A440">
        <v>439</v>
      </c>
      <c r="B440" t="s">
        <v>346</v>
      </c>
      <c r="C440" t="s">
        <v>516</v>
      </c>
      <c r="D440" t="s">
        <v>594</v>
      </c>
      <c r="E440" t="s">
        <v>14</v>
      </c>
      <c r="F440" t="s">
        <v>349</v>
      </c>
      <c r="G440" t="s">
        <v>35</v>
      </c>
      <c r="H440" t="s">
        <v>595</v>
      </c>
      <c r="I440" t="s">
        <v>18</v>
      </c>
      <c r="J440" t="s">
        <v>611</v>
      </c>
      <c r="K440">
        <v>0</v>
      </c>
      <c r="L440">
        <v>4</v>
      </c>
      <c r="M440">
        <v>7</v>
      </c>
      <c r="N440">
        <v>439</v>
      </c>
      <c r="O440" t="str">
        <f>_xlfn.XLOOKUP(Table4[[#This Row],[id]],VALINA[id],VALINA[name])</f>
        <v>Toledo</v>
      </c>
      <c r="P440">
        <f>_xlfn.XLOOKUP(Table4[[#This Row],[id]],prov_color!A:A,prov_color!C:C)</f>
        <v>28</v>
      </c>
    </row>
    <row r="441" spans="1:16" hidden="1" x14ac:dyDescent="0.25">
      <c r="A441">
        <v>440</v>
      </c>
      <c r="B441" t="s">
        <v>346</v>
      </c>
      <c r="C441" t="s">
        <v>516</v>
      </c>
      <c r="D441" t="s">
        <v>594</v>
      </c>
      <c r="E441" t="s">
        <v>14</v>
      </c>
      <c r="F441" t="s">
        <v>349</v>
      </c>
      <c r="G441" t="s">
        <v>35</v>
      </c>
      <c r="H441" t="s">
        <v>595</v>
      </c>
      <c r="I441" t="s">
        <v>41</v>
      </c>
      <c r="J441" t="s">
        <v>612</v>
      </c>
      <c r="K441">
        <v>0</v>
      </c>
      <c r="L441">
        <v>4</v>
      </c>
      <c r="M441">
        <v>6</v>
      </c>
      <c r="N441">
        <v>440</v>
      </c>
      <c r="O441" t="str">
        <f>_xlfn.XLOOKUP(Table4[[#This Row],[id]],VALINA[id],VALINA[name])</f>
        <v>Estramadura</v>
      </c>
      <c r="P441">
        <f>_xlfn.XLOOKUP(Table4[[#This Row],[id]],prov_color!A:A,prov_color!C:C)</f>
        <v>35</v>
      </c>
    </row>
    <row r="442" spans="1:16" hidden="1" x14ac:dyDescent="0.25">
      <c r="A442">
        <v>441</v>
      </c>
      <c r="B442" t="s">
        <v>346</v>
      </c>
      <c r="C442" t="s">
        <v>516</v>
      </c>
      <c r="D442" t="s">
        <v>594</v>
      </c>
      <c r="E442" t="s">
        <v>34</v>
      </c>
      <c r="F442" t="s">
        <v>349</v>
      </c>
      <c r="G442" t="s">
        <v>35</v>
      </c>
      <c r="H442" t="s">
        <v>604</v>
      </c>
      <c r="I442" t="s">
        <v>27</v>
      </c>
      <c r="J442" t="s">
        <v>613</v>
      </c>
      <c r="K442">
        <v>0</v>
      </c>
      <c r="L442">
        <v>6</v>
      </c>
      <c r="M442">
        <v>19</v>
      </c>
      <c r="N442">
        <v>441</v>
      </c>
      <c r="O442" t="str">
        <f>_xlfn.XLOOKUP(Table4[[#This Row],[id]],VALINA[id],VALINA[name])</f>
        <v>Tago</v>
      </c>
      <c r="P442">
        <f>_xlfn.XLOOKUP(Table4[[#This Row],[id]],prov_color!A:A,prov_color!C:C)</f>
        <v>23</v>
      </c>
    </row>
    <row r="443" spans="1:16" hidden="1" x14ac:dyDescent="0.25">
      <c r="A443">
        <v>442</v>
      </c>
      <c r="B443" t="s">
        <v>346</v>
      </c>
      <c r="C443" t="s">
        <v>516</v>
      </c>
      <c r="D443" t="s">
        <v>594</v>
      </c>
      <c r="E443" t="s">
        <v>34</v>
      </c>
      <c r="F443" t="s">
        <v>349</v>
      </c>
      <c r="G443" t="s">
        <v>35</v>
      </c>
      <c r="H443" t="s">
        <v>604</v>
      </c>
      <c r="I443" t="s">
        <v>27</v>
      </c>
      <c r="J443" t="s">
        <v>614</v>
      </c>
      <c r="K443">
        <v>0</v>
      </c>
      <c r="L443">
        <v>4</v>
      </c>
      <c r="M443">
        <v>11</v>
      </c>
      <c r="N443">
        <v>442</v>
      </c>
      <c r="O443" t="str">
        <f>_xlfn.XLOOKUP(Table4[[#This Row],[id]],VALINA[id],VALINA[name])</f>
        <v>Algarve</v>
      </c>
      <c r="P443">
        <f>_xlfn.XLOOKUP(Table4[[#This Row],[id]],prov_color!A:A,prov_color!C:C)</f>
        <v>33</v>
      </c>
    </row>
    <row r="444" spans="1:16" hidden="1" x14ac:dyDescent="0.25">
      <c r="A444">
        <v>443</v>
      </c>
      <c r="B444" t="s">
        <v>346</v>
      </c>
      <c r="C444" t="s">
        <v>516</v>
      </c>
      <c r="D444" t="s">
        <v>594</v>
      </c>
      <c r="E444" t="s">
        <v>34</v>
      </c>
      <c r="F444" t="s">
        <v>609</v>
      </c>
      <c r="G444" t="s">
        <v>35</v>
      </c>
      <c r="H444" t="s">
        <v>595</v>
      </c>
      <c r="I444" t="s">
        <v>37</v>
      </c>
      <c r="J444" t="s">
        <v>615</v>
      </c>
      <c r="K444">
        <v>0</v>
      </c>
      <c r="L444">
        <v>6</v>
      </c>
      <c r="M444">
        <v>15</v>
      </c>
      <c r="N444">
        <v>443</v>
      </c>
      <c r="O444" t="str">
        <f>_xlfn.XLOOKUP(Table4[[#This Row],[id]],VALINA[id],VALINA[name])</f>
        <v>Andalusia</v>
      </c>
      <c r="P444">
        <f>_xlfn.XLOOKUP(Table4[[#This Row],[id]],prov_color!A:A,prov_color!C:C)</f>
        <v>29</v>
      </c>
    </row>
    <row r="445" spans="1:16" hidden="1" x14ac:dyDescent="0.25">
      <c r="A445">
        <v>444</v>
      </c>
      <c r="B445" t="s">
        <v>346</v>
      </c>
      <c r="C445" t="s">
        <v>516</v>
      </c>
      <c r="D445" t="s">
        <v>594</v>
      </c>
      <c r="E445" t="s">
        <v>14</v>
      </c>
      <c r="F445" t="s">
        <v>609</v>
      </c>
      <c r="G445" t="s">
        <v>35</v>
      </c>
      <c r="H445" t="s">
        <v>616</v>
      </c>
      <c r="I445" t="s">
        <v>212</v>
      </c>
      <c r="J445" t="s">
        <v>617</v>
      </c>
      <c r="K445">
        <v>0</v>
      </c>
      <c r="L445">
        <v>5</v>
      </c>
      <c r="M445">
        <v>7</v>
      </c>
      <c r="N445">
        <v>444</v>
      </c>
      <c r="O445" t="str">
        <f>_xlfn.XLOOKUP(Table4[[#This Row],[id]],VALINA[id],VALINA[name])</f>
        <v>Granada</v>
      </c>
      <c r="P445">
        <f>_xlfn.XLOOKUP(Table4[[#This Row],[id]],prov_color!A:A,prov_color!C:C)</f>
        <v>31</v>
      </c>
    </row>
    <row r="446" spans="1:16" hidden="1" x14ac:dyDescent="0.25">
      <c r="A446">
        <v>445</v>
      </c>
      <c r="B446" t="s">
        <v>346</v>
      </c>
      <c r="C446" t="s">
        <v>516</v>
      </c>
      <c r="D446" t="s">
        <v>594</v>
      </c>
      <c r="E446" t="s">
        <v>14</v>
      </c>
      <c r="F446" t="s">
        <v>609</v>
      </c>
      <c r="G446" t="s">
        <v>35</v>
      </c>
      <c r="H446" t="s">
        <v>595</v>
      </c>
      <c r="I446" t="s">
        <v>27</v>
      </c>
      <c r="J446" t="s">
        <v>618</v>
      </c>
      <c r="K446">
        <v>0</v>
      </c>
      <c r="L446">
        <v>2</v>
      </c>
      <c r="M446">
        <v>7</v>
      </c>
      <c r="N446">
        <v>445</v>
      </c>
      <c r="O446" t="str">
        <f>_xlfn.XLOOKUP(Table4[[#This Row],[id]],VALINA[id],VALINA[name])</f>
        <v>Gibraltar</v>
      </c>
      <c r="P446">
        <f>_xlfn.XLOOKUP(Table4[[#This Row],[id]],prov_color!A:A,prov_color!C:C)</f>
        <v>11</v>
      </c>
    </row>
    <row r="447" spans="1:16" hidden="1" x14ac:dyDescent="0.25">
      <c r="A447">
        <v>446</v>
      </c>
      <c r="B447" t="s">
        <v>346</v>
      </c>
      <c r="C447" t="s">
        <v>392</v>
      </c>
      <c r="D447" t="s">
        <v>619</v>
      </c>
      <c r="E447" t="s">
        <v>22</v>
      </c>
      <c r="F447" t="s">
        <v>609</v>
      </c>
      <c r="G447" t="s">
        <v>122</v>
      </c>
      <c r="H447" t="s">
        <v>620</v>
      </c>
      <c r="I447" t="s">
        <v>141</v>
      </c>
      <c r="J447" t="s">
        <v>621</v>
      </c>
      <c r="K447">
        <v>0</v>
      </c>
      <c r="L447">
        <v>5</v>
      </c>
      <c r="M447">
        <v>9</v>
      </c>
      <c r="N447">
        <v>446</v>
      </c>
      <c r="O447" t="str">
        <f>_xlfn.XLOOKUP(Table4[[#This Row],[id]],VALINA[id],VALINA[name])</f>
        <v>Kazan</v>
      </c>
      <c r="P447">
        <f>_xlfn.XLOOKUP(Table4[[#This Row],[id]],prov_color!A:A,prov_color!C:C)</f>
        <v>114</v>
      </c>
    </row>
    <row r="448" spans="1:16" hidden="1" x14ac:dyDescent="0.25">
      <c r="A448">
        <v>447</v>
      </c>
      <c r="B448" t="s">
        <v>346</v>
      </c>
      <c r="C448" t="s">
        <v>392</v>
      </c>
      <c r="D448" t="s">
        <v>402</v>
      </c>
      <c r="E448" t="s">
        <v>34</v>
      </c>
      <c r="F448" t="s">
        <v>394</v>
      </c>
      <c r="G448" t="s">
        <v>122</v>
      </c>
      <c r="H448" t="s">
        <v>388</v>
      </c>
      <c r="I448" t="s">
        <v>141</v>
      </c>
      <c r="J448" t="s">
        <v>622</v>
      </c>
      <c r="K448">
        <v>0</v>
      </c>
      <c r="L448">
        <v>5</v>
      </c>
      <c r="M448">
        <v>6</v>
      </c>
      <c r="N448">
        <v>447</v>
      </c>
      <c r="O448" t="str">
        <f>_xlfn.XLOOKUP(Table4[[#This Row],[id]],VALINA[id],VALINA[name])</f>
        <v>Tambow</v>
      </c>
      <c r="P448">
        <f>_xlfn.XLOOKUP(Table4[[#This Row],[id]],prov_color!A:A,prov_color!C:C)</f>
        <v>41</v>
      </c>
    </row>
    <row r="449" spans="1:16" hidden="1" x14ac:dyDescent="0.25">
      <c r="A449">
        <v>448</v>
      </c>
      <c r="B449" t="s">
        <v>346</v>
      </c>
      <c r="C449" t="s">
        <v>392</v>
      </c>
      <c r="D449" t="s">
        <v>402</v>
      </c>
      <c r="E449" t="s">
        <v>34</v>
      </c>
      <c r="F449" t="s">
        <v>394</v>
      </c>
      <c r="G449" t="s">
        <v>122</v>
      </c>
      <c r="H449" t="s">
        <v>403</v>
      </c>
      <c r="I449" t="s">
        <v>41</v>
      </c>
      <c r="J449" t="s">
        <v>623</v>
      </c>
      <c r="K449">
        <v>0</v>
      </c>
      <c r="L449">
        <v>8</v>
      </c>
      <c r="M449">
        <v>8</v>
      </c>
      <c r="N449">
        <v>448</v>
      </c>
      <c r="O449" t="str">
        <f>_xlfn.XLOOKUP(Table4[[#This Row],[id]],VALINA[id],VALINA[name])</f>
        <v>Ryazan</v>
      </c>
      <c r="P449">
        <f>_xlfn.XLOOKUP(Table4[[#This Row],[id]],prov_color!A:A,prov_color!C:C)</f>
        <v>42</v>
      </c>
    </row>
    <row r="450" spans="1:16" hidden="1" x14ac:dyDescent="0.25">
      <c r="A450">
        <v>449</v>
      </c>
      <c r="B450" t="s">
        <v>346</v>
      </c>
      <c r="C450" t="s">
        <v>392</v>
      </c>
      <c r="D450" t="s">
        <v>402</v>
      </c>
      <c r="E450" t="s">
        <v>34</v>
      </c>
      <c r="F450" t="s">
        <v>394</v>
      </c>
      <c r="G450" t="s">
        <v>122</v>
      </c>
      <c r="H450" t="s">
        <v>403</v>
      </c>
      <c r="I450" t="s">
        <v>43</v>
      </c>
      <c r="J450" t="s">
        <v>624</v>
      </c>
      <c r="K450">
        <v>0</v>
      </c>
      <c r="L450">
        <v>5</v>
      </c>
      <c r="M450">
        <v>6</v>
      </c>
      <c r="N450">
        <v>449</v>
      </c>
      <c r="O450" t="str">
        <f>_xlfn.XLOOKUP(Table4[[#This Row],[id]],VALINA[id],VALINA[name])</f>
        <v>Vorones</v>
      </c>
      <c r="P450">
        <f>_xlfn.XLOOKUP(Table4[[#This Row],[id]],prov_color!A:A,prov_color!C:C)</f>
        <v>55</v>
      </c>
    </row>
    <row r="451" spans="1:16" hidden="1" x14ac:dyDescent="0.25">
      <c r="A451">
        <v>450</v>
      </c>
      <c r="B451" t="s">
        <v>346</v>
      </c>
      <c r="C451" t="s">
        <v>392</v>
      </c>
      <c r="D451" t="s">
        <v>402</v>
      </c>
      <c r="E451" t="s">
        <v>34</v>
      </c>
      <c r="F451" t="s">
        <v>394</v>
      </c>
      <c r="G451" t="s">
        <v>122</v>
      </c>
      <c r="H451" t="s">
        <v>436</v>
      </c>
      <c r="I451" t="s">
        <v>43</v>
      </c>
      <c r="J451" t="s">
        <v>625</v>
      </c>
      <c r="K451">
        <v>0</v>
      </c>
      <c r="L451">
        <v>5</v>
      </c>
      <c r="M451">
        <v>5</v>
      </c>
      <c r="N451">
        <v>450</v>
      </c>
      <c r="O451" t="str">
        <f>_xlfn.XLOOKUP(Table4[[#This Row],[id]],VALINA[id],VALINA[name])</f>
        <v>Belgorod</v>
      </c>
      <c r="P451">
        <f>_xlfn.XLOOKUP(Table4[[#This Row],[id]],prov_color!A:A,prov_color!C:C)</f>
        <v>51</v>
      </c>
    </row>
    <row r="452" spans="1:16" hidden="1" x14ac:dyDescent="0.25">
      <c r="A452">
        <v>451</v>
      </c>
      <c r="B452" t="s">
        <v>346</v>
      </c>
      <c r="C452" t="s">
        <v>392</v>
      </c>
      <c r="D452" t="s">
        <v>402</v>
      </c>
      <c r="E452" t="s">
        <v>34</v>
      </c>
      <c r="F452" t="s">
        <v>609</v>
      </c>
      <c r="G452" t="s">
        <v>122</v>
      </c>
      <c r="H452" t="s">
        <v>620</v>
      </c>
      <c r="I452" t="s">
        <v>41</v>
      </c>
      <c r="J452" t="s">
        <v>626</v>
      </c>
      <c r="K452">
        <v>0</v>
      </c>
      <c r="L452">
        <v>5</v>
      </c>
      <c r="M452">
        <v>5</v>
      </c>
      <c r="N452">
        <v>451</v>
      </c>
      <c r="O452" t="str">
        <f>_xlfn.XLOOKUP(Table4[[#This Row],[id]],VALINA[id],VALINA[name])</f>
        <v>Bogutjar</v>
      </c>
      <c r="P452">
        <f>_xlfn.XLOOKUP(Table4[[#This Row],[id]],prov_color!A:A,prov_color!C:C)</f>
        <v>58</v>
      </c>
    </row>
    <row r="453" spans="1:16" hidden="1" x14ac:dyDescent="0.25">
      <c r="A453">
        <v>452</v>
      </c>
      <c r="B453" t="s">
        <v>346</v>
      </c>
      <c r="C453" t="s">
        <v>392</v>
      </c>
      <c r="D453" t="s">
        <v>402</v>
      </c>
      <c r="E453" t="s">
        <v>34</v>
      </c>
      <c r="F453" t="s">
        <v>609</v>
      </c>
      <c r="G453" t="s">
        <v>122</v>
      </c>
      <c r="H453" t="s">
        <v>620</v>
      </c>
      <c r="I453" t="s">
        <v>43</v>
      </c>
      <c r="J453" t="s">
        <v>627</v>
      </c>
      <c r="K453">
        <v>0</v>
      </c>
      <c r="L453">
        <v>5</v>
      </c>
      <c r="M453">
        <v>6</v>
      </c>
      <c r="N453">
        <v>452</v>
      </c>
      <c r="O453" t="str">
        <f>_xlfn.XLOOKUP(Table4[[#This Row],[id]],VALINA[id],VALINA[name])</f>
        <v>Saratow</v>
      </c>
      <c r="P453">
        <f>_xlfn.XLOOKUP(Table4[[#This Row],[id]],prov_color!A:A,prov_color!C:C)</f>
        <v>39</v>
      </c>
    </row>
    <row r="454" spans="1:16" hidden="1" x14ac:dyDescent="0.25">
      <c r="A454">
        <v>453</v>
      </c>
      <c r="B454" t="s">
        <v>346</v>
      </c>
      <c r="C454" t="s">
        <v>392</v>
      </c>
      <c r="D454" t="s">
        <v>619</v>
      </c>
      <c r="E454" t="s">
        <v>34</v>
      </c>
      <c r="F454" t="s">
        <v>609</v>
      </c>
      <c r="G454" t="s">
        <v>122</v>
      </c>
      <c r="H454" t="s">
        <v>620</v>
      </c>
      <c r="I454" t="s">
        <v>41</v>
      </c>
      <c r="J454" t="s">
        <v>628</v>
      </c>
      <c r="K454">
        <v>0</v>
      </c>
      <c r="L454">
        <v>5</v>
      </c>
      <c r="M454">
        <v>7</v>
      </c>
      <c r="N454">
        <v>453</v>
      </c>
      <c r="O454" t="str">
        <f>_xlfn.XLOOKUP(Table4[[#This Row],[id]],VALINA[id],VALINA[name])</f>
        <v>Ufa</v>
      </c>
      <c r="P454">
        <f>_xlfn.XLOOKUP(Table4[[#This Row],[id]],prov_color!A:A,prov_color!C:C)</f>
        <v>83</v>
      </c>
    </row>
    <row r="455" spans="1:16" hidden="1" x14ac:dyDescent="0.25">
      <c r="A455">
        <v>454</v>
      </c>
      <c r="B455" t="s">
        <v>346</v>
      </c>
      <c r="C455" t="s">
        <v>392</v>
      </c>
      <c r="D455" t="s">
        <v>619</v>
      </c>
      <c r="E455" t="s">
        <v>22</v>
      </c>
      <c r="F455" t="s">
        <v>609</v>
      </c>
      <c r="G455" t="s">
        <v>122</v>
      </c>
      <c r="H455" t="s">
        <v>620</v>
      </c>
      <c r="I455" t="s">
        <v>18</v>
      </c>
      <c r="J455" t="s">
        <v>629</v>
      </c>
      <c r="K455">
        <v>0</v>
      </c>
      <c r="L455">
        <v>5</v>
      </c>
      <c r="M455">
        <v>9</v>
      </c>
      <c r="N455">
        <v>454</v>
      </c>
      <c r="O455" t="str">
        <f>_xlfn.XLOOKUP(Table4[[#This Row],[id]],VALINA[id],VALINA[name])</f>
        <v>Samara</v>
      </c>
      <c r="P455">
        <f>_xlfn.XLOOKUP(Table4[[#This Row],[id]],prov_color!A:A,prov_color!C:C)</f>
        <v>93</v>
      </c>
    </row>
    <row r="456" spans="1:16" hidden="1" x14ac:dyDescent="0.25">
      <c r="A456">
        <v>455</v>
      </c>
      <c r="B456" t="s">
        <v>346</v>
      </c>
      <c r="C456" t="s">
        <v>392</v>
      </c>
      <c r="D456" t="s">
        <v>619</v>
      </c>
      <c r="E456" t="s">
        <v>34</v>
      </c>
      <c r="F456" t="s">
        <v>609</v>
      </c>
      <c r="G456" t="s">
        <v>122</v>
      </c>
      <c r="H456" t="s">
        <v>620</v>
      </c>
      <c r="I456" t="s">
        <v>212</v>
      </c>
      <c r="J456" t="s">
        <v>630</v>
      </c>
      <c r="K456">
        <v>0</v>
      </c>
      <c r="L456">
        <v>5</v>
      </c>
      <c r="M456">
        <v>6</v>
      </c>
      <c r="N456">
        <v>455</v>
      </c>
      <c r="O456" t="str">
        <f>_xlfn.XLOOKUP(Table4[[#This Row],[id]],VALINA[id],VALINA[name])</f>
        <v>Uralsk</v>
      </c>
      <c r="P456">
        <f>_xlfn.XLOOKUP(Table4[[#This Row],[id]],prov_color!A:A,prov_color!C:C)</f>
        <v>104</v>
      </c>
    </row>
    <row r="457" spans="1:16" hidden="1" x14ac:dyDescent="0.25">
      <c r="A457">
        <v>456</v>
      </c>
      <c r="B457" t="s">
        <v>346</v>
      </c>
      <c r="C457" t="s">
        <v>392</v>
      </c>
      <c r="D457" t="s">
        <v>619</v>
      </c>
      <c r="E457" t="s">
        <v>34</v>
      </c>
      <c r="F457" t="s">
        <v>609</v>
      </c>
      <c r="G457" t="s">
        <v>122</v>
      </c>
      <c r="H457" t="s">
        <v>620</v>
      </c>
      <c r="I457" t="s">
        <v>212</v>
      </c>
      <c r="J457" t="s">
        <v>631</v>
      </c>
      <c r="K457">
        <v>0</v>
      </c>
      <c r="L457">
        <v>5</v>
      </c>
      <c r="M457">
        <v>3</v>
      </c>
      <c r="N457">
        <v>456</v>
      </c>
      <c r="O457" t="str">
        <f>_xlfn.XLOOKUP(Table4[[#This Row],[id]],VALINA[id],VALINA[name])</f>
        <v>Orenburg</v>
      </c>
      <c r="P457">
        <f>_xlfn.XLOOKUP(Table4[[#This Row],[id]],prov_color!A:A,prov_color!C:C)</f>
        <v>83</v>
      </c>
    </row>
    <row r="458" spans="1:16" hidden="1" x14ac:dyDescent="0.25">
      <c r="A458">
        <v>457</v>
      </c>
      <c r="B458" t="s">
        <v>346</v>
      </c>
      <c r="C458" t="s">
        <v>392</v>
      </c>
      <c r="D458" t="s">
        <v>619</v>
      </c>
      <c r="E458" t="s">
        <v>34</v>
      </c>
      <c r="F458" t="s">
        <v>609</v>
      </c>
      <c r="G458" t="s">
        <v>122</v>
      </c>
      <c r="H458" t="s">
        <v>620</v>
      </c>
      <c r="I458" t="s">
        <v>41</v>
      </c>
      <c r="J458" t="s">
        <v>632</v>
      </c>
      <c r="K458">
        <v>0</v>
      </c>
      <c r="L458">
        <v>5</v>
      </c>
      <c r="M458">
        <v>10</v>
      </c>
      <c r="N458">
        <v>457</v>
      </c>
      <c r="O458" t="str">
        <f>_xlfn.XLOOKUP(Table4[[#This Row],[id]],VALINA[id],VALINA[name])</f>
        <v>Astrakhan</v>
      </c>
      <c r="P458">
        <f>_xlfn.XLOOKUP(Table4[[#This Row],[id]],prov_color!A:A,prov_color!C:C)</f>
        <v>87</v>
      </c>
    </row>
    <row r="459" spans="1:16" hidden="1" x14ac:dyDescent="0.25">
      <c r="A459">
        <v>458</v>
      </c>
      <c r="B459" t="s">
        <v>346</v>
      </c>
      <c r="C459" t="s">
        <v>392</v>
      </c>
      <c r="D459" t="s">
        <v>619</v>
      </c>
      <c r="E459" t="s">
        <v>34</v>
      </c>
      <c r="F459" t="s">
        <v>609</v>
      </c>
      <c r="G459" t="s">
        <v>122</v>
      </c>
      <c r="H459" t="s">
        <v>620</v>
      </c>
      <c r="I459" t="s">
        <v>43</v>
      </c>
      <c r="J459" t="s">
        <v>633</v>
      </c>
      <c r="K459">
        <v>0</v>
      </c>
      <c r="L459">
        <v>5</v>
      </c>
      <c r="M459">
        <v>3</v>
      </c>
      <c r="N459">
        <v>458</v>
      </c>
      <c r="O459" t="str">
        <f>_xlfn.XLOOKUP(Table4[[#This Row],[id]],VALINA[id],VALINA[name])</f>
        <v>Volgograd</v>
      </c>
      <c r="P459">
        <f>_xlfn.XLOOKUP(Table4[[#This Row],[id]],prov_color!A:A,prov_color!C:C)</f>
        <v>76</v>
      </c>
    </row>
    <row r="460" spans="1:16" hidden="1" x14ac:dyDescent="0.25">
      <c r="A460">
        <v>459</v>
      </c>
      <c r="B460" t="s">
        <v>346</v>
      </c>
      <c r="C460" t="s">
        <v>392</v>
      </c>
      <c r="D460" t="s">
        <v>619</v>
      </c>
      <c r="E460" t="s">
        <v>34</v>
      </c>
      <c r="F460" t="s">
        <v>609</v>
      </c>
      <c r="G460" t="s">
        <v>122</v>
      </c>
      <c r="H460" t="s">
        <v>620</v>
      </c>
      <c r="I460" t="s">
        <v>43</v>
      </c>
      <c r="J460" t="s">
        <v>634</v>
      </c>
      <c r="K460">
        <v>0</v>
      </c>
      <c r="L460">
        <v>5</v>
      </c>
      <c r="M460">
        <v>4</v>
      </c>
      <c r="N460">
        <v>459</v>
      </c>
      <c r="O460" t="str">
        <f>_xlfn.XLOOKUP(Table4[[#This Row],[id]],VALINA[id],VALINA[name])</f>
        <v>Lugansk</v>
      </c>
      <c r="P460">
        <f>_xlfn.XLOOKUP(Table4[[#This Row],[id]],prov_color!A:A,prov_color!C:C)</f>
        <v>51</v>
      </c>
    </row>
    <row r="461" spans="1:16" hidden="1" x14ac:dyDescent="0.25">
      <c r="A461">
        <v>460</v>
      </c>
      <c r="B461" t="s">
        <v>346</v>
      </c>
      <c r="C461" t="s">
        <v>392</v>
      </c>
      <c r="D461" t="s">
        <v>435</v>
      </c>
      <c r="E461" t="s">
        <v>34</v>
      </c>
      <c r="F461" t="s">
        <v>394</v>
      </c>
      <c r="G461" t="s">
        <v>122</v>
      </c>
      <c r="H461" t="s">
        <v>436</v>
      </c>
      <c r="I461" t="s">
        <v>141</v>
      </c>
      <c r="J461" t="s">
        <v>635</v>
      </c>
      <c r="K461">
        <v>0</v>
      </c>
      <c r="L461">
        <v>5</v>
      </c>
      <c r="M461">
        <v>7</v>
      </c>
      <c r="N461">
        <v>460</v>
      </c>
      <c r="O461" t="str">
        <f>_xlfn.XLOOKUP(Table4[[#This Row],[id]],VALINA[id],VALINA[name])</f>
        <v>Donetsk</v>
      </c>
      <c r="P461">
        <f>_xlfn.XLOOKUP(Table4[[#This Row],[id]],prov_color!A:A,prov_color!C:C)</f>
        <v>51</v>
      </c>
    </row>
    <row r="462" spans="1:16" hidden="1" x14ac:dyDescent="0.25">
      <c r="A462">
        <v>461</v>
      </c>
      <c r="B462" t="s">
        <v>346</v>
      </c>
      <c r="C462" t="s">
        <v>392</v>
      </c>
      <c r="D462" t="s">
        <v>435</v>
      </c>
      <c r="E462" t="s">
        <v>34</v>
      </c>
      <c r="F462" t="s">
        <v>394</v>
      </c>
      <c r="G462" t="s">
        <v>122</v>
      </c>
      <c r="H462" t="s">
        <v>436</v>
      </c>
      <c r="I462" t="s">
        <v>43</v>
      </c>
      <c r="J462" t="s">
        <v>636</v>
      </c>
      <c r="K462">
        <v>0</v>
      </c>
      <c r="L462">
        <v>5</v>
      </c>
      <c r="M462">
        <v>8</v>
      </c>
      <c r="N462">
        <v>461</v>
      </c>
      <c r="O462" t="str">
        <f>_xlfn.XLOOKUP(Table4[[#This Row],[id]],VALINA[id],VALINA[name])</f>
        <v>Poltava</v>
      </c>
      <c r="P462">
        <f>_xlfn.XLOOKUP(Table4[[#This Row],[id]],prov_color!A:A,prov_color!C:C)</f>
        <v>40</v>
      </c>
    </row>
    <row r="463" spans="1:16" hidden="1" x14ac:dyDescent="0.25">
      <c r="A463">
        <v>462</v>
      </c>
      <c r="B463" t="s">
        <v>346</v>
      </c>
      <c r="C463" t="s">
        <v>392</v>
      </c>
      <c r="D463" t="s">
        <v>435</v>
      </c>
      <c r="E463" t="s">
        <v>34</v>
      </c>
      <c r="F463" t="s">
        <v>394</v>
      </c>
      <c r="G463" t="s">
        <v>35</v>
      </c>
      <c r="H463" t="s">
        <v>436</v>
      </c>
      <c r="I463" t="s">
        <v>41</v>
      </c>
      <c r="J463" t="s">
        <v>637</v>
      </c>
      <c r="K463">
        <v>0</v>
      </c>
      <c r="L463">
        <v>5</v>
      </c>
      <c r="M463">
        <v>7</v>
      </c>
      <c r="N463">
        <v>462</v>
      </c>
      <c r="O463" t="str">
        <f>_xlfn.XLOOKUP(Table4[[#This Row],[id]],VALINA[id],VALINA[name])</f>
        <v>Krementjug</v>
      </c>
      <c r="P463">
        <f>_xlfn.XLOOKUP(Table4[[#This Row],[id]],prov_color!A:A,prov_color!C:C)</f>
        <v>40</v>
      </c>
    </row>
    <row r="464" spans="1:16" hidden="1" x14ac:dyDescent="0.25">
      <c r="A464">
        <v>463</v>
      </c>
      <c r="B464" t="s">
        <v>346</v>
      </c>
      <c r="C464" t="s">
        <v>392</v>
      </c>
      <c r="D464" t="s">
        <v>435</v>
      </c>
      <c r="E464" t="s">
        <v>34</v>
      </c>
      <c r="F464" t="s">
        <v>609</v>
      </c>
      <c r="G464" t="s">
        <v>35</v>
      </c>
      <c r="H464" t="s">
        <v>620</v>
      </c>
      <c r="I464" t="s">
        <v>53</v>
      </c>
      <c r="J464" t="s">
        <v>638</v>
      </c>
      <c r="K464">
        <v>0</v>
      </c>
      <c r="L464">
        <v>5</v>
      </c>
      <c r="M464">
        <v>7</v>
      </c>
      <c r="N464">
        <v>463</v>
      </c>
      <c r="O464" t="str">
        <f>_xlfn.XLOOKUP(Table4[[#This Row],[id]],VALINA[id],VALINA[name])</f>
        <v>Crimea</v>
      </c>
      <c r="P464">
        <f>_xlfn.XLOOKUP(Table4[[#This Row],[id]],prov_color!A:A,prov_color!C:C)</f>
        <v>29</v>
      </c>
    </row>
    <row r="465" spans="1:16" hidden="1" x14ac:dyDescent="0.25">
      <c r="A465">
        <v>464</v>
      </c>
      <c r="B465" t="s">
        <v>346</v>
      </c>
      <c r="C465" t="s">
        <v>392</v>
      </c>
      <c r="D465" t="s">
        <v>435</v>
      </c>
      <c r="E465" t="s">
        <v>14</v>
      </c>
      <c r="F465" t="s">
        <v>394</v>
      </c>
      <c r="G465" t="s">
        <v>35</v>
      </c>
      <c r="H465" t="s">
        <v>513</v>
      </c>
      <c r="I465" t="s">
        <v>37</v>
      </c>
      <c r="J465" t="s">
        <v>639</v>
      </c>
      <c r="K465">
        <v>0</v>
      </c>
      <c r="L465">
        <v>5</v>
      </c>
      <c r="M465">
        <v>5</v>
      </c>
      <c r="N465">
        <v>464</v>
      </c>
      <c r="O465" t="str">
        <f>_xlfn.XLOOKUP(Table4[[#This Row],[id]],VALINA[id],VALINA[name])</f>
        <v>Kaffa</v>
      </c>
      <c r="P465">
        <f>_xlfn.XLOOKUP(Table4[[#This Row],[id]],prov_color!A:A,prov_color!C:C)</f>
        <v>16</v>
      </c>
    </row>
    <row r="466" spans="1:16" hidden="1" x14ac:dyDescent="0.25">
      <c r="A466">
        <v>465</v>
      </c>
      <c r="B466" t="s">
        <v>346</v>
      </c>
      <c r="C466" t="s">
        <v>392</v>
      </c>
      <c r="D466" t="s">
        <v>435</v>
      </c>
      <c r="E466" t="s">
        <v>80</v>
      </c>
      <c r="F466" t="s">
        <v>394</v>
      </c>
      <c r="G466" t="s">
        <v>35</v>
      </c>
      <c r="H466" t="s">
        <v>513</v>
      </c>
      <c r="I466" t="s">
        <v>27</v>
      </c>
      <c r="J466" t="s">
        <v>640</v>
      </c>
      <c r="K466">
        <v>0</v>
      </c>
      <c r="L466">
        <v>5</v>
      </c>
      <c r="M466">
        <v>5</v>
      </c>
      <c r="N466">
        <v>465</v>
      </c>
      <c r="O466" t="str">
        <f>_xlfn.XLOOKUP(Table4[[#This Row],[id]],VALINA[id],VALINA[name])</f>
        <v>Kerch</v>
      </c>
      <c r="P466">
        <f>_xlfn.XLOOKUP(Table4[[#This Row],[id]],prov_color!A:A,prov_color!C:C)</f>
        <v>32</v>
      </c>
    </row>
    <row r="467" spans="1:16" hidden="1" x14ac:dyDescent="0.25">
      <c r="A467">
        <v>466</v>
      </c>
      <c r="B467" t="s">
        <v>346</v>
      </c>
      <c r="C467" t="s">
        <v>392</v>
      </c>
      <c r="D467" t="s">
        <v>641</v>
      </c>
      <c r="E467" t="s">
        <v>34</v>
      </c>
      <c r="F467" t="s">
        <v>609</v>
      </c>
      <c r="G467" t="s">
        <v>35</v>
      </c>
      <c r="H467" t="s">
        <v>620</v>
      </c>
      <c r="I467" t="s">
        <v>53</v>
      </c>
      <c r="J467" t="s">
        <v>642</v>
      </c>
      <c r="K467">
        <v>0</v>
      </c>
      <c r="L467">
        <v>5</v>
      </c>
      <c r="M467">
        <v>4</v>
      </c>
      <c r="N467">
        <v>466</v>
      </c>
      <c r="O467" t="str">
        <f>_xlfn.XLOOKUP(Table4[[#This Row],[id]],VALINA[id],VALINA[name])</f>
        <v>Azow</v>
      </c>
      <c r="P467">
        <f>_xlfn.XLOOKUP(Table4[[#This Row],[id]],prov_color!A:A,prov_color!C:C)</f>
        <v>23</v>
      </c>
    </row>
    <row r="468" spans="1:16" hidden="1" x14ac:dyDescent="0.25">
      <c r="A468">
        <v>467</v>
      </c>
      <c r="B468" t="s">
        <v>346</v>
      </c>
      <c r="C468" t="s">
        <v>392</v>
      </c>
      <c r="D468" t="s">
        <v>641</v>
      </c>
      <c r="E468" t="s">
        <v>34</v>
      </c>
      <c r="F468" t="s">
        <v>609</v>
      </c>
      <c r="G468" t="s">
        <v>26</v>
      </c>
      <c r="H468" t="s">
        <v>620</v>
      </c>
      <c r="I468" t="s">
        <v>41</v>
      </c>
      <c r="J468" t="s">
        <v>643</v>
      </c>
      <c r="K468">
        <v>0</v>
      </c>
      <c r="L468">
        <v>5</v>
      </c>
      <c r="M468">
        <v>1</v>
      </c>
      <c r="N468">
        <v>467</v>
      </c>
      <c r="O468" t="str">
        <f>_xlfn.XLOOKUP(Table4[[#This Row],[id]],VALINA[id],VALINA[name])</f>
        <v>Kalmuk</v>
      </c>
      <c r="P468">
        <f>_xlfn.XLOOKUP(Table4[[#This Row],[id]],prov_color!A:A,prov_color!C:C)</f>
        <v>35</v>
      </c>
    </row>
    <row r="469" spans="1:16" hidden="1" x14ac:dyDescent="0.25">
      <c r="A469">
        <v>468</v>
      </c>
      <c r="B469" t="s">
        <v>346</v>
      </c>
      <c r="C469" t="s">
        <v>392</v>
      </c>
      <c r="D469" t="s">
        <v>641</v>
      </c>
      <c r="E469" t="s">
        <v>14</v>
      </c>
      <c r="F469" t="s">
        <v>609</v>
      </c>
      <c r="G469" t="s">
        <v>26</v>
      </c>
      <c r="H469" t="s">
        <v>644</v>
      </c>
      <c r="I469" t="s">
        <v>41</v>
      </c>
      <c r="J469" t="s">
        <v>645</v>
      </c>
      <c r="K469">
        <v>0</v>
      </c>
      <c r="L469">
        <v>5</v>
      </c>
      <c r="M469">
        <v>1</v>
      </c>
      <c r="N469">
        <v>468</v>
      </c>
      <c r="O469" t="str">
        <f>_xlfn.XLOOKUP(Table4[[#This Row],[id]],VALINA[id],VALINA[name])</f>
        <v>Kouban</v>
      </c>
      <c r="P469">
        <f>_xlfn.XLOOKUP(Table4[[#This Row],[id]],prov_color!A:A,prov_color!C:C)</f>
        <v>37</v>
      </c>
    </row>
    <row r="470" spans="1:16" hidden="1" x14ac:dyDescent="0.25">
      <c r="A470">
        <v>469</v>
      </c>
      <c r="B470" t="s">
        <v>346</v>
      </c>
      <c r="C470" t="s">
        <v>392</v>
      </c>
      <c r="D470" t="s">
        <v>641</v>
      </c>
      <c r="E470" t="s">
        <v>14</v>
      </c>
      <c r="F470" t="s">
        <v>394</v>
      </c>
      <c r="G470" t="s">
        <v>26</v>
      </c>
      <c r="H470" t="s">
        <v>646</v>
      </c>
      <c r="I470" t="s">
        <v>41</v>
      </c>
      <c r="J470" t="s">
        <v>647</v>
      </c>
      <c r="K470">
        <v>0</v>
      </c>
      <c r="L470">
        <v>5</v>
      </c>
      <c r="M470">
        <v>4</v>
      </c>
      <c r="N470">
        <v>469</v>
      </c>
      <c r="O470" t="str">
        <f>_xlfn.XLOOKUP(Table4[[#This Row],[id]],VALINA[id],VALINA[name])</f>
        <v>Sochi</v>
      </c>
      <c r="P470">
        <f>_xlfn.XLOOKUP(Table4[[#This Row],[id]],prov_color!A:A,prov_color!C:C)</f>
        <v>26</v>
      </c>
    </row>
    <row r="471" spans="1:16" hidden="1" x14ac:dyDescent="0.25">
      <c r="A471">
        <v>470</v>
      </c>
      <c r="B471" t="s">
        <v>346</v>
      </c>
      <c r="C471" t="s">
        <v>392</v>
      </c>
      <c r="D471" t="s">
        <v>641</v>
      </c>
      <c r="E471" t="s">
        <v>14</v>
      </c>
      <c r="F471" t="s">
        <v>394</v>
      </c>
      <c r="G471" t="s">
        <v>26</v>
      </c>
      <c r="H471" t="s">
        <v>646</v>
      </c>
      <c r="I471" t="s">
        <v>37</v>
      </c>
      <c r="J471" t="s">
        <v>116</v>
      </c>
      <c r="K471">
        <v>0</v>
      </c>
      <c r="L471">
        <v>5</v>
      </c>
      <c r="M471">
        <v>5</v>
      </c>
      <c r="N471">
        <v>470</v>
      </c>
      <c r="O471" t="str">
        <f>_xlfn.XLOOKUP(Table4[[#This Row],[id]],VALINA[id],VALINA[name])</f>
        <v>Georgia</v>
      </c>
      <c r="P471">
        <f>_xlfn.XLOOKUP(Table4[[#This Row],[id]],prov_color!A:A,prov_color!C:C)</f>
        <v>29</v>
      </c>
    </row>
    <row r="472" spans="1:16" hidden="1" x14ac:dyDescent="0.25">
      <c r="A472">
        <v>471</v>
      </c>
      <c r="B472" t="s">
        <v>346</v>
      </c>
      <c r="C472" t="s">
        <v>392</v>
      </c>
      <c r="D472" t="s">
        <v>641</v>
      </c>
      <c r="E472" t="s">
        <v>34</v>
      </c>
      <c r="F472" t="s">
        <v>609</v>
      </c>
      <c r="G472" t="s">
        <v>26</v>
      </c>
      <c r="H472" t="s">
        <v>648</v>
      </c>
      <c r="I472" t="s">
        <v>41</v>
      </c>
      <c r="J472" t="s">
        <v>649</v>
      </c>
      <c r="K472">
        <v>0</v>
      </c>
      <c r="L472">
        <v>5</v>
      </c>
      <c r="M472">
        <v>5</v>
      </c>
      <c r="N472">
        <v>471</v>
      </c>
      <c r="O472" t="str">
        <f>_xlfn.XLOOKUP(Table4[[#This Row],[id]],VALINA[id],VALINA[name])</f>
        <v>Daghestan</v>
      </c>
      <c r="P472">
        <f>_xlfn.XLOOKUP(Table4[[#This Row],[id]],prov_color!A:A,prov_color!C:C)</f>
        <v>53</v>
      </c>
    </row>
    <row r="473" spans="1:16" hidden="1" x14ac:dyDescent="0.25">
      <c r="A473">
        <v>472</v>
      </c>
      <c r="B473" t="s">
        <v>346</v>
      </c>
      <c r="C473" t="s">
        <v>392</v>
      </c>
      <c r="D473" t="s">
        <v>641</v>
      </c>
      <c r="E473" t="s">
        <v>14</v>
      </c>
      <c r="F473" t="s">
        <v>650</v>
      </c>
      <c r="G473" t="s">
        <v>26</v>
      </c>
      <c r="H473" t="s">
        <v>651</v>
      </c>
      <c r="I473" t="s">
        <v>18</v>
      </c>
      <c r="J473" t="s">
        <v>652</v>
      </c>
      <c r="K473">
        <v>0</v>
      </c>
      <c r="L473">
        <v>5</v>
      </c>
      <c r="M473">
        <v>4</v>
      </c>
      <c r="N473">
        <v>472</v>
      </c>
      <c r="O473" t="str">
        <f>_xlfn.XLOOKUP(Table4[[#This Row],[id]],VALINA[id],VALINA[name])</f>
        <v>Armenia</v>
      </c>
      <c r="P473">
        <f>_xlfn.XLOOKUP(Table4[[#This Row],[id]],prov_color!A:A,prov_color!C:C)</f>
        <v>32</v>
      </c>
    </row>
    <row r="474" spans="1:16" hidden="1" x14ac:dyDescent="0.25">
      <c r="A474">
        <v>473</v>
      </c>
      <c r="B474" t="s">
        <v>653</v>
      </c>
      <c r="C474" t="s">
        <v>654</v>
      </c>
      <c r="D474" t="s">
        <v>655</v>
      </c>
      <c r="E474" t="s">
        <v>14</v>
      </c>
      <c r="F474" t="s">
        <v>609</v>
      </c>
      <c r="G474" t="s">
        <v>26</v>
      </c>
      <c r="H474" t="s">
        <v>656</v>
      </c>
      <c r="I474" t="s">
        <v>141</v>
      </c>
      <c r="J474" t="s">
        <v>657</v>
      </c>
      <c r="K474">
        <v>0</v>
      </c>
      <c r="L474">
        <v>6</v>
      </c>
      <c r="M474">
        <v>5</v>
      </c>
      <c r="N474">
        <v>473</v>
      </c>
      <c r="O474" t="str">
        <f>_xlfn.XLOOKUP(Table4[[#This Row],[id]],VALINA[id],VALINA[name])</f>
        <v>Kurdistan</v>
      </c>
      <c r="P474">
        <f>_xlfn.XLOOKUP(Table4[[#This Row],[id]],prov_color!A:A,prov_color!C:C)</f>
        <v>34</v>
      </c>
    </row>
    <row r="475" spans="1:16" hidden="1" x14ac:dyDescent="0.25">
      <c r="A475">
        <v>474</v>
      </c>
      <c r="B475" t="s">
        <v>653</v>
      </c>
      <c r="C475" t="s">
        <v>654</v>
      </c>
      <c r="D475" t="s">
        <v>658</v>
      </c>
      <c r="E475" t="s">
        <v>14</v>
      </c>
      <c r="F475" t="s">
        <v>609</v>
      </c>
      <c r="G475" t="s">
        <v>26</v>
      </c>
      <c r="H475" t="s">
        <v>648</v>
      </c>
      <c r="I475" t="s">
        <v>41</v>
      </c>
      <c r="J475" t="s">
        <v>659</v>
      </c>
      <c r="K475">
        <v>0</v>
      </c>
      <c r="L475">
        <v>5</v>
      </c>
      <c r="M475">
        <v>4</v>
      </c>
      <c r="N475">
        <v>474</v>
      </c>
      <c r="O475" t="str">
        <f>_xlfn.XLOOKUP(Table4[[#This Row],[id]],VALINA[id],VALINA[name])</f>
        <v>Sivas</v>
      </c>
      <c r="P475">
        <f>_xlfn.XLOOKUP(Table4[[#This Row],[id]],prov_color!A:A,prov_color!C:C)</f>
        <v>44</v>
      </c>
    </row>
    <row r="476" spans="1:16" hidden="1" x14ac:dyDescent="0.25">
      <c r="A476">
        <v>475</v>
      </c>
      <c r="B476" t="s">
        <v>653</v>
      </c>
      <c r="C476" t="s">
        <v>654</v>
      </c>
      <c r="D476" t="s">
        <v>658</v>
      </c>
      <c r="E476" t="s">
        <v>80</v>
      </c>
      <c r="F476" t="s">
        <v>394</v>
      </c>
      <c r="G476" t="s">
        <v>35</v>
      </c>
      <c r="H476" t="s">
        <v>513</v>
      </c>
      <c r="I476" t="s">
        <v>212</v>
      </c>
      <c r="J476" t="s">
        <v>660</v>
      </c>
      <c r="K476">
        <v>0</v>
      </c>
      <c r="L476">
        <v>5</v>
      </c>
      <c r="M476">
        <v>6</v>
      </c>
      <c r="N476">
        <v>475</v>
      </c>
      <c r="O476" t="str">
        <f>_xlfn.XLOOKUP(Table4[[#This Row],[id]],VALINA[id],VALINA[name])</f>
        <v>Trabzon</v>
      </c>
      <c r="P476">
        <f>_xlfn.XLOOKUP(Table4[[#This Row],[id]],prov_color!A:A,prov_color!C:C)</f>
        <v>31</v>
      </c>
    </row>
    <row r="477" spans="1:16" hidden="1" x14ac:dyDescent="0.25">
      <c r="A477">
        <v>476</v>
      </c>
      <c r="B477" t="s">
        <v>653</v>
      </c>
      <c r="C477" t="s">
        <v>654</v>
      </c>
      <c r="D477" t="s">
        <v>658</v>
      </c>
      <c r="E477" t="s">
        <v>14</v>
      </c>
      <c r="F477" t="s">
        <v>609</v>
      </c>
      <c r="G477" t="s">
        <v>26</v>
      </c>
      <c r="H477" t="s">
        <v>648</v>
      </c>
      <c r="I477" t="s">
        <v>141</v>
      </c>
      <c r="J477" t="s">
        <v>661</v>
      </c>
      <c r="K477">
        <v>0</v>
      </c>
      <c r="L477">
        <v>5</v>
      </c>
      <c r="M477">
        <v>6</v>
      </c>
      <c r="N477">
        <v>476</v>
      </c>
      <c r="O477" t="str">
        <f>_xlfn.XLOOKUP(Table4[[#This Row],[id]],VALINA[id],VALINA[name])</f>
        <v>Angora</v>
      </c>
      <c r="P477">
        <f>_xlfn.XLOOKUP(Table4[[#This Row],[id]],prov_color!A:A,prov_color!C:C)</f>
        <v>33</v>
      </c>
    </row>
    <row r="478" spans="1:16" hidden="1" x14ac:dyDescent="0.25">
      <c r="A478">
        <v>477</v>
      </c>
      <c r="B478" t="s">
        <v>653</v>
      </c>
      <c r="C478" t="s">
        <v>654</v>
      </c>
      <c r="D478" t="s">
        <v>658</v>
      </c>
      <c r="E478" t="s">
        <v>34</v>
      </c>
      <c r="F478" t="s">
        <v>394</v>
      </c>
      <c r="G478" t="s">
        <v>35</v>
      </c>
      <c r="H478" t="s">
        <v>513</v>
      </c>
      <c r="I478" t="s">
        <v>352</v>
      </c>
      <c r="J478" t="s">
        <v>658</v>
      </c>
      <c r="K478">
        <v>0</v>
      </c>
      <c r="L478">
        <v>5</v>
      </c>
      <c r="M478">
        <v>8</v>
      </c>
      <c r="N478">
        <v>477</v>
      </c>
      <c r="O478" t="str">
        <f>_xlfn.XLOOKUP(Table4[[#This Row],[id]],VALINA[id],VALINA[name])</f>
        <v>Anatolia</v>
      </c>
      <c r="P478">
        <f>_xlfn.XLOOKUP(Table4[[#This Row],[id]],prov_color!A:A,prov_color!C:C)</f>
        <v>37</v>
      </c>
    </row>
    <row r="479" spans="1:16" hidden="1" x14ac:dyDescent="0.25">
      <c r="A479">
        <v>478</v>
      </c>
      <c r="B479" t="s">
        <v>653</v>
      </c>
      <c r="C479" t="s">
        <v>654</v>
      </c>
      <c r="D479" t="s">
        <v>658</v>
      </c>
      <c r="E479" t="s">
        <v>34</v>
      </c>
      <c r="F479" t="s">
        <v>394</v>
      </c>
      <c r="G479" t="s">
        <v>35</v>
      </c>
      <c r="H479" t="s">
        <v>513</v>
      </c>
      <c r="I479" t="s">
        <v>37</v>
      </c>
      <c r="J479" t="s">
        <v>662</v>
      </c>
      <c r="K479">
        <v>0</v>
      </c>
      <c r="L479">
        <v>5</v>
      </c>
      <c r="M479">
        <v>11</v>
      </c>
      <c r="N479">
        <v>478</v>
      </c>
      <c r="O479" t="str">
        <f>_xlfn.XLOOKUP(Table4[[#This Row],[id]],VALINA[id],VALINA[name])</f>
        <v>Smyrna</v>
      </c>
      <c r="P479">
        <f>_xlfn.XLOOKUP(Table4[[#This Row],[id]],prov_color!A:A,prov_color!C:C)</f>
        <v>35</v>
      </c>
    </row>
    <row r="480" spans="1:16" hidden="1" x14ac:dyDescent="0.25">
      <c r="A480">
        <v>479</v>
      </c>
      <c r="B480" t="s">
        <v>346</v>
      </c>
      <c r="C480" t="s">
        <v>516</v>
      </c>
      <c r="D480" t="s">
        <v>517</v>
      </c>
      <c r="E480" t="s">
        <v>34</v>
      </c>
      <c r="F480" t="s">
        <v>394</v>
      </c>
      <c r="G480" t="s">
        <v>35</v>
      </c>
      <c r="H480" t="s">
        <v>513</v>
      </c>
      <c r="I480" t="s">
        <v>37</v>
      </c>
      <c r="J480" t="s">
        <v>663</v>
      </c>
      <c r="K480">
        <v>0</v>
      </c>
      <c r="L480">
        <v>3</v>
      </c>
      <c r="M480">
        <v>3</v>
      </c>
      <c r="N480">
        <v>479</v>
      </c>
      <c r="O480" t="str">
        <f>_xlfn.XLOOKUP(Table4[[#This Row],[id]],VALINA[id],VALINA[name])</f>
        <v>Ionia</v>
      </c>
      <c r="P480">
        <f>_xlfn.XLOOKUP(Table4[[#This Row],[id]],prov_color!A:A,prov_color!C:C)</f>
        <v>6</v>
      </c>
    </row>
    <row r="481" spans="1:16" hidden="1" x14ac:dyDescent="0.25">
      <c r="A481">
        <v>480</v>
      </c>
      <c r="B481" t="s">
        <v>346</v>
      </c>
      <c r="C481" t="s">
        <v>516</v>
      </c>
      <c r="D481" t="s">
        <v>517</v>
      </c>
      <c r="E481" t="s">
        <v>14</v>
      </c>
      <c r="F481" t="s">
        <v>394</v>
      </c>
      <c r="G481" t="s">
        <v>35</v>
      </c>
      <c r="H481" t="s">
        <v>513</v>
      </c>
      <c r="I481" t="s">
        <v>73</v>
      </c>
      <c r="J481" t="s">
        <v>664</v>
      </c>
      <c r="K481">
        <v>0</v>
      </c>
      <c r="L481">
        <v>3</v>
      </c>
      <c r="M481">
        <v>5</v>
      </c>
      <c r="N481">
        <v>480</v>
      </c>
      <c r="O481" t="str">
        <f>_xlfn.XLOOKUP(Table4[[#This Row],[id]],VALINA[id],VALINA[name])</f>
        <v>Crete</v>
      </c>
      <c r="P481">
        <f>_xlfn.XLOOKUP(Table4[[#This Row],[id]],prov_color!A:A,prov_color!C:C)</f>
        <v>8</v>
      </c>
    </row>
    <row r="482" spans="1:16" hidden="1" x14ac:dyDescent="0.25">
      <c r="A482">
        <v>481</v>
      </c>
      <c r="B482" t="s">
        <v>346</v>
      </c>
      <c r="C482" t="s">
        <v>516</v>
      </c>
      <c r="D482" t="s">
        <v>517</v>
      </c>
      <c r="E482" t="s">
        <v>14</v>
      </c>
      <c r="F482" t="s">
        <v>394</v>
      </c>
      <c r="G482" t="s">
        <v>35</v>
      </c>
      <c r="H482" t="s">
        <v>513</v>
      </c>
      <c r="I482" t="s">
        <v>27</v>
      </c>
      <c r="J482" t="s">
        <v>665</v>
      </c>
      <c r="K482">
        <v>0</v>
      </c>
      <c r="L482">
        <v>3</v>
      </c>
      <c r="M482">
        <v>2</v>
      </c>
      <c r="N482">
        <v>481</v>
      </c>
      <c r="O482" t="str">
        <f>_xlfn.XLOOKUP(Table4[[#This Row],[id]],VALINA[id],VALINA[name])</f>
        <v>Rhodes</v>
      </c>
      <c r="P482">
        <f>_xlfn.XLOOKUP(Table4[[#This Row],[id]],prov_color!A:A,prov_color!C:C)</f>
        <v>6</v>
      </c>
    </row>
    <row r="483" spans="1:16" hidden="1" x14ac:dyDescent="0.25">
      <c r="A483">
        <v>482</v>
      </c>
      <c r="B483" t="s">
        <v>653</v>
      </c>
      <c r="C483" t="s">
        <v>654</v>
      </c>
      <c r="D483" t="s">
        <v>658</v>
      </c>
      <c r="E483" t="s">
        <v>14</v>
      </c>
      <c r="F483" t="s">
        <v>609</v>
      </c>
      <c r="G483" t="s">
        <v>26</v>
      </c>
      <c r="H483" t="s">
        <v>648</v>
      </c>
      <c r="I483" t="s">
        <v>53</v>
      </c>
      <c r="J483" t="s">
        <v>666</v>
      </c>
      <c r="K483">
        <v>0</v>
      </c>
      <c r="L483">
        <v>3</v>
      </c>
      <c r="M483">
        <v>4</v>
      </c>
      <c r="N483">
        <v>482</v>
      </c>
      <c r="O483" t="str">
        <f>_xlfn.XLOOKUP(Table4[[#This Row],[id]],VALINA[id],VALINA[name])</f>
        <v>Konya</v>
      </c>
      <c r="P483">
        <f>_xlfn.XLOOKUP(Table4[[#This Row],[id]],prov_color!A:A,prov_color!C:C)</f>
        <v>31</v>
      </c>
    </row>
    <row r="484" spans="1:16" hidden="1" x14ac:dyDescent="0.25">
      <c r="A484">
        <v>483</v>
      </c>
      <c r="B484" t="s">
        <v>653</v>
      </c>
      <c r="C484" t="s">
        <v>654</v>
      </c>
      <c r="D484" t="s">
        <v>658</v>
      </c>
      <c r="E484" t="s">
        <v>14</v>
      </c>
      <c r="F484" t="s">
        <v>650</v>
      </c>
      <c r="G484" t="s">
        <v>26</v>
      </c>
      <c r="H484" t="s">
        <v>651</v>
      </c>
      <c r="I484" t="s">
        <v>27</v>
      </c>
      <c r="J484" t="s">
        <v>667</v>
      </c>
      <c r="K484">
        <v>0</v>
      </c>
      <c r="L484">
        <v>3</v>
      </c>
      <c r="M484">
        <v>3</v>
      </c>
      <c r="N484">
        <v>483</v>
      </c>
      <c r="O484" t="str">
        <f>_xlfn.XLOOKUP(Table4[[#This Row],[id]],VALINA[id],VALINA[name])</f>
        <v>Adana</v>
      </c>
      <c r="P484">
        <f>_xlfn.XLOOKUP(Table4[[#This Row],[id]],prov_color!A:A,prov_color!C:C)</f>
        <v>24</v>
      </c>
    </row>
    <row r="485" spans="1:16" hidden="1" x14ac:dyDescent="0.25">
      <c r="A485">
        <v>484</v>
      </c>
      <c r="B485" t="s">
        <v>346</v>
      </c>
      <c r="C485" t="s">
        <v>516</v>
      </c>
      <c r="D485" t="s">
        <v>517</v>
      </c>
      <c r="E485" t="s">
        <v>14</v>
      </c>
      <c r="F485" t="s">
        <v>394</v>
      </c>
      <c r="G485" t="s">
        <v>35</v>
      </c>
      <c r="H485" t="s">
        <v>513</v>
      </c>
      <c r="I485" t="s">
        <v>37</v>
      </c>
      <c r="J485" t="s">
        <v>668</v>
      </c>
      <c r="K485">
        <v>0</v>
      </c>
      <c r="L485">
        <v>3</v>
      </c>
      <c r="M485">
        <v>8</v>
      </c>
      <c r="N485">
        <v>484</v>
      </c>
      <c r="O485" t="str">
        <f>_xlfn.XLOOKUP(Table4[[#This Row],[id]],VALINA[id],VALINA[name])</f>
        <v>Cyprus</v>
      </c>
      <c r="P485">
        <f>_xlfn.XLOOKUP(Table4[[#This Row],[id]],prov_color!A:A,prov_color!C:C)</f>
        <v>8</v>
      </c>
    </row>
    <row r="486" spans="1:16" hidden="1" x14ac:dyDescent="0.25">
      <c r="A486">
        <v>485</v>
      </c>
      <c r="B486" t="s">
        <v>653</v>
      </c>
      <c r="C486" t="s">
        <v>654</v>
      </c>
      <c r="D486" t="s">
        <v>655</v>
      </c>
      <c r="E486" t="s">
        <v>34</v>
      </c>
      <c r="F486" t="s">
        <v>394</v>
      </c>
      <c r="G486" t="s">
        <v>26</v>
      </c>
      <c r="H486" t="s">
        <v>669</v>
      </c>
      <c r="I486" t="s">
        <v>352</v>
      </c>
      <c r="J486" t="s">
        <v>670</v>
      </c>
      <c r="K486">
        <v>0</v>
      </c>
      <c r="L486">
        <v>6</v>
      </c>
      <c r="M486">
        <v>7</v>
      </c>
      <c r="N486">
        <v>485</v>
      </c>
      <c r="O486" t="str">
        <f>_xlfn.XLOOKUP(Table4[[#This Row],[id]],VALINA[id],VALINA[name])</f>
        <v>Aleppo</v>
      </c>
      <c r="P486">
        <f>_xlfn.XLOOKUP(Table4[[#This Row],[id]],prov_color!A:A,prov_color!C:C)</f>
        <v>34</v>
      </c>
    </row>
    <row r="487" spans="1:16" hidden="1" x14ac:dyDescent="0.25">
      <c r="A487">
        <v>486</v>
      </c>
      <c r="B487" t="s">
        <v>653</v>
      </c>
      <c r="C487" t="s">
        <v>654</v>
      </c>
      <c r="D487" t="s">
        <v>655</v>
      </c>
      <c r="E487" t="s">
        <v>52</v>
      </c>
      <c r="F487" t="s">
        <v>609</v>
      </c>
      <c r="G487" t="s">
        <v>47</v>
      </c>
      <c r="H487" t="s">
        <v>656</v>
      </c>
      <c r="I487" t="s">
        <v>212</v>
      </c>
      <c r="J487" t="s">
        <v>671</v>
      </c>
      <c r="K487">
        <v>0</v>
      </c>
      <c r="L487">
        <v>5</v>
      </c>
      <c r="M487">
        <v>2</v>
      </c>
      <c r="N487">
        <v>486</v>
      </c>
      <c r="O487" t="str">
        <f>_xlfn.XLOOKUP(Table4[[#This Row],[id]],VALINA[id],VALINA[name])</f>
        <v>Nuyssaybin</v>
      </c>
      <c r="P487">
        <f>_xlfn.XLOOKUP(Table4[[#This Row],[id]],prov_color!A:A,prov_color!C:C)</f>
        <v>37</v>
      </c>
    </row>
    <row r="488" spans="1:16" hidden="1" x14ac:dyDescent="0.25">
      <c r="A488">
        <v>487</v>
      </c>
      <c r="B488" t="s">
        <v>653</v>
      </c>
      <c r="C488" t="s">
        <v>672</v>
      </c>
      <c r="D488" t="s">
        <v>673</v>
      </c>
      <c r="E488" t="s">
        <v>14</v>
      </c>
      <c r="F488" t="s">
        <v>609</v>
      </c>
      <c r="G488" t="s">
        <v>26</v>
      </c>
      <c r="H488" t="s">
        <v>648</v>
      </c>
      <c r="I488" t="s">
        <v>41</v>
      </c>
      <c r="J488" t="s">
        <v>674</v>
      </c>
      <c r="K488">
        <v>0</v>
      </c>
      <c r="L488">
        <v>6</v>
      </c>
      <c r="M488">
        <v>9</v>
      </c>
      <c r="N488">
        <v>487</v>
      </c>
      <c r="O488" t="str">
        <f>_xlfn.XLOOKUP(Table4[[#This Row],[id]],VALINA[id],VALINA[name])</f>
        <v>Azerbaijan</v>
      </c>
      <c r="P488">
        <f>_xlfn.XLOOKUP(Table4[[#This Row],[id]],prov_color!A:A,prov_color!C:C)</f>
        <v>56</v>
      </c>
    </row>
    <row r="489" spans="1:16" hidden="1" x14ac:dyDescent="0.25">
      <c r="A489">
        <v>488</v>
      </c>
      <c r="B489" t="s">
        <v>653</v>
      </c>
      <c r="C489" t="s">
        <v>654</v>
      </c>
      <c r="D489" t="s">
        <v>655</v>
      </c>
      <c r="E489" t="s">
        <v>52</v>
      </c>
      <c r="F489" t="s">
        <v>609</v>
      </c>
      <c r="G489" t="s">
        <v>47</v>
      </c>
      <c r="H489" t="s">
        <v>669</v>
      </c>
      <c r="I489" t="s">
        <v>141</v>
      </c>
      <c r="J489" t="s">
        <v>675</v>
      </c>
      <c r="K489">
        <v>0</v>
      </c>
      <c r="L489">
        <v>6</v>
      </c>
      <c r="M489">
        <v>4</v>
      </c>
      <c r="N489">
        <v>488</v>
      </c>
      <c r="O489" t="str">
        <f>_xlfn.XLOOKUP(Table4[[#This Row],[id]],VALINA[id],VALINA[name])</f>
        <v>Kirkuk</v>
      </c>
      <c r="P489">
        <f>_xlfn.XLOOKUP(Table4[[#This Row],[id]],prov_color!A:A,prov_color!C:C)</f>
        <v>84</v>
      </c>
    </row>
    <row r="490" spans="1:16" hidden="1" x14ac:dyDescent="0.25">
      <c r="A490">
        <v>489</v>
      </c>
      <c r="B490" t="s">
        <v>653</v>
      </c>
      <c r="C490" t="s">
        <v>654</v>
      </c>
      <c r="D490" t="s">
        <v>655</v>
      </c>
      <c r="E490" t="s">
        <v>52</v>
      </c>
      <c r="F490" t="s">
        <v>609</v>
      </c>
      <c r="G490" t="s">
        <v>47</v>
      </c>
      <c r="H490" t="s">
        <v>669</v>
      </c>
      <c r="I490" t="s">
        <v>43</v>
      </c>
      <c r="J490" t="s">
        <v>676</v>
      </c>
      <c r="K490">
        <v>0</v>
      </c>
      <c r="L490">
        <v>8</v>
      </c>
      <c r="M490">
        <v>14</v>
      </c>
      <c r="N490">
        <v>489</v>
      </c>
      <c r="O490" t="str">
        <f>_xlfn.XLOOKUP(Table4[[#This Row],[id]],VALINA[id],VALINA[name])</f>
        <v>Iraq</v>
      </c>
      <c r="P490">
        <f>_xlfn.XLOOKUP(Table4[[#This Row],[id]],prov_color!A:A,prov_color!C:C)</f>
        <v>93</v>
      </c>
    </row>
    <row r="491" spans="1:16" hidden="1" x14ac:dyDescent="0.25">
      <c r="A491">
        <v>490</v>
      </c>
      <c r="B491" t="s">
        <v>653</v>
      </c>
      <c r="C491" t="s">
        <v>654</v>
      </c>
      <c r="D491" t="s">
        <v>655</v>
      </c>
      <c r="E491" t="s">
        <v>34</v>
      </c>
      <c r="F491" t="s">
        <v>609</v>
      </c>
      <c r="G491" t="s">
        <v>26</v>
      </c>
      <c r="H491" t="s">
        <v>669</v>
      </c>
      <c r="I491" t="s">
        <v>43</v>
      </c>
      <c r="J491" t="s">
        <v>677</v>
      </c>
      <c r="K491">
        <v>0</v>
      </c>
      <c r="L491">
        <v>5</v>
      </c>
      <c r="M491">
        <v>12</v>
      </c>
      <c r="N491">
        <v>490</v>
      </c>
      <c r="O491" t="str">
        <f>_xlfn.XLOOKUP(Table4[[#This Row],[id]],VALINA[id],VALINA[name])</f>
        <v>Syria</v>
      </c>
      <c r="P491">
        <f>_xlfn.XLOOKUP(Table4[[#This Row],[id]],prov_color!A:A,prov_color!C:C)</f>
        <v>56</v>
      </c>
    </row>
    <row r="492" spans="1:16" hidden="1" x14ac:dyDescent="0.25">
      <c r="A492">
        <v>491</v>
      </c>
      <c r="B492" t="s">
        <v>653</v>
      </c>
      <c r="C492" t="s">
        <v>654</v>
      </c>
      <c r="D492" t="s">
        <v>655</v>
      </c>
      <c r="E492" t="s">
        <v>14</v>
      </c>
      <c r="F492" t="s">
        <v>349</v>
      </c>
      <c r="G492" t="s">
        <v>35</v>
      </c>
      <c r="H492" t="s">
        <v>669</v>
      </c>
      <c r="I492" t="s">
        <v>29</v>
      </c>
      <c r="J492" t="s">
        <v>678</v>
      </c>
      <c r="K492">
        <v>0</v>
      </c>
      <c r="L492">
        <v>4</v>
      </c>
      <c r="M492">
        <v>7</v>
      </c>
      <c r="N492">
        <v>491</v>
      </c>
      <c r="O492" t="str">
        <f>_xlfn.XLOOKUP(Table4[[#This Row],[id]],VALINA[id],VALINA[name])</f>
        <v>Lebanon</v>
      </c>
      <c r="P492">
        <f>_xlfn.XLOOKUP(Table4[[#This Row],[id]],prov_color!A:A,prov_color!C:C)</f>
        <v>29</v>
      </c>
    </row>
    <row r="493" spans="1:16" hidden="1" x14ac:dyDescent="0.25">
      <c r="A493">
        <v>492</v>
      </c>
      <c r="B493" t="s">
        <v>653</v>
      </c>
      <c r="C493" t="s">
        <v>654</v>
      </c>
      <c r="D493" t="s">
        <v>655</v>
      </c>
      <c r="E493" t="s">
        <v>34</v>
      </c>
      <c r="F493" t="s">
        <v>609</v>
      </c>
      <c r="G493" t="s">
        <v>35</v>
      </c>
      <c r="H493" t="s">
        <v>669</v>
      </c>
      <c r="I493" t="s">
        <v>41</v>
      </c>
      <c r="J493" t="s">
        <v>679</v>
      </c>
      <c r="K493">
        <v>0</v>
      </c>
      <c r="L493">
        <v>3</v>
      </c>
      <c r="M493">
        <v>5</v>
      </c>
      <c r="N493">
        <v>492</v>
      </c>
      <c r="O493" t="str">
        <f>_xlfn.XLOOKUP(Table4[[#This Row],[id]],VALINA[id],VALINA[name])</f>
        <v>Samaria</v>
      </c>
      <c r="P493">
        <f>_xlfn.XLOOKUP(Table4[[#This Row],[id]],prov_color!A:A,prov_color!C:C)</f>
        <v>23</v>
      </c>
    </row>
    <row r="494" spans="1:16" hidden="1" x14ac:dyDescent="0.25">
      <c r="A494">
        <v>493</v>
      </c>
      <c r="B494" t="s">
        <v>653</v>
      </c>
      <c r="C494" t="s">
        <v>654</v>
      </c>
      <c r="D494" t="s">
        <v>655</v>
      </c>
      <c r="E494" t="s">
        <v>34</v>
      </c>
      <c r="F494" t="s">
        <v>609</v>
      </c>
      <c r="G494" t="s">
        <v>35</v>
      </c>
      <c r="H494" t="s">
        <v>669</v>
      </c>
      <c r="I494" t="s">
        <v>43</v>
      </c>
      <c r="J494" t="s">
        <v>680</v>
      </c>
      <c r="K494">
        <v>0</v>
      </c>
      <c r="L494">
        <v>3</v>
      </c>
      <c r="M494">
        <v>5</v>
      </c>
      <c r="N494">
        <v>493</v>
      </c>
      <c r="O494" t="str">
        <f>_xlfn.XLOOKUP(Table4[[#This Row],[id]],VALINA[id],VALINA[name])</f>
        <v>Judea</v>
      </c>
      <c r="P494">
        <f>_xlfn.XLOOKUP(Table4[[#This Row],[id]],prov_color!A:A,prov_color!C:C)</f>
        <v>31</v>
      </c>
    </row>
    <row r="495" spans="1:16" hidden="1" x14ac:dyDescent="0.25">
      <c r="A495">
        <v>494</v>
      </c>
      <c r="B495" t="s">
        <v>653</v>
      </c>
      <c r="C495" t="s">
        <v>654</v>
      </c>
      <c r="D495" t="s">
        <v>655</v>
      </c>
      <c r="E495" t="s">
        <v>52</v>
      </c>
      <c r="F495" t="s">
        <v>609</v>
      </c>
      <c r="G495" t="s">
        <v>47</v>
      </c>
      <c r="H495" t="s">
        <v>669</v>
      </c>
      <c r="I495" t="s">
        <v>53</v>
      </c>
      <c r="J495" t="s">
        <v>681</v>
      </c>
      <c r="K495">
        <v>0</v>
      </c>
      <c r="L495">
        <v>1</v>
      </c>
      <c r="M495">
        <v>1</v>
      </c>
      <c r="N495">
        <v>494</v>
      </c>
      <c r="O495" t="str">
        <f>_xlfn.XLOOKUP(Table4[[#This Row],[id]],VALINA[id],VALINA[name])</f>
        <v>Sinai</v>
      </c>
      <c r="P495">
        <f>_xlfn.XLOOKUP(Table4[[#This Row],[id]],prov_color!A:A,prov_color!C:C)</f>
        <v>37</v>
      </c>
    </row>
    <row r="496" spans="1:16" hidden="1" x14ac:dyDescent="0.25">
      <c r="A496">
        <v>495</v>
      </c>
      <c r="B496" t="s">
        <v>653</v>
      </c>
      <c r="C496" t="s">
        <v>654</v>
      </c>
      <c r="D496" t="s">
        <v>655</v>
      </c>
      <c r="E496" t="s">
        <v>52</v>
      </c>
      <c r="F496" t="s">
        <v>609</v>
      </c>
      <c r="G496" t="s">
        <v>47</v>
      </c>
      <c r="H496" t="s">
        <v>669</v>
      </c>
      <c r="I496" t="s">
        <v>43</v>
      </c>
      <c r="J496" t="s">
        <v>682</v>
      </c>
      <c r="K496">
        <v>0</v>
      </c>
      <c r="L496">
        <v>2</v>
      </c>
      <c r="M496">
        <v>4</v>
      </c>
      <c r="N496">
        <v>495</v>
      </c>
      <c r="O496" t="str">
        <f>_xlfn.XLOOKUP(Table4[[#This Row],[id]],VALINA[id],VALINA[name])</f>
        <v>Jordan</v>
      </c>
      <c r="P496">
        <f>_xlfn.XLOOKUP(Table4[[#This Row],[id]],prov_color!A:A,prov_color!C:C)</f>
        <v>69</v>
      </c>
    </row>
    <row r="497" spans="1:16" hidden="1" x14ac:dyDescent="0.25">
      <c r="A497">
        <v>496</v>
      </c>
      <c r="B497" t="s">
        <v>653</v>
      </c>
      <c r="C497" t="s">
        <v>654</v>
      </c>
      <c r="D497" t="s">
        <v>655</v>
      </c>
      <c r="E497" t="s">
        <v>52</v>
      </c>
      <c r="F497" t="s">
        <v>609</v>
      </c>
      <c r="G497" t="s">
        <v>47</v>
      </c>
      <c r="H497" t="s">
        <v>669</v>
      </c>
      <c r="I497" t="s">
        <v>41</v>
      </c>
      <c r="J497" t="s">
        <v>683</v>
      </c>
      <c r="K497">
        <v>0</v>
      </c>
      <c r="L497">
        <v>2</v>
      </c>
      <c r="M497">
        <v>3</v>
      </c>
      <c r="N497">
        <v>496</v>
      </c>
      <c r="O497" t="str">
        <f>_xlfn.XLOOKUP(Table4[[#This Row],[id]],VALINA[id],VALINA[name])</f>
        <v>Arabia</v>
      </c>
      <c r="P497">
        <f>_xlfn.XLOOKUP(Table4[[#This Row],[id]],prov_color!A:A,prov_color!C:C)</f>
        <v>47</v>
      </c>
    </row>
    <row r="498" spans="1:16" hidden="1" x14ac:dyDescent="0.25">
      <c r="A498">
        <v>497</v>
      </c>
      <c r="B498" t="s">
        <v>653</v>
      </c>
      <c r="C498" t="s">
        <v>654</v>
      </c>
      <c r="D498" t="s">
        <v>684</v>
      </c>
      <c r="E498" t="s">
        <v>52</v>
      </c>
      <c r="F498" t="s">
        <v>609</v>
      </c>
      <c r="G498" t="s">
        <v>47</v>
      </c>
      <c r="H498" t="s">
        <v>669</v>
      </c>
      <c r="I498" t="s">
        <v>685</v>
      </c>
      <c r="J498" t="s">
        <v>686</v>
      </c>
      <c r="K498">
        <v>9</v>
      </c>
      <c r="L498">
        <v>2</v>
      </c>
      <c r="M498">
        <v>2</v>
      </c>
      <c r="N498">
        <v>497</v>
      </c>
      <c r="O498" t="str">
        <f>_xlfn.XLOOKUP(Table4[[#This Row],[id]],VALINA[id],VALINA[name])</f>
        <v>Medina</v>
      </c>
      <c r="P498">
        <f>_xlfn.XLOOKUP(Table4[[#This Row],[id]],prov_color!A:A,prov_color!C:C)</f>
        <v>44</v>
      </c>
    </row>
    <row r="499" spans="1:16" hidden="1" x14ac:dyDescent="0.25">
      <c r="A499">
        <v>498</v>
      </c>
      <c r="B499" t="s">
        <v>653</v>
      </c>
      <c r="C499" t="s">
        <v>654</v>
      </c>
      <c r="D499" t="s">
        <v>684</v>
      </c>
      <c r="E499" t="s">
        <v>52</v>
      </c>
      <c r="F499" t="s">
        <v>609</v>
      </c>
      <c r="G499" t="s">
        <v>47</v>
      </c>
      <c r="H499" t="s">
        <v>669</v>
      </c>
      <c r="I499" t="s">
        <v>687</v>
      </c>
      <c r="J499" t="s">
        <v>688</v>
      </c>
      <c r="K499">
        <v>9</v>
      </c>
      <c r="L499">
        <v>3</v>
      </c>
      <c r="M499">
        <v>2</v>
      </c>
      <c r="N499">
        <v>498</v>
      </c>
      <c r="O499" t="str">
        <f>_xlfn.XLOOKUP(Table4[[#This Row],[id]],VALINA[id],VALINA[name])</f>
        <v>Mekkah</v>
      </c>
      <c r="P499">
        <f>_xlfn.XLOOKUP(Table4[[#This Row],[id]],prov_color!A:A,prov_color!C:C)</f>
        <v>36</v>
      </c>
    </row>
    <row r="500" spans="1:16" hidden="1" x14ac:dyDescent="0.25">
      <c r="A500">
        <v>499</v>
      </c>
      <c r="B500" t="s">
        <v>653</v>
      </c>
      <c r="C500" t="s">
        <v>654</v>
      </c>
      <c r="D500" t="s">
        <v>689</v>
      </c>
      <c r="E500" t="s">
        <v>14</v>
      </c>
      <c r="F500" t="s">
        <v>609</v>
      </c>
      <c r="G500" t="s">
        <v>47</v>
      </c>
      <c r="H500" t="s">
        <v>669</v>
      </c>
      <c r="I500" t="s">
        <v>84</v>
      </c>
      <c r="J500" t="s">
        <v>690</v>
      </c>
      <c r="K500">
        <v>7</v>
      </c>
      <c r="L500">
        <v>4</v>
      </c>
      <c r="M500">
        <v>3</v>
      </c>
      <c r="N500">
        <v>499</v>
      </c>
      <c r="O500" t="str">
        <f>_xlfn.XLOOKUP(Table4[[#This Row],[id]],VALINA[id],VALINA[name])</f>
        <v>Yemen</v>
      </c>
      <c r="P500">
        <f>_xlfn.XLOOKUP(Table4[[#This Row],[id]],prov_color!A:A,prov_color!C:C)</f>
        <v>45</v>
      </c>
    </row>
    <row r="501" spans="1:16" hidden="1" x14ac:dyDescent="0.25">
      <c r="A501">
        <v>500</v>
      </c>
      <c r="B501" t="s">
        <v>653</v>
      </c>
      <c r="C501" t="s">
        <v>654</v>
      </c>
      <c r="D501" t="s">
        <v>689</v>
      </c>
      <c r="E501" t="s">
        <v>14</v>
      </c>
      <c r="F501" t="s">
        <v>609</v>
      </c>
      <c r="G501" t="s">
        <v>47</v>
      </c>
      <c r="H501" t="s">
        <v>669</v>
      </c>
      <c r="I501" t="s">
        <v>84</v>
      </c>
      <c r="J501" t="s">
        <v>689</v>
      </c>
      <c r="K501">
        <v>7</v>
      </c>
      <c r="L501">
        <v>3</v>
      </c>
      <c r="M501">
        <v>2</v>
      </c>
      <c r="N501">
        <v>500</v>
      </c>
      <c r="O501" t="str">
        <f>_xlfn.XLOOKUP(Table4[[#This Row],[id]],VALINA[id],VALINA[name])</f>
        <v>Aden</v>
      </c>
      <c r="P501">
        <f>_xlfn.XLOOKUP(Table4[[#This Row],[id]],prov_color!A:A,prov_color!C:C)</f>
        <v>54</v>
      </c>
    </row>
    <row r="502" spans="1:16" hidden="1" x14ac:dyDescent="0.25">
      <c r="A502">
        <v>501</v>
      </c>
      <c r="B502" t="s">
        <v>653</v>
      </c>
      <c r="C502" t="s">
        <v>654</v>
      </c>
      <c r="D502" t="s">
        <v>689</v>
      </c>
      <c r="E502" t="s">
        <v>52</v>
      </c>
      <c r="F502" t="s">
        <v>609</v>
      </c>
      <c r="G502" t="s">
        <v>47</v>
      </c>
      <c r="H502" t="s">
        <v>669</v>
      </c>
      <c r="I502" t="s">
        <v>41</v>
      </c>
      <c r="J502" t="s">
        <v>691</v>
      </c>
      <c r="K502">
        <v>8</v>
      </c>
      <c r="L502">
        <v>2</v>
      </c>
      <c r="M502">
        <v>1</v>
      </c>
      <c r="N502">
        <v>501</v>
      </c>
      <c r="O502" t="str">
        <f>_xlfn.XLOOKUP(Table4[[#This Row],[id]],VALINA[id],VALINA[name])</f>
        <v>Hadramut</v>
      </c>
      <c r="P502">
        <f>_xlfn.XLOOKUP(Table4[[#This Row],[id]],prov_color!A:A,prov_color!C:C)</f>
        <v>34</v>
      </c>
    </row>
    <row r="503" spans="1:16" hidden="1" x14ac:dyDescent="0.25">
      <c r="A503">
        <v>502</v>
      </c>
      <c r="B503" t="s">
        <v>653</v>
      </c>
      <c r="C503" t="s">
        <v>654</v>
      </c>
      <c r="D503" t="s">
        <v>689</v>
      </c>
      <c r="E503" t="s">
        <v>14</v>
      </c>
      <c r="F503" t="s">
        <v>609</v>
      </c>
      <c r="G503" t="s">
        <v>47</v>
      </c>
      <c r="H503" t="s">
        <v>669</v>
      </c>
      <c r="I503" t="s">
        <v>27</v>
      </c>
      <c r="J503" t="s">
        <v>692</v>
      </c>
      <c r="K503">
        <v>6</v>
      </c>
      <c r="L503">
        <v>2</v>
      </c>
      <c r="M503">
        <v>1</v>
      </c>
      <c r="N503">
        <v>502</v>
      </c>
      <c r="O503" t="str">
        <f>_xlfn.XLOOKUP(Table4[[#This Row],[id]],VALINA[id],VALINA[name])</f>
        <v>Dofhar</v>
      </c>
      <c r="P503">
        <f>_xlfn.XLOOKUP(Table4[[#This Row],[id]],prov_color!A:A,prov_color!C:C)</f>
        <v>35</v>
      </c>
    </row>
    <row r="504" spans="1:16" hidden="1" x14ac:dyDescent="0.25">
      <c r="A504">
        <v>503</v>
      </c>
      <c r="B504" t="s">
        <v>653</v>
      </c>
      <c r="C504" t="s">
        <v>654</v>
      </c>
      <c r="D504" t="s">
        <v>693</v>
      </c>
      <c r="E504" t="s">
        <v>52</v>
      </c>
      <c r="F504" t="s">
        <v>609</v>
      </c>
      <c r="G504" t="s">
        <v>47</v>
      </c>
      <c r="H504" t="s">
        <v>669</v>
      </c>
      <c r="I504" t="s">
        <v>687</v>
      </c>
      <c r="J504" t="s">
        <v>694</v>
      </c>
      <c r="K504">
        <v>9</v>
      </c>
      <c r="L504">
        <v>2</v>
      </c>
      <c r="M504">
        <v>1</v>
      </c>
      <c r="N504">
        <v>503</v>
      </c>
      <c r="O504" t="str">
        <f>_xlfn.XLOOKUP(Table4[[#This Row],[id]],VALINA[id],VALINA[name])</f>
        <v>Masirah</v>
      </c>
      <c r="P504">
        <f>_xlfn.XLOOKUP(Table4[[#This Row],[id]],prov_color!A:A,prov_color!C:C)</f>
        <v>46</v>
      </c>
    </row>
    <row r="505" spans="1:16" hidden="1" x14ac:dyDescent="0.25">
      <c r="A505">
        <v>504</v>
      </c>
      <c r="B505" t="s">
        <v>653</v>
      </c>
      <c r="C505" t="s">
        <v>654</v>
      </c>
      <c r="D505" t="s">
        <v>693</v>
      </c>
      <c r="E505" t="s">
        <v>14</v>
      </c>
      <c r="F505" t="s">
        <v>609</v>
      </c>
      <c r="G505" t="s">
        <v>47</v>
      </c>
      <c r="H505" t="s">
        <v>669</v>
      </c>
      <c r="I505" t="s">
        <v>685</v>
      </c>
      <c r="J505" t="s">
        <v>695</v>
      </c>
      <c r="K505">
        <v>7</v>
      </c>
      <c r="L505">
        <v>5</v>
      </c>
      <c r="M505">
        <v>3</v>
      </c>
      <c r="N505">
        <v>504</v>
      </c>
      <c r="O505" t="str">
        <f>_xlfn.XLOOKUP(Table4[[#This Row],[id]],VALINA[id],VALINA[name])</f>
        <v>Mascate</v>
      </c>
      <c r="P505">
        <f>_xlfn.XLOOKUP(Table4[[#This Row],[id]],prov_color!A:A,prov_color!C:C)</f>
        <v>47</v>
      </c>
    </row>
    <row r="506" spans="1:16" hidden="1" x14ac:dyDescent="0.25">
      <c r="A506">
        <v>505</v>
      </c>
      <c r="B506" t="s">
        <v>653</v>
      </c>
      <c r="C506" t="s">
        <v>654</v>
      </c>
      <c r="D506" t="s">
        <v>693</v>
      </c>
      <c r="E506" t="s">
        <v>14</v>
      </c>
      <c r="F506" t="s">
        <v>609</v>
      </c>
      <c r="G506" t="s">
        <v>47</v>
      </c>
      <c r="H506" t="s">
        <v>669</v>
      </c>
      <c r="I506" t="s">
        <v>41</v>
      </c>
      <c r="J506" t="s">
        <v>696</v>
      </c>
      <c r="K506">
        <v>9</v>
      </c>
      <c r="L506">
        <v>1</v>
      </c>
      <c r="M506">
        <v>2</v>
      </c>
      <c r="N506">
        <v>505</v>
      </c>
      <c r="O506" t="str">
        <f>_xlfn.XLOOKUP(Table4[[#This Row],[id]],VALINA[id],VALINA[name])</f>
        <v>Al Kharam</v>
      </c>
      <c r="P506">
        <f>_xlfn.XLOOKUP(Table4[[#This Row],[id]],prov_color!A:A,prov_color!C:C)</f>
        <v>44</v>
      </c>
    </row>
    <row r="507" spans="1:16" hidden="1" x14ac:dyDescent="0.25">
      <c r="A507">
        <v>506</v>
      </c>
      <c r="B507" t="s">
        <v>653</v>
      </c>
      <c r="C507" t="s">
        <v>654</v>
      </c>
      <c r="D507" t="s">
        <v>684</v>
      </c>
      <c r="E507" t="s">
        <v>52</v>
      </c>
      <c r="F507" t="s">
        <v>609</v>
      </c>
      <c r="G507" t="s">
        <v>47</v>
      </c>
      <c r="H507" t="s">
        <v>669</v>
      </c>
      <c r="I507" t="s">
        <v>685</v>
      </c>
      <c r="J507" t="s">
        <v>697</v>
      </c>
      <c r="K507">
        <v>9</v>
      </c>
      <c r="L507">
        <v>2</v>
      </c>
      <c r="M507">
        <v>1</v>
      </c>
      <c r="N507">
        <v>506</v>
      </c>
      <c r="O507" t="str">
        <f>_xlfn.XLOOKUP(Table4[[#This Row],[id]],VALINA[id],VALINA[name])</f>
        <v>Quatar</v>
      </c>
      <c r="P507">
        <f>_xlfn.XLOOKUP(Table4[[#This Row],[id]],prov_color!A:A,prov_color!C:C)</f>
        <v>47</v>
      </c>
    </row>
    <row r="508" spans="1:16" hidden="1" x14ac:dyDescent="0.25">
      <c r="A508">
        <v>507</v>
      </c>
      <c r="B508" t="s">
        <v>653</v>
      </c>
      <c r="C508" t="s">
        <v>654</v>
      </c>
      <c r="D508" t="s">
        <v>684</v>
      </c>
      <c r="E508" t="s">
        <v>52</v>
      </c>
      <c r="F508" t="s">
        <v>609</v>
      </c>
      <c r="G508" t="s">
        <v>47</v>
      </c>
      <c r="H508" t="s">
        <v>669</v>
      </c>
      <c r="I508" t="s">
        <v>41</v>
      </c>
      <c r="J508" t="s">
        <v>698</v>
      </c>
      <c r="K508">
        <v>9</v>
      </c>
      <c r="L508">
        <v>2</v>
      </c>
      <c r="M508">
        <v>1</v>
      </c>
      <c r="N508">
        <v>507</v>
      </c>
      <c r="O508" t="str">
        <f>_xlfn.XLOOKUP(Table4[[#This Row],[id]],VALINA[id],VALINA[name])</f>
        <v>Damman</v>
      </c>
      <c r="P508">
        <f>_xlfn.XLOOKUP(Table4[[#This Row],[id]],prov_color!A:A,prov_color!C:C)</f>
        <v>41</v>
      </c>
    </row>
    <row r="509" spans="1:16" hidden="1" x14ac:dyDescent="0.25">
      <c r="A509">
        <v>508</v>
      </c>
      <c r="B509" t="s">
        <v>653</v>
      </c>
      <c r="C509" t="s">
        <v>654</v>
      </c>
      <c r="D509" t="s">
        <v>655</v>
      </c>
      <c r="E509" t="s">
        <v>52</v>
      </c>
      <c r="F509" t="s">
        <v>609</v>
      </c>
      <c r="G509" t="s">
        <v>47</v>
      </c>
      <c r="H509" t="s">
        <v>669</v>
      </c>
      <c r="I509" t="s">
        <v>687</v>
      </c>
      <c r="J509" t="s">
        <v>699</v>
      </c>
      <c r="K509">
        <v>7</v>
      </c>
      <c r="L509">
        <v>6</v>
      </c>
      <c r="M509">
        <v>9</v>
      </c>
      <c r="N509">
        <v>508</v>
      </c>
      <c r="O509" t="str">
        <f>_xlfn.XLOOKUP(Table4[[#This Row],[id]],VALINA[id],VALINA[name])</f>
        <v>Basrah</v>
      </c>
      <c r="P509">
        <f>_xlfn.XLOOKUP(Table4[[#This Row],[id]],prov_color!A:A,prov_color!C:C)</f>
        <v>49</v>
      </c>
    </row>
    <row r="510" spans="1:16" hidden="1" x14ac:dyDescent="0.25">
      <c r="A510">
        <v>509</v>
      </c>
      <c r="B510" t="s">
        <v>653</v>
      </c>
      <c r="C510" t="s">
        <v>654</v>
      </c>
      <c r="D510" t="s">
        <v>684</v>
      </c>
      <c r="E510" t="s">
        <v>52</v>
      </c>
      <c r="F510" t="s">
        <v>609</v>
      </c>
      <c r="G510" t="s">
        <v>47</v>
      </c>
      <c r="H510" t="s">
        <v>669</v>
      </c>
      <c r="I510" t="s">
        <v>687</v>
      </c>
      <c r="J510" t="s">
        <v>700</v>
      </c>
      <c r="K510">
        <v>9</v>
      </c>
      <c r="L510">
        <v>3</v>
      </c>
      <c r="M510">
        <v>1</v>
      </c>
      <c r="N510">
        <v>509</v>
      </c>
      <c r="O510" t="str">
        <f>_xlfn.XLOOKUP(Table4[[#This Row],[id]],VALINA[id],VALINA[name])</f>
        <v>Bahrein</v>
      </c>
      <c r="P510">
        <f>_xlfn.XLOOKUP(Table4[[#This Row],[id]],prov_color!A:A,prov_color!C:C)</f>
        <v>15</v>
      </c>
    </row>
    <row r="511" spans="1:16" hidden="1" x14ac:dyDescent="0.25">
      <c r="A511">
        <v>510</v>
      </c>
      <c r="B511" t="s">
        <v>653</v>
      </c>
      <c r="C511" t="s">
        <v>701</v>
      </c>
      <c r="D511" t="s">
        <v>702</v>
      </c>
      <c r="E511" t="s">
        <v>22</v>
      </c>
      <c r="F511" t="s">
        <v>609</v>
      </c>
      <c r="G511" t="s">
        <v>122</v>
      </c>
      <c r="H511" t="s">
        <v>703</v>
      </c>
      <c r="I511" t="s">
        <v>20</v>
      </c>
      <c r="J511" t="s">
        <v>704</v>
      </c>
      <c r="K511">
        <v>3</v>
      </c>
      <c r="L511">
        <v>2</v>
      </c>
      <c r="M511">
        <v>3</v>
      </c>
      <c r="N511">
        <v>510</v>
      </c>
      <c r="O511" t="str">
        <f>_xlfn.XLOOKUP(Table4[[#This Row],[id]],VALINA[id],VALINA[name])</f>
        <v>Kurgan</v>
      </c>
      <c r="P511">
        <f>_xlfn.XLOOKUP(Table4[[#This Row],[id]],prov_color!A:A,prov_color!C:C)</f>
        <v>60</v>
      </c>
    </row>
    <row r="512" spans="1:16" hidden="1" x14ac:dyDescent="0.25">
      <c r="A512">
        <v>511</v>
      </c>
      <c r="B512" t="s">
        <v>653</v>
      </c>
      <c r="C512" t="s">
        <v>701</v>
      </c>
      <c r="D512" t="s">
        <v>702</v>
      </c>
      <c r="E512" t="s">
        <v>22</v>
      </c>
      <c r="F512" t="s">
        <v>609</v>
      </c>
      <c r="G512" t="s">
        <v>122</v>
      </c>
      <c r="H512" t="s">
        <v>703</v>
      </c>
      <c r="I512" t="s">
        <v>20</v>
      </c>
      <c r="J512" t="s">
        <v>705</v>
      </c>
      <c r="K512">
        <v>3</v>
      </c>
      <c r="L512">
        <v>1</v>
      </c>
      <c r="M512">
        <v>3</v>
      </c>
      <c r="N512">
        <v>511</v>
      </c>
      <c r="O512" t="str">
        <f>_xlfn.XLOOKUP(Table4[[#This Row],[id]],VALINA[id],VALINA[name])</f>
        <v>Kustanai</v>
      </c>
      <c r="P512">
        <f>_xlfn.XLOOKUP(Table4[[#This Row],[id]],prov_color!A:A,prov_color!C:C)</f>
        <v>40</v>
      </c>
    </row>
    <row r="513" spans="1:16" hidden="1" x14ac:dyDescent="0.25">
      <c r="A513">
        <v>512</v>
      </c>
      <c r="B513" t="s">
        <v>653</v>
      </c>
      <c r="C513" t="s">
        <v>701</v>
      </c>
      <c r="D513" t="s">
        <v>702</v>
      </c>
      <c r="E513" t="s">
        <v>34</v>
      </c>
      <c r="F513" t="s">
        <v>609</v>
      </c>
      <c r="G513" t="s">
        <v>26</v>
      </c>
      <c r="H513" t="s">
        <v>703</v>
      </c>
      <c r="I513" t="s">
        <v>41</v>
      </c>
      <c r="J513" t="s">
        <v>706</v>
      </c>
      <c r="K513">
        <v>4</v>
      </c>
      <c r="L513">
        <v>1</v>
      </c>
      <c r="M513">
        <v>3</v>
      </c>
      <c r="N513">
        <v>512</v>
      </c>
      <c r="O513" t="str">
        <f>_xlfn.XLOOKUP(Table4[[#This Row],[id]],VALINA[id],VALINA[name])</f>
        <v>Tenghiz</v>
      </c>
      <c r="P513">
        <f>_xlfn.XLOOKUP(Table4[[#This Row],[id]],prov_color!A:A,prov_color!C:C)</f>
        <v>49</v>
      </c>
    </row>
    <row r="514" spans="1:16" hidden="1" x14ac:dyDescent="0.25">
      <c r="A514">
        <v>513</v>
      </c>
      <c r="B514" t="s">
        <v>653</v>
      </c>
      <c r="C514" t="s">
        <v>701</v>
      </c>
      <c r="D514" t="s">
        <v>702</v>
      </c>
      <c r="E514" t="s">
        <v>34</v>
      </c>
      <c r="F514" t="s">
        <v>609</v>
      </c>
      <c r="G514" t="s">
        <v>26</v>
      </c>
      <c r="H514" t="s">
        <v>707</v>
      </c>
      <c r="I514" t="s">
        <v>43</v>
      </c>
      <c r="J514" t="s">
        <v>708</v>
      </c>
      <c r="K514">
        <v>3</v>
      </c>
      <c r="L514">
        <v>1</v>
      </c>
      <c r="M514">
        <v>5</v>
      </c>
      <c r="N514">
        <v>513</v>
      </c>
      <c r="O514" t="str">
        <f>_xlfn.XLOOKUP(Table4[[#This Row],[id]],VALINA[id],VALINA[name])</f>
        <v>Orsk</v>
      </c>
      <c r="P514">
        <f>_xlfn.XLOOKUP(Table4[[#This Row],[id]],prov_color!A:A,prov_color!C:C)</f>
        <v>43</v>
      </c>
    </row>
    <row r="515" spans="1:16" hidden="1" x14ac:dyDescent="0.25">
      <c r="A515">
        <v>514</v>
      </c>
      <c r="B515" t="s">
        <v>653</v>
      </c>
      <c r="C515" t="s">
        <v>701</v>
      </c>
      <c r="D515" t="s">
        <v>702</v>
      </c>
      <c r="E515" t="s">
        <v>34</v>
      </c>
      <c r="F515" t="s">
        <v>609</v>
      </c>
      <c r="G515" t="s">
        <v>122</v>
      </c>
      <c r="H515" t="s">
        <v>707</v>
      </c>
      <c r="I515" t="s">
        <v>43</v>
      </c>
      <c r="J515" t="s">
        <v>709</v>
      </c>
      <c r="K515">
        <v>4</v>
      </c>
      <c r="L515">
        <v>1</v>
      </c>
      <c r="M515">
        <v>3</v>
      </c>
      <c r="N515">
        <v>514</v>
      </c>
      <c r="O515" t="str">
        <f>_xlfn.XLOOKUP(Table4[[#This Row],[id]],VALINA[id],VALINA[name])</f>
        <v>Irgiz</v>
      </c>
      <c r="P515">
        <f>_xlfn.XLOOKUP(Table4[[#This Row],[id]],prov_color!A:A,prov_color!C:C)</f>
        <v>49</v>
      </c>
    </row>
    <row r="516" spans="1:16" hidden="1" x14ac:dyDescent="0.25">
      <c r="A516">
        <v>515</v>
      </c>
      <c r="B516" t="s">
        <v>653</v>
      </c>
      <c r="C516" t="s">
        <v>701</v>
      </c>
      <c r="D516" t="s">
        <v>702</v>
      </c>
      <c r="E516" t="s">
        <v>34</v>
      </c>
      <c r="F516" t="s">
        <v>609</v>
      </c>
      <c r="G516" t="s">
        <v>26</v>
      </c>
      <c r="H516" t="s">
        <v>707</v>
      </c>
      <c r="I516" t="s">
        <v>41</v>
      </c>
      <c r="J516" t="s">
        <v>710</v>
      </c>
      <c r="K516">
        <v>5</v>
      </c>
      <c r="L516">
        <v>1</v>
      </c>
      <c r="M516">
        <v>3</v>
      </c>
      <c r="N516">
        <v>515</v>
      </c>
      <c r="O516" t="str">
        <f>_xlfn.XLOOKUP(Table4[[#This Row],[id]],VALINA[id],VALINA[name])</f>
        <v>Alga</v>
      </c>
      <c r="P516">
        <f>_xlfn.XLOOKUP(Table4[[#This Row],[id]],prov_color!A:A,prov_color!C:C)</f>
        <v>71</v>
      </c>
    </row>
    <row r="517" spans="1:16" hidden="1" x14ac:dyDescent="0.25">
      <c r="A517">
        <v>516</v>
      </c>
      <c r="B517" t="s">
        <v>653</v>
      </c>
      <c r="C517" t="s">
        <v>672</v>
      </c>
      <c r="D517" t="s">
        <v>711</v>
      </c>
      <c r="E517" t="s">
        <v>34</v>
      </c>
      <c r="F517" t="s">
        <v>609</v>
      </c>
      <c r="G517" t="s">
        <v>26</v>
      </c>
      <c r="H517" t="s">
        <v>712</v>
      </c>
      <c r="I517" t="s">
        <v>53</v>
      </c>
      <c r="J517" t="s">
        <v>713</v>
      </c>
      <c r="K517">
        <v>6</v>
      </c>
      <c r="L517">
        <v>2</v>
      </c>
      <c r="M517">
        <v>2</v>
      </c>
      <c r="N517">
        <v>516</v>
      </c>
      <c r="O517" t="str">
        <f>_xlfn.XLOOKUP(Table4[[#This Row],[id]],VALINA[id],VALINA[name])</f>
        <v>Aralsk</v>
      </c>
      <c r="P517">
        <f>_xlfn.XLOOKUP(Table4[[#This Row],[id]],prov_color!A:A,prov_color!C:C)</f>
        <v>61</v>
      </c>
    </row>
    <row r="518" spans="1:16" hidden="1" x14ac:dyDescent="0.25">
      <c r="A518">
        <v>517</v>
      </c>
      <c r="B518" t="s">
        <v>653</v>
      </c>
      <c r="C518" t="s">
        <v>672</v>
      </c>
      <c r="D518" t="s">
        <v>711</v>
      </c>
      <c r="E518" t="s">
        <v>34</v>
      </c>
      <c r="F518" t="s">
        <v>609</v>
      </c>
      <c r="G518" t="s">
        <v>26</v>
      </c>
      <c r="H518" t="s">
        <v>714</v>
      </c>
      <c r="I518" t="s">
        <v>41</v>
      </c>
      <c r="J518" t="s">
        <v>715</v>
      </c>
      <c r="K518">
        <v>5</v>
      </c>
      <c r="L518">
        <v>2</v>
      </c>
      <c r="M518">
        <v>3</v>
      </c>
      <c r="N518">
        <v>517</v>
      </c>
      <c r="O518" t="str">
        <f>_xlfn.XLOOKUP(Table4[[#This Row],[id]],VALINA[id],VALINA[name])</f>
        <v>Turgai</v>
      </c>
      <c r="P518">
        <f>_xlfn.XLOOKUP(Table4[[#This Row],[id]],prov_color!A:A,prov_color!C:C)</f>
        <v>38</v>
      </c>
    </row>
    <row r="519" spans="1:16" hidden="1" x14ac:dyDescent="0.25">
      <c r="A519">
        <v>518</v>
      </c>
      <c r="B519" t="s">
        <v>653</v>
      </c>
      <c r="C519" t="s">
        <v>672</v>
      </c>
      <c r="D519" t="s">
        <v>711</v>
      </c>
      <c r="E519" t="s">
        <v>34</v>
      </c>
      <c r="F519" t="s">
        <v>609</v>
      </c>
      <c r="G519" t="s">
        <v>26</v>
      </c>
      <c r="H519" t="s">
        <v>712</v>
      </c>
      <c r="I519" t="s">
        <v>41</v>
      </c>
      <c r="J519" t="s">
        <v>716</v>
      </c>
      <c r="K519">
        <v>6</v>
      </c>
      <c r="L519">
        <v>2</v>
      </c>
      <c r="M519">
        <v>2</v>
      </c>
      <c r="N519">
        <v>518</v>
      </c>
      <c r="O519" t="str">
        <f>_xlfn.XLOOKUP(Table4[[#This Row],[id]],VALINA[id],VALINA[name])</f>
        <v>Ust Urt</v>
      </c>
      <c r="P519">
        <f>_xlfn.XLOOKUP(Table4[[#This Row],[id]],prov_color!A:A,prov_color!C:C)</f>
        <v>83</v>
      </c>
    </row>
    <row r="520" spans="1:16" hidden="1" x14ac:dyDescent="0.25">
      <c r="A520">
        <v>519</v>
      </c>
      <c r="B520" t="s">
        <v>653</v>
      </c>
      <c r="C520" t="s">
        <v>672</v>
      </c>
      <c r="D520" t="s">
        <v>711</v>
      </c>
      <c r="E520" t="s">
        <v>34</v>
      </c>
      <c r="F520" t="s">
        <v>609</v>
      </c>
      <c r="G520" t="s">
        <v>26</v>
      </c>
      <c r="H520" t="s">
        <v>707</v>
      </c>
      <c r="I520" t="s">
        <v>41</v>
      </c>
      <c r="J520" t="s">
        <v>717</v>
      </c>
      <c r="K520">
        <v>8</v>
      </c>
      <c r="L520">
        <v>4</v>
      </c>
      <c r="M520">
        <v>3</v>
      </c>
      <c r="N520">
        <v>519</v>
      </c>
      <c r="O520" t="str">
        <f>_xlfn.XLOOKUP(Table4[[#This Row],[id]],VALINA[id],VALINA[name])</f>
        <v>Emba</v>
      </c>
      <c r="P520">
        <f>_xlfn.XLOOKUP(Table4[[#This Row],[id]],prov_color!A:A,prov_color!C:C)</f>
        <v>79</v>
      </c>
    </row>
    <row r="521" spans="1:16" hidden="1" x14ac:dyDescent="0.25">
      <c r="A521">
        <v>520</v>
      </c>
      <c r="B521" t="s">
        <v>653</v>
      </c>
      <c r="C521" t="s">
        <v>672</v>
      </c>
      <c r="D521" t="s">
        <v>711</v>
      </c>
      <c r="E521" t="s">
        <v>52</v>
      </c>
      <c r="F521" t="s">
        <v>609</v>
      </c>
      <c r="G521" t="s">
        <v>47</v>
      </c>
      <c r="H521" t="s">
        <v>707</v>
      </c>
      <c r="I521" t="s">
        <v>41</v>
      </c>
      <c r="J521" t="s">
        <v>718</v>
      </c>
      <c r="K521">
        <v>9</v>
      </c>
      <c r="L521">
        <v>2</v>
      </c>
      <c r="M521">
        <v>1</v>
      </c>
      <c r="N521">
        <v>520</v>
      </c>
      <c r="O521" t="str">
        <f>_xlfn.XLOOKUP(Table4[[#This Row],[id]],VALINA[id],VALINA[name])</f>
        <v>Bouzatchi</v>
      </c>
      <c r="P521">
        <f>_xlfn.XLOOKUP(Table4[[#This Row],[id]],prov_color!A:A,prov_color!C:C)</f>
        <v>58</v>
      </c>
    </row>
    <row r="522" spans="1:16" hidden="1" x14ac:dyDescent="0.25">
      <c r="A522">
        <v>521</v>
      </c>
      <c r="B522" t="s">
        <v>653</v>
      </c>
      <c r="C522" t="s">
        <v>672</v>
      </c>
      <c r="D522" t="s">
        <v>711</v>
      </c>
      <c r="E522" t="s">
        <v>52</v>
      </c>
      <c r="F522" t="s">
        <v>609</v>
      </c>
      <c r="G522" t="s">
        <v>47</v>
      </c>
      <c r="H522" t="s">
        <v>719</v>
      </c>
      <c r="I522" t="s">
        <v>41</v>
      </c>
      <c r="J522" t="s">
        <v>720</v>
      </c>
      <c r="K522">
        <v>8</v>
      </c>
      <c r="L522">
        <v>2</v>
      </c>
      <c r="M522">
        <v>1</v>
      </c>
      <c r="N522">
        <v>521</v>
      </c>
      <c r="O522" t="str">
        <f>_xlfn.XLOOKUP(Table4[[#This Row],[id]],VALINA[id],VALINA[name])</f>
        <v>Karabogaz</v>
      </c>
      <c r="P522">
        <f>_xlfn.XLOOKUP(Table4[[#This Row],[id]],prov_color!A:A,prov_color!C:C)</f>
        <v>63</v>
      </c>
    </row>
    <row r="523" spans="1:16" hidden="1" x14ac:dyDescent="0.25">
      <c r="A523">
        <v>522</v>
      </c>
      <c r="B523" t="s">
        <v>653</v>
      </c>
      <c r="C523" t="s">
        <v>672</v>
      </c>
      <c r="D523" t="s">
        <v>711</v>
      </c>
      <c r="E523" t="s">
        <v>52</v>
      </c>
      <c r="F523" t="s">
        <v>609</v>
      </c>
      <c r="G523" t="s">
        <v>47</v>
      </c>
      <c r="H523" t="s">
        <v>719</v>
      </c>
      <c r="I523" t="s">
        <v>41</v>
      </c>
      <c r="J523" t="s">
        <v>721</v>
      </c>
      <c r="K523">
        <v>7</v>
      </c>
      <c r="L523">
        <v>3</v>
      </c>
      <c r="M523">
        <v>3</v>
      </c>
      <c r="N523">
        <v>522</v>
      </c>
      <c r="O523" t="str">
        <f>_xlfn.XLOOKUP(Table4[[#This Row],[id]],VALINA[id],VALINA[name])</f>
        <v>Khwarizm</v>
      </c>
      <c r="P523">
        <f>_xlfn.XLOOKUP(Table4[[#This Row],[id]],prov_color!A:A,prov_color!C:C)</f>
        <v>44</v>
      </c>
    </row>
    <row r="524" spans="1:16" hidden="1" x14ac:dyDescent="0.25">
      <c r="A524">
        <v>523</v>
      </c>
      <c r="B524" t="s">
        <v>653</v>
      </c>
      <c r="C524" t="s">
        <v>672</v>
      </c>
      <c r="D524" t="s">
        <v>711</v>
      </c>
      <c r="E524" t="s">
        <v>52</v>
      </c>
      <c r="F524" t="s">
        <v>609</v>
      </c>
      <c r="G524" t="s">
        <v>47</v>
      </c>
      <c r="H524" t="s">
        <v>719</v>
      </c>
      <c r="I524" t="s">
        <v>41</v>
      </c>
      <c r="J524" t="s">
        <v>722</v>
      </c>
      <c r="K524">
        <v>4</v>
      </c>
      <c r="L524">
        <v>3</v>
      </c>
      <c r="M524">
        <v>3</v>
      </c>
      <c r="N524">
        <v>523</v>
      </c>
      <c r="O524" t="str">
        <f>_xlfn.XLOOKUP(Table4[[#This Row],[id]],VALINA[id],VALINA[name])</f>
        <v>Kara Kum</v>
      </c>
      <c r="P524">
        <f>_xlfn.XLOOKUP(Table4[[#This Row],[id]],prov_color!A:A,prov_color!C:C)</f>
        <v>53</v>
      </c>
    </row>
    <row r="525" spans="1:16" hidden="1" x14ac:dyDescent="0.25">
      <c r="A525">
        <v>524</v>
      </c>
      <c r="B525" t="s">
        <v>653</v>
      </c>
      <c r="C525" t="s">
        <v>672</v>
      </c>
      <c r="D525" t="s">
        <v>711</v>
      </c>
      <c r="E525" t="s">
        <v>52</v>
      </c>
      <c r="F525" t="s">
        <v>609</v>
      </c>
      <c r="G525" t="s">
        <v>47</v>
      </c>
      <c r="H525" t="s">
        <v>719</v>
      </c>
      <c r="I525" t="s">
        <v>41</v>
      </c>
      <c r="J525" t="s">
        <v>723</v>
      </c>
      <c r="K525">
        <v>4</v>
      </c>
      <c r="L525">
        <v>3</v>
      </c>
      <c r="M525">
        <v>3</v>
      </c>
      <c r="N525">
        <v>524</v>
      </c>
      <c r="O525" t="str">
        <f>_xlfn.XLOOKUP(Table4[[#This Row],[id]],VALINA[id],VALINA[name])</f>
        <v>Turkmenistan</v>
      </c>
      <c r="P525">
        <f>_xlfn.XLOOKUP(Table4[[#This Row],[id]],prov_color!A:A,prov_color!C:C)</f>
        <v>30</v>
      </c>
    </row>
    <row r="526" spans="1:16" hidden="1" x14ac:dyDescent="0.25">
      <c r="A526">
        <v>525</v>
      </c>
      <c r="B526" t="s">
        <v>653</v>
      </c>
      <c r="C526" t="s">
        <v>672</v>
      </c>
      <c r="D526" t="s">
        <v>673</v>
      </c>
      <c r="E526" t="s">
        <v>14</v>
      </c>
      <c r="F526" t="s">
        <v>609</v>
      </c>
      <c r="G526" t="s">
        <v>35</v>
      </c>
      <c r="H526" t="s">
        <v>719</v>
      </c>
      <c r="I526" t="s">
        <v>27</v>
      </c>
      <c r="J526" t="s">
        <v>724</v>
      </c>
      <c r="K526">
        <v>6</v>
      </c>
      <c r="L526">
        <v>2</v>
      </c>
      <c r="M526">
        <v>6</v>
      </c>
      <c r="N526">
        <v>525</v>
      </c>
      <c r="O526" t="str">
        <f>_xlfn.XLOOKUP(Table4[[#This Row],[id]],VALINA[id],VALINA[name])</f>
        <v>Elbruz</v>
      </c>
      <c r="P526">
        <f>_xlfn.XLOOKUP(Table4[[#This Row],[id]],prov_color!A:A,prov_color!C:C)</f>
        <v>30</v>
      </c>
    </row>
    <row r="527" spans="1:16" hidden="1" x14ac:dyDescent="0.25">
      <c r="A527">
        <v>526</v>
      </c>
      <c r="B527" t="s">
        <v>653</v>
      </c>
      <c r="C527" t="s">
        <v>672</v>
      </c>
      <c r="D527" t="s">
        <v>673</v>
      </c>
      <c r="E527" t="s">
        <v>14</v>
      </c>
      <c r="F527" t="s">
        <v>609</v>
      </c>
      <c r="G527" t="s">
        <v>26</v>
      </c>
      <c r="H527" t="s">
        <v>719</v>
      </c>
      <c r="I527" t="s">
        <v>41</v>
      </c>
      <c r="J527" t="s">
        <v>725</v>
      </c>
      <c r="K527">
        <v>8</v>
      </c>
      <c r="L527">
        <v>2</v>
      </c>
      <c r="M527">
        <v>7</v>
      </c>
      <c r="N527">
        <v>526</v>
      </c>
      <c r="O527" t="str">
        <f>_xlfn.XLOOKUP(Table4[[#This Row],[id]],VALINA[id],VALINA[name])</f>
        <v>Meched</v>
      </c>
      <c r="P527">
        <f>_xlfn.XLOOKUP(Table4[[#This Row],[id]],prov_color!A:A,prov_color!C:C)</f>
        <v>41</v>
      </c>
    </row>
    <row r="528" spans="1:16" hidden="1" x14ac:dyDescent="0.25">
      <c r="A528">
        <v>527</v>
      </c>
      <c r="B528" t="s">
        <v>653</v>
      </c>
      <c r="C528" t="s">
        <v>672</v>
      </c>
      <c r="D528" t="s">
        <v>673</v>
      </c>
      <c r="E528" t="s">
        <v>14</v>
      </c>
      <c r="F528" t="s">
        <v>609</v>
      </c>
      <c r="G528" t="s">
        <v>26</v>
      </c>
      <c r="H528" t="s">
        <v>719</v>
      </c>
      <c r="I528" t="s">
        <v>41</v>
      </c>
      <c r="J528" t="s">
        <v>726</v>
      </c>
      <c r="K528">
        <v>8</v>
      </c>
      <c r="L528">
        <v>1</v>
      </c>
      <c r="M528">
        <v>5</v>
      </c>
      <c r="N528">
        <v>527</v>
      </c>
      <c r="O528" t="str">
        <f>_xlfn.XLOOKUP(Table4[[#This Row],[id]],VALINA[id],VALINA[name])</f>
        <v>Kerman</v>
      </c>
      <c r="P528">
        <f>_xlfn.XLOOKUP(Table4[[#This Row],[id]],prov_color!A:A,prov_color!C:C)</f>
        <v>34</v>
      </c>
    </row>
    <row r="529" spans="1:16" hidden="1" x14ac:dyDescent="0.25">
      <c r="A529">
        <v>528</v>
      </c>
      <c r="B529" t="s">
        <v>653</v>
      </c>
      <c r="C529" t="s">
        <v>672</v>
      </c>
      <c r="D529" t="s">
        <v>673</v>
      </c>
      <c r="E529" t="s">
        <v>52</v>
      </c>
      <c r="F529" t="s">
        <v>609</v>
      </c>
      <c r="G529" t="s">
        <v>47</v>
      </c>
      <c r="H529" t="s">
        <v>719</v>
      </c>
      <c r="I529" t="s">
        <v>41</v>
      </c>
      <c r="J529" t="s">
        <v>727</v>
      </c>
      <c r="K529">
        <v>9</v>
      </c>
      <c r="L529">
        <v>1</v>
      </c>
      <c r="M529">
        <v>2</v>
      </c>
      <c r="N529">
        <v>528</v>
      </c>
      <c r="O529" t="str">
        <f>_xlfn.XLOOKUP(Table4[[#This Row],[id]],VALINA[id],VALINA[name])</f>
        <v>Lut</v>
      </c>
      <c r="P529">
        <f>_xlfn.XLOOKUP(Table4[[#This Row],[id]],prov_color!A:A,prov_color!C:C)</f>
        <v>43</v>
      </c>
    </row>
    <row r="530" spans="1:16" hidden="1" x14ac:dyDescent="0.25">
      <c r="A530">
        <v>529</v>
      </c>
      <c r="B530" t="s">
        <v>653</v>
      </c>
      <c r="C530" t="s">
        <v>672</v>
      </c>
      <c r="D530" t="s">
        <v>673</v>
      </c>
      <c r="E530" t="s">
        <v>14</v>
      </c>
      <c r="F530" t="s">
        <v>609</v>
      </c>
      <c r="G530" t="s">
        <v>26</v>
      </c>
      <c r="H530" t="s">
        <v>719</v>
      </c>
      <c r="I530" t="s">
        <v>685</v>
      </c>
      <c r="J530" t="s">
        <v>728</v>
      </c>
      <c r="K530">
        <v>8</v>
      </c>
      <c r="L530">
        <v>10</v>
      </c>
      <c r="M530">
        <v>16</v>
      </c>
      <c r="N530">
        <v>529</v>
      </c>
      <c r="O530" t="str">
        <f>_xlfn.XLOOKUP(Table4[[#This Row],[id]],VALINA[id],VALINA[name])</f>
        <v>Tabaristan</v>
      </c>
      <c r="P530">
        <f>_xlfn.XLOOKUP(Table4[[#This Row],[id]],prov_color!A:A,prov_color!C:C)</f>
        <v>43</v>
      </c>
    </row>
    <row r="531" spans="1:16" hidden="1" x14ac:dyDescent="0.25">
      <c r="A531">
        <v>530</v>
      </c>
      <c r="B531" t="s">
        <v>653</v>
      </c>
      <c r="C531" t="s">
        <v>672</v>
      </c>
      <c r="D531" t="s">
        <v>673</v>
      </c>
      <c r="E531" t="s">
        <v>14</v>
      </c>
      <c r="F531" t="s">
        <v>609</v>
      </c>
      <c r="G531" t="s">
        <v>35</v>
      </c>
      <c r="H531" t="s">
        <v>719</v>
      </c>
      <c r="I531" t="s">
        <v>685</v>
      </c>
      <c r="J531" t="s">
        <v>729</v>
      </c>
      <c r="K531">
        <v>8</v>
      </c>
      <c r="L531">
        <v>8</v>
      </c>
      <c r="M531">
        <v>14</v>
      </c>
      <c r="N531">
        <v>530</v>
      </c>
      <c r="O531" t="str">
        <f>_xlfn.XLOOKUP(Table4[[#This Row],[id]],VALINA[id],VALINA[name])</f>
        <v>Tabriz</v>
      </c>
      <c r="P531">
        <f>_xlfn.XLOOKUP(Table4[[#This Row],[id]],prov_color!A:A,prov_color!C:C)</f>
        <v>55</v>
      </c>
    </row>
    <row r="532" spans="1:16" hidden="1" x14ac:dyDescent="0.25">
      <c r="A532">
        <v>531</v>
      </c>
      <c r="B532" t="s">
        <v>653</v>
      </c>
      <c r="C532" t="s">
        <v>672</v>
      </c>
      <c r="D532" t="s">
        <v>673</v>
      </c>
      <c r="E532" t="s">
        <v>14</v>
      </c>
      <c r="F532" t="s">
        <v>609</v>
      </c>
      <c r="G532" t="s">
        <v>26</v>
      </c>
      <c r="H532" t="s">
        <v>719</v>
      </c>
      <c r="I532" t="s">
        <v>352</v>
      </c>
      <c r="J532" t="s">
        <v>730</v>
      </c>
      <c r="K532">
        <v>8</v>
      </c>
      <c r="L532">
        <v>5</v>
      </c>
      <c r="M532">
        <v>8</v>
      </c>
      <c r="N532">
        <v>531</v>
      </c>
      <c r="O532" t="str">
        <f>_xlfn.XLOOKUP(Table4[[#This Row],[id]],VALINA[id],VALINA[name])</f>
        <v>Hamadan</v>
      </c>
      <c r="P532">
        <f>_xlfn.XLOOKUP(Table4[[#This Row],[id]],prov_color!A:A,prov_color!C:C)</f>
        <v>71</v>
      </c>
    </row>
    <row r="533" spans="1:16" hidden="1" x14ac:dyDescent="0.25">
      <c r="A533">
        <v>532</v>
      </c>
      <c r="B533" t="s">
        <v>653</v>
      </c>
      <c r="C533" t="s">
        <v>672</v>
      </c>
      <c r="D533" t="s">
        <v>673</v>
      </c>
      <c r="E533" t="s">
        <v>52</v>
      </c>
      <c r="F533" t="s">
        <v>609</v>
      </c>
      <c r="G533" t="s">
        <v>47</v>
      </c>
      <c r="H533" t="s">
        <v>719</v>
      </c>
      <c r="I533" t="s">
        <v>43</v>
      </c>
      <c r="J533" t="s">
        <v>731</v>
      </c>
      <c r="K533">
        <v>7</v>
      </c>
      <c r="L533">
        <v>6</v>
      </c>
      <c r="M533">
        <v>9</v>
      </c>
      <c r="N533">
        <v>532</v>
      </c>
      <c r="O533" t="str">
        <f>_xlfn.XLOOKUP(Table4[[#This Row],[id]],VALINA[id],VALINA[name])</f>
        <v>Ahwaz</v>
      </c>
      <c r="P533">
        <f>_xlfn.XLOOKUP(Table4[[#This Row],[id]],prov_color!A:A,prov_color!C:C)</f>
        <v>40</v>
      </c>
    </row>
    <row r="534" spans="1:16" hidden="1" x14ac:dyDescent="0.25">
      <c r="A534">
        <v>533</v>
      </c>
      <c r="B534" t="s">
        <v>653</v>
      </c>
      <c r="C534" t="s">
        <v>672</v>
      </c>
      <c r="D534" t="s">
        <v>673</v>
      </c>
      <c r="E534" t="s">
        <v>14</v>
      </c>
      <c r="F534" t="s">
        <v>609</v>
      </c>
      <c r="G534" t="s">
        <v>47</v>
      </c>
      <c r="H534" t="s">
        <v>719</v>
      </c>
      <c r="I534" t="s">
        <v>685</v>
      </c>
      <c r="J534" t="s">
        <v>732</v>
      </c>
      <c r="K534">
        <v>9</v>
      </c>
      <c r="L534">
        <v>12</v>
      </c>
      <c r="M534">
        <v>17</v>
      </c>
      <c r="N534">
        <v>533</v>
      </c>
      <c r="O534" t="str">
        <f>_xlfn.XLOOKUP(Table4[[#This Row],[id]],VALINA[id],VALINA[name])</f>
        <v>Isfahan</v>
      </c>
      <c r="P534">
        <f>_xlfn.XLOOKUP(Table4[[#This Row],[id]],prov_color!A:A,prov_color!C:C)</f>
        <v>37</v>
      </c>
    </row>
    <row r="535" spans="1:16" hidden="1" x14ac:dyDescent="0.25">
      <c r="A535">
        <v>534</v>
      </c>
      <c r="B535" t="s">
        <v>653</v>
      </c>
      <c r="C535" t="s">
        <v>672</v>
      </c>
      <c r="D535" t="s">
        <v>673</v>
      </c>
      <c r="E535" t="s">
        <v>14</v>
      </c>
      <c r="F535" t="s">
        <v>609</v>
      </c>
      <c r="G535" t="s">
        <v>47</v>
      </c>
      <c r="H535" t="s">
        <v>719</v>
      </c>
      <c r="I535" t="s">
        <v>687</v>
      </c>
      <c r="J535" t="s">
        <v>733</v>
      </c>
      <c r="K535">
        <v>9</v>
      </c>
      <c r="L535">
        <v>5</v>
      </c>
      <c r="M535">
        <v>2</v>
      </c>
      <c r="N535">
        <v>534</v>
      </c>
      <c r="O535" t="str">
        <f>_xlfn.XLOOKUP(Table4[[#This Row],[id]],VALINA[id],VALINA[name])</f>
        <v>Fars</v>
      </c>
      <c r="P535">
        <f>_xlfn.XLOOKUP(Table4[[#This Row],[id]],prov_color!A:A,prov_color!C:C)</f>
        <v>46</v>
      </c>
    </row>
    <row r="536" spans="1:16" hidden="1" x14ac:dyDescent="0.25">
      <c r="A536">
        <v>535</v>
      </c>
      <c r="B536" t="s">
        <v>653</v>
      </c>
      <c r="C536" t="s">
        <v>672</v>
      </c>
      <c r="D536" t="s">
        <v>673</v>
      </c>
      <c r="E536" t="s">
        <v>14</v>
      </c>
      <c r="F536" t="s">
        <v>609</v>
      </c>
      <c r="G536" t="s">
        <v>26</v>
      </c>
      <c r="H536" t="s">
        <v>719</v>
      </c>
      <c r="I536" t="s">
        <v>685</v>
      </c>
      <c r="J536" t="s">
        <v>734</v>
      </c>
      <c r="K536">
        <v>7</v>
      </c>
      <c r="L536">
        <v>7</v>
      </c>
      <c r="M536">
        <v>12</v>
      </c>
      <c r="N536">
        <v>535</v>
      </c>
      <c r="O536" t="str">
        <f>_xlfn.XLOOKUP(Table4[[#This Row],[id]],VALINA[id],VALINA[name])</f>
        <v>Hormouz</v>
      </c>
      <c r="P536">
        <f>_xlfn.XLOOKUP(Table4[[#This Row],[id]],prov_color!A:A,prov_color!C:C)</f>
        <v>62</v>
      </c>
    </row>
    <row r="537" spans="1:16" hidden="1" x14ac:dyDescent="0.25">
      <c r="A537">
        <v>536</v>
      </c>
      <c r="B537" t="s">
        <v>653</v>
      </c>
      <c r="C537" t="s">
        <v>672</v>
      </c>
      <c r="D537" t="s">
        <v>735</v>
      </c>
      <c r="E537" t="s">
        <v>14</v>
      </c>
      <c r="F537" t="s">
        <v>609</v>
      </c>
      <c r="G537" t="s">
        <v>26</v>
      </c>
      <c r="H537" t="s">
        <v>736</v>
      </c>
      <c r="I537" t="s">
        <v>41</v>
      </c>
      <c r="J537" t="s">
        <v>737</v>
      </c>
      <c r="K537">
        <v>8</v>
      </c>
      <c r="L537">
        <v>6</v>
      </c>
      <c r="M537">
        <v>2</v>
      </c>
      <c r="N537">
        <v>536</v>
      </c>
      <c r="O537" t="str">
        <f>_xlfn.XLOOKUP(Table4[[#This Row],[id]],VALINA[id],VALINA[name])</f>
        <v>Mekran</v>
      </c>
      <c r="P537">
        <f>_xlfn.XLOOKUP(Table4[[#This Row],[id]],prov_color!A:A,prov_color!C:C)</f>
        <v>64</v>
      </c>
    </row>
    <row r="538" spans="1:16" hidden="1" x14ac:dyDescent="0.25">
      <c r="A538">
        <v>537</v>
      </c>
      <c r="B538" t="s">
        <v>653</v>
      </c>
      <c r="C538" t="s">
        <v>672</v>
      </c>
      <c r="D538" t="s">
        <v>735</v>
      </c>
      <c r="E538" t="s">
        <v>52</v>
      </c>
      <c r="F538" t="s">
        <v>609</v>
      </c>
      <c r="G538" t="s">
        <v>47</v>
      </c>
      <c r="H538" t="s">
        <v>736</v>
      </c>
      <c r="I538" t="s">
        <v>41</v>
      </c>
      <c r="J538" t="s">
        <v>738</v>
      </c>
      <c r="K538">
        <v>9</v>
      </c>
      <c r="L538">
        <v>6</v>
      </c>
      <c r="M538">
        <v>1</v>
      </c>
      <c r="N538">
        <v>537</v>
      </c>
      <c r="O538" t="str">
        <f>_xlfn.XLOOKUP(Table4[[#This Row],[id]],VALINA[id],VALINA[name])</f>
        <v>Baluchistan</v>
      </c>
      <c r="P538">
        <f>_xlfn.XLOOKUP(Table4[[#This Row],[id]],prov_color!A:A,prov_color!C:C)</f>
        <v>50</v>
      </c>
    </row>
    <row r="539" spans="1:16" hidden="1" x14ac:dyDescent="0.25">
      <c r="A539">
        <v>538</v>
      </c>
      <c r="B539" t="s">
        <v>653</v>
      </c>
      <c r="C539" t="s">
        <v>672</v>
      </c>
      <c r="D539" t="s">
        <v>735</v>
      </c>
      <c r="E539" t="s">
        <v>52</v>
      </c>
      <c r="F539" t="s">
        <v>609</v>
      </c>
      <c r="G539" t="s">
        <v>47</v>
      </c>
      <c r="H539" t="s">
        <v>736</v>
      </c>
      <c r="I539" t="s">
        <v>103</v>
      </c>
      <c r="J539" t="s">
        <v>739</v>
      </c>
      <c r="K539">
        <v>8</v>
      </c>
      <c r="L539">
        <v>2</v>
      </c>
      <c r="M539">
        <v>1</v>
      </c>
      <c r="N539">
        <v>538</v>
      </c>
      <c r="O539" t="str">
        <f>_xlfn.XLOOKUP(Table4[[#This Row],[id]],VALINA[id],VALINA[name])</f>
        <v>Kalat</v>
      </c>
      <c r="P539">
        <f>_xlfn.XLOOKUP(Table4[[#This Row],[id]],prov_color!A:A,prov_color!C:C)</f>
        <v>41</v>
      </c>
    </row>
    <row r="540" spans="1:16" hidden="1" x14ac:dyDescent="0.25">
      <c r="A540">
        <v>539</v>
      </c>
      <c r="B540" t="s">
        <v>653</v>
      </c>
      <c r="C540" t="s">
        <v>740</v>
      </c>
      <c r="D540" t="s">
        <v>741</v>
      </c>
      <c r="E540" t="s">
        <v>34</v>
      </c>
      <c r="F540" t="s">
        <v>609</v>
      </c>
      <c r="G540" t="s">
        <v>75</v>
      </c>
      <c r="H540" t="s">
        <v>742</v>
      </c>
      <c r="I540" t="s">
        <v>53</v>
      </c>
      <c r="J540" t="s">
        <v>743</v>
      </c>
      <c r="K540">
        <v>7</v>
      </c>
      <c r="L540">
        <v>3</v>
      </c>
      <c r="M540">
        <v>7</v>
      </c>
      <c r="N540">
        <v>539</v>
      </c>
      <c r="O540" t="str">
        <f>_xlfn.XLOOKUP(Table4[[#This Row],[id]],VALINA[id],VALINA[name])</f>
        <v>Indus</v>
      </c>
      <c r="P540">
        <f>_xlfn.XLOOKUP(Table4[[#This Row],[id]],prov_color!A:A,prov_color!C:C)</f>
        <v>48</v>
      </c>
    </row>
    <row r="541" spans="1:16" hidden="1" x14ac:dyDescent="0.25">
      <c r="A541">
        <v>540</v>
      </c>
      <c r="B541" t="s">
        <v>653</v>
      </c>
      <c r="C541" t="s">
        <v>740</v>
      </c>
      <c r="D541" t="s">
        <v>741</v>
      </c>
      <c r="E541" t="s">
        <v>52</v>
      </c>
      <c r="F541" t="s">
        <v>609</v>
      </c>
      <c r="G541" t="s">
        <v>75</v>
      </c>
      <c r="H541" t="s">
        <v>742</v>
      </c>
      <c r="I541" t="s">
        <v>53</v>
      </c>
      <c r="J541" t="s">
        <v>744</v>
      </c>
      <c r="K541">
        <v>9</v>
      </c>
      <c r="L541">
        <v>2</v>
      </c>
      <c r="M541">
        <v>4</v>
      </c>
      <c r="N541">
        <v>540</v>
      </c>
      <c r="O541" t="str">
        <f>_xlfn.XLOOKUP(Table4[[#This Row],[id]],VALINA[id],VALINA[name])</f>
        <v>Sindh</v>
      </c>
      <c r="P541">
        <f>_xlfn.XLOOKUP(Table4[[#This Row],[id]],prov_color!A:A,prov_color!C:C)</f>
        <v>36</v>
      </c>
    </row>
    <row r="542" spans="1:16" hidden="1" x14ac:dyDescent="0.25">
      <c r="A542">
        <v>541</v>
      </c>
      <c r="B542" t="s">
        <v>653</v>
      </c>
      <c r="C542" t="s">
        <v>740</v>
      </c>
      <c r="D542" t="s">
        <v>745</v>
      </c>
      <c r="E542" t="s">
        <v>34</v>
      </c>
      <c r="F542" t="s">
        <v>609</v>
      </c>
      <c r="G542" t="s">
        <v>75</v>
      </c>
      <c r="H542" t="s">
        <v>742</v>
      </c>
      <c r="I542" t="s">
        <v>685</v>
      </c>
      <c r="J542" t="s">
        <v>746</v>
      </c>
      <c r="K542">
        <v>6</v>
      </c>
      <c r="L542">
        <v>3</v>
      </c>
      <c r="M542">
        <v>5</v>
      </c>
      <c r="N542">
        <v>541</v>
      </c>
      <c r="O542" t="str">
        <f>_xlfn.XLOOKUP(Table4[[#This Row],[id]],VALINA[id],VALINA[name])</f>
        <v>Kutch</v>
      </c>
      <c r="P542">
        <f>_xlfn.XLOOKUP(Table4[[#This Row],[id]],prov_color!A:A,prov_color!C:C)</f>
        <v>40</v>
      </c>
    </row>
    <row r="543" spans="1:16" hidden="1" x14ac:dyDescent="0.25">
      <c r="A543">
        <v>542</v>
      </c>
      <c r="B543" t="s">
        <v>653</v>
      </c>
      <c r="C543" t="s">
        <v>740</v>
      </c>
      <c r="D543" t="s">
        <v>747</v>
      </c>
      <c r="E543" t="s">
        <v>52</v>
      </c>
      <c r="F543" t="s">
        <v>748</v>
      </c>
      <c r="G543" t="s">
        <v>75</v>
      </c>
      <c r="H543" t="s">
        <v>749</v>
      </c>
      <c r="I543" t="s">
        <v>43</v>
      </c>
      <c r="J543" t="s">
        <v>750</v>
      </c>
      <c r="K543">
        <v>8</v>
      </c>
      <c r="L543">
        <v>7</v>
      </c>
      <c r="M543">
        <v>12</v>
      </c>
      <c r="N543">
        <v>542</v>
      </c>
      <c r="O543" t="str">
        <f>_xlfn.XLOOKUP(Table4[[#This Row],[id]],VALINA[id],VALINA[name])</f>
        <v>Rajputana</v>
      </c>
      <c r="P543">
        <f>_xlfn.XLOOKUP(Table4[[#This Row],[id]],prov_color!A:A,prov_color!C:C)</f>
        <v>50</v>
      </c>
    </row>
    <row r="544" spans="1:16" hidden="1" x14ac:dyDescent="0.25">
      <c r="A544">
        <v>543</v>
      </c>
      <c r="B544" t="s">
        <v>653</v>
      </c>
      <c r="C544" t="s">
        <v>740</v>
      </c>
      <c r="D544" t="s">
        <v>751</v>
      </c>
      <c r="E544" t="s">
        <v>34</v>
      </c>
      <c r="F544" t="s">
        <v>748</v>
      </c>
      <c r="G544" t="s">
        <v>75</v>
      </c>
      <c r="H544" t="s">
        <v>752</v>
      </c>
      <c r="I544" t="s">
        <v>685</v>
      </c>
      <c r="J544" t="s">
        <v>751</v>
      </c>
      <c r="K544">
        <v>3</v>
      </c>
      <c r="L544">
        <v>8</v>
      </c>
      <c r="M544">
        <v>19</v>
      </c>
      <c r="N544">
        <v>543</v>
      </c>
      <c r="O544" t="str">
        <f>_xlfn.XLOOKUP(Table4[[#This Row],[id]],VALINA[id],VALINA[name])</f>
        <v>Delhi</v>
      </c>
      <c r="P544">
        <f>_xlfn.XLOOKUP(Table4[[#This Row],[id]],prov_color!A:A,prov_color!C:C)</f>
        <v>44</v>
      </c>
    </row>
    <row r="545" spans="1:16" hidden="1" x14ac:dyDescent="0.25">
      <c r="A545">
        <v>544</v>
      </c>
      <c r="B545" t="s">
        <v>653</v>
      </c>
      <c r="C545" t="s">
        <v>740</v>
      </c>
      <c r="D545" t="s">
        <v>751</v>
      </c>
      <c r="E545" t="s">
        <v>80</v>
      </c>
      <c r="F545" t="s">
        <v>748</v>
      </c>
      <c r="G545" t="s">
        <v>75</v>
      </c>
      <c r="H545" t="s">
        <v>752</v>
      </c>
      <c r="I545" t="s">
        <v>352</v>
      </c>
      <c r="J545" t="s">
        <v>753</v>
      </c>
      <c r="K545">
        <v>3</v>
      </c>
      <c r="L545">
        <v>6</v>
      </c>
      <c r="M545">
        <v>16</v>
      </c>
      <c r="N545">
        <v>544</v>
      </c>
      <c r="O545" t="str">
        <f>_xlfn.XLOOKUP(Table4[[#This Row],[id]],VALINA[id],VALINA[name])</f>
        <v>Awadh</v>
      </c>
      <c r="P545">
        <f>_xlfn.XLOOKUP(Table4[[#This Row],[id]],prov_color!A:A,prov_color!C:C)</f>
        <v>43</v>
      </c>
    </row>
    <row r="546" spans="1:16" hidden="1" x14ac:dyDescent="0.25">
      <c r="A546">
        <v>545</v>
      </c>
      <c r="B546" t="s">
        <v>653</v>
      </c>
      <c r="C546" t="s">
        <v>740</v>
      </c>
      <c r="D546" t="s">
        <v>751</v>
      </c>
      <c r="E546" t="s">
        <v>52</v>
      </c>
      <c r="F546" t="s">
        <v>748</v>
      </c>
      <c r="G546" t="s">
        <v>75</v>
      </c>
      <c r="H546" t="s">
        <v>752</v>
      </c>
      <c r="I546" t="s">
        <v>352</v>
      </c>
      <c r="J546" t="s">
        <v>754</v>
      </c>
      <c r="K546">
        <v>7</v>
      </c>
      <c r="L546">
        <v>3</v>
      </c>
      <c r="M546">
        <v>7</v>
      </c>
      <c r="N546">
        <v>545</v>
      </c>
      <c r="O546" t="str">
        <f>_xlfn.XLOOKUP(Table4[[#This Row],[id]],VALINA[id],VALINA[name])</f>
        <v>Bundelkhand</v>
      </c>
      <c r="P546">
        <f>_xlfn.XLOOKUP(Table4[[#This Row],[id]],prov_color!A:A,prov_color!C:C)</f>
        <v>37</v>
      </c>
    </row>
    <row r="547" spans="1:16" hidden="1" x14ac:dyDescent="0.25">
      <c r="A547">
        <v>546</v>
      </c>
      <c r="B547" t="s">
        <v>653</v>
      </c>
      <c r="C547" t="s">
        <v>740</v>
      </c>
      <c r="D547" t="s">
        <v>751</v>
      </c>
      <c r="E547" t="s">
        <v>14</v>
      </c>
      <c r="F547" t="s">
        <v>748</v>
      </c>
      <c r="G547" t="s">
        <v>75</v>
      </c>
      <c r="H547" t="s">
        <v>752</v>
      </c>
      <c r="I547" t="s">
        <v>103</v>
      </c>
      <c r="J547" t="s">
        <v>755</v>
      </c>
      <c r="K547">
        <v>8</v>
      </c>
      <c r="L547">
        <v>6</v>
      </c>
      <c r="M547">
        <v>12</v>
      </c>
      <c r="N547">
        <v>546</v>
      </c>
      <c r="O547" t="str">
        <f>_xlfn.XLOOKUP(Table4[[#This Row],[id]],VALINA[id],VALINA[name])</f>
        <v>Malwa</v>
      </c>
      <c r="P547">
        <f>_xlfn.XLOOKUP(Table4[[#This Row],[id]],prov_color!A:A,prov_color!C:C)</f>
        <v>39</v>
      </c>
    </row>
    <row r="548" spans="1:16" hidden="1" x14ac:dyDescent="0.25">
      <c r="A548">
        <v>547</v>
      </c>
      <c r="B548" t="s">
        <v>653</v>
      </c>
      <c r="C548" t="s">
        <v>740</v>
      </c>
      <c r="D548" t="s">
        <v>745</v>
      </c>
      <c r="E548" t="s">
        <v>52</v>
      </c>
      <c r="F548" t="s">
        <v>748</v>
      </c>
      <c r="G548" t="s">
        <v>75</v>
      </c>
      <c r="H548" t="s">
        <v>742</v>
      </c>
      <c r="I548" t="s">
        <v>687</v>
      </c>
      <c r="J548" t="s">
        <v>745</v>
      </c>
      <c r="K548">
        <v>8</v>
      </c>
      <c r="L548">
        <v>4</v>
      </c>
      <c r="M548">
        <v>7</v>
      </c>
      <c r="N548">
        <v>547</v>
      </c>
      <c r="O548" t="str">
        <f>_xlfn.XLOOKUP(Table4[[#This Row],[id]],VALINA[id],VALINA[name])</f>
        <v>Gujarat</v>
      </c>
      <c r="P548">
        <f>_xlfn.XLOOKUP(Table4[[#This Row],[id]],prov_color!A:A,prov_color!C:C)</f>
        <v>25</v>
      </c>
    </row>
    <row r="549" spans="1:16" hidden="1" x14ac:dyDescent="0.25">
      <c r="A549">
        <v>548</v>
      </c>
      <c r="B549" t="s">
        <v>653</v>
      </c>
      <c r="C549" t="s">
        <v>740</v>
      </c>
      <c r="D549" t="s">
        <v>745</v>
      </c>
      <c r="E549" t="s">
        <v>34</v>
      </c>
      <c r="F549" t="s">
        <v>748</v>
      </c>
      <c r="G549" t="s">
        <v>75</v>
      </c>
      <c r="H549" t="s">
        <v>756</v>
      </c>
      <c r="I549" t="s">
        <v>685</v>
      </c>
      <c r="J549" t="s">
        <v>757</v>
      </c>
      <c r="K549">
        <v>6</v>
      </c>
      <c r="L549">
        <v>3</v>
      </c>
      <c r="M549">
        <v>9</v>
      </c>
      <c r="N549">
        <v>548</v>
      </c>
      <c r="O549" t="str">
        <f>_xlfn.XLOOKUP(Table4[[#This Row],[id]],VALINA[id],VALINA[name])</f>
        <v>Bombay</v>
      </c>
      <c r="P549">
        <f>_xlfn.XLOOKUP(Table4[[#This Row],[id]],prov_color!A:A,prov_color!C:C)</f>
        <v>21</v>
      </c>
    </row>
    <row r="550" spans="1:16" hidden="1" x14ac:dyDescent="0.25">
      <c r="A550">
        <v>549</v>
      </c>
      <c r="B550" t="s">
        <v>653</v>
      </c>
      <c r="C550" t="s">
        <v>740</v>
      </c>
      <c r="D550" t="s">
        <v>758</v>
      </c>
      <c r="E550" t="s">
        <v>22</v>
      </c>
      <c r="F550" t="s">
        <v>748</v>
      </c>
      <c r="G550" t="s">
        <v>75</v>
      </c>
      <c r="H550" t="s">
        <v>756</v>
      </c>
      <c r="I550" t="s">
        <v>687</v>
      </c>
      <c r="J550" t="s">
        <v>759</v>
      </c>
      <c r="K550">
        <v>5</v>
      </c>
      <c r="L550">
        <v>3</v>
      </c>
      <c r="M550">
        <v>8</v>
      </c>
      <c r="N550">
        <v>549</v>
      </c>
      <c r="O550" t="str">
        <f>_xlfn.XLOOKUP(Table4[[#This Row],[id]],VALINA[id],VALINA[name])</f>
        <v>Goa</v>
      </c>
      <c r="P550">
        <f>_xlfn.XLOOKUP(Table4[[#This Row],[id]],prov_color!A:A,prov_color!C:C)</f>
        <v>28</v>
      </c>
    </row>
    <row r="551" spans="1:16" hidden="1" x14ac:dyDescent="0.25">
      <c r="A551">
        <v>550</v>
      </c>
      <c r="B551" t="s">
        <v>653</v>
      </c>
      <c r="C551" t="s">
        <v>740</v>
      </c>
      <c r="D551" t="s">
        <v>760</v>
      </c>
      <c r="E551" t="s">
        <v>14</v>
      </c>
      <c r="F551" t="s">
        <v>748</v>
      </c>
      <c r="G551" t="s">
        <v>75</v>
      </c>
      <c r="H551" t="s">
        <v>756</v>
      </c>
      <c r="I551" t="s">
        <v>687</v>
      </c>
      <c r="J551" t="s">
        <v>761</v>
      </c>
      <c r="K551">
        <v>7</v>
      </c>
      <c r="L551">
        <v>7</v>
      </c>
      <c r="M551">
        <v>12</v>
      </c>
      <c r="N551">
        <v>550</v>
      </c>
      <c r="O551" t="str">
        <f>_xlfn.XLOOKUP(Table4[[#This Row],[id]],VALINA[id],VALINA[name])</f>
        <v>Maharashtra</v>
      </c>
      <c r="P551">
        <f>_xlfn.XLOOKUP(Table4[[#This Row],[id]],prov_color!A:A,prov_color!C:C)</f>
        <v>30</v>
      </c>
    </row>
    <row r="552" spans="1:16" hidden="1" x14ac:dyDescent="0.25">
      <c r="A552">
        <v>551</v>
      </c>
      <c r="B552" t="s">
        <v>653</v>
      </c>
      <c r="C552" t="s">
        <v>740</v>
      </c>
      <c r="D552" t="s">
        <v>760</v>
      </c>
      <c r="E552" t="s">
        <v>22</v>
      </c>
      <c r="F552" t="s">
        <v>748</v>
      </c>
      <c r="G552" t="s">
        <v>75</v>
      </c>
      <c r="H552" t="s">
        <v>756</v>
      </c>
      <c r="I552" t="s">
        <v>103</v>
      </c>
      <c r="J552" t="s">
        <v>762</v>
      </c>
      <c r="K552">
        <v>5</v>
      </c>
      <c r="L552">
        <v>4</v>
      </c>
      <c r="M552">
        <v>8</v>
      </c>
      <c r="N552">
        <v>551</v>
      </c>
      <c r="O552" t="str">
        <f>_xlfn.XLOOKUP(Table4[[#This Row],[id]],VALINA[id],VALINA[name])</f>
        <v>Khandesh</v>
      </c>
      <c r="P552">
        <f>_xlfn.XLOOKUP(Table4[[#This Row],[id]],prov_color!A:A,prov_color!C:C)</f>
        <v>40</v>
      </c>
    </row>
    <row r="553" spans="1:16" hidden="1" x14ac:dyDescent="0.25">
      <c r="A553">
        <v>552</v>
      </c>
      <c r="B553" t="s">
        <v>653</v>
      </c>
      <c r="C553" t="s">
        <v>740</v>
      </c>
      <c r="D553" t="s">
        <v>751</v>
      </c>
      <c r="E553" t="s">
        <v>22</v>
      </c>
      <c r="F553" t="s">
        <v>748</v>
      </c>
      <c r="G553" t="s">
        <v>75</v>
      </c>
      <c r="H553" t="s">
        <v>763</v>
      </c>
      <c r="I553" t="s">
        <v>103</v>
      </c>
      <c r="J553" t="s">
        <v>764</v>
      </c>
      <c r="K553">
        <v>7</v>
      </c>
      <c r="L553">
        <v>3</v>
      </c>
      <c r="M553">
        <v>8</v>
      </c>
      <c r="N553">
        <v>552</v>
      </c>
      <c r="O553" t="str">
        <f>_xlfn.XLOOKUP(Table4[[#This Row],[id]],VALINA[id],VALINA[name])</f>
        <v>Gondwana</v>
      </c>
      <c r="P553">
        <f>_xlfn.XLOOKUP(Table4[[#This Row],[id]],prov_color!A:A,prov_color!C:C)</f>
        <v>49</v>
      </c>
    </row>
    <row r="554" spans="1:16" hidden="1" x14ac:dyDescent="0.25">
      <c r="A554">
        <v>553</v>
      </c>
      <c r="B554" t="s">
        <v>653</v>
      </c>
      <c r="C554" t="s">
        <v>740</v>
      </c>
      <c r="D554" t="s">
        <v>765</v>
      </c>
      <c r="E554" t="s">
        <v>34</v>
      </c>
      <c r="F554" t="s">
        <v>748</v>
      </c>
      <c r="G554" t="s">
        <v>75</v>
      </c>
      <c r="H554" t="s">
        <v>763</v>
      </c>
      <c r="I554" t="s">
        <v>43</v>
      </c>
      <c r="J554" t="s">
        <v>766</v>
      </c>
      <c r="K554">
        <v>5</v>
      </c>
      <c r="L554">
        <v>2</v>
      </c>
      <c r="M554">
        <v>5</v>
      </c>
      <c r="N554">
        <v>553</v>
      </c>
      <c r="O554" t="str">
        <f>_xlfn.XLOOKUP(Table4[[#This Row],[id]],VALINA[id],VALINA[name])</f>
        <v>Raipur</v>
      </c>
      <c r="P554">
        <f>_xlfn.XLOOKUP(Table4[[#This Row],[id]],prov_color!A:A,prov_color!C:C)</f>
        <v>56</v>
      </c>
    </row>
    <row r="555" spans="1:16" hidden="1" x14ac:dyDescent="0.25">
      <c r="A555">
        <v>554</v>
      </c>
      <c r="B555" t="s">
        <v>653</v>
      </c>
      <c r="C555" t="s">
        <v>740</v>
      </c>
      <c r="D555" t="s">
        <v>767</v>
      </c>
      <c r="E555" t="s">
        <v>34</v>
      </c>
      <c r="F555" t="s">
        <v>748</v>
      </c>
      <c r="G555" t="s">
        <v>75</v>
      </c>
      <c r="H555" t="s">
        <v>768</v>
      </c>
      <c r="I555" t="s">
        <v>43</v>
      </c>
      <c r="J555" t="s">
        <v>769</v>
      </c>
      <c r="K555">
        <v>5</v>
      </c>
      <c r="L555">
        <v>2</v>
      </c>
      <c r="M555">
        <v>7</v>
      </c>
      <c r="N555">
        <v>554</v>
      </c>
      <c r="O555" t="str">
        <f>_xlfn.XLOOKUP(Table4[[#This Row],[id]],VALINA[id],VALINA[name])</f>
        <v>Tirhut</v>
      </c>
      <c r="P555">
        <f>_xlfn.XLOOKUP(Table4[[#This Row],[id]],prov_color!A:A,prov_color!C:C)</f>
        <v>39</v>
      </c>
    </row>
    <row r="556" spans="1:16" hidden="1" x14ac:dyDescent="0.25">
      <c r="A556">
        <v>555</v>
      </c>
      <c r="B556" t="s">
        <v>653</v>
      </c>
      <c r="C556" t="s">
        <v>740</v>
      </c>
      <c r="D556" t="s">
        <v>767</v>
      </c>
      <c r="E556" t="s">
        <v>34</v>
      </c>
      <c r="F556" t="s">
        <v>748</v>
      </c>
      <c r="G556" t="s">
        <v>75</v>
      </c>
      <c r="H556" t="s">
        <v>770</v>
      </c>
      <c r="I556" t="s">
        <v>103</v>
      </c>
      <c r="J556" t="s">
        <v>771</v>
      </c>
      <c r="K556">
        <v>5</v>
      </c>
      <c r="L556">
        <v>1</v>
      </c>
      <c r="M556">
        <v>5</v>
      </c>
      <c r="N556">
        <v>555</v>
      </c>
      <c r="O556" t="str">
        <f>_xlfn.XLOOKUP(Table4[[#This Row],[id]],VALINA[id],VALINA[name])</f>
        <v>Koch</v>
      </c>
      <c r="P556">
        <f>_xlfn.XLOOKUP(Table4[[#This Row],[id]],prov_color!A:A,prov_color!C:C)</f>
        <v>46</v>
      </c>
    </row>
    <row r="557" spans="1:16" hidden="1" x14ac:dyDescent="0.25">
      <c r="A557">
        <v>556</v>
      </c>
      <c r="B557" t="s">
        <v>653</v>
      </c>
      <c r="C557" t="s">
        <v>740</v>
      </c>
      <c r="D557" t="s">
        <v>772</v>
      </c>
      <c r="E557" t="s">
        <v>80</v>
      </c>
      <c r="F557" t="s">
        <v>748</v>
      </c>
      <c r="G557" t="s">
        <v>75</v>
      </c>
      <c r="H557" t="s">
        <v>770</v>
      </c>
      <c r="I557" t="s">
        <v>29</v>
      </c>
      <c r="J557" t="s">
        <v>773</v>
      </c>
      <c r="K557">
        <v>5</v>
      </c>
      <c r="L557">
        <v>2</v>
      </c>
      <c r="M557">
        <v>6</v>
      </c>
      <c r="N557">
        <v>556</v>
      </c>
      <c r="O557" t="str">
        <f>_xlfn.XLOOKUP(Table4[[#This Row],[id]],VALINA[id],VALINA[name])</f>
        <v>Santal</v>
      </c>
      <c r="P557">
        <f>_xlfn.XLOOKUP(Table4[[#This Row],[id]],prov_color!A:A,prov_color!C:C)</f>
        <v>47</v>
      </c>
    </row>
    <row r="558" spans="1:16" hidden="1" x14ac:dyDescent="0.25">
      <c r="A558">
        <v>557</v>
      </c>
      <c r="B558" t="s">
        <v>653</v>
      </c>
      <c r="C558" t="s">
        <v>740</v>
      </c>
      <c r="D558" t="s">
        <v>772</v>
      </c>
      <c r="E558" t="s">
        <v>80</v>
      </c>
      <c r="F558" t="s">
        <v>748</v>
      </c>
      <c r="G558" t="s">
        <v>75</v>
      </c>
      <c r="H558" t="s">
        <v>770</v>
      </c>
      <c r="I558" t="s">
        <v>685</v>
      </c>
      <c r="J558" t="s">
        <v>774</v>
      </c>
      <c r="K558">
        <v>7</v>
      </c>
      <c r="L558">
        <v>3</v>
      </c>
      <c r="M558">
        <v>5</v>
      </c>
      <c r="N558">
        <v>557</v>
      </c>
      <c r="O558" t="str">
        <f>_xlfn.XLOOKUP(Table4[[#This Row],[id]],VALINA[id],VALINA[name])</f>
        <v>Ganges</v>
      </c>
      <c r="P558">
        <f>_xlfn.XLOOKUP(Table4[[#This Row],[id]],prov_color!A:A,prov_color!C:C)</f>
        <v>19</v>
      </c>
    </row>
    <row r="559" spans="1:16" hidden="1" x14ac:dyDescent="0.25">
      <c r="A559">
        <v>558</v>
      </c>
      <c r="B559" t="s">
        <v>653</v>
      </c>
      <c r="C559" t="s">
        <v>740</v>
      </c>
      <c r="D559" t="s">
        <v>772</v>
      </c>
      <c r="E559" t="s">
        <v>80</v>
      </c>
      <c r="F559" t="s">
        <v>748</v>
      </c>
      <c r="G559" t="s">
        <v>75</v>
      </c>
      <c r="H559" t="s">
        <v>770</v>
      </c>
      <c r="I559" t="s">
        <v>687</v>
      </c>
      <c r="J559" t="s">
        <v>775</v>
      </c>
      <c r="K559">
        <v>7</v>
      </c>
      <c r="L559">
        <v>4</v>
      </c>
      <c r="M559">
        <v>5</v>
      </c>
      <c r="N559">
        <v>558</v>
      </c>
      <c r="O559" t="str">
        <f>_xlfn.XLOOKUP(Table4[[#This Row],[id]],VALINA[id],VALINA[name])</f>
        <v>Howrah</v>
      </c>
      <c r="P559">
        <f>_xlfn.XLOOKUP(Table4[[#This Row],[id]],prov_color!A:A,prov_color!C:C)</f>
        <v>29</v>
      </c>
    </row>
    <row r="560" spans="1:16" hidden="1" x14ac:dyDescent="0.25">
      <c r="A560">
        <v>559</v>
      </c>
      <c r="B560" t="s">
        <v>653</v>
      </c>
      <c r="C560" t="s">
        <v>740</v>
      </c>
      <c r="D560" t="s">
        <v>765</v>
      </c>
      <c r="E560" t="s">
        <v>34</v>
      </c>
      <c r="F560" t="s">
        <v>748</v>
      </c>
      <c r="G560" t="s">
        <v>75</v>
      </c>
      <c r="H560" t="s">
        <v>770</v>
      </c>
      <c r="I560" t="s">
        <v>776</v>
      </c>
      <c r="J560" t="s">
        <v>777</v>
      </c>
      <c r="K560">
        <v>5</v>
      </c>
      <c r="L560">
        <v>5</v>
      </c>
      <c r="M560">
        <v>11</v>
      </c>
      <c r="N560">
        <v>559</v>
      </c>
      <c r="O560" t="str">
        <f>_xlfn.XLOOKUP(Table4[[#This Row],[id]],VALINA[id],VALINA[name])</f>
        <v>Bihar</v>
      </c>
      <c r="P560">
        <f>_xlfn.XLOOKUP(Table4[[#This Row],[id]],prov_color!A:A,prov_color!C:C)</f>
        <v>36</v>
      </c>
    </row>
    <row r="561" spans="1:16" hidden="1" x14ac:dyDescent="0.25">
      <c r="A561">
        <v>560</v>
      </c>
      <c r="B561" t="s">
        <v>653</v>
      </c>
      <c r="C561" t="s">
        <v>740</v>
      </c>
      <c r="D561" t="s">
        <v>778</v>
      </c>
      <c r="E561" t="s">
        <v>34</v>
      </c>
      <c r="F561" t="s">
        <v>748</v>
      </c>
      <c r="G561" t="s">
        <v>75</v>
      </c>
      <c r="H561" t="s">
        <v>770</v>
      </c>
      <c r="I561" t="s">
        <v>103</v>
      </c>
      <c r="J561" t="s">
        <v>779</v>
      </c>
      <c r="K561">
        <v>5</v>
      </c>
      <c r="L561">
        <v>5</v>
      </c>
      <c r="M561">
        <v>8</v>
      </c>
      <c r="N561">
        <v>560</v>
      </c>
      <c r="O561" t="str">
        <f>_xlfn.XLOOKUP(Table4[[#This Row],[id]],VALINA[id],VALINA[name])</f>
        <v>Odisa</v>
      </c>
      <c r="P561">
        <f>_xlfn.XLOOKUP(Table4[[#This Row],[id]],prov_color!A:A,prov_color!C:C)</f>
        <v>26</v>
      </c>
    </row>
    <row r="562" spans="1:16" hidden="1" x14ac:dyDescent="0.25">
      <c r="A562">
        <v>561</v>
      </c>
      <c r="B562" t="s">
        <v>653</v>
      </c>
      <c r="C562" t="s">
        <v>740</v>
      </c>
      <c r="D562" t="s">
        <v>778</v>
      </c>
      <c r="E562" t="s">
        <v>22</v>
      </c>
      <c r="F562" t="s">
        <v>748</v>
      </c>
      <c r="G562" t="s">
        <v>75</v>
      </c>
      <c r="H562" t="s">
        <v>770</v>
      </c>
      <c r="I562" t="s">
        <v>776</v>
      </c>
      <c r="J562" t="s">
        <v>780</v>
      </c>
      <c r="K562">
        <v>6</v>
      </c>
      <c r="L562">
        <v>3</v>
      </c>
      <c r="M562">
        <v>9</v>
      </c>
      <c r="N562">
        <v>561</v>
      </c>
      <c r="O562" t="str">
        <f>_xlfn.XLOOKUP(Table4[[#This Row],[id]],VALINA[id],VALINA[name])</f>
        <v>Berhampur</v>
      </c>
      <c r="P562">
        <f>_xlfn.XLOOKUP(Table4[[#This Row],[id]],prov_color!A:A,prov_color!C:C)</f>
        <v>26</v>
      </c>
    </row>
    <row r="563" spans="1:16" hidden="1" x14ac:dyDescent="0.25">
      <c r="A563">
        <v>562</v>
      </c>
      <c r="B563" t="s">
        <v>653</v>
      </c>
      <c r="C563" t="s">
        <v>740</v>
      </c>
      <c r="D563" t="s">
        <v>765</v>
      </c>
      <c r="E563" t="s">
        <v>14</v>
      </c>
      <c r="F563" t="s">
        <v>748</v>
      </c>
      <c r="G563" t="s">
        <v>75</v>
      </c>
      <c r="H563" t="s">
        <v>770</v>
      </c>
      <c r="I563" t="s">
        <v>776</v>
      </c>
      <c r="J563" t="s">
        <v>781</v>
      </c>
      <c r="K563">
        <v>5</v>
      </c>
      <c r="L563">
        <v>2</v>
      </c>
      <c r="M563">
        <v>5</v>
      </c>
      <c r="N563">
        <v>562</v>
      </c>
      <c r="O563" t="str">
        <f>_xlfn.XLOOKUP(Table4[[#This Row],[id]],VALINA[id],VALINA[name])</f>
        <v>Sambalpur</v>
      </c>
      <c r="P563">
        <f>_xlfn.XLOOKUP(Table4[[#This Row],[id]],prov_color!A:A,prov_color!C:C)</f>
        <v>40</v>
      </c>
    </row>
    <row r="564" spans="1:16" hidden="1" x14ac:dyDescent="0.25">
      <c r="A564">
        <v>563</v>
      </c>
      <c r="B564" t="s">
        <v>653</v>
      </c>
      <c r="C564" t="s">
        <v>740</v>
      </c>
      <c r="D564" t="s">
        <v>765</v>
      </c>
      <c r="E564" t="s">
        <v>14</v>
      </c>
      <c r="F564" t="s">
        <v>748</v>
      </c>
      <c r="G564" t="s">
        <v>75</v>
      </c>
      <c r="H564" t="s">
        <v>782</v>
      </c>
      <c r="I564" t="s">
        <v>212</v>
      </c>
      <c r="J564" t="s">
        <v>783</v>
      </c>
      <c r="K564">
        <v>6</v>
      </c>
      <c r="L564">
        <v>2</v>
      </c>
      <c r="M564">
        <v>5</v>
      </c>
      <c r="N564">
        <v>563</v>
      </c>
      <c r="O564" t="str">
        <f>_xlfn.XLOOKUP(Table4[[#This Row],[id]],VALINA[id],VALINA[name])</f>
        <v>Bastar</v>
      </c>
      <c r="P564">
        <f>_xlfn.XLOOKUP(Table4[[#This Row],[id]],prov_color!A:A,prov_color!C:C)</f>
        <v>40</v>
      </c>
    </row>
    <row r="565" spans="1:16" hidden="1" x14ac:dyDescent="0.25">
      <c r="A565">
        <v>564</v>
      </c>
      <c r="B565" t="s">
        <v>653</v>
      </c>
      <c r="C565" t="s">
        <v>740</v>
      </c>
      <c r="D565" t="s">
        <v>778</v>
      </c>
      <c r="E565" t="s">
        <v>22</v>
      </c>
      <c r="F565" t="s">
        <v>748</v>
      </c>
      <c r="G565" t="s">
        <v>75</v>
      </c>
      <c r="H565" t="s">
        <v>782</v>
      </c>
      <c r="I565" t="s">
        <v>687</v>
      </c>
      <c r="J565" t="s">
        <v>784</v>
      </c>
      <c r="K565">
        <v>6</v>
      </c>
      <c r="L565">
        <v>3</v>
      </c>
      <c r="M565">
        <v>9</v>
      </c>
      <c r="N565">
        <v>564</v>
      </c>
      <c r="O565" t="str">
        <f>_xlfn.XLOOKUP(Table4[[#This Row],[id]],VALINA[id],VALINA[name])</f>
        <v>Palakimedi</v>
      </c>
      <c r="P565">
        <f>_xlfn.XLOOKUP(Table4[[#This Row],[id]],prov_color!A:A,prov_color!C:C)</f>
        <v>28</v>
      </c>
    </row>
    <row r="566" spans="1:16" hidden="1" x14ac:dyDescent="0.25">
      <c r="A566">
        <v>565</v>
      </c>
      <c r="B566" t="s">
        <v>653</v>
      </c>
      <c r="C566" t="s">
        <v>740</v>
      </c>
      <c r="D566" t="s">
        <v>778</v>
      </c>
      <c r="E566" t="s">
        <v>22</v>
      </c>
      <c r="F566" t="s">
        <v>748</v>
      </c>
      <c r="G566" t="s">
        <v>75</v>
      </c>
      <c r="H566" t="s">
        <v>782</v>
      </c>
      <c r="I566" t="s">
        <v>685</v>
      </c>
      <c r="J566" t="s">
        <v>785</v>
      </c>
      <c r="K566">
        <v>5</v>
      </c>
      <c r="L566">
        <v>3</v>
      </c>
      <c r="M566">
        <v>6</v>
      </c>
      <c r="N566">
        <v>565</v>
      </c>
      <c r="O566" t="str">
        <f>_xlfn.XLOOKUP(Table4[[#This Row],[id]],VALINA[id],VALINA[name])</f>
        <v>Yanam</v>
      </c>
      <c r="P566">
        <f>_xlfn.XLOOKUP(Table4[[#This Row],[id]],prov_color!A:A,prov_color!C:C)</f>
        <v>31</v>
      </c>
    </row>
    <row r="567" spans="1:16" hidden="1" x14ac:dyDescent="0.25">
      <c r="A567">
        <v>566</v>
      </c>
      <c r="B567" t="s">
        <v>653</v>
      </c>
      <c r="C567" t="s">
        <v>740</v>
      </c>
      <c r="D567" t="s">
        <v>760</v>
      </c>
      <c r="E567" t="s">
        <v>14</v>
      </c>
      <c r="F567" t="s">
        <v>748</v>
      </c>
      <c r="G567" t="s">
        <v>75</v>
      </c>
      <c r="H567" t="s">
        <v>756</v>
      </c>
      <c r="I567" t="s">
        <v>103</v>
      </c>
      <c r="J567" t="s">
        <v>760</v>
      </c>
      <c r="K567">
        <v>6</v>
      </c>
      <c r="L567">
        <v>8</v>
      </c>
      <c r="M567">
        <v>14</v>
      </c>
      <c r="N567">
        <v>566</v>
      </c>
      <c r="O567" t="str">
        <f>_xlfn.XLOOKUP(Table4[[#This Row],[id]],VALINA[id],VALINA[name])</f>
        <v>Hyderabad</v>
      </c>
      <c r="P567">
        <f>_xlfn.XLOOKUP(Table4[[#This Row],[id]],prov_color!A:A,prov_color!C:C)</f>
        <v>34</v>
      </c>
    </row>
    <row r="568" spans="1:16" hidden="1" x14ac:dyDescent="0.25">
      <c r="A568">
        <v>567</v>
      </c>
      <c r="B568" t="s">
        <v>653</v>
      </c>
      <c r="C568" t="s">
        <v>740</v>
      </c>
      <c r="D568" t="s">
        <v>786</v>
      </c>
      <c r="E568" t="s">
        <v>14</v>
      </c>
      <c r="F568" t="s">
        <v>748</v>
      </c>
      <c r="G568" t="s">
        <v>75</v>
      </c>
      <c r="H568" t="s">
        <v>787</v>
      </c>
      <c r="I568" t="s">
        <v>41</v>
      </c>
      <c r="J568" t="s">
        <v>788</v>
      </c>
      <c r="K568">
        <v>7</v>
      </c>
      <c r="L568">
        <v>5</v>
      </c>
      <c r="M568">
        <v>9</v>
      </c>
      <c r="N568">
        <v>567</v>
      </c>
      <c r="O568" t="str">
        <f>_xlfn.XLOOKUP(Table4[[#This Row],[id]],VALINA[id],VALINA[name])</f>
        <v>Bangalore</v>
      </c>
      <c r="P568">
        <f>_xlfn.XLOOKUP(Table4[[#This Row],[id]],prov_color!A:A,prov_color!C:C)</f>
        <v>35</v>
      </c>
    </row>
    <row r="569" spans="1:16" hidden="1" x14ac:dyDescent="0.25">
      <c r="A569">
        <v>568</v>
      </c>
      <c r="B569" t="s">
        <v>653</v>
      </c>
      <c r="C569" t="s">
        <v>740</v>
      </c>
      <c r="D569" t="s">
        <v>758</v>
      </c>
      <c r="E569" t="s">
        <v>22</v>
      </c>
      <c r="F569" t="s">
        <v>748</v>
      </c>
      <c r="G569" t="s">
        <v>75</v>
      </c>
      <c r="H569" t="s">
        <v>787</v>
      </c>
      <c r="I569" t="s">
        <v>27</v>
      </c>
      <c r="J569" t="s">
        <v>789</v>
      </c>
      <c r="K569">
        <v>5</v>
      </c>
      <c r="L569">
        <v>4</v>
      </c>
      <c r="M569">
        <v>6</v>
      </c>
      <c r="N569">
        <v>568</v>
      </c>
      <c r="O569" t="str">
        <f>_xlfn.XLOOKUP(Table4[[#This Row],[id]],VALINA[id],VALINA[name])</f>
        <v>Mangalore</v>
      </c>
      <c r="P569">
        <f>_xlfn.XLOOKUP(Table4[[#This Row],[id]],prov_color!A:A,prov_color!C:C)</f>
        <v>25</v>
      </c>
    </row>
    <row r="570" spans="1:16" hidden="1" x14ac:dyDescent="0.25">
      <c r="A570">
        <v>569</v>
      </c>
      <c r="B570" t="s">
        <v>653</v>
      </c>
      <c r="C570" t="s">
        <v>740</v>
      </c>
      <c r="D570" t="s">
        <v>758</v>
      </c>
      <c r="E570" t="s">
        <v>22</v>
      </c>
      <c r="F570" t="s">
        <v>748</v>
      </c>
      <c r="G570" t="s">
        <v>75</v>
      </c>
      <c r="H570" t="s">
        <v>787</v>
      </c>
      <c r="I570" t="s">
        <v>27</v>
      </c>
      <c r="J570" t="s">
        <v>790</v>
      </c>
      <c r="K570">
        <v>6</v>
      </c>
      <c r="L570">
        <v>5</v>
      </c>
      <c r="M570">
        <v>7</v>
      </c>
      <c r="N570">
        <v>569</v>
      </c>
      <c r="O570" t="str">
        <f>_xlfn.XLOOKUP(Table4[[#This Row],[id]],VALINA[id],VALINA[name])</f>
        <v>Kerala</v>
      </c>
      <c r="P570">
        <f>_xlfn.XLOOKUP(Table4[[#This Row],[id]],prov_color!A:A,prov_color!C:C)</f>
        <v>19</v>
      </c>
    </row>
    <row r="571" spans="1:16" hidden="1" x14ac:dyDescent="0.25">
      <c r="A571">
        <v>570</v>
      </c>
      <c r="B571" t="s">
        <v>653</v>
      </c>
      <c r="C571" t="s">
        <v>740</v>
      </c>
      <c r="D571" t="s">
        <v>786</v>
      </c>
      <c r="E571" t="s">
        <v>14</v>
      </c>
      <c r="F571" t="s">
        <v>748</v>
      </c>
      <c r="G571" t="s">
        <v>75</v>
      </c>
      <c r="H571" t="s">
        <v>787</v>
      </c>
      <c r="I571" t="s">
        <v>141</v>
      </c>
      <c r="J571" t="s">
        <v>786</v>
      </c>
      <c r="K571">
        <v>7</v>
      </c>
      <c r="L571">
        <v>7</v>
      </c>
      <c r="M571">
        <v>15</v>
      </c>
      <c r="N571">
        <v>570</v>
      </c>
      <c r="O571" t="str">
        <f>_xlfn.XLOOKUP(Table4[[#This Row],[id]],VALINA[id],VALINA[name])</f>
        <v>Mysore</v>
      </c>
      <c r="P571">
        <f>_xlfn.XLOOKUP(Table4[[#This Row],[id]],prov_color!A:A,prov_color!C:C)</f>
        <v>32</v>
      </c>
    </row>
    <row r="572" spans="1:16" hidden="1" x14ac:dyDescent="0.25">
      <c r="A572">
        <v>571</v>
      </c>
      <c r="B572" t="s">
        <v>653</v>
      </c>
      <c r="C572" t="s">
        <v>740</v>
      </c>
      <c r="D572" t="s">
        <v>791</v>
      </c>
      <c r="E572" t="s">
        <v>22</v>
      </c>
      <c r="F572" t="s">
        <v>748</v>
      </c>
      <c r="G572" t="s">
        <v>75</v>
      </c>
      <c r="H572" t="s">
        <v>787</v>
      </c>
      <c r="I572" t="s">
        <v>687</v>
      </c>
      <c r="J572" t="s">
        <v>792</v>
      </c>
      <c r="K572">
        <v>5</v>
      </c>
      <c r="L572">
        <v>4</v>
      </c>
      <c r="M572">
        <v>8</v>
      </c>
      <c r="N572">
        <v>571</v>
      </c>
      <c r="O572" t="str">
        <f>_xlfn.XLOOKUP(Table4[[#This Row],[id]],VALINA[id],VALINA[name])</f>
        <v>Madras</v>
      </c>
      <c r="P572">
        <f>_xlfn.XLOOKUP(Table4[[#This Row],[id]],prov_color!A:A,prov_color!C:C)</f>
        <v>27</v>
      </c>
    </row>
    <row r="573" spans="1:16" hidden="1" x14ac:dyDescent="0.25">
      <c r="A573">
        <v>572</v>
      </c>
      <c r="B573" t="s">
        <v>653</v>
      </c>
      <c r="C573" t="s">
        <v>740</v>
      </c>
      <c r="D573" t="s">
        <v>791</v>
      </c>
      <c r="E573" t="s">
        <v>22</v>
      </c>
      <c r="F573" t="s">
        <v>748</v>
      </c>
      <c r="G573" t="s">
        <v>75</v>
      </c>
      <c r="H573" t="s">
        <v>793</v>
      </c>
      <c r="I573" t="s">
        <v>687</v>
      </c>
      <c r="J573" t="s">
        <v>794</v>
      </c>
      <c r="K573">
        <v>6</v>
      </c>
      <c r="L573">
        <v>5</v>
      </c>
      <c r="M573">
        <v>7</v>
      </c>
      <c r="N573">
        <v>572</v>
      </c>
      <c r="O573" t="str">
        <f>_xlfn.XLOOKUP(Table4[[#This Row],[id]],VALINA[id],VALINA[name])</f>
        <v>Pondicherry</v>
      </c>
      <c r="P573">
        <f>_xlfn.XLOOKUP(Table4[[#This Row],[id]],prov_color!A:A,prov_color!C:C)</f>
        <v>27</v>
      </c>
    </row>
    <row r="574" spans="1:16" hidden="1" x14ac:dyDescent="0.25">
      <c r="A574">
        <v>573</v>
      </c>
      <c r="B574" t="s">
        <v>653</v>
      </c>
      <c r="C574" t="s">
        <v>740</v>
      </c>
      <c r="D574" t="s">
        <v>758</v>
      </c>
      <c r="E574" t="s">
        <v>22</v>
      </c>
      <c r="F574" t="s">
        <v>748</v>
      </c>
      <c r="G574" t="s">
        <v>75</v>
      </c>
      <c r="H574" t="s">
        <v>793</v>
      </c>
      <c r="I574" t="s">
        <v>685</v>
      </c>
      <c r="J574" t="s">
        <v>795</v>
      </c>
      <c r="K574">
        <v>6</v>
      </c>
      <c r="L574">
        <v>5</v>
      </c>
      <c r="M574">
        <v>5</v>
      </c>
      <c r="N574">
        <v>573</v>
      </c>
      <c r="O574" t="str">
        <f>_xlfn.XLOOKUP(Table4[[#This Row],[id]],VALINA[id],VALINA[name])</f>
        <v>Cochin</v>
      </c>
      <c r="P574">
        <f>_xlfn.XLOOKUP(Table4[[#This Row],[id]],prov_color!A:A,prov_color!C:C)</f>
        <v>25</v>
      </c>
    </row>
    <row r="575" spans="1:16" hidden="1" x14ac:dyDescent="0.25">
      <c r="A575">
        <v>574</v>
      </c>
      <c r="B575" t="s">
        <v>653</v>
      </c>
      <c r="C575" t="s">
        <v>740</v>
      </c>
      <c r="D575" t="s">
        <v>758</v>
      </c>
      <c r="E575" t="s">
        <v>22</v>
      </c>
      <c r="F575" t="s">
        <v>748</v>
      </c>
      <c r="G575" t="s">
        <v>75</v>
      </c>
      <c r="H575" t="s">
        <v>793</v>
      </c>
      <c r="I575" t="s">
        <v>687</v>
      </c>
      <c r="J575" t="s">
        <v>796</v>
      </c>
      <c r="K575">
        <v>7</v>
      </c>
      <c r="L575">
        <v>4</v>
      </c>
      <c r="M575">
        <v>6</v>
      </c>
      <c r="N575">
        <v>574</v>
      </c>
      <c r="O575" t="str">
        <f>_xlfn.XLOOKUP(Table4[[#This Row],[id]],VALINA[id],VALINA[name])</f>
        <v>Trivandrum</v>
      </c>
      <c r="P575">
        <f>_xlfn.XLOOKUP(Table4[[#This Row],[id]],prov_color!A:A,prov_color!C:C)</f>
        <v>23</v>
      </c>
    </row>
    <row r="576" spans="1:16" hidden="1" x14ac:dyDescent="0.25">
      <c r="A576">
        <v>575</v>
      </c>
      <c r="B576" t="s">
        <v>653</v>
      </c>
      <c r="C576" t="s">
        <v>740</v>
      </c>
      <c r="D576" t="s">
        <v>791</v>
      </c>
      <c r="E576" t="s">
        <v>22</v>
      </c>
      <c r="F576" t="s">
        <v>748</v>
      </c>
      <c r="G576" t="s">
        <v>75</v>
      </c>
      <c r="H576" t="s">
        <v>793</v>
      </c>
      <c r="I576" t="s">
        <v>29</v>
      </c>
      <c r="J576" t="s">
        <v>797</v>
      </c>
      <c r="K576">
        <v>7</v>
      </c>
      <c r="L576">
        <v>4</v>
      </c>
      <c r="M576">
        <v>7</v>
      </c>
      <c r="N576">
        <v>575</v>
      </c>
      <c r="O576" t="str">
        <f>_xlfn.XLOOKUP(Table4[[#This Row],[id]],VALINA[id],VALINA[name])</f>
        <v>Madurai</v>
      </c>
      <c r="P576">
        <f>_xlfn.XLOOKUP(Table4[[#This Row],[id]],prov_color!A:A,prov_color!C:C)</f>
        <v>25</v>
      </c>
    </row>
    <row r="577" spans="1:16" hidden="1" x14ac:dyDescent="0.25">
      <c r="A577">
        <v>576</v>
      </c>
      <c r="B577" t="s">
        <v>653</v>
      </c>
      <c r="C577" t="s">
        <v>740</v>
      </c>
      <c r="D577" t="s">
        <v>798</v>
      </c>
      <c r="E577" t="s">
        <v>14</v>
      </c>
      <c r="F577" t="s">
        <v>799</v>
      </c>
      <c r="G577" t="s">
        <v>75</v>
      </c>
      <c r="H577" t="s">
        <v>793</v>
      </c>
      <c r="I577" t="s">
        <v>73</v>
      </c>
      <c r="J577" t="s">
        <v>800</v>
      </c>
      <c r="K577">
        <v>8</v>
      </c>
      <c r="L577">
        <v>3</v>
      </c>
      <c r="M577">
        <v>9</v>
      </c>
      <c r="N577">
        <v>576</v>
      </c>
      <c r="O577" t="str">
        <f>_xlfn.XLOOKUP(Table4[[#This Row],[id]],VALINA[id],VALINA[name])</f>
        <v>Colombo</v>
      </c>
      <c r="P577">
        <f>_xlfn.XLOOKUP(Table4[[#This Row],[id]],prov_color!A:A,prov_color!C:C)</f>
        <v>19</v>
      </c>
    </row>
    <row r="578" spans="1:16" hidden="1" x14ac:dyDescent="0.25">
      <c r="A578">
        <v>577</v>
      </c>
      <c r="B578" t="s">
        <v>653</v>
      </c>
      <c r="C578" t="s">
        <v>740</v>
      </c>
      <c r="D578" t="s">
        <v>798</v>
      </c>
      <c r="E578" t="s">
        <v>80</v>
      </c>
      <c r="F578" t="s">
        <v>799</v>
      </c>
      <c r="G578" t="s">
        <v>75</v>
      </c>
      <c r="H578" t="s">
        <v>793</v>
      </c>
      <c r="I578" t="s">
        <v>687</v>
      </c>
      <c r="J578" t="s">
        <v>801</v>
      </c>
      <c r="K578">
        <v>7</v>
      </c>
      <c r="L578">
        <v>2</v>
      </c>
      <c r="M578">
        <v>5</v>
      </c>
      <c r="N578">
        <v>577</v>
      </c>
      <c r="O578" t="str">
        <f>_xlfn.XLOOKUP(Table4[[#This Row],[id]],VALINA[id],VALINA[name])</f>
        <v>Jaffna</v>
      </c>
      <c r="P578">
        <f>_xlfn.XLOOKUP(Table4[[#This Row],[id]],prov_color!A:A,prov_color!C:C)</f>
        <v>15</v>
      </c>
    </row>
    <row r="579" spans="1:16" hidden="1" x14ac:dyDescent="0.25">
      <c r="A579">
        <v>578</v>
      </c>
      <c r="B579" t="s">
        <v>653</v>
      </c>
      <c r="C579" t="s">
        <v>701</v>
      </c>
      <c r="D579" t="s">
        <v>702</v>
      </c>
      <c r="E579" t="s">
        <v>34</v>
      </c>
      <c r="F579" t="s">
        <v>15</v>
      </c>
      <c r="G579" t="s">
        <v>122</v>
      </c>
      <c r="H579" t="s">
        <v>703</v>
      </c>
      <c r="I579" t="s">
        <v>43</v>
      </c>
      <c r="J579" t="s">
        <v>802</v>
      </c>
      <c r="K579">
        <v>5</v>
      </c>
      <c r="L579">
        <v>1</v>
      </c>
      <c r="M579">
        <v>3</v>
      </c>
      <c r="N579">
        <v>578</v>
      </c>
      <c r="O579" t="str">
        <f>_xlfn.XLOOKUP(Table4[[#This Row],[id]],VALINA[id],VALINA[name])</f>
        <v>Ichim</v>
      </c>
      <c r="P579">
        <f>_xlfn.XLOOKUP(Table4[[#This Row],[id]],prov_color!A:A,prov_color!C:C)</f>
        <v>44</v>
      </c>
    </row>
    <row r="580" spans="1:16" hidden="1" x14ac:dyDescent="0.25">
      <c r="A580">
        <v>579</v>
      </c>
      <c r="B580" t="s">
        <v>653</v>
      </c>
      <c r="C580" t="s">
        <v>701</v>
      </c>
      <c r="D580" t="s">
        <v>803</v>
      </c>
      <c r="E580" t="s">
        <v>34</v>
      </c>
      <c r="F580" t="s">
        <v>15</v>
      </c>
      <c r="G580" t="s">
        <v>26</v>
      </c>
      <c r="H580" t="s">
        <v>714</v>
      </c>
      <c r="I580" t="s">
        <v>141</v>
      </c>
      <c r="J580" t="s">
        <v>804</v>
      </c>
      <c r="K580">
        <v>3</v>
      </c>
      <c r="L580">
        <v>1</v>
      </c>
      <c r="M580">
        <v>3</v>
      </c>
      <c r="N580">
        <v>579</v>
      </c>
      <c r="O580" t="str">
        <f>_xlfn.XLOOKUP(Table4[[#This Row],[id]],VALINA[id],VALINA[name])</f>
        <v>Karaganda</v>
      </c>
      <c r="P580">
        <f>_xlfn.XLOOKUP(Table4[[#This Row],[id]],prov_color!A:A,prov_color!C:C)</f>
        <v>32</v>
      </c>
    </row>
    <row r="581" spans="1:16" hidden="1" x14ac:dyDescent="0.25">
      <c r="A581">
        <v>580</v>
      </c>
      <c r="B581" t="s">
        <v>653</v>
      </c>
      <c r="C581" t="s">
        <v>701</v>
      </c>
      <c r="D581" t="s">
        <v>803</v>
      </c>
      <c r="E581" t="s">
        <v>34</v>
      </c>
      <c r="F581" t="s">
        <v>15</v>
      </c>
      <c r="G581" t="s">
        <v>122</v>
      </c>
      <c r="H581" t="s">
        <v>714</v>
      </c>
      <c r="I581" t="s">
        <v>43</v>
      </c>
      <c r="J581" t="s">
        <v>803</v>
      </c>
      <c r="K581">
        <v>4</v>
      </c>
      <c r="L581">
        <v>1</v>
      </c>
      <c r="M581">
        <v>5</v>
      </c>
      <c r="N581">
        <v>580</v>
      </c>
      <c r="O581" t="str">
        <f>_xlfn.XLOOKUP(Table4[[#This Row],[id]],VALINA[id],VALINA[name])</f>
        <v>Omsk</v>
      </c>
      <c r="P581">
        <f>_xlfn.XLOOKUP(Table4[[#This Row],[id]],prov_color!A:A,prov_color!C:C)</f>
        <v>40</v>
      </c>
    </row>
    <row r="582" spans="1:16" hidden="1" x14ac:dyDescent="0.25">
      <c r="A582">
        <v>581</v>
      </c>
      <c r="B582" t="s">
        <v>653</v>
      </c>
      <c r="C582" t="s">
        <v>701</v>
      </c>
      <c r="D582" t="s">
        <v>803</v>
      </c>
      <c r="E582" t="s">
        <v>22</v>
      </c>
      <c r="F582" t="s">
        <v>15</v>
      </c>
      <c r="G582" t="s">
        <v>122</v>
      </c>
      <c r="H582" t="s">
        <v>703</v>
      </c>
      <c r="I582" t="s">
        <v>20</v>
      </c>
      <c r="J582" t="s">
        <v>805</v>
      </c>
      <c r="K582">
        <v>4</v>
      </c>
      <c r="L582">
        <v>1</v>
      </c>
      <c r="M582">
        <v>3</v>
      </c>
      <c r="N582">
        <v>581</v>
      </c>
      <c r="O582" t="str">
        <f>_xlfn.XLOOKUP(Table4[[#This Row],[id]],VALINA[id],VALINA[name])</f>
        <v>Tchany</v>
      </c>
      <c r="P582">
        <f>_xlfn.XLOOKUP(Table4[[#This Row],[id]],prov_color!A:A,prov_color!C:C)</f>
        <v>48</v>
      </c>
    </row>
    <row r="583" spans="1:16" hidden="1" x14ac:dyDescent="0.25">
      <c r="A583">
        <v>582</v>
      </c>
      <c r="B583" t="s">
        <v>653</v>
      </c>
      <c r="C583" t="s">
        <v>701</v>
      </c>
      <c r="D583" t="s">
        <v>803</v>
      </c>
      <c r="E583" t="s">
        <v>34</v>
      </c>
      <c r="F583" t="s">
        <v>15</v>
      </c>
      <c r="G583" t="s">
        <v>122</v>
      </c>
      <c r="H583" t="s">
        <v>714</v>
      </c>
      <c r="I583" t="s">
        <v>212</v>
      </c>
      <c r="J583" t="s">
        <v>806</v>
      </c>
      <c r="K583">
        <v>3</v>
      </c>
      <c r="L583">
        <v>1</v>
      </c>
      <c r="M583">
        <v>4</v>
      </c>
      <c r="N583">
        <v>582</v>
      </c>
      <c r="O583" t="str">
        <f>_xlfn.XLOOKUP(Table4[[#This Row],[id]],VALINA[id],VALINA[name])</f>
        <v>Semipalatinsk</v>
      </c>
      <c r="P583">
        <f>_xlfn.XLOOKUP(Table4[[#This Row],[id]],prov_color!A:A,prov_color!C:C)</f>
        <v>29</v>
      </c>
    </row>
    <row r="584" spans="1:16" hidden="1" x14ac:dyDescent="0.25">
      <c r="A584">
        <v>583</v>
      </c>
      <c r="B584" t="s">
        <v>653</v>
      </c>
      <c r="C584" t="s">
        <v>701</v>
      </c>
      <c r="D584" t="s">
        <v>803</v>
      </c>
      <c r="E584" t="s">
        <v>22</v>
      </c>
      <c r="F584" t="s">
        <v>15</v>
      </c>
      <c r="G584" t="s">
        <v>122</v>
      </c>
      <c r="H584" t="s">
        <v>703</v>
      </c>
      <c r="I584" t="s">
        <v>20</v>
      </c>
      <c r="J584" t="s">
        <v>807</v>
      </c>
      <c r="K584">
        <v>4</v>
      </c>
      <c r="L584">
        <v>1</v>
      </c>
      <c r="M584">
        <v>3</v>
      </c>
      <c r="N584">
        <v>583</v>
      </c>
      <c r="O584" t="str">
        <f>_xlfn.XLOOKUP(Table4[[#This Row],[id]],VALINA[id],VALINA[name])</f>
        <v>Irtych</v>
      </c>
      <c r="P584">
        <f>_xlfn.XLOOKUP(Table4[[#This Row],[id]],prov_color!A:A,prov_color!C:C)</f>
        <v>66</v>
      </c>
    </row>
    <row r="585" spans="1:16" hidden="1" x14ac:dyDescent="0.25">
      <c r="A585">
        <v>584</v>
      </c>
      <c r="B585" t="s">
        <v>653</v>
      </c>
      <c r="C585" t="s">
        <v>701</v>
      </c>
      <c r="D585" t="s">
        <v>803</v>
      </c>
      <c r="E585" t="s">
        <v>34</v>
      </c>
      <c r="F585" t="s">
        <v>15</v>
      </c>
      <c r="G585" t="s">
        <v>122</v>
      </c>
      <c r="H585" t="s">
        <v>714</v>
      </c>
      <c r="I585" t="s">
        <v>43</v>
      </c>
      <c r="J585" t="s">
        <v>808</v>
      </c>
      <c r="K585">
        <v>3</v>
      </c>
      <c r="L585">
        <v>1</v>
      </c>
      <c r="M585">
        <v>3</v>
      </c>
      <c r="N585">
        <v>584</v>
      </c>
      <c r="O585" t="str">
        <f>_xlfn.XLOOKUP(Table4[[#This Row],[id]],VALINA[id],VALINA[name])</f>
        <v>Novosibirsk</v>
      </c>
      <c r="P585">
        <f>_xlfn.XLOOKUP(Table4[[#This Row],[id]],prov_color!A:A,prov_color!C:C)</f>
        <v>86</v>
      </c>
    </row>
    <row r="586" spans="1:16" hidden="1" x14ac:dyDescent="0.25">
      <c r="A586">
        <v>585</v>
      </c>
      <c r="B586" t="s">
        <v>653</v>
      </c>
      <c r="C586" t="s">
        <v>701</v>
      </c>
      <c r="D586" t="s">
        <v>803</v>
      </c>
      <c r="E586" t="s">
        <v>34</v>
      </c>
      <c r="F586" t="s">
        <v>15</v>
      </c>
      <c r="G586" t="s">
        <v>122</v>
      </c>
      <c r="H586" t="s">
        <v>703</v>
      </c>
      <c r="I586" t="s">
        <v>41</v>
      </c>
      <c r="J586" t="s">
        <v>809</v>
      </c>
      <c r="K586">
        <v>4</v>
      </c>
      <c r="L586">
        <v>1</v>
      </c>
      <c r="M586">
        <v>2</v>
      </c>
      <c r="N586">
        <v>585</v>
      </c>
      <c r="O586" t="str">
        <f>_xlfn.XLOOKUP(Table4[[#This Row],[id]],VALINA[id],VALINA[name])</f>
        <v>Altai</v>
      </c>
      <c r="P586">
        <f>_xlfn.XLOOKUP(Table4[[#This Row],[id]],prov_color!A:A,prov_color!C:C)</f>
        <v>85</v>
      </c>
    </row>
    <row r="587" spans="1:16" hidden="1" x14ac:dyDescent="0.25">
      <c r="A587">
        <v>586</v>
      </c>
      <c r="B587" t="s">
        <v>653</v>
      </c>
      <c r="C587" t="s">
        <v>701</v>
      </c>
      <c r="D587" t="s">
        <v>803</v>
      </c>
      <c r="E587" t="s">
        <v>22</v>
      </c>
      <c r="F587" t="s">
        <v>15</v>
      </c>
      <c r="G587" t="s">
        <v>122</v>
      </c>
      <c r="H587" t="s">
        <v>703</v>
      </c>
      <c r="I587" t="s">
        <v>20</v>
      </c>
      <c r="J587" t="s">
        <v>810</v>
      </c>
      <c r="K587">
        <v>4</v>
      </c>
      <c r="L587">
        <v>1</v>
      </c>
      <c r="M587">
        <v>2</v>
      </c>
      <c r="N587">
        <v>586</v>
      </c>
      <c r="O587" t="str">
        <f>_xlfn.XLOOKUP(Table4[[#This Row],[id]],VALINA[id],VALINA[name])</f>
        <v>Demianka</v>
      </c>
      <c r="P587">
        <f>_xlfn.XLOOKUP(Table4[[#This Row],[id]],prov_color!A:A,prov_color!C:C)</f>
        <v>63</v>
      </c>
    </row>
    <row r="588" spans="1:16" hidden="1" x14ac:dyDescent="0.25">
      <c r="A588">
        <v>587</v>
      </c>
      <c r="B588" t="s">
        <v>653</v>
      </c>
      <c r="C588" t="s">
        <v>701</v>
      </c>
      <c r="D588" t="s">
        <v>803</v>
      </c>
      <c r="E588" t="s">
        <v>34</v>
      </c>
      <c r="F588" t="s">
        <v>15</v>
      </c>
      <c r="G588" t="s">
        <v>26</v>
      </c>
      <c r="H588" t="s">
        <v>703</v>
      </c>
      <c r="I588" t="s">
        <v>41</v>
      </c>
      <c r="J588" t="s">
        <v>811</v>
      </c>
      <c r="K588">
        <v>4</v>
      </c>
      <c r="L588">
        <v>1</v>
      </c>
      <c r="M588">
        <v>3</v>
      </c>
      <c r="N588">
        <v>587</v>
      </c>
      <c r="O588" t="str">
        <f>_xlfn.XLOOKUP(Table4[[#This Row],[id]],VALINA[id],VALINA[name])</f>
        <v>Barabinsk</v>
      </c>
      <c r="P588">
        <f>_xlfn.XLOOKUP(Table4[[#This Row],[id]],prov_color!A:A,prov_color!C:C)</f>
        <v>111</v>
      </c>
    </row>
    <row r="589" spans="1:16" hidden="1" x14ac:dyDescent="0.25">
      <c r="A589">
        <v>588</v>
      </c>
      <c r="B589" t="s">
        <v>653</v>
      </c>
      <c r="C589" t="s">
        <v>701</v>
      </c>
      <c r="D589" t="s">
        <v>803</v>
      </c>
      <c r="E589" t="s">
        <v>22</v>
      </c>
      <c r="F589" t="s">
        <v>15</v>
      </c>
      <c r="G589" t="s">
        <v>122</v>
      </c>
      <c r="H589" t="s">
        <v>703</v>
      </c>
      <c r="I589" t="s">
        <v>20</v>
      </c>
      <c r="J589" t="s">
        <v>812</v>
      </c>
      <c r="K589">
        <v>4</v>
      </c>
      <c r="L589">
        <v>1</v>
      </c>
      <c r="M589">
        <v>3</v>
      </c>
      <c r="N589">
        <v>588</v>
      </c>
      <c r="O589" t="str">
        <f>_xlfn.XLOOKUP(Table4[[#This Row],[id]],VALINA[id],VALINA[name])</f>
        <v>Ob</v>
      </c>
      <c r="P589">
        <f>_xlfn.XLOOKUP(Table4[[#This Row],[id]],prov_color!A:A,prov_color!C:C)</f>
        <v>108</v>
      </c>
    </row>
    <row r="590" spans="1:16" hidden="1" x14ac:dyDescent="0.25">
      <c r="A590">
        <v>589</v>
      </c>
      <c r="B590" t="s">
        <v>653</v>
      </c>
      <c r="C590" t="s">
        <v>701</v>
      </c>
      <c r="D590" t="s">
        <v>803</v>
      </c>
      <c r="E590" t="s">
        <v>22</v>
      </c>
      <c r="F590" t="s">
        <v>15</v>
      </c>
      <c r="G590" t="s">
        <v>122</v>
      </c>
      <c r="H590" t="s">
        <v>703</v>
      </c>
      <c r="I590" t="s">
        <v>20</v>
      </c>
      <c r="J590" t="s">
        <v>813</v>
      </c>
      <c r="K590">
        <v>4</v>
      </c>
      <c r="L590">
        <v>1</v>
      </c>
      <c r="M590">
        <v>4</v>
      </c>
      <c r="N590">
        <v>589</v>
      </c>
      <c r="O590" t="str">
        <f>_xlfn.XLOOKUP(Table4[[#This Row],[id]],VALINA[id],VALINA[name])</f>
        <v>Tomsk</v>
      </c>
      <c r="P590">
        <f>_xlfn.XLOOKUP(Table4[[#This Row],[id]],prov_color!A:A,prov_color!C:C)</f>
        <v>101</v>
      </c>
    </row>
    <row r="591" spans="1:16" hidden="1" x14ac:dyDescent="0.25">
      <c r="A591">
        <v>590</v>
      </c>
      <c r="B591" t="s">
        <v>653</v>
      </c>
      <c r="C591" t="s">
        <v>701</v>
      </c>
      <c r="D591" t="s">
        <v>814</v>
      </c>
      <c r="E591" t="s">
        <v>22</v>
      </c>
      <c r="F591" t="s">
        <v>15</v>
      </c>
      <c r="G591" t="s">
        <v>122</v>
      </c>
      <c r="H591" t="s">
        <v>703</v>
      </c>
      <c r="I591" t="s">
        <v>18</v>
      </c>
      <c r="J591" t="s">
        <v>815</v>
      </c>
      <c r="K591">
        <v>5</v>
      </c>
      <c r="L591">
        <v>1</v>
      </c>
      <c r="M591">
        <v>2</v>
      </c>
      <c r="N591">
        <v>590</v>
      </c>
      <c r="O591" t="str">
        <f>_xlfn.XLOOKUP(Table4[[#This Row],[id]],VALINA[id],VALINA[name])</f>
        <v>Angara</v>
      </c>
      <c r="P591">
        <f>_xlfn.XLOOKUP(Table4[[#This Row],[id]],prov_color!A:A,prov_color!C:C)</f>
        <v>89</v>
      </c>
    </row>
    <row r="592" spans="1:16" hidden="1" x14ac:dyDescent="0.25">
      <c r="A592">
        <v>591</v>
      </c>
      <c r="B592" t="s">
        <v>653</v>
      </c>
      <c r="C592" t="s">
        <v>701</v>
      </c>
      <c r="D592" t="s">
        <v>814</v>
      </c>
      <c r="E592" t="s">
        <v>34</v>
      </c>
      <c r="F592" t="s">
        <v>15</v>
      </c>
      <c r="G592" t="s">
        <v>122</v>
      </c>
      <c r="H592" t="s">
        <v>703</v>
      </c>
      <c r="I592" t="s">
        <v>20</v>
      </c>
      <c r="J592" t="s">
        <v>816</v>
      </c>
      <c r="K592">
        <v>4</v>
      </c>
      <c r="L592">
        <v>1</v>
      </c>
      <c r="M592">
        <v>5</v>
      </c>
      <c r="N592">
        <v>591</v>
      </c>
      <c r="O592" t="str">
        <f>_xlfn.XLOOKUP(Table4[[#This Row],[id]],VALINA[id],VALINA[name])</f>
        <v>Krasnoyarsk</v>
      </c>
      <c r="P592">
        <f>_xlfn.XLOOKUP(Table4[[#This Row],[id]],prov_color!A:A,prov_color!C:C)</f>
        <v>79</v>
      </c>
    </row>
    <row r="593" spans="1:16" hidden="1" x14ac:dyDescent="0.25">
      <c r="A593">
        <v>592</v>
      </c>
      <c r="B593" t="s">
        <v>653</v>
      </c>
      <c r="C593" t="s">
        <v>701</v>
      </c>
      <c r="D593" t="s">
        <v>814</v>
      </c>
      <c r="E593" t="s">
        <v>34</v>
      </c>
      <c r="F593" t="s">
        <v>15</v>
      </c>
      <c r="G593" t="s">
        <v>122</v>
      </c>
      <c r="H593" t="s">
        <v>703</v>
      </c>
      <c r="I593" t="s">
        <v>20</v>
      </c>
      <c r="J593" t="s">
        <v>817</v>
      </c>
      <c r="K593">
        <v>4</v>
      </c>
      <c r="L593">
        <v>1</v>
      </c>
      <c r="M593">
        <v>2</v>
      </c>
      <c r="N593">
        <v>592</v>
      </c>
      <c r="O593" t="str">
        <f>_xlfn.XLOOKUP(Table4[[#This Row],[id]],VALINA[id],VALINA[name])</f>
        <v>Balakhta</v>
      </c>
      <c r="P593">
        <f>_xlfn.XLOOKUP(Table4[[#This Row],[id]],prov_color!A:A,prov_color!C:C)</f>
        <v>66</v>
      </c>
    </row>
    <row r="594" spans="1:16" hidden="1" x14ac:dyDescent="0.25">
      <c r="A594">
        <v>593</v>
      </c>
      <c r="B594" t="s">
        <v>653</v>
      </c>
      <c r="C594" t="s">
        <v>701</v>
      </c>
      <c r="D594" t="s">
        <v>814</v>
      </c>
      <c r="E594" t="s">
        <v>22</v>
      </c>
      <c r="F594" t="s">
        <v>15</v>
      </c>
      <c r="G594" t="s">
        <v>122</v>
      </c>
      <c r="H594" t="s">
        <v>703</v>
      </c>
      <c r="I594" t="s">
        <v>20</v>
      </c>
      <c r="J594" t="s">
        <v>818</v>
      </c>
      <c r="K594">
        <v>5</v>
      </c>
      <c r="L594">
        <v>1</v>
      </c>
      <c r="M594">
        <v>2</v>
      </c>
      <c r="N594">
        <v>593</v>
      </c>
      <c r="O594" t="str">
        <f>_xlfn.XLOOKUP(Table4[[#This Row],[id]],VALINA[id],VALINA[name])</f>
        <v>Tchuma</v>
      </c>
      <c r="P594">
        <f>_xlfn.XLOOKUP(Table4[[#This Row],[id]],prov_color!A:A,prov_color!C:C)</f>
        <v>68</v>
      </c>
    </row>
    <row r="595" spans="1:16" hidden="1" x14ac:dyDescent="0.25">
      <c r="A595">
        <v>594</v>
      </c>
      <c r="B595" t="s">
        <v>653</v>
      </c>
      <c r="C595" t="s">
        <v>701</v>
      </c>
      <c r="D595" t="s">
        <v>814</v>
      </c>
      <c r="E595" t="s">
        <v>34</v>
      </c>
      <c r="F595" t="s">
        <v>15</v>
      </c>
      <c r="G595" t="s">
        <v>122</v>
      </c>
      <c r="H595" t="s">
        <v>703</v>
      </c>
      <c r="I595" t="s">
        <v>20</v>
      </c>
      <c r="J595" t="s">
        <v>819</v>
      </c>
      <c r="K595">
        <v>4</v>
      </c>
      <c r="L595">
        <v>1</v>
      </c>
      <c r="M595">
        <v>2</v>
      </c>
      <c r="N595">
        <v>594</v>
      </c>
      <c r="O595" t="str">
        <f>_xlfn.XLOOKUP(Table4[[#This Row],[id]],VALINA[id],VALINA[name])</f>
        <v>Bratsk</v>
      </c>
      <c r="P595">
        <f>_xlfn.XLOOKUP(Table4[[#This Row],[id]],prov_color!A:A,prov_color!C:C)</f>
        <v>87</v>
      </c>
    </row>
    <row r="596" spans="1:16" hidden="1" x14ac:dyDescent="0.25">
      <c r="A596">
        <v>595</v>
      </c>
      <c r="B596" t="s">
        <v>653</v>
      </c>
      <c r="C596" t="s">
        <v>701</v>
      </c>
      <c r="D596" t="s">
        <v>820</v>
      </c>
      <c r="E596" t="s">
        <v>34</v>
      </c>
      <c r="F596" t="s">
        <v>15</v>
      </c>
      <c r="G596" t="s">
        <v>122</v>
      </c>
      <c r="H596" t="s">
        <v>821</v>
      </c>
      <c r="I596" t="s">
        <v>20</v>
      </c>
      <c r="J596" t="s">
        <v>822</v>
      </c>
      <c r="K596">
        <v>6</v>
      </c>
      <c r="L596">
        <v>1</v>
      </c>
      <c r="M596">
        <v>2</v>
      </c>
      <c r="N596">
        <v>595</v>
      </c>
      <c r="O596" t="str">
        <f>_xlfn.XLOOKUP(Table4[[#This Row],[id]],VALINA[id],VALINA[name])</f>
        <v>Oka</v>
      </c>
      <c r="P596">
        <f>_xlfn.XLOOKUP(Table4[[#This Row],[id]],prov_color!A:A,prov_color!C:C)</f>
        <v>75</v>
      </c>
    </row>
    <row r="597" spans="1:16" hidden="1" x14ac:dyDescent="0.25">
      <c r="A597">
        <v>596</v>
      </c>
      <c r="B597" t="s">
        <v>653</v>
      </c>
      <c r="C597" t="s">
        <v>701</v>
      </c>
      <c r="D597" t="s">
        <v>814</v>
      </c>
      <c r="E597" t="s">
        <v>14</v>
      </c>
      <c r="F597" t="s">
        <v>15</v>
      </c>
      <c r="G597" t="s">
        <v>122</v>
      </c>
      <c r="H597" t="s">
        <v>703</v>
      </c>
      <c r="I597" t="s">
        <v>20</v>
      </c>
      <c r="J597" t="s">
        <v>823</v>
      </c>
      <c r="K597">
        <v>6</v>
      </c>
      <c r="L597">
        <v>1</v>
      </c>
      <c r="M597">
        <v>3</v>
      </c>
      <c r="N597">
        <v>596</v>
      </c>
      <c r="O597" t="str">
        <f>_xlfn.XLOOKUP(Table4[[#This Row],[id]],VALINA[id],VALINA[name])</f>
        <v>Touva</v>
      </c>
      <c r="P597">
        <f>_xlfn.XLOOKUP(Table4[[#This Row],[id]],prov_color!A:A,prov_color!C:C)</f>
        <v>86</v>
      </c>
    </row>
    <row r="598" spans="1:16" hidden="1" x14ac:dyDescent="0.25">
      <c r="A598">
        <v>597</v>
      </c>
      <c r="B598" t="s">
        <v>653</v>
      </c>
      <c r="C598" t="s">
        <v>701</v>
      </c>
      <c r="D598" t="s">
        <v>820</v>
      </c>
      <c r="E598" t="s">
        <v>14</v>
      </c>
      <c r="F598" t="s">
        <v>15</v>
      </c>
      <c r="G598" t="s">
        <v>122</v>
      </c>
      <c r="H598" t="s">
        <v>821</v>
      </c>
      <c r="I598" t="s">
        <v>20</v>
      </c>
      <c r="J598" t="s">
        <v>824</v>
      </c>
      <c r="K598">
        <v>7</v>
      </c>
      <c r="L598">
        <v>1</v>
      </c>
      <c r="M598">
        <v>1</v>
      </c>
      <c r="N598">
        <v>597</v>
      </c>
      <c r="O598" t="str">
        <f>_xlfn.XLOOKUP(Table4[[#This Row],[id]],VALINA[id],VALINA[name])</f>
        <v>Saian</v>
      </c>
      <c r="P598">
        <f>_xlfn.XLOOKUP(Table4[[#This Row],[id]],prov_color!A:A,prov_color!C:C)</f>
        <v>98</v>
      </c>
    </row>
    <row r="599" spans="1:16" hidden="1" x14ac:dyDescent="0.25">
      <c r="A599">
        <v>598</v>
      </c>
      <c r="B599" t="s">
        <v>653</v>
      </c>
      <c r="C599" t="s">
        <v>701</v>
      </c>
      <c r="D599" t="s">
        <v>820</v>
      </c>
      <c r="E599" t="s">
        <v>34</v>
      </c>
      <c r="F599" t="s">
        <v>15</v>
      </c>
      <c r="G599" t="s">
        <v>122</v>
      </c>
      <c r="H599" t="s">
        <v>821</v>
      </c>
      <c r="I599" t="s">
        <v>20</v>
      </c>
      <c r="J599" t="s">
        <v>825</v>
      </c>
      <c r="K599">
        <v>6</v>
      </c>
      <c r="L599">
        <v>1</v>
      </c>
      <c r="M599">
        <v>1</v>
      </c>
      <c r="N599">
        <v>598</v>
      </c>
      <c r="O599" t="str">
        <f>_xlfn.XLOOKUP(Table4[[#This Row],[id]],VALINA[id],VALINA[name])</f>
        <v>Zima</v>
      </c>
      <c r="P599">
        <f>_xlfn.XLOOKUP(Table4[[#This Row],[id]],prov_color!A:A,prov_color!C:C)</f>
        <v>60</v>
      </c>
    </row>
    <row r="600" spans="1:16" hidden="1" x14ac:dyDescent="0.25">
      <c r="A600">
        <v>599</v>
      </c>
      <c r="B600" t="s">
        <v>653</v>
      </c>
      <c r="C600" t="s">
        <v>701</v>
      </c>
      <c r="D600" t="s">
        <v>820</v>
      </c>
      <c r="E600" t="s">
        <v>14</v>
      </c>
      <c r="F600" t="s">
        <v>15</v>
      </c>
      <c r="G600" t="s">
        <v>122</v>
      </c>
      <c r="H600" t="s">
        <v>821</v>
      </c>
      <c r="I600" t="s">
        <v>20</v>
      </c>
      <c r="J600" t="s">
        <v>826</v>
      </c>
      <c r="K600">
        <v>7</v>
      </c>
      <c r="L600">
        <v>1</v>
      </c>
      <c r="M600">
        <v>2</v>
      </c>
      <c r="N600">
        <v>599</v>
      </c>
      <c r="O600" t="str">
        <f>_xlfn.XLOOKUP(Table4[[#This Row],[id]],VALINA[id],VALINA[name])</f>
        <v>Tannu Ola</v>
      </c>
      <c r="P600">
        <f>_xlfn.XLOOKUP(Table4[[#This Row],[id]],prov_color!A:A,prov_color!C:C)</f>
        <v>64</v>
      </c>
    </row>
    <row r="601" spans="1:16" hidden="1" x14ac:dyDescent="0.25">
      <c r="A601">
        <v>600</v>
      </c>
      <c r="B601" t="s">
        <v>653</v>
      </c>
      <c r="C601" t="s">
        <v>701</v>
      </c>
      <c r="D601" t="s">
        <v>820</v>
      </c>
      <c r="E601" t="s">
        <v>34</v>
      </c>
      <c r="F601" t="s">
        <v>15</v>
      </c>
      <c r="G601" t="s">
        <v>122</v>
      </c>
      <c r="H601" t="s">
        <v>821</v>
      </c>
      <c r="I601" t="s">
        <v>27</v>
      </c>
      <c r="J601" t="s">
        <v>827</v>
      </c>
      <c r="K601">
        <v>6</v>
      </c>
      <c r="L601">
        <v>1</v>
      </c>
      <c r="M601">
        <v>3</v>
      </c>
      <c r="N601">
        <v>600</v>
      </c>
      <c r="O601" t="str">
        <f>_xlfn.XLOOKUP(Table4[[#This Row],[id]],VALINA[id],VALINA[name])</f>
        <v>Irkutsk</v>
      </c>
      <c r="P601">
        <f>_xlfn.XLOOKUP(Table4[[#This Row],[id]],prov_color!A:A,prov_color!C:C)</f>
        <v>82</v>
      </c>
    </row>
    <row r="602" spans="1:16" hidden="1" x14ac:dyDescent="0.25">
      <c r="A602">
        <v>601</v>
      </c>
      <c r="B602" t="s">
        <v>653</v>
      </c>
      <c r="C602" t="s">
        <v>701</v>
      </c>
      <c r="D602" t="s">
        <v>820</v>
      </c>
      <c r="E602" t="s">
        <v>14</v>
      </c>
      <c r="F602" t="s">
        <v>15</v>
      </c>
      <c r="G602" t="s">
        <v>122</v>
      </c>
      <c r="H602" t="s">
        <v>821</v>
      </c>
      <c r="I602" t="s">
        <v>27</v>
      </c>
      <c r="J602" t="s">
        <v>828</v>
      </c>
      <c r="K602">
        <v>6</v>
      </c>
      <c r="L602">
        <v>1</v>
      </c>
      <c r="M602">
        <v>1</v>
      </c>
      <c r="N602">
        <v>601</v>
      </c>
      <c r="O602" t="str">
        <f>_xlfn.XLOOKUP(Table4[[#This Row],[id]],VALINA[id],VALINA[name])</f>
        <v>Chatga</v>
      </c>
      <c r="P602">
        <f>_xlfn.XLOOKUP(Table4[[#This Row],[id]],prov_color!A:A,prov_color!C:C)</f>
        <v>70</v>
      </c>
    </row>
    <row r="603" spans="1:16" hidden="1" x14ac:dyDescent="0.25">
      <c r="A603">
        <v>602</v>
      </c>
      <c r="B603" t="s">
        <v>653</v>
      </c>
      <c r="C603" t="s">
        <v>701</v>
      </c>
      <c r="D603" t="s">
        <v>820</v>
      </c>
      <c r="E603" t="s">
        <v>34</v>
      </c>
      <c r="F603" t="s">
        <v>15</v>
      </c>
      <c r="G603" t="s">
        <v>122</v>
      </c>
      <c r="H603" t="s">
        <v>821</v>
      </c>
      <c r="I603" t="s">
        <v>41</v>
      </c>
      <c r="J603" t="s">
        <v>829</v>
      </c>
      <c r="K603">
        <v>6</v>
      </c>
      <c r="L603">
        <v>1</v>
      </c>
      <c r="M603">
        <v>2</v>
      </c>
      <c r="N603">
        <v>602</v>
      </c>
      <c r="O603" t="str">
        <f>_xlfn.XLOOKUP(Table4[[#This Row],[id]],VALINA[id],VALINA[name])</f>
        <v>Selenga</v>
      </c>
      <c r="P603">
        <f>_xlfn.XLOOKUP(Table4[[#This Row],[id]],prov_color!A:A,prov_color!C:C)</f>
        <v>77</v>
      </c>
    </row>
    <row r="604" spans="1:16" hidden="1" x14ac:dyDescent="0.25">
      <c r="A604">
        <v>603</v>
      </c>
      <c r="B604" t="s">
        <v>653</v>
      </c>
      <c r="C604" t="s">
        <v>701</v>
      </c>
      <c r="D604" t="s">
        <v>820</v>
      </c>
      <c r="E604" t="s">
        <v>22</v>
      </c>
      <c r="F604" t="s">
        <v>15</v>
      </c>
      <c r="G604" t="s">
        <v>122</v>
      </c>
      <c r="H604" t="s">
        <v>821</v>
      </c>
      <c r="I604" t="s">
        <v>20</v>
      </c>
      <c r="J604" t="s">
        <v>830</v>
      </c>
      <c r="K604">
        <v>6</v>
      </c>
      <c r="L604">
        <v>1</v>
      </c>
      <c r="M604">
        <v>2</v>
      </c>
      <c r="N604">
        <v>603</v>
      </c>
      <c r="O604" t="str">
        <f>_xlfn.XLOOKUP(Table4[[#This Row],[id]],VALINA[id],VALINA[name])</f>
        <v>Ulan Ude</v>
      </c>
      <c r="P604">
        <f>_xlfn.XLOOKUP(Table4[[#This Row],[id]],prov_color!A:A,prov_color!C:C)</f>
        <v>65</v>
      </c>
    </row>
    <row r="605" spans="1:16" hidden="1" x14ac:dyDescent="0.25">
      <c r="A605">
        <v>604</v>
      </c>
      <c r="B605" t="s">
        <v>653</v>
      </c>
      <c r="C605" t="s">
        <v>701</v>
      </c>
      <c r="D605" t="s">
        <v>820</v>
      </c>
      <c r="E605" t="s">
        <v>14</v>
      </c>
      <c r="F605" t="s">
        <v>15</v>
      </c>
      <c r="G605" t="s">
        <v>122</v>
      </c>
      <c r="H605" t="s">
        <v>821</v>
      </c>
      <c r="I605" t="s">
        <v>18</v>
      </c>
      <c r="J605" t="s">
        <v>831</v>
      </c>
      <c r="K605">
        <v>8</v>
      </c>
      <c r="L605">
        <v>1</v>
      </c>
      <c r="M605">
        <v>1</v>
      </c>
      <c r="N605">
        <v>604</v>
      </c>
      <c r="O605" t="str">
        <f>_xlfn.XLOOKUP(Table4[[#This Row],[id]],VALINA[id],VALINA[name])</f>
        <v>Buriat</v>
      </c>
      <c r="P605">
        <f>_xlfn.XLOOKUP(Table4[[#This Row],[id]],prov_color!A:A,prov_color!C:C)</f>
        <v>82</v>
      </c>
    </row>
    <row r="606" spans="1:16" hidden="1" x14ac:dyDescent="0.25">
      <c r="A606">
        <v>605</v>
      </c>
      <c r="B606" t="s">
        <v>653</v>
      </c>
      <c r="C606" t="s">
        <v>701</v>
      </c>
      <c r="D606" t="s">
        <v>820</v>
      </c>
      <c r="E606" t="s">
        <v>22</v>
      </c>
      <c r="F606" t="s">
        <v>15</v>
      </c>
      <c r="G606" t="s">
        <v>122</v>
      </c>
      <c r="H606" t="s">
        <v>821</v>
      </c>
      <c r="I606" t="s">
        <v>41</v>
      </c>
      <c r="J606" t="s">
        <v>832</v>
      </c>
      <c r="K606">
        <v>6</v>
      </c>
      <c r="L606">
        <v>1</v>
      </c>
      <c r="M606">
        <v>4</v>
      </c>
      <c r="N606">
        <v>605</v>
      </c>
      <c r="O606" t="str">
        <f>_xlfn.XLOOKUP(Table4[[#This Row],[id]],VALINA[id],VALINA[name])</f>
        <v>Tchita</v>
      </c>
      <c r="P606">
        <f>_xlfn.XLOOKUP(Table4[[#This Row],[id]],prov_color!A:A,prov_color!C:C)</f>
        <v>77</v>
      </c>
    </row>
    <row r="607" spans="1:16" hidden="1" x14ac:dyDescent="0.25">
      <c r="A607">
        <v>606</v>
      </c>
      <c r="B607" t="s">
        <v>653</v>
      </c>
      <c r="C607" t="s">
        <v>701</v>
      </c>
      <c r="D607" t="s">
        <v>820</v>
      </c>
      <c r="E607" t="s">
        <v>22</v>
      </c>
      <c r="F607" t="s">
        <v>15</v>
      </c>
      <c r="G607" t="s">
        <v>122</v>
      </c>
      <c r="H607" t="s">
        <v>821</v>
      </c>
      <c r="I607" t="s">
        <v>20</v>
      </c>
      <c r="J607" t="s">
        <v>833</v>
      </c>
      <c r="K607">
        <v>7</v>
      </c>
      <c r="L607">
        <v>1</v>
      </c>
      <c r="M607">
        <v>2</v>
      </c>
      <c r="N607">
        <v>606</v>
      </c>
      <c r="O607" t="str">
        <f>_xlfn.XLOOKUP(Table4[[#This Row],[id]],VALINA[id],VALINA[name])</f>
        <v>Kalakan</v>
      </c>
      <c r="P607">
        <f>_xlfn.XLOOKUP(Table4[[#This Row],[id]],prov_color!A:A,prov_color!C:C)</f>
        <v>70</v>
      </c>
    </row>
    <row r="608" spans="1:16" hidden="1" x14ac:dyDescent="0.25">
      <c r="A608">
        <v>607</v>
      </c>
      <c r="B608" t="s">
        <v>653</v>
      </c>
      <c r="C608" t="s">
        <v>701</v>
      </c>
      <c r="D608" t="s">
        <v>834</v>
      </c>
      <c r="E608" t="s">
        <v>22</v>
      </c>
      <c r="F608" t="s">
        <v>15</v>
      </c>
      <c r="G608" t="s">
        <v>122</v>
      </c>
      <c r="H608" t="s">
        <v>821</v>
      </c>
      <c r="I608" t="s">
        <v>20</v>
      </c>
      <c r="J608" t="s">
        <v>835</v>
      </c>
      <c r="K608">
        <v>7</v>
      </c>
      <c r="L608">
        <v>1</v>
      </c>
      <c r="M608">
        <v>3</v>
      </c>
      <c r="N608">
        <v>607</v>
      </c>
      <c r="O608" t="str">
        <f>_xlfn.XLOOKUP(Table4[[#This Row],[id]],VALINA[id],VALINA[name])</f>
        <v>Sretensk</v>
      </c>
      <c r="P608">
        <f>_xlfn.XLOOKUP(Table4[[#This Row],[id]],prov_color!A:A,prov_color!C:C)</f>
        <v>73</v>
      </c>
    </row>
    <row r="609" spans="1:16" hidden="1" x14ac:dyDescent="0.25">
      <c r="A609">
        <v>608</v>
      </c>
      <c r="B609" t="s">
        <v>653</v>
      </c>
      <c r="C609" t="s">
        <v>701</v>
      </c>
      <c r="D609" t="s">
        <v>834</v>
      </c>
      <c r="E609" t="s">
        <v>22</v>
      </c>
      <c r="F609" t="s">
        <v>15</v>
      </c>
      <c r="G609" t="s">
        <v>122</v>
      </c>
      <c r="H609" t="s">
        <v>821</v>
      </c>
      <c r="I609" t="s">
        <v>212</v>
      </c>
      <c r="J609" t="s">
        <v>836</v>
      </c>
      <c r="K609">
        <v>7</v>
      </c>
      <c r="L609">
        <v>1</v>
      </c>
      <c r="M609">
        <v>2</v>
      </c>
      <c r="N609">
        <v>608</v>
      </c>
      <c r="O609" t="str">
        <f>_xlfn.XLOOKUP(Table4[[#This Row],[id]],VALINA[id],VALINA[name])</f>
        <v>Kalar</v>
      </c>
      <c r="P609">
        <f>_xlfn.XLOOKUP(Table4[[#This Row],[id]],prov_color!A:A,prov_color!C:C)</f>
        <v>67</v>
      </c>
    </row>
    <row r="610" spans="1:16" hidden="1" x14ac:dyDescent="0.25">
      <c r="A610">
        <v>609</v>
      </c>
      <c r="B610" t="s">
        <v>653</v>
      </c>
      <c r="C610" t="s">
        <v>701</v>
      </c>
      <c r="D610" t="s">
        <v>834</v>
      </c>
      <c r="E610" t="s">
        <v>22</v>
      </c>
      <c r="F610" t="s">
        <v>15</v>
      </c>
      <c r="G610" t="s">
        <v>122</v>
      </c>
      <c r="H610" t="s">
        <v>821</v>
      </c>
      <c r="I610" t="s">
        <v>27</v>
      </c>
      <c r="J610" t="s">
        <v>837</v>
      </c>
      <c r="K610">
        <v>7</v>
      </c>
      <c r="L610">
        <v>1</v>
      </c>
      <c r="M610">
        <v>2</v>
      </c>
      <c r="N610">
        <v>609</v>
      </c>
      <c r="O610" t="str">
        <f>_xlfn.XLOOKUP(Table4[[#This Row],[id]],VALINA[id],VALINA[name])</f>
        <v>Mogotcha</v>
      </c>
      <c r="P610">
        <f>_xlfn.XLOOKUP(Table4[[#This Row],[id]],prov_color!A:A,prov_color!C:C)</f>
        <v>64</v>
      </c>
    </row>
    <row r="611" spans="1:16" hidden="1" x14ac:dyDescent="0.25">
      <c r="A611">
        <v>610</v>
      </c>
      <c r="B611" t="s">
        <v>653</v>
      </c>
      <c r="C611" t="s">
        <v>701</v>
      </c>
      <c r="D611" t="s">
        <v>834</v>
      </c>
      <c r="E611" t="s">
        <v>22</v>
      </c>
      <c r="F611" t="s">
        <v>15</v>
      </c>
      <c r="G611" t="s">
        <v>122</v>
      </c>
      <c r="H611" t="s">
        <v>821</v>
      </c>
      <c r="I611" t="s">
        <v>27</v>
      </c>
      <c r="J611" t="s">
        <v>838</v>
      </c>
      <c r="K611">
        <v>7</v>
      </c>
      <c r="L611">
        <v>1</v>
      </c>
      <c r="M611">
        <v>2</v>
      </c>
      <c r="N611">
        <v>610</v>
      </c>
      <c r="O611" t="str">
        <f>_xlfn.XLOOKUP(Table4[[#This Row],[id]],VALINA[id],VALINA[name])</f>
        <v>Djagdi</v>
      </c>
      <c r="P611">
        <f>_xlfn.XLOOKUP(Table4[[#This Row],[id]],prov_color!A:A,prov_color!C:C)</f>
        <v>89</v>
      </c>
    </row>
    <row r="612" spans="1:16" hidden="1" x14ac:dyDescent="0.25">
      <c r="A612">
        <v>611</v>
      </c>
      <c r="B612" t="s">
        <v>653</v>
      </c>
      <c r="C612" t="s">
        <v>701</v>
      </c>
      <c r="D612" t="s">
        <v>834</v>
      </c>
      <c r="E612" t="s">
        <v>34</v>
      </c>
      <c r="F612" t="s">
        <v>15</v>
      </c>
      <c r="G612" t="s">
        <v>122</v>
      </c>
      <c r="H612" t="s">
        <v>821</v>
      </c>
      <c r="I612" t="s">
        <v>20</v>
      </c>
      <c r="J612" t="s">
        <v>839</v>
      </c>
      <c r="K612">
        <v>6</v>
      </c>
      <c r="L612">
        <v>1</v>
      </c>
      <c r="M612">
        <v>3</v>
      </c>
      <c r="N612">
        <v>611</v>
      </c>
      <c r="O612" t="str">
        <f>_xlfn.XLOOKUP(Table4[[#This Row],[id]],VALINA[id],VALINA[name])</f>
        <v>Chilka</v>
      </c>
      <c r="P612">
        <f>_xlfn.XLOOKUP(Table4[[#This Row],[id]],prov_color!A:A,prov_color!C:C)</f>
        <v>46</v>
      </c>
    </row>
    <row r="613" spans="1:16" hidden="1" x14ac:dyDescent="0.25">
      <c r="A613">
        <v>612</v>
      </c>
      <c r="B613" t="s">
        <v>653</v>
      </c>
      <c r="C613" t="s">
        <v>701</v>
      </c>
      <c r="D613" t="s">
        <v>834</v>
      </c>
      <c r="E613" t="s">
        <v>22</v>
      </c>
      <c r="F613" t="s">
        <v>15</v>
      </c>
      <c r="G613" t="s">
        <v>122</v>
      </c>
      <c r="H613" t="s">
        <v>821</v>
      </c>
      <c r="I613" t="s">
        <v>27</v>
      </c>
      <c r="J613" t="s">
        <v>840</v>
      </c>
      <c r="K613">
        <v>8</v>
      </c>
      <c r="L613">
        <v>1</v>
      </c>
      <c r="M613">
        <v>1</v>
      </c>
      <c r="N613">
        <v>612</v>
      </c>
      <c r="O613" t="str">
        <f>_xlfn.XLOOKUP(Table4[[#This Row],[id]],VALINA[id],VALINA[name])</f>
        <v>Stanovoe</v>
      </c>
      <c r="P613">
        <f>_xlfn.XLOOKUP(Table4[[#This Row],[id]],prov_color!A:A,prov_color!C:C)</f>
        <v>76</v>
      </c>
    </row>
    <row r="614" spans="1:16" hidden="1" x14ac:dyDescent="0.25">
      <c r="A614">
        <v>613</v>
      </c>
      <c r="B614" t="s">
        <v>653</v>
      </c>
      <c r="C614" t="s">
        <v>701</v>
      </c>
      <c r="D614" t="s">
        <v>841</v>
      </c>
      <c r="E614" t="s">
        <v>22</v>
      </c>
      <c r="F614" t="s">
        <v>15</v>
      </c>
      <c r="G614" t="s">
        <v>122</v>
      </c>
      <c r="H614" t="s">
        <v>703</v>
      </c>
      <c r="I614" t="s">
        <v>20</v>
      </c>
      <c r="J614" t="s">
        <v>842</v>
      </c>
      <c r="K614">
        <v>7</v>
      </c>
      <c r="L614">
        <v>1</v>
      </c>
      <c r="M614">
        <v>1</v>
      </c>
      <c r="N614">
        <v>613</v>
      </c>
      <c r="O614" t="str">
        <f>_xlfn.XLOOKUP(Table4[[#This Row],[id]],VALINA[id],VALINA[name])</f>
        <v>Baladok</v>
      </c>
      <c r="P614">
        <f>_xlfn.XLOOKUP(Table4[[#This Row],[id]],prov_color!A:A,prov_color!C:C)</f>
        <v>74</v>
      </c>
    </row>
    <row r="615" spans="1:16" hidden="1" x14ac:dyDescent="0.25">
      <c r="A615">
        <v>614</v>
      </c>
      <c r="B615" t="s">
        <v>653</v>
      </c>
      <c r="C615" t="s">
        <v>701</v>
      </c>
      <c r="D615" t="s">
        <v>841</v>
      </c>
      <c r="E615" t="s">
        <v>22</v>
      </c>
      <c r="F615" t="s">
        <v>15</v>
      </c>
      <c r="G615" t="s">
        <v>122</v>
      </c>
      <c r="H615" t="s">
        <v>703</v>
      </c>
      <c r="I615" t="s">
        <v>27</v>
      </c>
      <c r="J615" t="s">
        <v>843</v>
      </c>
      <c r="K615">
        <v>7</v>
      </c>
      <c r="L615">
        <v>1</v>
      </c>
      <c r="M615">
        <v>1</v>
      </c>
      <c r="N615">
        <v>614</v>
      </c>
      <c r="O615" t="str">
        <f>_xlfn.XLOOKUP(Table4[[#This Row],[id]],VALINA[id],VALINA[name])</f>
        <v>Djugdjur</v>
      </c>
      <c r="P615">
        <f>_xlfn.XLOOKUP(Table4[[#This Row],[id]],prov_color!A:A,prov_color!C:C)</f>
        <v>70</v>
      </c>
    </row>
    <row r="616" spans="1:16" hidden="1" x14ac:dyDescent="0.25">
      <c r="A616">
        <v>615</v>
      </c>
      <c r="B616" t="s">
        <v>653</v>
      </c>
      <c r="C616" t="s">
        <v>701</v>
      </c>
      <c r="D616" t="s">
        <v>841</v>
      </c>
      <c r="E616" t="s">
        <v>14</v>
      </c>
      <c r="F616" t="s">
        <v>15</v>
      </c>
      <c r="G616" t="s">
        <v>122</v>
      </c>
      <c r="H616" t="s">
        <v>703</v>
      </c>
      <c r="I616" t="s">
        <v>18</v>
      </c>
      <c r="J616" t="s">
        <v>844</v>
      </c>
      <c r="K616">
        <v>8</v>
      </c>
      <c r="L616">
        <v>1</v>
      </c>
      <c r="M616">
        <v>1</v>
      </c>
      <c r="N616">
        <v>615</v>
      </c>
      <c r="O616" t="str">
        <f>_xlfn.XLOOKUP(Table4[[#This Row],[id]],VALINA[id],VALINA[name])</f>
        <v>Enkan</v>
      </c>
      <c r="P616">
        <f>_xlfn.XLOOKUP(Table4[[#This Row],[id]],prov_color!A:A,prov_color!C:C)</f>
        <v>45</v>
      </c>
    </row>
    <row r="617" spans="1:16" hidden="1" x14ac:dyDescent="0.25">
      <c r="A617">
        <v>616</v>
      </c>
      <c r="B617" t="s">
        <v>653</v>
      </c>
      <c r="C617" t="s">
        <v>701</v>
      </c>
      <c r="D617" t="s">
        <v>841</v>
      </c>
      <c r="E617" t="s">
        <v>22</v>
      </c>
      <c r="F617" t="s">
        <v>15</v>
      </c>
      <c r="G617" t="s">
        <v>122</v>
      </c>
      <c r="H617" t="s">
        <v>703</v>
      </c>
      <c r="I617" t="s">
        <v>27</v>
      </c>
      <c r="J617" t="s">
        <v>845</v>
      </c>
      <c r="K617">
        <v>6</v>
      </c>
      <c r="L617">
        <v>1</v>
      </c>
      <c r="M617">
        <v>2</v>
      </c>
      <c r="N617">
        <v>616</v>
      </c>
      <c r="O617" t="str">
        <f>_xlfn.XLOOKUP(Table4[[#This Row],[id]],VALINA[id],VALINA[name])</f>
        <v>Okhotsk</v>
      </c>
      <c r="P617">
        <f>_xlfn.XLOOKUP(Table4[[#This Row],[id]],prov_color!A:A,prov_color!C:C)</f>
        <v>47</v>
      </c>
    </row>
    <row r="618" spans="1:16" hidden="1" x14ac:dyDescent="0.25">
      <c r="A618">
        <v>617</v>
      </c>
      <c r="B618" t="s">
        <v>653</v>
      </c>
      <c r="C618" t="s">
        <v>701</v>
      </c>
      <c r="D618" t="s">
        <v>841</v>
      </c>
      <c r="E618" t="s">
        <v>14</v>
      </c>
      <c r="F618" t="s">
        <v>15</v>
      </c>
      <c r="G618" t="s">
        <v>122</v>
      </c>
      <c r="H618" t="s">
        <v>703</v>
      </c>
      <c r="I618" t="s">
        <v>20</v>
      </c>
      <c r="J618" t="s">
        <v>846</v>
      </c>
      <c r="K618">
        <v>7</v>
      </c>
      <c r="L618">
        <v>1</v>
      </c>
      <c r="M618">
        <v>1</v>
      </c>
      <c r="N618">
        <v>617</v>
      </c>
      <c r="O618" t="str">
        <f>_xlfn.XLOOKUP(Table4[[#This Row],[id]],VALINA[id],VALINA[name])</f>
        <v>Magadan</v>
      </c>
      <c r="P618">
        <f>_xlfn.XLOOKUP(Table4[[#This Row],[id]],prov_color!A:A,prov_color!C:C)</f>
        <v>47</v>
      </c>
    </row>
    <row r="619" spans="1:16" hidden="1" x14ac:dyDescent="0.25">
      <c r="A619">
        <v>618</v>
      </c>
      <c r="B619" t="s">
        <v>653</v>
      </c>
      <c r="C619" t="s">
        <v>701</v>
      </c>
      <c r="D619" t="s">
        <v>847</v>
      </c>
      <c r="E619" t="s">
        <v>14</v>
      </c>
      <c r="F619" t="s">
        <v>15</v>
      </c>
      <c r="G619" t="s">
        <v>16</v>
      </c>
      <c r="H619" t="s">
        <v>703</v>
      </c>
      <c r="I619" t="s">
        <v>212</v>
      </c>
      <c r="J619" t="s">
        <v>848</v>
      </c>
      <c r="K619">
        <v>9</v>
      </c>
      <c r="L619">
        <v>1</v>
      </c>
      <c r="M619">
        <v>1</v>
      </c>
      <c r="N619">
        <v>618</v>
      </c>
      <c r="O619" t="str">
        <f>_xlfn.XLOOKUP(Table4[[#This Row],[id]],VALINA[id],VALINA[name])</f>
        <v>Kolyma</v>
      </c>
      <c r="P619">
        <f>_xlfn.XLOOKUP(Table4[[#This Row],[id]],prov_color!A:A,prov_color!C:C)</f>
        <v>71</v>
      </c>
    </row>
    <row r="620" spans="1:16" hidden="1" x14ac:dyDescent="0.25">
      <c r="A620">
        <v>619</v>
      </c>
      <c r="B620" t="s">
        <v>653</v>
      </c>
      <c r="C620" t="s">
        <v>701</v>
      </c>
      <c r="D620" t="s">
        <v>847</v>
      </c>
      <c r="E620" t="s">
        <v>14</v>
      </c>
      <c r="F620" t="s">
        <v>15</v>
      </c>
      <c r="G620" t="s">
        <v>16</v>
      </c>
      <c r="H620" t="s">
        <v>703</v>
      </c>
      <c r="I620" t="s">
        <v>20</v>
      </c>
      <c r="J620" t="s">
        <v>849</v>
      </c>
      <c r="K620">
        <v>9</v>
      </c>
      <c r="L620">
        <v>1</v>
      </c>
      <c r="M620">
        <v>1</v>
      </c>
      <c r="N620">
        <v>619</v>
      </c>
      <c r="O620" t="str">
        <f>_xlfn.XLOOKUP(Table4[[#This Row],[id]],VALINA[id],VALINA[name])</f>
        <v>Chelekov</v>
      </c>
      <c r="P620">
        <f>_xlfn.XLOOKUP(Table4[[#This Row],[id]],prov_color!A:A,prov_color!C:C)</f>
        <v>55</v>
      </c>
    </row>
    <row r="621" spans="1:16" hidden="1" x14ac:dyDescent="0.25">
      <c r="A621">
        <v>620</v>
      </c>
      <c r="B621" t="s">
        <v>653</v>
      </c>
      <c r="C621" t="s">
        <v>701</v>
      </c>
      <c r="D621" t="s">
        <v>847</v>
      </c>
      <c r="E621" t="s">
        <v>14</v>
      </c>
      <c r="F621" t="s">
        <v>15</v>
      </c>
      <c r="G621" t="s">
        <v>16</v>
      </c>
      <c r="H621" t="s">
        <v>703</v>
      </c>
      <c r="I621" t="s">
        <v>20</v>
      </c>
      <c r="J621" t="s">
        <v>850</v>
      </c>
      <c r="K621">
        <v>8</v>
      </c>
      <c r="L621">
        <v>1</v>
      </c>
      <c r="M621">
        <v>1</v>
      </c>
      <c r="N621">
        <v>620</v>
      </c>
      <c r="O621" t="str">
        <f>_xlfn.XLOOKUP(Table4[[#This Row],[id]],VALINA[id],VALINA[name])</f>
        <v>Kamenkoie</v>
      </c>
      <c r="P621">
        <f>_xlfn.XLOOKUP(Table4[[#This Row],[id]],prov_color!A:A,prov_color!C:C)</f>
        <v>58</v>
      </c>
    </row>
    <row r="622" spans="1:16" hidden="1" x14ac:dyDescent="0.25">
      <c r="A622">
        <v>621</v>
      </c>
      <c r="B622" t="s">
        <v>653</v>
      </c>
      <c r="C622" t="s">
        <v>701</v>
      </c>
      <c r="D622" t="s">
        <v>847</v>
      </c>
      <c r="E622" t="s">
        <v>14</v>
      </c>
      <c r="F622" t="s">
        <v>15</v>
      </c>
      <c r="G622" t="s">
        <v>16</v>
      </c>
      <c r="H622" t="s">
        <v>703</v>
      </c>
      <c r="I622" t="s">
        <v>20</v>
      </c>
      <c r="J622" t="s">
        <v>851</v>
      </c>
      <c r="K622">
        <v>9</v>
      </c>
      <c r="L622">
        <v>1</v>
      </c>
      <c r="M622">
        <v>1</v>
      </c>
      <c r="N622">
        <v>621</v>
      </c>
      <c r="O622" t="str">
        <f>_xlfn.XLOOKUP(Table4[[#This Row],[id]],VALINA[id],VALINA[name])</f>
        <v>Korfa</v>
      </c>
      <c r="P622">
        <f>_xlfn.XLOOKUP(Table4[[#This Row],[id]],prov_color!A:A,prov_color!C:C)</f>
        <v>54</v>
      </c>
    </row>
    <row r="623" spans="1:16" hidden="1" x14ac:dyDescent="0.25">
      <c r="A623">
        <v>622</v>
      </c>
      <c r="B623" t="s">
        <v>653</v>
      </c>
      <c r="C623" t="s">
        <v>701</v>
      </c>
      <c r="D623" t="s">
        <v>847</v>
      </c>
      <c r="E623" t="s">
        <v>14</v>
      </c>
      <c r="F623" t="s">
        <v>15</v>
      </c>
      <c r="G623" t="s">
        <v>16</v>
      </c>
      <c r="H623" t="s">
        <v>703</v>
      </c>
      <c r="I623" t="s">
        <v>27</v>
      </c>
      <c r="J623" t="s">
        <v>852</v>
      </c>
      <c r="K623">
        <v>7</v>
      </c>
      <c r="L623">
        <v>1</v>
      </c>
      <c r="M623">
        <v>1</v>
      </c>
      <c r="N623">
        <v>622</v>
      </c>
      <c r="O623" t="str">
        <f>_xlfn.XLOOKUP(Table4[[#This Row],[id]],VALINA[id],VALINA[name])</f>
        <v>Palana</v>
      </c>
      <c r="P623">
        <f>_xlfn.XLOOKUP(Table4[[#This Row],[id]],prov_color!A:A,prov_color!C:C)</f>
        <v>52</v>
      </c>
    </row>
    <row r="624" spans="1:16" hidden="1" x14ac:dyDescent="0.25">
      <c r="A624">
        <v>623</v>
      </c>
      <c r="B624" t="s">
        <v>653</v>
      </c>
      <c r="C624" t="s">
        <v>701</v>
      </c>
      <c r="D624" t="s">
        <v>841</v>
      </c>
      <c r="E624" t="s">
        <v>22</v>
      </c>
      <c r="F624" t="s">
        <v>15</v>
      </c>
      <c r="G624" t="s">
        <v>122</v>
      </c>
      <c r="H624" t="s">
        <v>703</v>
      </c>
      <c r="I624" t="s">
        <v>29</v>
      </c>
      <c r="J624" t="s">
        <v>853</v>
      </c>
      <c r="K624">
        <v>7</v>
      </c>
      <c r="L624">
        <v>1</v>
      </c>
      <c r="M624">
        <v>2</v>
      </c>
      <c r="N624">
        <v>623</v>
      </c>
      <c r="O624" t="str">
        <f>_xlfn.XLOOKUP(Table4[[#This Row],[id]],VALINA[id],VALINA[name])</f>
        <v>Tchumkan</v>
      </c>
      <c r="P624">
        <f>_xlfn.XLOOKUP(Table4[[#This Row],[id]],prov_color!A:A,prov_color!C:C)</f>
        <v>39</v>
      </c>
    </row>
    <row r="625" spans="1:16" hidden="1" x14ac:dyDescent="0.25">
      <c r="A625">
        <v>624</v>
      </c>
      <c r="B625" t="s">
        <v>653</v>
      </c>
      <c r="C625" t="s">
        <v>701</v>
      </c>
      <c r="D625" t="s">
        <v>841</v>
      </c>
      <c r="E625" t="s">
        <v>22</v>
      </c>
      <c r="F625" t="s">
        <v>15</v>
      </c>
      <c r="G625" t="s">
        <v>122</v>
      </c>
      <c r="H625" t="s">
        <v>703</v>
      </c>
      <c r="I625" t="s">
        <v>20</v>
      </c>
      <c r="J625" t="s">
        <v>854</v>
      </c>
      <c r="K625">
        <v>7</v>
      </c>
      <c r="L625">
        <v>1</v>
      </c>
      <c r="M625">
        <v>1</v>
      </c>
      <c r="N625">
        <v>624</v>
      </c>
      <c r="O625" t="str">
        <f>_xlfn.XLOOKUP(Table4[[#This Row],[id]],VALINA[id],VALINA[name])</f>
        <v>Amgoun</v>
      </c>
      <c r="P625">
        <f>_xlfn.XLOOKUP(Table4[[#This Row],[id]],prov_color!A:A,prov_color!C:C)</f>
        <v>54</v>
      </c>
    </row>
    <row r="626" spans="1:16" hidden="1" x14ac:dyDescent="0.25">
      <c r="A626">
        <v>625</v>
      </c>
      <c r="B626" t="s">
        <v>653</v>
      </c>
      <c r="C626" t="s">
        <v>701</v>
      </c>
      <c r="D626" t="s">
        <v>841</v>
      </c>
      <c r="E626" t="s">
        <v>22</v>
      </c>
      <c r="F626" t="s">
        <v>15</v>
      </c>
      <c r="G626" t="s">
        <v>122</v>
      </c>
      <c r="H626" t="s">
        <v>855</v>
      </c>
      <c r="I626" t="s">
        <v>27</v>
      </c>
      <c r="J626" t="s">
        <v>856</v>
      </c>
      <c r="K626">
        <v>6</v>
      </c>
      <c r="L626">
        <v>2</v>
      </c>
      <c r="M626">
        <v>1</v>
      </c>
      <c r="N626">
        <v>625</v>
      </c>
      <c r="O626" t="str">
        <f>_xlfn.XLOOKUP(Table4[[#This Row],[id]],VALINA[id],VALINA[name])</f>
        <v>Bogorodsk</v>
      </c>
      <c r="P626">
        <f>_xlfn.XLOOKUP(Table4[[#This Row],[id]],prov_color!A:A,prov_color!C:C)</f>
        <v>33</v>
      </c>
    </row>
    <row r="627" spans="1:16" hidden="1" x14ac:dyDescent="0.25">
      <c r="A627">
        <v>626</v>
      </c>
      <c r="B627" t="s">
        <v>653</v>
      </c>
      <c r="C627" t="s">
        <v>701</v>
      </c>
      <c r="D627" t="s">
        <v>841</v>
      </c>
      <c r="E627" t="s">
        <v>14</v>
      </c>
      <c r="F627" t="s">
        <v>15</v>
      </c>
      <c r="G627" t="s">
        <v>122</v>
      </c>
      <c r="H627" t="s">
        <v>855</v>
      </c>
      <c r="I627" t="s">
        <v>27</v>
      </c>
      <c r="J627" t="s">
        <v>857</v>
      </c>
      <c r="K627">
        <v>7</v>
      </c>
      <c r="L627">
        <v>2</v>
      </c>
      <c r="M627">
        <v>1</v>
      </c>
      <c r="N627">
        <v>626</v>
      </c>
      <c r="O627" t="str">
        <f>_xlfn.XLOOKUP(Table4[[#This Row],[id]],VALINA[id],VALINA[name])</f>
        <v>Vanin</v>
      </c>
      <c r="P627">
        <f>_xlfn.XLOOKUP(Table4[[#This Row],[id]],prov_color!A:A,prov_color!C:C)</f>
        <v>47</v>
      </c>
    </row>
    <row r="628" spans="1:16" hidden="1" x14ac:dyDescent="0.25">
      <c r="A628">
        <v>627</v>
      </c>
      <c r="B628" t="s">
        <v>653</v>
      </c>
      <c r="C628" t="s">
        <v>701</v>
      </c>
      <c r="D628" t="s">
        <v>841</v>
      </c>
      <c r="E628" t="s">
        <v>22</v>
      </c>
      <c r="F628" t="s">
        <v>858</v>
      </c>
      <c r="G628" t="s">
        <v>122</v>
      </c>
      <c r="H628" t="s">
        <v>859</v>
      </c>
      <c r="I628" t="s">
        <v>29</v>
      </c>
      <c r="J628" t="s">
        <v>860</v>
      </c>
      <c r="K628">
        <v>6</v>
      </c>
      <c r="L628">
        <v>2</v>
      </c>
      <c r="M628">
        <v>1</v>
      </c>
      <c r="N628">
        <v>627</v>
      </c>
      <c r="O628" t="str">
        <f>_xlfn.XLOOKUP(Table4[[#This Row],[id]],VALINA[id],VALINA[name])</f>
        <v>Sofiisk</v>
      </c>
      <c r="P628">
        <f>_xlfn.XLOOKUP(Table4[[#This Row],[id]],prov_color!A:A,prov_color!C:C)</f>
        <v>57</v>
      </c>
    </row>
    <row r="629" spans="1:16" hidden="1" x14ac:dyDescent="0.25">
      <c r="A629">
        <v>628</v>
      </c>
      <c r="B629" t="s">
        <v>653</v>
      </c>
      <c r="C629" t="s">
        <v>701</v>
      </c>
      <c r="D629" t="s">
        <v>841</v>
      </c>
      <c r="E629" t="s">
        <v>22</v>
      </c>
      <c r="F629" t="s">
        <v>858</v>
      </c>
      <c r="G629" t="s">
        <v>122</v>
      </c>
      <c r="H629" t="s">
        <v>859</v>
      </c>
      <c r="I629" t="s">
        <v>20</v>
      </c>
      <c r="J629" t="s">
        <v>861</v>
      </c>
      <c r="K629">
        <v>6</v>
      </c>
      <c r="L629">
        <v>3</v>
      </c>
      <c r="M629">
        <v>2</v>
      </c>
      <c r="N629">
        <v>628</v>
      </c>
      <c r="O629" t="str">
        <f>_xlfn.XLOOKUP(Table4[[#This Row],[id]],VALINA[id],VALINA[name])</f>
        <v>Amour</v>
      </c>
      <c r="P629">
        <f>_xlfn.XLOOKUP(Table4[[#This Row],[id]],prov_color!A:A,prov_color!C:C)</f>
        <v>47</v>
      </c>
    </row>
    <row r="630" spans="1:16" hidden="1" x14ac:dyDescent="0.25">
      <c r="A630">
        <v>629</v>
      </c>
      <c r="B630" t="s">
        <v>653</v>
      </c>
      <c r="C630" t="s">
        <v>701</v>
      </c>
      <c r="D630" t="s">
        <v>841</v>
      </c>
      <c r="E630" t="s">
        <v>22</v>
      </c>
      <c r="F630" t="s">
        <v>15</v>
      </c>
      <c r="G630" t="s">
        <v>122</v>
      </c>
      <c r="H630" t="s">
        <v>703</v>
      </c>
      <c r="I630" t="s">
        <v>20</v>
      </c>
      <c r="J630" t="s">
        <v>862</v>
      </c>
      <c r="K630">
        <v>6</v>
      </c>
      <c r="L630">
        <v>1</v>
      </c>
      <c r="M630">
        <v>2</v>
      </c>
      <c r="N630">
        <v>629</v>
      </c>
      <c r="O630" t="str">
        <f>_xlfn.XLOOKUP(Table4[[#This Row],[id]],VALINA[id],VALINA[name])</f>
        <v>Tchekunda</v>
      </c>
      <c r="P630">
        <f>_xlfn.XLOOKUP(Table4[[#This Row],[id]],prov_color!A:A,prov_color!C:C)</f>
        <v>49</v>
      </c>
    </row>
    <row r="631" spans="1:16" hidden="1" x14ac:dyDescent="0.25">
      <c r="A631">
        <v>630</v>
      </c>
      <c r="B631" t="s">
        <v>653</v>
      </c>
      <c r="C631" t="s">
        <v>701</v>
      </c>
      <c r="D631" t="s">
        <v>834</v>
      </c>
      <c r="E631" t="s">
        <v>22</v>
      </c>
      <c r="F631" t="s">
        <v>15</v>
      </c>
      <c r="G631" t="s">
        <v>122</v>
      </c>
      <c r="H631" t="s">
        <v>821</v>
      </c>
      <c r="I631" t="s">
        <v>20</v>
      </c>
      <c r="J631" t="s">
        <v>863</v>
      </c>
      <c r="K631">
        <v>7</v>
      </c>
      <c r="L631">
        <v>1</v>
      </c>
      <c r="M631">
        <v>2</v>
      </c>
      <c r="N631">
        <v>630</v>
      </c>
      <c r="O631" t="str">
        <f>_xlfn.XLOOKUP(Table4[[#This Row],[id]],VALINA[id],VALINA[name])</f>
        <v>Boureia</v>
      </c>
      <c r="P631">
        <f>_xlfn.XLOOKUP(Table4[[#This Row],[id]],prov_color!A:A,prov_color!C:C)</f>
        <v>39</v>
      </c>
    </row>
    <row r="632" spans="1:16" hidden="1" x14ac:dyDescent="0.25">
      <c r="A632">
        <v>631</v>
      </c>
      <c r="B632" t="s">
        <v>653</v>
      </c>
      <c r="C632" t="s">
        <v>701</v>
      </c>
      <c r="D632" t="s">
        <v>834</v>
      </c>
      <c r="E632" t="s">
        <v>34</v>
      </c>
      <c r="F632" t="s">
        <v>15</v>
      </c>
      <c r="G632" t="s">
        <v>122</v>
      </c>
      <c r="H632" t="s">
        <v>821</v>
      </c>
      <c r="I632" t="s">
        <v>20</v>
      </c>
      <c r="J632" t="s">
        <v>864</v>
      </c>
      <c r="K632">
        <v>7</v>
      </c>
      <c r="L632">
        <v>1</v>
      </c>
      <c r="M632">
        <v>3</v>
      </c>
      <c r="N632">
        <v>631</v>
      </c>
      <c r="O632" t="str">
        <f>_xlfn.XLOOKUP(Table4[[#This Row],[id]],VALINA[id],VALINA[name])</f>
        <v>Ekimcan</v>
      </c>
      <c r="P632">
        <f>_xlfn.XLOOKUP(Table4[[#This Row],[id]],prov_color!A:A,prov_color!C:C)</f>
        <v>44</v>
      </c>
    </row>
    <row r="633" spans="1:16" hidden="1" x14ac:dyDescent="0.25">
      <c r="A633">
        <v>632</v>
      </c>
      <c r="B633" t="s">
        <v>653</v>
      </c>
      <c r="C633" t="s">
        <v>701</v>
      </c>
      <c r="D633" t="s">
        <v>834</v>
      </c>
      <c r="E633" t="s">
        <v>34</v>
      </c>
      <c r="F633" t="s">
        <v>15</v>
      </c>
      <c r="G633" t="s">
        <v>122</v>
      </c>
      <c r="H633" t="s">
        <v>821</v>
      </c>
      <c r="I633" t="s">
        <v>20</v>
      </c>
      <c r="J633" t="s">
        <v>865</v>
      </c>
      <c r="K633">
        <v>6</v>
      </c>
      <c r="L633">
        <v>1</v>
      </c>
      <c r="M633">
        <v>3</v>
      </c>
      <c r="N633">
        <v>632</v>
      </c>
      <c r="O633" t="str">
        <f>_xlfn.XLOOKUP(Table4[[#This Row],[id]],VALINA[id],VALINA[name])</f>
        <v>Nerchiinsk</v>
      </c>
      <c r="P633">
        <f>_xlfn.XLOOKUP(Table4[[#This Row],[id]],prov_color!A:A,prov_color!C:C)</f>
        <v>47</v>
      </c>
    </row>
    <row r="634" spans="1:16" hidden="1" x14ac:dyDescent="0.25">
      <c r="A634">
        <v>633</v>
      </c>
      <c r="B634" t="s">
        <v>653</v>
      </c>
      <c r="C634" t="s">
        <v>701</v>
      </c>
      <c r="D634" t="s">
        <v>834</v>
      </c>
      <c r="E634" t="s">
        <v>22</v>
      </c>
      <c r="F634" t="s">
        <v>858</v>
      </c>
      <c r="G634" t="s">
        <v>122</v>
      </c>
      <c r="H634" t="s">
        <v>821</v>
      </c>
      <c r="I634" t="s">
        <v>20</v>
      </c>
      <c r="J634" t="s">
        <v>866</v>
      </c>
      <c r="K634">
        <v>7</v>
      </c>
      <c r="L634">
        <v>1</v>
      </c>
      <c r="M634">
        <v>2</v>
      </c>
      <c r="N634">
        <v>633</v>
      </c>
      <c r="O634" t="str">
        <f>_xlfn.XLOOKUP(Table4[[#This Row],[id]],VALINA[id],VALINA[name])</f>
        <v>Norsk</v>
      </c>
      <c r="P634">
        <f>_xlfn.XLOOKUP(Table4[[#This Row],[id]],prov_color!A:A,prov_color!C:C)</f>
        <v>52</v>
      </c>
    </row>
    <row r="635" spans="1:16" hidden="1" x14ac:dyDescent="0.25">
      <c r="A635">
        <v>634</v>
      </c>
      <c r="B635" t="s">
        <v>653</v>
      </c>
      <c r="C635" t="s">
        <v>701</v>
      </c>
      <c r="D635" t="s">
        <v>834</v>
      </c>
      <c r="E635" t="s">
        <v>22</v>
      </c>
      <c r="F635" t="s">
        <v>858</v>
      </c>
      <c r="G635" t="s">
        <v>122</v>
      </c>
      <c r="H635" t="s">
        <v>859</v>
      </c>
      <c r="I635" t="s">
        <v>20</v>
      </c>
      <c r="J635" t="s">
        <v>867</v>
      </c>
      <c r="K635">
        <v>7</v>
      </c>
      <c r="L635">
        <v>3</v>
      </c>
      <c r="M635">
        <v>2</v>
      </c>
      <c r="N635">
        <v>634</v>
      </c>
      <c r="O635" t="str">
        <f>_xlfn.XLOOKUP(Table4[[#This Row],[id]],VALINA[id],VALINA[name])</f>
        <v>Birobidjan</v>
      </c>
      <c r="P635">
        <f>_xlfn.XLOOKUP(Table4[[#This Row],[id]],prov_color!A:A,prov_color!C:C)</f>
        <v>45</v>
      </c>
    </row>
    <row r="636" spans="1:16" hidden="1" x14ac:dyDescent="0.25">
      <c r="A636">
        <v>635</v>
      </c>
      <c r="B636" t="s">
        <v>653</v>
      </c>
      <c r="C636" t="s">
        <v>868</v>
      </c>
      <c r="D636" t="s">
        <v>869</v>
      </c>
      <c r="E636" t="s">
        <v>22</v>
      </c>
      <c r="F636" t="s">
        <v>858</v>
      </c>
      <c r="G636" t="s">
        <v>122</v>
      </c>
      <c r="H636" t="s">
        <v>859</v>
      </c>
      <c r="I636" t="s">
        <v>352</v>
      </c>
      <c r="J636" t="s">
        <v>870</v>
      </c>
      <c r="K636">
        <v>7</v>
      </c>
      <c r="L636">
        <v>6</v>
      </c>
      <c r="M636">
        <v>4</v>
      </c>
      <c r="N636">
        <v>635</v>
      </c>
      <c r="O636" t="str">
        <f>_xlfn.XLOOKUP(Table4[[#This Row],[id]],VALINA[id],VALINA[name])</f>
        <v>Heilongjiang</v>
      </c>
      <c r="P636">
        <f>_xlfn.XLOOKUP(Table4[[#This Row],[id]],prov_color!A:A,prov_color!C:C)</f>
        <v>57</v>
      </c>
    </row>
    <row r="637" spans="1:16" hidden="1" x14ac:dyDescent="0.25">
      <c r="A637">
        <v>636</v>
      </c>
      <c r="B637" t="s">
        <v>653</v>
      </c>
      <c r="C637" t="s">
        <v>868</v>
      </c>
      <c r="D637" t="s">
        <v>869</v>
      </c>
      <c r="E637" t="s">
        <v>22</v>
      </c>
      <c r="F637" t="s">
        <v>858</v>
      </c>
      <c r="G637" t="s">
        <v>122</v>
      </c>
      <c r="H637" t="s">
        <v>859</v>
      </c>
      <c r="I637" t="s">
        <v>20</v>
      </c>
      <c r="J637" t="s">
        <v>871</v>
      </c>
      <c r="K637">
        <v>6</v>
      </c>
      <c r="L637">
        <v>3</v>
      </c>
      <c r="M637">
        <v>2</v>
      </c>
      <c r="N637">
        <v>636</v>
      </c>
      <c r="O637" t="str">
        <f>_xlfn.XLOOKUP(Table4[[#This Row],[id]],VALINA[id],VALINA[name])</f>
        <v>Viazemski</v>
      </c>
      <c r="P637">
        <f>_xlfn.XLOOKUP(Table4[[#This Row],[id]],prov_color!A:A,prov_color!C:C)</f>
        <v>50</v>
      </c>
    </row>
    <row r="638" spans="1:16" hidden="1" x14ac:dyDescent="0.25">
      <c r="A638">
        <v>637</v>
      </c>
      <c r="B638" t="s">
        <v>653</v>
      </c>
      <c r="C638" t="s">
        <v>868</v>
      </c>
      <c r="D638" t="s">
        <v>869</v>
      </c>
      <c r="E638" t="s">
        <v>14</v>
      </c>
      <c r="F638" t="s">
        <v>858</v>
      </c>
      <c r="G638" t="s">
        <v>122</v>
      </c>
      <c r="H638" t="s">
        <v>859</v>
      </c>
      <c r="I638" t="s">
        <v>20</v>
      </c>
      <c r="J638" t="s">
        <v>872</v>
      </c>
      <c r="K638">
        <v>7</v>
      </c>
      <c r="L638">
        <v>2</v>
      </c>
      <c r="M638">
        <v>1</v>
      </c>
      <c r="N638">
        <v>637</v>
      </c>
      <c r="O638" t="str">
        <f>_xlfn.XLOOKUP(Table4[[#This Row],[id]],VALINA[id],VALINA[name])</f>
        <v>Sikhote</v>
      </c>
      <c r="P638">
        <f>_xlfn.XLOOKUP(Table4[[#This Row],[id]],prov_color!A:A,prov_color!C:C)</f>
        <v>44</v>
      </c>
    </row>
    <row r="639" spans="1:16" hidden="1" x14ac:dyDescent="0.25">
      <c r="A639">
        <v>638</v>
      </c>
      <c r="B639" t="s">
        <v>653</v>
      </c>
      <c r="C639" t="s">
        <v>868</v>
      </c>
      <c r="D639" t="s">
        <v>869</v>
      </c>
      <c r="E639" t="s">
        <v>14</v>
      </c>
      <c r="F639" t="s">
        <v>858</v>
      </c>
      <c r="G639" t="s">
        <v>122</v>
      </c>
      <c r="H639" t="s">
        <v>859</v>
      </c>
      <c r="I639" t="s">
        <v>141</v>
      </c>
      <c r="J639" t="s">
        <v>873</v>
      </c>
      <c r="K639">
        <v>7</v>
      </c>
      <c r="L639">
        <v>2</v>
      </c>
      <c r="M639">
        <v>1</v>
      </c>
      <c r="N639">
        <v>638</v>
      </c>
      <c r="O639" t="str">
        <f>_xlfn.XLOOKUP(Table4[[#This Row],[id]],VALINA[id],VALINA[name])</f>
        <v>Nelma</v>
      </c>
      <c r="P639">
        <f>_xlfn.XLOOKUP(Table4[[#This Row],[id]],prov_color!A:A,prov_color!C:C)</f>
        <v>37</v>
      </c>
    </row>
    <row r="640" spans="1:16" hidden="1" x14ac:dyDescent="0.25">
      <c r="A640">
        <v>639</v>
      </c>
      <c r="B640" t="s">
        <v>653</v>
      </c>
      <c r="C640" t="s">
        <v>868</v>
      </c>
      <c r="D640" t="s">
        <v>869</v>
      </c>
      <c r="E640" t="s">
        <v>14</v>
      </c>
      <c r="F640" t="s">
        <v>858</v>
      </c>
      <c r="G640" t="s">
        <v>122</v>
      </c>
      <c r="H640" t="s">
        <v>859</v>
      </c>
      <c r="I640" t="s">
        <v>27</v>
      </c>
      <c r="J640" t="s">
        <v>874</v>
      </c>
      <c r="K640">
        <v>7</v>
      </c>
      <c r="L640">
        <v>2</v>
      </c>
      <c r="M640">
        <v>1</v>
      </c>
      <c r="N640">
        <v>639</v>
      </c>
      <c r="O640" t="str">
        <f>_xlfn.XLOOKUP(Table4[[#This Row],[id]],VALINA[id],VALINA[name])</f>
        <v>Olga</v>
      </c>
      <c r="P640">
        <f>_xlfn.XLOOKUP(Table4[[#This Row],[id]],prov_color!A:A,prov_color!C:C)</f>
        <v>52</v>
      </c>
    </row>
    <row r="641" spans="1:16" hidden="1" x14ac:dyDescent="0.25">
      <c r="A641">
        <v>640</v>
      </c>
      <c r="B641" t="s">
        <v>653</v>
      </c>
      <c r="C641" t="s">
        <v>868</v>
      </c>
      <c r="D641" t="s">
        <v>869</v>
      </c>
      <c r="E641" t="s">
        <v>22</v>
      </c>
      <c r="F641" t="s">
        <v>858</v>
      </c>
      <c r="G641" t="s">
        <v>122</v>
      </c>
      <c r="H641" t="s">
        <v>859</v>
      </c>
      <c r="I641" t="s">
        <v>27</v>
      </c>
      <c r="J641" t="s">
        <v>875</v>
      </c>
      <c r="K641">
        <v>5</v>
      </c>
      <c r="L641">
        <v>2</v>
      </c>
      <c r="M641">
        <v>3</v>
      </c>
      <c r="N641">
        <v>640</v>
      </c>
      <c r="O641" t="str">
        <f>_xlfn.XLOOKUP(Table4[[#This Row],[id]],VALINA[id],VALINA[name])</f>
        <v>Nakhodka</v>
      </c>
      <c r="P641">
        <f>_xlfn.XLOOKUP(Table4[[#This Row],[id]],prov_color!A:A,prov_color!C:C)</f>
        <v>49</v>
      </c>
    </row>
    <row r="642" spans="1:16" hidden="1" x14ac:dyDescent="0.25">
      <c r="A642">
        <v>641</v>
      </c>
      <c r="B642" t="s">
        <v>653</v>
      </c>
      <c r="C642" t="s">
        <v>876</v>
      </c>
      <c r="D642" t="s">
        <v>877</v>
      </c>
      <c r="E642" t="s">
        <v>34</v>
      </c>
      <c r="F642" t="s">
        <v>858</v>
      </c>
      <c r="G642" t="s">
        <v>35</v>
      </c>
      <c r="H642" t="s">
        <v>878</v>
      </c>
      <c r="I642" t="s">
        <v>43</v>
      </c>
      <c r="J642" t="s">
        <v>879</v>
      </c>
      <c r="K642">
        <v>5</v>
      </c>
      <c r="L642">
        <v>8</v>
      </c>
      <c r="M642">
        <v>9</v>
      </c>
      <c r="N642">
        <v>641</v>
      </c>
      <c r="O642" t="str">
        <f>_xlfn.XLOOKUP(Table4[[#This Row],[id]],VALINA[id],VALINA[name])</f>
        <v>Kyongju</v>
      </c>
      <c r="P642">
        <f>_xlfn.XLOOKUP(Table4[[#This Row],[id]],prov_color!A:A,prov_color!C:C)</f>
        <v>31</v>
      </c>
    </row>
    <row r="643" spans="1:16" hidden="1" x14ac:dyDescent="0.25">
      <c r="A643">
        <v>642</v>
      </c>
      <c r="B643" t="s">
        <v>653</v>
      </c>
      <c r="C643" t="s">
        <v>876</v>
      </c>
      <c r="D643" t="s">
        <v>877</v>
      </c>
      <c r="E643" t="s">
        <v>14</v>
      </c>
      <c r="F643" t="s">
        <v>858</v>
      </c>
      <c r="G643" t="s">
        <v>26</v>
      </c>
      <c r="H643" t="s">
        <v>878</v>
      </c>
      <c r="I643" t="s">
        <v>685</v>
      </c>
      <c r="J643" t="s">
        <v>880</v>
      </c>
      <c r="K643">
        <v>9</v>
      </c>
      <c r="L643">
        <v>7</v>
      </c>
      <c r="M643">
        <v>13</v>
      </c>
      <c r="N643">
        <v>642</v>
      </c>
      <c r="O643" t="str">
        <f>_xlfn.XLOOKUP(Table4[[#This Row],[id]],VALINA[id],VALINA[name])</f>
        <v>Yalu</v>
      </c>
      <c r="P643">
        <f>_xlfn.XLOOKUP(Table4[[#This Row],[id]],prov_color!A:A,prov_color!C:C)</f>
        <v>44</v>
      </c>
    </row>
    <row r="644" spans="1:16" hidden="1" x14ac:dyDescent="0.25">
      <c r="A644">
        <v>643</v>
      </c>
      <c r="B644" t="s">
        <v>653</v>
      </c>
      <c r="C644" t="s">
        <v>868</v>
      </c>
      <c r="D644" t="s">
        <v>869</v>
      </c>
      <c r="E644" t="s">
        <v>14</v>
      </c>
      <c r="F644" t="s">
        <v>858</v>
      </c>
      <c r="G644" t="s">
        <v>26</v>
      </c>
      <c r="H644" t="s">
        <v>859</v>
      </c>
      <c r="I644" t="s">
        <v>141</v>
      </c>
      <c r="J644" t="s">
        <v>881</v>
      </c>
      <c r="K644">
        <v>6</v>
      </c>
      <c r="L644">
        <v>7</v>
      </c>
      <c r="M644">
        <v>6</v>
      </c>
      <c r="N644">
        <v>643</v>
      </c>
      <c r="O644" t="str">
        <f>_xlfn.XLOOKUP(Table4[[#This Row],[id]],VALINA[id],VALINA[name])</f>
        <v>Jilin</v>
      </c>
      <c r="P644">
        <f>_xlfn.XLOOKUP(Table4[[#This Row],[id]],prov_color!A:A,prov_color!C:C)</f>
        <v>57</v>
      </c>
    </row>
    <row r="645" spans="1:16" hidden="1" x14ac:dyDescent="0.25">
      <c r="A645">
        <v>644</v>
      </c>
      <c r="B645" t="s">
        <v>653</v>
      </c>
      <c r="C645" t="s">
        <v>868</v>
      </c>
      <c r="D645" t="s">
        <v>869</v>
      </c>
      <c r="E645" t="s">
        <v>34</v>
      </c>
      <c r="F645" t="s">
        <v>858</v>
      </c>
      <c r="G645" t="s">
        <v>26</v>
      </c>
      <c r="H645" t="s">
        <v>859</v>
      </c>
      <c r="I645" t="s">
        <v>687</v>
      </c>
      <c r="J645" t="s">
        <v>882</v>
      </c>
      <c r="K645">
        <v>5</v>
      </c>
      <c r="L645">
        <v>3</v>
      </c>
      <c r="M645">
        <v>6</v>
      </c>
      <c r="N645">
        <v>644</v>
      </c>
      <c r="O645" t="str">
        <f>_xlfn.XLOOKUP(Table4[[#This Row],[id]],VALINA[id],VALINA[name])</f>
        <v>Baicheng</v>
      </c>
      <c r="P645">
        <f>_xlfn.XLOOKUP(Table4[[#This Row],[id]],prov_color!A:A,prov_color!C:C)</f>
        <v>46</v>
      </c>
    </row>
    <row r="646" spans="1:16" hidden="1" x14ac:dyDescent="0.25">
      <c r="A646">
        <v>645</v>
      </c>
      <c r="B646" t="s">
        <v>653</v>
      </c>
      <c r="C646" t="s">
        <v>868</v>
      </c>
      <c r="D646" t="s">
        <v>869</v>
      </c>
      <c r="E646" t="s">
        <v>34</v>
      </c>
      <c r="F646" t="s">
        <v>858</v>
      </c>
      <c r="G646" t="s">
        <v>26</v>
      </c>
      <c r="H646" t="s">
        <v>859</v>
      </c>
      <c r="I646" t="s">
        <v>352</v>
      </c>
      <c r="J646" t="s">
        <v>883</v>
      </c>
      <c r="K646">
        <v>5</v>
      </c>
      <c r="L646">
        <v>2</v>
      </c>
      <c r="M646">
        <v>9</v>
      </c>
      <c r="N646">
        <v>645</v>
      </c>
      <c r="O646" t="str">
        <f>_xlfn.XLOOKUP(Table4[[#This Row],[id]],VALINA[id],VALINA[name])</f>
        <v>Jehol</v>
      </c>
      <c r="P646">
        <f>_xlfn.XLOOKUP(Table4[[#This Row],[id]],prov_color!A:A,prov_color!C:C)</f>
        <v>44</v>
      </c>
    </row>
    <row r="647" spans="1:16" hidden="1" x14ac:dyDescent="0.25">
      <c r="A647">
        <v>646</v>
      </c>
      <c r="B647" t="s">
        <v>653</v>
      </c>
      <c r="C647" t="s">
        <v>868</v>
      </c>
      <c r="D647" t="s">
        <v>869</v>
      </c>
      <c r="E647" t="s">
        <v>34</v>
      </c>
      <c r="F647" t="s">
        <v>858</v>
      </c>
      <c r="G647" t="s">
        <v>26</v>
      </c>
      <c r="H647" t="s">
        <v>859</v>
      </c>
      <c r="I647" t="s">
        <v>27</v>
      </c>
      <c r="J647" t="s">
        <v>884</v>
      </c>
      <c r="K647">
        <v>4</v>
      </c>
      <c r="L647">
        <v>5</v>
      </c>
      <c r="M647">
        <v>8</v>
      </c>
      <c r="N647">
        <v>646</v>
      </c>
      <c r="O647" t="str">
        <f>_xlfn.XLOOKUP(Table4[[#This Row],[id]],VALINA[id],VALINA[name])</f>
        <v>Liaotung</v>
      </c>
      <c r="P647">
        <f>_xlfn.XLOOKUP(Table4[[#This Row],[id]],prov_color!A:A,prov_color!C:C)</f>
        <v>40</v>
      </c>
    </row>
    <row r="648" spans="1:16" hidden="1" x14ac:dyDescent="0.25">
      <c r="A648">
        <v>647</v>
      </c>
      <c r="B648" t="s">
        <v>653</v>
      </c>
      <c r="C648" t="s">
        <v>868</v>
      </c>
      <c r="D648" t="s">
        <v>885</v>
      </c>
      <c r="E648" t="s">
        <v>34</v>
      </c>
      <c r="F648" t="s">
        <v>858</v>
      </c>
      <c r="G648" t="s">
        <v>35</v>
      </c>
      <c r="H648" t="s">
        <v>886</v>
      </c>
      <c r="I648" t="s">
        <v>43</v>
      </c>
      <c r="J648" t="s">
        <v>887</v>
      </c>
      <c r="K648">
        <v>5</v>
      </c>
      <c r="L648">
        <v>5</v>
      </c>
      <c r="M648">
        <v>19</v>
      </c>
      <c r="N648">
        <v>647</v>
      </c>
      <c r="O648" t="str">
        <f>_xlfn.XLOOKUP(Table4[[#This Row],[id]],VALINA[id],VALINA[name])</f>
        <v>Liaoning</v>
      </c>
      <c r="P648">
        <f>_xlfn.XLOOKUP(Table4[[#This Row],[id]],prov_color!A:A,prov_color!C:C)</f>
        <v>37</v>
      </c>
    </row>
    <row r="649" spans="1:16" hidden="1" x14ac:dyDescent="0.25">
      <c r="A649">
        <v>648</v>
      </c>
      <c r="B649" t="s">
        <v>653</v>
      </c>
      <c r="C649" t="s">
        <v>868</v>
      </c>
      <c r="D649" t="s">
        <v>885</v>
      </c>
      <c r="E649" t="s">
        <v>34</v>
      </c>
      <c r="F649" t="s">
        <v>858</v>
      </c>
      <c r="G649" t="s">
        <v>26</v>
      </c>
      <c r="H649" t="s">
        <v>886</v>
      </c>
      <c r="I649" t="s">
        <v>41</v>
      </c>
      <c r="J649" t="s">
        <v>888</v>
      </c>
      <c r="K649">
        <v>6</v>
      </c>
      <c r="L649">
        <v>4</v>
      </c>
      <c r="M649">
        <v>9</v>
      </c>
      <c r="N649">
        <v>648</v>
      </c>
      <c r="O649" t="str">
        <f>_xlfn.XLOOKUP(Table4[[#This Row],[id]],VALINA[id],VALINA[name])</f>
        <v>Hepei</v>
      </c>
      <c r="P649">
        <f>_xlfn.XLOOKUP(Table4[[#This Row],[id]],prov_color!A:A,prov_color!C:C)</f>
        <v>42</v>
      </c>
    </row>
    <row r="650" spans="1:16" hidden="1" x14ac:dyDescent="0.25">
      <c r="A650">
        <v>649</v>
      </c>
      <c r="B650" t="s">
        <v>653</v>
      </c>
      <c r="C650" t="s">
        <v>868</v>
      </c>
      <c r="D650" t="s">
        <v>885</v>
      </c>
      <c r="E650" t="s">
        <v>34</v>
      </c>
      <c r="F650" t="s">
        <v>858</v>
      </c>
      <c r="G650" t="s">
        <v>35</v>
      </c>
      <c r="H650" t="s">
        <v>886</v>
      </c>
      <c r="I650" t="s">
        <v>687</v>
      </c>
      <c r="J650" t="s">
        <v>889</v>
      </c>
      <c r="K650">
        <v>4</v>
      </c>
      <c r="L650">
        <v>10</v>
      </c>
      <c r="M650">
        <v>15</v>
      </c>
      <c r="N650">
        <v>649</v>
      </c>
      <c r="O650" t="str">
        <f>_xlfn.XLOOKUP(Table4[[#This Row],[id]],VALINA[id],VALINA[name])</f>
        <v>Hebei</v>
      </c>
      <c r="P650">
        <f>_xlfn.XLOOKUP(Table4[[#This Row],[id]],prov_color!A:A,prov_color!C:C)</f>
        <v>46</v>
      </c>
    </row>
    <row r="651" spans="1:16" hidden="1" x14ac:dyDescent="0.25">
      <c r="A651">
        <v>650</v>
      </c>
      <c r="B651" t="s">
        <v>653</v>
      </c>
      <c r="C651" t="s">
        <v>868</v>
      </c>
      <c r="D651" t="s">
        <v>885</v>
      </c>
      <c r="E651" t="s">
        <v>14</v>
      </c>
      <c r="F651" t="s">
        <v>858</v>
      </c>
      <c r="G651" t="s">
        <v>35</v>
      </c>
      <c r="H651" t="s">
        <v>886</v>
      </c>
      <c r="I651" t="s">
        <v>43</v>
      </c>
      <c r="J651" t="s">
        <v>890</v>
      </c>
      <c r="K651">
        <v>5</v>
      </c>
      <c r="L651">
        <v>6</v>
      </c>
      <c r="M651">
        <v>10</v>
      </c>
      <c r="N651">
        <v>650</v>
      </c>
      <c r="O651" t="str">
        <f>_xlfn.XLOOKUP(Table4[[#This Row],[id]],VALINA[id],VALINA[name])</f>
        <v>Shandong</v>
      </c>
      <c r="P651">
        <f>_xlfn.XLOOKUP(Table4[[#This Row],[id]],prov_color!A:A,prov_color!C:C)</f>
        <v>53</v>
      </c>
    </row>
    <row r="652" spans="1:16" hidden="1" x14ac:dyDescent="0.25">
      <c r="A652">
        <v>651</v>
      </c>
      <c r="B652" t="s">
        <v>653</v>
      </c>
      <c r="C652" t="s">
        <v>868</v>
      </c>
      <c r="D652" t="s">
        <v>885</v>
      </c>
      <c r="E652" t="s">
        <v>34</v>
      </c>
      <c r="F652" t="s">
        <v>858</v>
      </c>
      <c r="G652" t="s">
        <v>35</v>
      </c>
      <c r="H652" t="s">
        <v>886</v>
      </c>
      <c r="I652" t="s">
        <v>43</v>
      </c>
      <c r="J652" t="s">
        <v>891</v>
      </c>
      <c r="K652">
        <v>4</v>
      </c>
      <c r="L652">
        <v>5</v>
      </c>
      <c r="M652">
        <v>12</v>
      </c>
      <c r="N652">
        <v>651</v>
      </c>
      <c r="O652" t="str">
        <f>_xlfn.XLOOKUP(Table4[[#This Row],[id]],VALINA[id],VALINA[name])</f>
        <v>Jinan</v>
      </c>
      <c r="P652">
        <f>_xlfn.XLOOKUP(Table4[[#This Row],[id]],prov_color!A:A,prov_color!C:C)</f>
        <v>35</v>
      </c>
    </row>
    <row r="653" spans="1:16" hidden="1" x14ac:dyDescent="0.25">
      <c r="A653">
        <v>652</v>
      </c>
      <c r="B653" t="s">
        <v>653</v>
      </c>
      <c r="C653" t="s">
        <v>868</v>
      </c>
      <c r="D653" t="s">
        <v>892</v>
      </c>
      <c r="E653" t="s">
        <v>34</v>
      </c>
      <c r="F653" t="s">
        <v>858</v>
      </c>
      <c r="G653" t="s">
        <v>35</v>
      </c>
      <c r="H653" t="s">
        <v>886</v>
      </c>
      <c r="I653" t="s">
        <v>43</v>
      </c>
      <c r="J653" t="s">
        <v>893</v>
      </c>
      <c r="K653">
        <v>9</v>
      </c>
      <c r="L653">
        <v>8</v>
      </c>
      <c r="M653">
        <v>15</v>
      </c>
      <c r="N653">
        <v>652</v>
      </c>
      <c r="O653" t="str">
        <f>_xlfn.XLOOKUP(Table4[[#This Row],[id]],VALINA[id],VALINA[name])</f>
        <v>Jiangsu</v>
      </c>
      <c r="P653">
        <f>_xlfn.XLOOKUP(Table4[[#This Row],[id]],prov_color!A:A,prov_color!C:C)</f>
        <v>33</v>
      </c>
    </row>
    <row r="654" spans="1:16" hidden="1" x14ac:dyDescent="0.25">
      <c r="A654">
        <v>653</v>
      </c>
      <c r="B654" t="s">
        <v>653</v>
      </c>
      <c r="C654" t="s">
        <v>868</v>
      </c>
      <c r="D654" t="s">
        <v>892</v>
      </c>
      <c r="E654" t="s">
        <v>80</v>
      </c>
      <c r="F654" t="s">
        <v>858</v>
      </c>
      <c r="G654" t="s">
        <v>75</v>
      </c>
      <c r="H654" t="s">
        <v>886</v>
      </c>
      <c r="I654" t="s">
        <v>685</v>
      </c>
      <c r="J654" t="s">
        <v>892</v>
      </c>
      <c r="K654">
        <v>9</v>
      </c>
      <c r="L654">
        <v>8</v>
      </c>
      <c r="M654">
        <v>18</v>
      </c>
      <c r="N654">
        <v>653</v>
      </c>
      <c r="O654" t="str">
        <f>_xlfn.XLOOKUP(Table4[[#This Row],[id]],VALINA[id],VALINA[name])</f>
        <v>Shanghai</v>
      </c>
      <c r="P654">
        <f>_xlfn.XLOOKUP(Table4[[#This Row],[id]],prov_color!A:A,prov_color!C:C)</f>
        <v>34</v>
      </c>
    </row>
    <row r="655" spans="1:16" hidden="1" x14ac:dyDescent="0.25">
      <c r="A655">
        <v>654</v>
      </c>
      <c r="B655" t="s">
        <v>653</v>
      </c>
      <c r="C655" t="s">
        <v>868</v>
      </c>
      <c r="D655" t="s">
        <v>892</v>
      </c>
      <c r="E655" t="s">
        <v>34</v>
      </c>
      <c r="F655" t="s">
        <v>858</v>
      </c>
      <c r="G655" t="s">
        <v>75</v>
      </c>
      <c r="H655" t="s">
        <v>886</v>
      </c>
      <c r="I655" t="s">
        <v>43</v>
      </c>
      <c r="J655" t="s">
        <v>894</v>
      </c>
      <c r="K655">
        <v>9</v>
      </c>
      <c r="L655">
        <v>6</v>
      </c>
      <c r="M655">
        <v>16</v>
      </c>
      <c r="N655">
        <v>654</v>
      </c>
      <c r="O655" t="str">
        <f>_xlfn.XLOOKUP(Table4[[#This Row],[id]],VALINA[id],VALINA[name])</f>
        <v>Anhui</v>
      </c>
      <c r="P655">
        <f>_xlfn.XLOOKUP(Table4[[#This Row],[id]],prov_color!A:A,prov_color!C:C)</f>
        <v>44</v>
      </c>
    </row>
    <row r="656" spans="1:16" hidden="1" x14ac:dyDescent="0.25">
      <c r="A656">
        <v>655</v>
      </c>
      <c r="B656" t="s">
        <v>653</v>
      </c>
      <c r="C656" t="s">
        <v>868</v>
      </c>
      <c r="D656" t="s">
        <v>892</v>
      </c>
      <c r="E656" t="s">
        <v>14</v>
      </c>
      <c r="F656" t="s">
        <v>858</v>
      </c>
      <c r="G656" t="s">
        <v>75</v>
      </c>
      <c r="H656" t="s">
        <v>886</v>
      </c>
      <c r="I656" t="s">
        <v>27</v>
      </c>
      <c r="J656" t="s">
        <v>895</v>
      </c>
      <c r="K656">
        <v>9</v>
      </c>
      <c r="L656">
        <v>6</v>
      </c>
      <c r="M656">
        <v>15</v>
      </c>
      <c r="N656">
        <v>655</v>
      </c>
      <c r="O656" t="str">
        <f>_xlfn.XLOOKUP(Table4[[#This Row],[id]],VALINA[id],VALINA[name])</f>
        <v>Zhejiang</v>
      </c>
      <c r="P656">
        <f>_xlfn.XLOOKUP(Table4[[#This Row],[id]],prov_color!A:A,prov_color!C:C)</f>
        <v>38</v>
      </c>
    </row>
    <row r="657" spans="1:16" hidden="1" x14ac:dyDescent="0.25">
      <c r="A657">
        <v>656</v>
      </c>
      <c r="B657" t="s">
        <v>653</v>
      </c>
      <c r="C657" t="s">
        <v>868</v>
      </c>
      <c r="D657" t="s">
        <v>896</v>
      </c>
      <c r="E657" t="s">
        <v>22</v>
      </c>
      <c r="F657" t="s">
        <v>858</v>
      </c>
      <c r="G657" t="s">
        <v>75</v>
      </c>
      <c r="H657" t="s">
        <v>886</v>
      </c>
      <c r="I657" t="s">
        <v>687</v>
      </c>
      <c r="J657" t="s">
        <v>897</v>
      </c>
      <c r="K657">
        <v>9</v>
      </c>
      <c r="L657">
        <v>4</v>
      </c>
      <c r="M657">
        <v>9</v>
      </c>
      <c r="N657">
        <v>656</v>
      </c>
      <c r="O657" t="str">
        <f>_xlfn.XLOOKUP(Table4[[#This Row],[id]],VALINA[id],VALINA[name])</f>
        <v>Fujian</v>
      </c>
      <c r="P657">
        <f>_xlfn.XLOOKUP(Table4[[#This Row],[id]],prov_color!A:A,prov_color!C:C)</f>
        <v>44</v>
      </c>
    </row>
    <row r="658" spans="1:16" hidden="1" x14ac:dyDescent="0.25">
      <c r="A658">
        <v>657</v>
      </c>
      <c r="B658" t="s">
        <v>653</v>
      </c>
      <c r="C658" t="s">
        <v>868</v>
      </c>
      <c r="D658" t="s">
        <v>896</v>
      </c>
      <c r="E658" t="s">
        <v>14</v>
      </c>
      <c r="F658" t="s">
        <v>858</v>
      </c>
      <c r="G658" t="s">
        <v>75</v>
      </c>
      <c r="H658" t="s">
        <v>898</v>
      </c>
      <c r="I658" t="s">
        <v>685</v>
      </c>
      <c r="J658" t="s">
        <v>899</v>
      </c>
      <c r="K658">
        <v>9</v>
      </c>
      <c r="L658">
        <v>6</v>
      </c>
      <c r="M658">
        <v>10</v>
      </c>
      <c r="N658">
        <v>657</v>
      </c>
      <c r="O658" t="str">
        <f>_xlfn.XLOOKUP(Table4[[#This Row],[id]],VALINA[id],VALINA[name])</f>
        <v>Kowloon</v>
      </c>
      <c r="P658">
        <f>_xlfn.XLOOKUP(Table4[[#This Row],[id]],prov_color!A:A,prov_color!C:C)</f>
        <v>36</v>
      </c>
    </row>
    <row r="659" spans="1:16" hidden="1" x14ac:dyDescent="0.25">
      <c r="A659">
        <v>658</v>
      </c>
      <c r="B659" t="s">
        <v>653</v>
      </c>
      <c r="C659" t="s">
        <v>868</v>
      </c>
      <c r="D659" t="s">
        <v>896</v>
      </c>
      <c r="E659" t="s">
        <v>22</v>
      </c>
      <c r="F659" t="s">
        <v>858</v>
      </c>
      <c r="G659" t="s">
        <v>75</v>
      </c>
      <c r="H659" t="s">
        <v>898</v>
      </c>
      <c r="I659" t="s">
        <v>685</v>
      </c>
      <c r="J659" t="s">
        <v>900</v>
      </c>
      <c r="K659">
        <v>9</v>
      </c>
      <c r="L659">
        <v>5</v>
      </c>
      <c r="M659">
        <v>8</v>
      </c>
      <c r="N659">
        <v>658</v>
      </c>
      <c r="O659" t="str">
        <f>_xlfn.XLOOKUP(Table4[[#This Row],[id]],VALINA[id],VALINA[name])</f>
        <v>Guangzhou</v>
      </c>
      <c r="P659">
        <f>_xlfn.XLOOKUP(Table4[[#This Row],[id]],prov_color!A:A,prov_color!C:C)</f>
        <v>34</v>
      </c>
    </row>
    <row r="660" spans="1:16" hidden="1" x14ac:dyDescent="0.25">
      <c r="A660">
        <v>659</v>
      </c>
      <c r="B660" t="s">
        <v>653</v>
      </c>
      <c r="C660" t="s">
        <v>868</v>
      </c>
      <c r="D660" t="s">
        <v>896</v>
      </c>
      <c r="E660" t="s">
        <v>34</v>
      </c>
      <c r="F660" t="s">
        <v>858</v>
      </c>
      <c r="G660" t="s">
        <v>75</v>
      </c>
      <c r="H660" t="s">
        <v>898</v>
      </c>
      <c r="I660" t="s">
        <v>685</v>
      </c>
      <c r="J660" t="s">
        <v>901</v>
      </c>
      <c r="K660">
        <v>9</v>
      </c>
      <c r="L660">
        <v>5</v>
      </c>
      <c r="M660">
        <v>19</v>
      </c>
      <c r="N660">
        <v>659</v>
      </c>
      <c r="O660" t="str">
        <f>_xlfn.XLOOKUP(Table4[[#This Row],[id]],VALINA[id],VALINA[name])</f>
        <v>Guangdong</v>
      </c>
      <c r="P660">
        <f>_xlfn.XLOOKUP(Table4[[#This Row],[id]],prov_color!A:A,prov_color!C:C)</f>
        <v>40</v>
      </c>
    </row>
    <row r="661" spans="1:16" hidden="1" x14ac:dyDescent="0.25">
      <c r="A661">
        <v>660</v>
      </c>
      <c r="B661" t="s">
        <v>653</v>
      </c>
      <c r="C661" t="s">
        <v>868</v>
      </c>
      <c r="D661" t="s">
        <v>896</v>
      </c>
      <c r="E661" t="s">
        <v>34</v>
      </c>
      <c r="F661" t="s">
        <v>858</v>
      </c>
      <c r="G661" t="s">
        <v>75</v>
      </c>
      <c r="H661" t="s">
        <v>898</v>
      </c>
      <c r="I661" t="s">
        <v>27</v>
      </c>
      <c r="J661" t="s">
        <v>902</v>
      </c>
      <c r="K661">
        <v>9</v>
      </c>
      <c r="L661">
        <v>3</v>
      </c>
      <c r="M661">
        <v>6</v>
      </c>
      <c r="N661">
        <v>660</v>
      </c>
      <c r="O661" t="str">
        <f>_xlfn.XLOOKUP(Table4[[#This Row],[id]],VALINA[id],VALINA[name])</f>
        <v>Hainan</v>
      </c>
      <c r="P661">
        <f>_xlfn.XLOOKUP(Table4[[#This Row],[id]],prov_color!A:A,prov_color!C:C)</f>
        <v>14</v>
      </c>
    </row>
    <row r="662" spans="1:16" hidden="1" x14ac:dyDescent="0.25">
      <c r="A662">
        <v>661</v>
      </c>
      <c r="B662" t="s">
        <v>653</v>
      </c>
      <c r="C662" t="s">
        <v>868</v>
      </c>
      <c r="D662" t="s">
        <v>896</v>
      </c>
      <c r="E662" t="s">
        <v>14</v>
      </c>
      <c r="F662" t="s">
        <v>858</v>
      </c>
      <c r="G662" t="s">
        <v>75</v>
      </c>
      <c r="H662" t="s">
        <v>898</v>
      </c>
      <c r="I662" t="s">
        <v>685</v>
      </c>
      <c r="J662" t="s">
        <v>903</v>
      </c>
      <c r="K662">
        <v>9</v>
      </c>
      <c r="L662">
        <v>4</v>
      </c>
      <c r="M662">
        <v>9</v>
      </c>
      <c r="N662">
        <v>661</v>
      </c>
      <c r="O662" t="str">
        <f>_xlfn.XLOOKUP(Table4[[#This Row],[id]],VALINA[id],VALINA[name])</f>
        <v>Guangxi</v>
      </c>
      <c r="P662">
        <f>_xlfn.XLOOKUP(Table4[[#This Row],[id]],prov_color!A:A,prov_color!C:C)</f>
        <v>35</v>
      </c>
    </row>
    <row r="663" spans="1:16" hidden="1" x14ac:dyDescent="0.25">
      <c r="A663">
        <v>662</v>
      </c>
      <c r="B663" t="s">
        <v>653</v>
      </c>
      <c r="C663" t="s">
        <v>904</v>
      </c>
      <c r="D663" t="s">
        <v>905</v>
      </c>
      <c r="E663" t="s">
        <v>80</v>
      </c>
      <c r="F663" t="s">
        <v>799</v>
      </c>
      <c r="G663" t="s">
        <v>75</v>
      </c>
      <c r="H663" t="s">
        <v>906</v>
      </c>
      <c r="I663" t="s">
        <v>29</v>
      </c>
      <c r="J663" t="s">
        <v>907</v>
      </c>
      <c r="K663">
        <v>5</v>
      </c>
      <c r="L663">
        <v>6</v>
      </c>
      <c r="M663">
        <v>11</v>
      </c>
      <c r="N663">
        <v>662</v>
      </c>
      <c r="O663" t="str">
        <f>_xlfn.XLOOKUP(Table4[[#This Row],[id]],VALINA[id],VALINA[name])</f>
        <v>Hanoi</v>
      </c>
      <c r="P663">
        <f>_xlfn.XLOOKUP(Table4[[#This Row],[id]],prov_color!A:A,prov_color!C:C)</f>
        <v>30</v>
      </c>
    </row>
    <row r="664" spans="1:16" hidden="1" x14ac:dyDescent="0.25">
      <c r="A664">
        <v>663</v>
      </c>
      <c r="B664" t="s">
        <v>653</v>
      </c>
      <c r="C664" t="s">
        <v>904</v>
      </c>
      <c r="D664" t="s">
        <v>905</v>
      </c>
      <c r="E664" t="s">
        <v>22</v>
      </c>
      <c r="F664" t="s">
        <v>799</v>
      </c>
      <c r="G664" t="s">
        <v>75</v>
      </c>
      <c r="H664" t="s">
        <v>906</v>
      </c>
      <c r="I664" t="s">
        <v>27</v>
      </c>
      <c r="J664" t="s">
        <v>908</v>
      </c>
      <c r="K664">
        <v>6</v>
      </c>
      <c r="L664">
        <v>5</v>
      </c>
      <c r="M664">
        <v>8</v>
      </c>
      <c r="N664">
        <v>663</v>
      </c>
      <c r="O664" t="str">
        <f>_xlfn.XLOOKUP(Table4[[#This Row],[id]],VALINA[id],VALINA[name])</f>
        <v>Tanh Noah</v>
      </c>
      <c r="P664">
        <f>_xlfn.XLOOKUP(Table4[[#This Row],[id]],prov_color!A:A,prov_color!C:C)</f>
        <v>36</v>
      </c>
    </row>
    <row r="665" spans="1:16" hidden="1" x14ac:dyDescent="0.25">
      <c r="A665">
        <v>664</v>
      </c>
      <c r="B665" t="s">
        <v>653</v>
      </c>
      <c r="C665" t="s">
        <v>904</v>
      </c>
      <c r="D665" t="s">
        <v>905</v>
      </c>
      <c r="E665" t="s">
        <v>14</v>
      </c>
      <c r="F665" t="s">
        <v>748</v>
      </c>
      <c r="G665" t="s">
        <v>75</v>
      </c>
      <c r="H665" t="s">
        <v>909</v>
      </c>
      <c r="I665" t="s">
        <v>685</v>
      </c>
      <c r="J665" t="s">
        <v>910</v>
      </c>
      <c r="K665">
        <v>7</v>
      </c>
      <c r="L665">
        <v>5</v>
      </c>
      <c r="M665">
        <v>8</v>
      </c>
      <c r="N665">
        <v>664</v>
      </c>
      <c r="O665" t="str">
        <f>_xlfn.XLOOKUP(Table4[[#This Row],[id]],VALINA[id],VALINA[name])</f>
        <v>Da Nang</v>
      </c>
      <c r="P665">
        <f>_xlfn.XLOOKUP(Table4[[#This Row],[id]],prov_color!A:A,prov_color!C:C)</f>
        <v>56</v>
      </c>
    </row>
    <row r="666" spans="1:16" hidden="1" x14ac:dyDescent="0.25">
      <c r="A666">
        <v>665</v>
      </c>
      <c r="B666" t="s">
        <v>653</v>
      </c>
      <c r="C666" t="s">
        <v>904</v>
      </c>
      <c r="D666" t="s">
        <v>905</v>
      </c>
      <c r="E666" t="s">
        <v>22</v>
      </c>
      <c r="F666" t="s">
        <v>748</v>
      </c>
      <c r="G666" t="s">
        <v>75</v>
      </c>
      <c r="H666" t="s">
        <v>909</v>
      </c>
      <c r="I666" t="s">
        <v>27</v>
      </c>
      <c r="J666" t="s">
        <v>911</v>
      </c>
      <c r="K666">
        <v>6</v>
      </c>
      <c r="L666">
        <v>3</v>
      </c>
      <c r="M666">
        <v>7</v>
      </c>
      <c r="N666">
        <v>665</v>
      </c>
      <c r="O666" t="str">
        <f>_xlfn.XLOOKUP(Table4[[#This Row],[id]],VALINA[id],VALINA[name])</f>
        <v>Da Lat</v>
      </c>
      <c r="P666">
        <f>_xlfn.XLOOKUP(Table4[[#This Row],[id]],prov_color!A:A,prov_color!C:C)</f>
        <v>46</v>
      </c>
    </row>
    <row r="667" spans="1:16" hidden="1" x14ac:dyDescent="0.25">
      <c r="A667">
        <v>666</v>
      </c>
      <c r="B667" t="s">
        <v>653</v>
      </c>
      <c r="C667" t="s">
        <v>904</v>
      </c>
      <c r="D667" t="s">
        <v>905</v>
      </c>
      <c r="E667" t="s">
        <v>80</v>
      </c>
      <c r="F667" t="s">
        <v>799</v>
      </c>
      <c r="G667" t="s">
        <v>75</v>
      </c>
      <c r="H667" t="s">
        <v>912</v>
      </c>
      <c r="I667" t="s">
        <v>687</v>
      </c>
      <c r="J667" t="s">
        <v>913</v>
      </c>
      <c r="K667">
        <v>6</v>
      </c>
      <c r="L667">
        <v>4</v>
      </c>
      <c r="M667">
        <v>7</v>
      </c>
      <c r="N667">
        <v>666</v>
      </c>
      <c r="O667" t="str">
        <f>_xlfn.XLOOKUP(Table4[[#This Row],[id]],VALINA[id],VALINA[name])</f>
        <v>Mekong Delta</v>
      </c>
      <c r="P667">
        <f>_xlfn.XLOOKUP(Table4[[#This Row],[id]],prov_color!A:A,prov_color!C:C)</f>
        <v>28</v>
      </c>
    </row>
    <row r="668" spans="1:16" hidden="1" x14ac:dyDescent="0.25">
      <c r="A668">
        <v>667</v>
      </c>
      <c r="B668" t="s">
        <v>653</v>
      </c>
      <c r="C668" t="s">
        <v>904</v>
      </c>
      <c r="D668" t="s">
        <v>914</v>
      </c>
      <c r="E668" t="s">
        <v>80</v>
      </c>
      <c r="F668" t="s">
        <v>799</v>
      </c>
      <c r="G668" t="s">
        <v>75</v>
      </c>
      <c r="H668" t="s">
        <v>912</v>
      </c>
      <c r="I668" t="s">
        <v>915</v>
      </c>
      <c r="J668" t="s">
        <v>916</v>
      </c>
      <c r="K668">
        <v>9</v>
      </c>
      <c r="L668">
        <v>3</v>
      </c>
      <c r="M668">
        <v>7</v>
      </c>
      <c r="N668">
        <v>667</v>
      </c>
      <c r="O668" t="str">
        <f>_xlfn.XLOOKUP(Table4[[#This Row],[id]],VALINA[id],VALINA[name])</f>
        <v>Khmer</v>
      </c>
      <c r="P668">
        <f>_xlfn.XLOOKUP(Table4[[#This Row],[id]],prov_color!A:A,prov_color!C:C)</f>
        <v>35</v>
      </c>
    </row>
    <row r="669" spans="1:16" hidden="1" x14ac:dyDescent="0.25">
      <c r="A669">
        <v>668</v>
      </c>
      <c r="B669" t="s">
        <v>653</v>
      </c>
      <c r="C669" t="s">
        <v>904</v>
      </c>
      <c r="D669" t="s">
        <v>914</v>
      </c>
      <c r="E669" t="s">
        <v>22</v>
      </c>
      <c r="F669" t="s">
        <v>799</v>
      </c>
      <c r="G669" t="s">
        <v>75</v>
      </c>
      <c r="H669" t="s">
        <v>912</v>
      </c>
      <c r="I669" t="s">
        <v>29</v>
      </c>
      <c r="J669" t="s">
        <v>917</v>
      </c>
      <c r="K669">
        <v>9</v>
      </c>
      <c r="L669">
        <v>5</v>
      </c>
      <c r="M669">
        <v>12</v>
      </c>
      <c r="N669">
        <v>668</v>
      </c>
      <c r="O669" t="str">
        <f>_xlfn.XLOOKUP(Table4[[#This Row],[id]],VALINA[id],VALINA[name])</f>
        <v>Cambodia</v>
      </c>
      <c r="P669">
        <f>_xlfn.XLOOKUP(Table4[[#This Row],[id]],prov_color!A:A,prov_color!C:C)</f>
        <v>55</v>
      </c>
    </row>
    <row r="670" spans="1:16" hidden="1" x14ac:dyDescent="0.25">
      <c r="A670">
        <v>669</v>
      </c>
      <c r="B670" t="s">
        <v>653</v>
      </c>
      <c r="C670" t="s">
        <v>904</v>
      </c>
      <c r="D670" t="s">
        <v>914</v>
      </c>
      <c r="E670" t="s">
        <v>22</v>
      </c>
      <c r="F670" t="s">
        <v>799</v>
      </c>
      <c r="G670" t="s">
        <v>75</v>
      </c>
      <c r="H670" t="s">
        <v>918</v>
      </c>
      <c r="I670" t="s">
        <v>43</v>
      </c>
      <c r="J670" t="s">
        <v>919</v>
      </c>
      <c r="K670">
        <v>9</v>
      </c>
      <c r="L670">
        <v>4</v>
      </c>
      <c r="M670">
        <v>9</v>
      </c>
      <c r="N670">
        <v>669</v>
      </c>
      <c r="O670" t="str">
        <f>_xlfn.XLOOKUP(Table4[[#This Row],[id]],VALINA[id],VALINA[name])</f>
        <v>Laos</v>
      </c>
      <c r="P670">
        <f>_xlfn.XLOOKUP(Table4[[#This Row],[id]],prov_color!A:A,prov_color!C:C)</f>
        <v>49</v>
      </c>
    </row>
    <row r="671" spans="1:16" hidden="1" x14ac:dyDescent="0.25">
      <c r="A671">
        <v>670</v>
      </c>
      <c r="B671" t="s">
        <v>653</v>
      </c>
      <c r="C671" t="s">
        <v>904</v>
      </c>
      <c r="D671" t="s">
        <v>914</v>
      </c>
      <c r="E671" t="s">
        <v>22</v>
      </c>
      <c r="F671" t="s">
        <v>799</v>
      </c>
      <c r="G671" t="s">
        <v>75</v>
      </c>
      <c r="H671" t="s">
        <v>918</v>
      </c>
      <c r="I671" t="s">
        <v>685</v>
      </c>
      <c r="J671" t="s">
        <v>920</v>
      </c>
      <c r="K671">
        <v>9</v>
      </c>
      <c r="L671">
        <v>6</v>
      </c>
      <c r="M671">
        <v>15</v>
      </c>
      <c r="N671">
        <v>670</v>
      </c>
      <c r="O671" t="str">
        <f>_xlfn.XLOOKUP(Table4[[#This Row],[id]],VALINA[id],VALINA[name])</f>
        <v>Bangkok</v>
      </c>
      <c r="P671">
        <f>_xlfn.XLOOKUP(Table4[[#This Row],[id]],prov_color!A:A,prov_color!C:C)</f>
        <v>44</v>
      </c>
    </row>
    <row r="672" spans="1:16" hidden="1" x14ac:dyDescent="0.25">
      <c r="A672">
        <v>671</v>
      </c>
      <c r="B672" t="s">
        <v>653</v>
      </c>
      <c r="C672" t="s">
        <v>904</v>
      </c>
      <c r="D672" t="s">
        <v>921</v>
      </c>
      <c r="E672" t="s">
        <v>80</v>
      </c>
      <c r="F672" t="s">
        <v>748</v>
      </c>
      <c r="G672" t="s">
        <v>75</v>
      </c>
      <c r="H672" t="s">
        <v>922</v>
      </c>
      <c r="I672" t="s">
        <v>29</v>
      </c>
      <c r="J672" t="s">
        <v>923</v>
      </c>
      <c r="K672">
        <v>4</v>
      </c>
      <c r="L672">
        <v>3</v>
      </c>
      <c r="M672">
        <v>4</v>
      </c>
      <c r="N672">
        <v>671</v>
      </c>
      <c r="O672" t="str">
        <f>_xlfn.XLOOKUP(Table4[[#This Row],[id]],VALINA[id],VALINA[name])</f>
        <v>Chin</v>
      </c>
      <c r="P672">
        <f>_xlfn.XLOOKUP(Table4[[#This Row],[id]],prov_color!A:A,prov_color!C:C)</f>
        <v>32</v>
      </c>
    </row>
    <row r="673" spans="1:16" hidden="1" x14ac:dyDescent="0.25">
      <c r="A673">
        <v>672</v>
      </c>
      <c r="B673" t="s">
        <v>653</v>
      </c>
      <c r="C673" t="s">
        <v>904</v>
      </c>
      <c r="D673" t="s">
        <v>924</v>
      </c>
      <c r="E673" t="s">
        <v>80</v>
      </c>
      <c r="F673" t="s">
        <v>799</v>
      </c>
      <c r="G673" t="s">
        <v>75</v>
      </c>
      <c r="H673" t="s">
        <v>922</v>
      </c>
      <c r="I673" t="s">
        <v>212</v>
      </c>
      <c r="J673" t="s">
        <v>925</v>
      </c>
      <c r="K673">
        <v>8</v>
      </c>
      <c r="L673">
        <v>5</v>
      </c>
      <c r="M673">
        <v>7</v>
      </c>
      <c r="N673">
        <v>672</v>
      </c>
      <c r="O673" t="str">
        <f>_xlfn.XLOOKUP(Table4[[#This Row],[id]],VALINA[id],VALINA[name])</f>
        <v>Tarakan</v>
      </c>
      <c r="P673">
        <f>_xlfn.XLOOKUP(Table4[[#This Row],[id]],prov_color!A:A,prov_color!C:C)</f>
        <v>37</v>
      </c>
    </row>
    <row r="674" spans="1:16" hidden="1" x14ac:dyDescent="0.25">
      <c r="A674">
        <v>673</v>
      </c>
      <c r="B674" t="s">
        <v>653</v>
      </c>
      <c r="C674" t="s">
        <v>904</v>
      </c>
      <c r="D674" t="s">
        <v>924</v>
      </c>
      <c r="E674" t="s">
        <v>80</v>
      </c>
      <c r="F674" t="s">
        <v>799</v>
      </c>
      <c r="G674" t="s">
        <v>75</v>
      </c>
      <c r="H674" t="s">
        <v>926</v>
      </c>
      <c r="I674" t="s">
        <v>687</v>
      </c>
      <c r="J674" t="s">
        <v>927</v>
      </c>
      <c r="K674">
        <v>9</v>
      </c>
      <c r="L674">
        <v>5</v>
      </c>
      <c r="M674">
        <v>6</v>
      </c>
      <c r="N674">
        <v>673</v>
      </c>
      <c r="O674" t="str">
        <f>_xlfn.XLOOKUP(Table4[[#This Row],[id]],VALINA[id],VALINA[name])</f>
        <v>Irrawady</v>
      </c>
      <c r="P674">
        <f>_xlfn.XLOOKUP(Table4[[#This Row],[id]],prov_color!A:A,prov_color!C:C)</f>
        <v>43</v>
      </c>
    </row>
    <row r="675" spans="1:16" hidden="1" x14ac:dyDescent="0.25">
      <c r="A675">
        <v>674</v>
      </c>
      <c r="B675" t="s">
        <v>653</v>
      </c>
      <c r="C675" t="s">
        <v>904</v>
      </c>
      <c r="D675" t="s">
        <v>924</v>
      </c>
      <c r="E675" t="s">
        <v>22</v>
      </c>
      <c r="F675" t="s">
        <v>799</v>
      </c>
      <c r="G675" t="s">
        <v>75</v>
      </c>
      <c r="H675" t="s">
        <v>926</v>
      </c>
      <c r="I675" t="s">
        <v>687</v>
      </c>
      <c r="J675" t="s">
        <v>928</v>
      </c>
      <c r="K675">
        <v>9</v>
      </c>
      <c r="L675">
        <v>3</v>
      </c>
      <c r="M675">
        <v>6</v>
      </c>
      <c r="N675">
        <v>674</v>
      </c>
      <c r="O675" t="str">
        <f>_xlfn.XLOOKUP(Table4[[#This Row],[id]],VALINA[id],VALINA[name])</f>
        <v>Kwai</v>
      </c>
      <c r="P675">
        <f>_xlfn.XLOOKUP(Table4[[#This Row],[id]],prov_color!A:A,prov_color!C:C)</f>
        <v>34</v>
      </c>
    </row>
    <row r="676" spans="1:16" hidden="1" x14ac:dyDescent="0.25">
      <c r="A676">
        <v>675</v>
      </c>
      <c r="B676" t="s">
        <v>653</v>
      </c>
      <c r="C676" t="s">
        <v>904</v>
      </c>
      <c r="D676" t="s">
        <v>914</v>
      </c>
      <c r="E676" t="s">
        <v>22</v>
      </c>
      <c r="F676" t="s">
        <v>799</v>
      </c>
      <c r="G676" t="s">
        <v>75</v>
      </c>
      <c r="H676" t="s">
        <v>918</v>
      </c>
      <c r="I676" t="s">
        <v>27</v>
      </c>
      <c r="J676" t="s">
        <v>929</v>
      </c>
      <c r="K676">
        <v>9</v>
      </c>
      <c r="L676">
        <v>2</v>
      </c>
      <c r="M676">
        <v>6</v>
      </c>
      <c r="N676">
        <v>675</v>
      </c>
      <c r="O676" t="str">
        <f>_xlfn.XLOOKUP(Table4[[#This Row],[id]],VALINA[id],VALINA[name])</f>
        <v>Phuket</v>
      </c>
      <c r="P676">
        <f>_xlfn.XLOOKUP(Table4[[#This Row],[id]],prov_color!A:A,prov_color!C:C)</f>
        <v>32</v>
      </c>
    </row>
    <row r="677" spans="1:16" hidden="1" x14ac:dyDescent="0.25">
      <c r="A677">
        <v>676</v>
      </c>
      <c r="B677" t="s">
        <v>653</v>
      </c>
      <c r="C677" t="s">
        <v>904</v>
      </c>
      <c r="D677" t="s">
        <v>930</v>
      </c>
      <c r="E677" t="s">
        <v>22</v>
      </c>
      <c r="F677" t="s">
        <v>609</v>
      </c>
      <c r="G677" t="s">
        <v>75</v>
      </c>
      <c r="H677" t="s">
        <v>931</v>
      </c>
      <c r="I677" t="s">
        <v>27</v>
      </c>
      <c r="J677" t="s">
        <v>932</v>
      </c>
      <c r="K677">
        <v>7</v>
      </c>
      <c r="L677">
        <v>3</v>
      </c>
      <c r="M677">
        <v>4</v>
      </c>
      <c r="N677">
        <v>676</v>
      </c>
      <c r="O677" t="str">
        <f>_xlfn.XLOOKUP(Table4[[#This Row],[id]],VALINA[id],VALINA[name])</f>
        <v>Perak</v>
      </c>
      <c r="P677">
        <f>_xlfn.XLOOKUP(Table4[[#This Row],[id]],prov_color!A:A,prov_color!C:C)</f>
        <v>33</v>
      </c>
    </row>
    <row r="678" spans="1:16" hidden="1" x14ac:dyDescent="0.25">
      <c r="A678">
        <v>677</v>
      </c>
      <c r="B678" t="s">
        <v>653</v>
      </c>
      <c r="C678" t="s">
        <v>904</v>
      </c>
      <c r="D678" t="s">
        <v>930</v>
      </c>
      <c r="E678" t="s">
        <v>22</v>
      </c>
      <c r="F678" t="s">
        <v>609</v>
      </c>
      <c r="G678" t="s">
        <v>75</v>
      </c>
      <c r="H678" t="s">
        <v>931</v>
      </c>
      <c r="I678" t="s">
        <v>687</v>
      </c>
      <c r="J678" t="s">
        <v>933</v>
      </c>
      <c r="K678">
        <v>6</v>
      </c>
      <c r="L678">
        <v>6</v>
      </c>
      <c r="M678">
        <v>14</v>
      </c>
      <c r="N678">
        <v>677</v>
      </c>
      <c r="O678" t="str">
        <f>_xlfn.XLOOKUP(Table4[[#This Row],[id]],VALINA[id],VALINA[name])</f>
        <v>Malacca</v>
      </c>
      <c r="P678">
        <f>_xlfn.XLOOKUP(Table4[[#This Row],[id]],prov_color!A:A,prov_color!C:C)</f>
        <v>27</v>
      </c>
    </row>
    <row r="679" spans="1:16" hidden="1" x14ac:dyDescent="0.25">
      <c r="A679">
        <v>678</v>
      </c>
      <c r="B679" t="s">
        <v>653</v>
      </c>
      <c r="C679" t="s">
        <v>904</v>
      </c>
      <c r="D679" t="s">
        <v>930</v>
      </c>
      <c r="E679" t="s">
        <v>22</v>
      </c>
      <c r="F679" t="s">
        <v>609</v>
      </c>
      <c r="G679" t="s">
        <v>75</v>
      </c>
      <c r="H679" t="s">
        <v>931</v>
      </c>
      <c r="I679" t="s">
        <v>27</v>
      </c>
      <c r="J679" t="s">
        <v>934</v>
      </c>
      <c r="K679">
        <v>7</v>
      </c>
      <c r="L679">
        <v>4</v>
      </c>
      <c r="M679">
        <v>8</v>
      </c>
      <c r="N679">
        <v>678</v>
      </c>
      <c r="O679" t="str">
        <f>_xlfn.XLOOKUP(Table4[[#This Row],[id]],VALINA[id],VALINA[name])</f>
        <v>Johor</v>
      </c>
      <c r="P679">
        <f>_xlfn.XLOOKUP(Table4[[#This Row],[id]],prov_color!A:A,prov_color!C:C)</f>
        <v>23</v>
      </c>
    </row>
    <row r="680" spans="1:16" hidden="1" x14ac:dyDescent="0.25">
      <c r="A680">
        <v>679</v>
      </c>
      <c r="B680" t="s">
        <v>653</v>
      </c>
      <c r="C680" t="s">
        <v>935</v>
      </c>
      <c r="D680" t="s">
        <v>936</v>
      </c>
      <c r="E680" t="s">
        <v>22</v>
      </c>
      <c r="F680" t="s">
        <v>609</v>
      </c>
      <c r="G680" t="s">
        <v>75</v>
      </c>
      <c r="H680" t="s">
        <v>931</v>
      </c>
      <c r="I680" t="s">
        <v>687</v>
      </c>
      <c r="J680" t="s">
        <v>936</v>
      </c>
      <c r="K680">
        <v>6</v>
      </c>
      <c r="L680">
        <v>6</v>
      </c>
      <c r="M680">
        <v>12</v>
      </c>
      <c r="N680">
        <v>679</v>
      </c>
      <c r="O680" t="str">
        <f>_xlfn.XLOOKUP(Table4[[#This Row],[id]],VALINA[id],VALINA[name])</f>
        <v>Ajeh</v>
      </c>
      <c r="P680">
        <f>_xlfn.XLOOKUP(Table4[[#This Row],[id]],prov_color!A:A,prov_color!C:C)</f>
        <v>31</v>
      </c>
    </row>
    <row r="681" spans="1:16" hidden="1" x14ac:dyDescent="0.25">
      <c r="A681">
        <v>680</v>
      </c>
      <c r="B681" t="s">
        <v>653</v>
      </c>
      <c r="C681" t="s">
        <v>935</v>
      </c>
      <c r="D681" t="s">
        <v>936</v>
      </c>
      <c r="E681" t="s">
        <v>22</v>
      </c>
      <c r="F681" t="s">
        <v>799</v>
      </c>
      <c r="G681" t="s">
        <v>75</v>
      </c>
      <c r="H681" t="s">
        <v>931</v>
      </c>
      <c r="I681" t="s">
        <v>29</v>
      </c>
      <c r="J681" t="s">
        <v>937</v>
      </c>
      <c r="K681">
        <v>9</v>
      </c>
      <c r="L681">
        <v>4</v>
      </c>
      <c r="M681">
        <v>8</v>
      </c>
      <c r="N681">
        <v>680</v>
      </c>
      <c r="O681" t="str">
        <f>_xlfn.XLOOKUP(Table4[[#This Row],[id]],VALINA[id],VALINA[name])</f>
        <v>Riau</v>
      </c>
      <c r="P681">
        <f>_xlfn.XLOOKUP(Table4[[#This Row],[id]],prov_color!A:A,prov_color!C:C)</f>
        <v>54</v>
      </c>
    </row>
    <row r="682" spans="1:16" hidden="1" x14ac:dyDescent="0.25">
      <c r="A682">
        <v>681</v>
      </c>
      <c r="B682" t="s">
        <v>653</v>
      </c>
      <c r="C682" t="s">
        <v>935</v>
      </c>
      <c r="D682" t="s">
        <v>938</v>
      </c>
      <c r="E682" t="s">
        <v>22</v>
      </c>
      <c r="F682" t="s">
        <v>799</v>
      </c>
      <c r="G682" t="s">
        <v>75</v>
      </c>
      <c r="H682" t="s">
        <v>931</v>
      </c>
      <c r="I682" t="s">
        <v>18</v>
      </c>
      <c r="J682" t="s">
        <v>939</v>
      </c>
      <c r="K682">
        <v>5</v>
      </c>
      <c r="L682">
        <v>4</v>
      </c>
      <c r="M682">
        <v>8</v>
      </c>
      <c r="N682">
        <v>681</v>
      </c>
      <c r="O682" t="str">
        <f>_xlfn.XLOOKUP(Table4[[#This Row],[id]],VALINA[id],VALINA[name])</f>
        <v>Jambi</v>
      </c>
      <c r="P682">
        <f>_xlfn.XLOOKUP(Table4[[#This Row],[id]],prov_color!A:A,prov_color!C:C)</f>
        <v>60</v>
      </c>
    </row>
    <row r="683" spans="1:16" hidden="1" x14ac:dyDescent="0.25">
      <c r="A683">
        <v>682</v>
      </c>
      <c r="B683" t="s">
        <v>653</v>
      </c>
      <c r="C683" t="s">
        <v>935</v>
      </c>
      <c r="D683" t="s">
        <v>938</v>
      </c>
      <c r="E683" t="s">
        <v>80</v>
      </c>
      <c r="F683" t="s">
        <v>609</v>
      </c>
      <c r="G683" t="s">
        <v>75</v>
      </c>
      <c r="H683" t="s">
        <v>931</v>
      </c>
      <c r="I683" t="s">
        <v>687</v>
      </c>
      <c r="J683" t="s">
        <v>940</v>
      </c>
      <c r="K683">
        <v>5</v>
      </c>
      <c r="L683">
        <v>5</v>
      </c>
      <c r="M683">
        <v>10</v>
      </c>
      <c r="N683">
        <v>682</v>
      </c>
      <c r="O683" t="str">
        <f>_xlfn.XLOOKUP(Table4[[#This Row],[id]],VALINA[id],VALINA[name])</f>
        <v>Palembang</v>
      </c>
      <c r="P683">
        <f>_xlfn.XLOOKUP(Table4[[#This Row],[id]],prov_color!A:A,prov_color!C:C)</f>
        <v>41</v>
      </c>
    </row>
    <row r="684" spans="1:16" hidden="1" x14ac:dyDescent="0.25">
      <c r="A684">
        <v>683</v>
      </c>
      <c r="B684" t="s">
        <v>653</v>
      </c>
      <c r="C684" t="s">
        <v>941</v>
      </c>
      <c r="D684" t="s">
        <v>942</v>
      </c>
      <c r="E684" t="s">
        <v>14</v>
      </c>
      <c r="F684" t="s">
        <v>15</v>
      </c>
      <c r="G684" t="s">
        <v>26</v>
      </c>
      <c r="H684" t="s">
        <v>855</v>
      </c>
      <c r="I684" t="s">
        <v>27</v>
      </c>
      <c r="J684" t="s">
        <v>943</v>
      </c>
      <c r="K684">
        <v>7</v>
      </c>
      <c r="L684">
        <v>1</v>
      </c>
      <c r="M684">
        <v>1</v>
      </c>
      <c r="N684">
        <v>683</v>
      </c>
      <c r="O684" t="str">
        <f>_xlfn.XLOOKUP(Table4[[#This Row],[id]],VALINA[id],VALINA[name])</f>
        <v>Ezochi</v>
      </c>
      <c r="P684">
        <f>_xlfn.XLOOKUP(Table4[[#This Row],[id]],prov_color!A:A,prov_color!C:C)</f>
        <v>37</v>
      </c>
    </row>
    <row r="685" spans="1:16" hidden="1" x14ac:dyDescent="0.25">
      <c r="A685">
        <v>684</v>
      </c>
      <c r="B685" t="s">
        <v>653</v>
      </c>
      <c r="C685" t="s">
        <v>941</v>
      </c>
      <c r="D685" t="s">
        <v>942</v>
      </c>
      <c r="E685" t="s">
        <v>34</v>
      </c>
      <c r="F685" t="s">
        <v>944</v>
      </c>
      <c r="G685" t="s">
        <v>35</v>
      </c>
      <c r="H685" t="s">
        <v>945</v>
      </c>
      <c r="I685" t="s">
        <v>43</v>
      </c>
      <c r="J685" t="s">
        <v>946</v>
      </c>
      <c r="K685">
        <v>5</v>
      </c>
      <c r="L685">
        <v>6</v>
      </c>
      <c r="M685">
        <v>14</v>
      </c>
      <c r="N685">
        <v>684</v>
      </c>
      <c r="O685" t="str">
        <f>_xlfn.XLOOKUP(Table4[[#This Row],[id]],VALINA[id],VALINA[name])</f>
        <v>Tohoku</v>
      </c>
      <c r="P685">
        <f>_xlfn.XLOOKUP(Table4[[#This Row],[id]],prov_color!A:A,prov_color!C:C)</f>
        <v>34</v>
      </c>
    </row>
    <row r="686" spans="1:16" hidden="1" x14ac:dyDescent="0.25">
      <c r="A686">
        <v>685</v>
      </c>
      <c r="B686" t="s">
        <v>653</v>
      </c>
      <c r="C686" t="s">
        <v>941</v>
      </c>
      <c r="D686" t="s">
        <v>942</v>
      </c>
      <c r="E686" t="s">
        <v>14</v>
      </c>
      <c r="F686" t="s">
        <v>944</v>
      </c>
      <c r="G686" t="s">
        <v>35</v>
      </c>
      <c r="H686" t="s">
        <v>945</v>
      </c>
      <c r="I686" t="s">
        <v>43</v>
      </c>
      <c r="J686" t="s">
        <v>947</v>
      </c>
      <c r="K686">
        <v>3</v>
      </c>
      <c r="L686">
        <v>8</v>
      </c>
      <c r="M686">
        <v>18</v>
      </c>
      <c r="N686">
        <v>685</v>
      </c>
      <c r="O686" t="str">
        <f>_xlfn.XLOOKUP(Table4[[#This Row],[id]],VALINA[id],VALINA[name])</f>
        <v>Kanto</v>
      </c>
      <c r="P686">
        <f>_xlfn.XLOOKUP(Table4[[#This Row],[id]],prov_color!A:A,prov_color!C:C)</f>
        <v>22</v>
      </c>
    </row>
    <row r="687" spans="1:16" hidden="1" x14ac:dyDescent="0.25">
      <c r="A687">
        <v>686</v>
      </c>
      <c r="B687" t="s">
        <v>653</v>
      </c>
      <c r="C687" t="s">
        <v>941</v>
      </c>
      <c r="D687" t="s">
        <v>942</v>
      </c>
      <c r="E687" t="s">
        <v>14</v>
      </c>
      <c r="F687" t="s">
        <v>944</v>
      </c>
      <c r="G687" t="s">
        <v>35</v>
      </c>
      <c r="H687" t="s">
        <v>945</v>
      </c>
      <c r="I687" t="s">
        <v>685</v>
      </c>
      <c r="J687" t="s">
        <v>948</v>
      </c>
      <c r="K687">
        <v>3</v>
      </c>
      <c r="L687">
        <v>8</v>
      </c>
      <c r="M687">
        <v>18</v>
      </c>
      <c r="N687">
        <v>686</v>
      </c>
      <c r="O687" t="str">
        <f>_xlfn.XLOOKUP(Table4[[#This Row],[id]],VALINA[id],VALINA[name])</f>
        <v>Kansai</v>
      </c>
      <c r="P687">
        <f>_xlfn.XLOOKUP(Table4[[#This Row],[id]],prov_color!A:A,prov_color!C:C)</f>
        <v>22</v>
      </c>
    </row>
    <row r="688" spans="1:16" hidden="1" x14ac:dyDescent="0.25">
      <c r="A688">
        <v>687</v>
      </c>
      <c r="B688" t="s">
        <v>653</v>
      </c>
      <c r="C688" t="s">
        <v>941</v>
      </c>
      <c r="D688" t="s">
        <v>942</v>
      </c>
      <c r="E688" t="s">
        <v>34</v>
      </c>
      <c r="F688" t="s">
        <v>944</v>
      </c>
      <c r="G688" t="s">
        <v>35</v>
      </c>
      <c r="H688" t="s">
        <v>945</v>
      </c>
      <c r="I688" t="s">
        <v>27</v>
      </c>
      <c r="J688" t="s">
        <v>949</v>
      </c>
      <c r="K688">
        <v>3</v>
      </c>
      <c r="L688">
        <v>6</v>
      </c>
      <c r="M688">
        <v>17</v>
      </c>
      <c r="N688">
        <v>687</v>
      </c>
      <c r="O688" t="str">
        <f>_xlfn.XLOOKUP(Table4[[#This Row],[id]],VALINA[id],VALINA[name])</f>
        <v>Shikoku</v>
      </c>
      <c r="P688">
        <f>_xlfn.XLOOKUP(Table4[[#This Row],[id]],prov_color!A:A,prov_color!C:C)</f>
        <v>18</v>
      </c>
    </row>
    <row r="689" spans="1:16" hidden="1" x14ac:dyDescent="0.25">
      <c r="A689">
        <v>688</v>
      </c>
      <c r="B689" t="s">
        <v>653</v>
      </c>
      <c r="C689" t="s">
        <v>941</v>
      </c>
      <c r="D689" t="s">
        <v>942</v>
      </c>
      <c r="E689" t="s">
        <v>14</v>
      </c>
      <c r="F689" t="s">
        <v>944</v>
      </c>
      <c r="G689" t="s">
        <v>35</v>
      </c>
      <c r="H689" t="s">
        <v>945</v>
      </c>
      <c r="I689" t="s">
        <v>685</v>
      </c>
      <c r="J689" t="s">
        <v>950</v>
      </c>
      <c r="K689">
        <v>3</v>
      </c>
      <c r="L689">
        <v>8</v>
      </c>
      <c r="M689">
        <v>19</v>
      </c>
      <c r="N689">
        <v>688</v>
      </c>
      <c r="O689" t="str">
        <f>_xlfn.XLOOKUP(Table4[[#This Row],[id]],VALINA[id],VALINA[name])</f>
        <v>Kyushu</v>
      </c>
      <c r="P689">
        <f>_xlfn.XLOOKUP(Table4[[#This Row],[id]],prov_color!A:A,prov_color!C:C)</f>
        <v>28</v>
      </c>
    </row>
    <row r="690" spans="1:16" hidden="1" x14ac:dyDescent="0.25">
      <c r="A690">
        <v>689</v>
      </c>
      <c r="B690" t="s">
        <v>653</v>
      </c>
      <c r="C690" t="s">
        <v>868</v>
      </c>
      <c r="D690" t="s">
        <v>951</v>
      </c>
      <c r="E690" t="s">
        <v>14</v>
      </c>
      <c r="F690" t="s">
        <v>15</v>
      </c>
      <c r="G690" t="s">
        <v>75</v>
      </c>
      <c r="H690" t="s">
        <v>952</v>
      </c>
      <c r="I690" t="s">
        <v>685</v>
      </c>
      <c r="J690" t="s">
        <v>953</v>
      </c>
      <c r="K690">
        <v>9</v>
      </c>
      <c r="L690">
        <v>1</v>
      </c>
      <c r="M690">
        <v>4</v>
      </c>
      <c r="N690">
        <v>689</v>
      </c>
      <c r="O690" t="str">
        <f>_xlfn.XLOOKUP(Table4[[#This Row],[id]],VALINA[id],VALINA[name])</f>
        <v>Taiwan</v>
      </c>
      <c r="P690">
        <f>_xlfn.XLOOKUP(Table4[[#This Row],[id]],prov_color!A:A,prov_color!C:C)</f>
        <v>25</v>
      </c>
    </row>
    <row r="691" spans="1:16" hidden="1" x14ac:dyDescent="0.25">
      <c r="A691">
        <v>690</v>
      </c>
      <c r="B691" t="s">
        <v>653</v>
      </c>
      <c r="C691" t="s">
        <v>935</v>
      </c>
      <c r="D691" t="s">
        <v>954</v>
      </c>
      <c r="E691" t="s">
        <v>80</v>
      </c>
      <c r="F691" t="s">
        <v>15</v>
      </c>
      <c r="G691" t="s">
        <v>75</v>
      </c>
      <c r="H691" t="s">
        <v>955</v>
      </c>
      <c r="I691" t="s">
        <v>18</v>
      </c>
      <c r="J691" t="s">
        <v>956</v>
      </c>
      <c r="K691">
        <v>4</v>
      </c>
      <c r="L691">
        <v>4</v>
      </c>
      <c r="M691">
        <v>10</v>
      </c>
      <c r="N691">
        <v>690</v>
      </c>
      <c r="O691" t="str">
        <f>_xlfn.XLOOKUP(Table4[[#This Row],[id]],VALINA[id],VALINA[name])</f>
        <v>Luzon</v>
      </c>
      <c r="P691">
        <f>_xlfn.XLOOKUP(Table4[[#This Row],[id]],prov_color!A:A,prov_color!C:C)</f>
        <v>42</v>
      </c>
    </row>
    <row r="692" spans="1:16" hidden="1" x14ac:dyDescent="0.25">
      <c r="A692">
        <v>691</v>
      </c>
      <c r="B692" t="s">
        <v>653</v>
      </c>
      <c r="C692" t="s">
        <v>935</v>
      </c>
      <c r="D692" t="s">
        <v>954</v>
      </c>
      <c r="E692" t="s">
        <v>22</v>
      </c>
      <c r="F692" t="s">
        <v>15</v>
      </c>
      <c r="G692" t="s">
        <v>75</v>
      </c>
      <c r="H692" t="s">
        <v>955</v>
      </c>
      <c r="I692" t="s">
        <v>73</v>
      </c>
      <c r="J692" t="s">
        <v>957</v>
      </c>
      <c r="K692">
        <v>5</v>
      </c>
      <c r="L692">
        <v>4</v>
      </c>
      <c r="M692">
        <v>10</v>
      </c>
      <c r="N692">
        <v>691</v>
      </c>
      <c r="O692" t="str">
        <f>_xlfn.XLOOKUP(Table4[[#This Row],[id]],VALINA[id],VALINA[name])</f>
        <v>Mindoro</v>
      </c>
      <c r="P692">
        <f>_xlfn.XLOOKUP(Table4[[#This Row],[id]],prov_color!A:A,prov_color!C:C)</f>
        <v>33</v>
      </c>
    </row>
    <row r="693" spans="1:16" hidden="1" x14ac:dyDescent="0.25">
      <c r="A693">
        <v>692</v>
      </c>
      <c r="B693" t="s">
        <v>653</v>
      </c>
      <c r="C693" t="s">
        <v>935</v>
      </c>
      <c r="D693" t="s">
        <v>954</v>
      </c>
      <c r="E693" t="s">
        <v>22</v>
      </c>
      <c r="F693" t="s">
        <v>15</v>
      </c>
      <c r="G693" t="s">
        <v>75</v>
      </c>
      <c r="H693" t="s">
        <v>955</v>
      </c>
      <c r="I693" t="s">
        <v>687</v>
      </c>
      <c r="J693" t="s">
        <v>958</v>
      </c>
      <c r="K693">
        <v>5</v>
      </c>
      <c r="L693">
        <v>3</v>
      </c>
      <c r="M693">
        <v>8</v>
      </c>
      <c r="N693">
        <v>692</v>
      </c>
      <c r="O693" t="str">
        <f>_xlfn.XLOOKUP(Table4[[#This Row],[id]],VALINA[id],VALINA[name])</f>
        <v>Samar</v>
      </c>
      <c r="P693">
        <f>_xlfn.XLOOKUP(Table4[[#This Row],[id]],prov_color!A:A,prov_color!C:C)</f>
        <v>21</v>
      </c>
    </row>
    <row r="694" spans="1:16" hidden="1" x14ac:dyDescent="0.25">
      <c r="A694">
        <v>693</v>
      </c>
      <c r="B694" t="s">
        <v>653</v>
      </c>
      <c r="C694" t="s">
        <v>935</v>
      </c>
      <c r="D694" t="s">
        <v>954</v>
      </c>
      <c r="E694" t="s">
        <v>14</v>
      </c>
      <c r="F694" t="s">
        <v>609</v>
      </c>
      <c r="G694" t="s">
        <v>75</v>
      </c>
      <c r="H694" t="s">
        <v>955</v>
      </c>
      <c r="I694" t="s">
        <v>687</v>
      </c>
      <c r="J694" t="s">
        <v>959</v>
      </c>
      <c r="K694">
        <v>6</v>
      </c>
      <c r="L694">
        <v>3</v>
      </c>
      <c r="M694">
        <v>8</v>
      </c>
      <c r="N694">
        <v>693</v>
      </c>
      <c r="O694" t="str">
        <f>_xlfn.XLOOKUP(Table4[[#This Row],[id]],VALINA[id],VALINA[name])</f>
        <v>Mindanao</v>
      </c>
      <c r="P694">
        <f>_xlfn.XLOOKUP(Table4[[#This Row],[id]],prov_color!A:A,prov_color!C:C)</f>
        <v>57</v>
      </c>
    </row>
    <row r="695" spans="1:16" hidden="1" x14ac:dyDescent="0.25">
      <c r="A695">
        <v>694</v>
      </c>
      <c r="B695" t="s">
        <v>653</v>
      </c>
      <c r="C695" t="s">
        <v>935</v>
      </c>
      <c r="D695" t="s">
        <v>954</v>
      </c>
      <c r="E695" t="s">
        <v>22</v>
      </c>
      <c r="F695" t="s">
        <v>15</v>
      </c>
      <c r="G695" t="s">
        <v>75</v>
      </c>
      <c r="H695" t="s">
        <v>955</v>
      </c>
      <c r="I695" t="s">
        <v>27</v>
      </c>
      <c r="J695" t="s">
        <v>960</v>
      </c>
      <c r="K695">
        <v>7</v>
      </c>
      <c r="L695">
        <v>3</v>
      </c>
      <c r="M695">
        <v>7</v>
      </c>
      <c r="N695">
        <v>694</v>
      </c>
      <c r="O695" t="str">
        <f>_xlfn.XLOOKUP(Table4[[#This Row],[id]],VALINA[id],VALINA[name])</f>
        <v>Palawan</v>
      </c>
      <c r="P695">
        <f>_xlfn.XLOOKUP(Table4[[#This Row],[id]],prov_color!A:A,prov_color!C:C)</f>
        <v>14</v>
      </c>
    </row>
    <row r="696" spans="1:16" hidden="1" x14ac:dyDescent="0.25">
      <c r="A696">
        <v>695</v>
      </c>
      <c r="B696" t="s">
        <v>653</v>
      </c>
      <c r="C696" t="s">
        <v>935</v>
      </c>
      <c r="D696" t="s">
        <v>961</v>
      </c>
      <c r="E696" t="s">
        <v>14</v>
      </c>
      <c r="F696" t="s">
        <v>15</v>
      </c>
      <c r="G696" t="s">
        <v>75</v>
      </c>
      <c r="H696" t="s">
        <v>931</v>
      </c>
      <c r="I696" t="s">
        <v>687</v>
      </c>
      <c r="J696" t="s">
        <v>962</v>
      </c>
      <c r="K696">
        <v>4</v>
      </c>
      <c r="L696">
        <v>3</v>
      </c>
      <c r="M696">
        <v>6</v>
      </c>
      <c r="N696">
        <v>695</v>
      </c>
      <c r="O696" t="str">
        <f>_xlfn.XLOOKUP(Table4[[#This Row],[id]],VALINA[id],VALINA[name])</f>
        <v>Sabah</v>
      </c>
      <c r="P696">
        <f>_xlfn.XLOOKUP(Table4[[#This Row],[id]],prov_color!A:A,prov_color!C:C)</f>
        <v>54</v>
      </c>
    </row>
    <row r="697" spans="1:16" hidden="1" x14ac:dyDescent="0.25">
      <c r="A697">
        <v>696</v>
      </c>
      <c r="B697" t="s">
        <v>653</v>
      </c>
      <c r="C697" t="s">
        <v>935</v>
      </c>
      <c r="D697" t="s">
        <v>961</v>
      </c>
      <c r="E697" t="s">
        <v>22</v>
      </c>
      <c r="F697" t="s">
        <v>609</v>
      </c>
      <c r="G697" t="s">
        <v>75</v>
      </c>
      <c r="H697" t="s">
        <v>931</v>
      </c>
      <c r="I697" t="s">
        <v>687</v>
      </c>
      <c r="J697" t="s">
        <v>963</v>
      </c>
      <c r="K697">
        <v>4</v>
      </c>
      <c r="L697">
        <v>6</v>
      </c>
      <c r="M697">
        <v>14</v>
      </c>
      <c r="N697">
        <v>696</v>
      </c>
      <c r="O697" t="str">
        <f>_xlfn.XLOOKUP(Table4[[#This Row],[id]],VALINA[id],VALINA[name])</f>
        <v>Brunei</v>
      </c>
      <c r="P697">
        <f>_xlfn.XLOOKUP(Table4[[#This Row],[id]],prov_color!A:A,prov_color!C:C)</f>
        <v>33</v>
      </c>
    </row>
    <row r="698" spans="1:16" hidden="1" x14ac:dyDescent="0.25">
      <c r="A698">
        <v>697</v>
      </c>
      <c r="B698" t="s">
        <v>653</v>
      </c>
      <c r="C698" t="s">
        <v>935</v>
      </c>
      <c r="D698" t="s">
        <v>961</v>
      </c>
      <c r="E698" t="s">
        <v>22</v>
      </c>
      <c r="F698" t="s">
        <v>748</v>
      </c>
      <c r="G698" t="s">
        <v>75</v>
      </c>
      <c r="H698" t="s">
        <v>931</v>
      </c>
      <c r="I698" t="s">
        <v>29</v>
      </c>
      <c r="J698" t="s">
        <v>964</v>
      </c>
      <c r="K698">
        <v>3</v>
      </c>
      <c r="L698">
        <v>3</v>
      </c>
      <c r="M698">
        <v>6</v>
      </c>
      <c r="N698">
        <v>697</v>
      </c>
      <c r="O698" t="str">
        <f>_xlfn.XLOOKUP(Table4[[#This Row],[id]],VALINA[id],VALINA[name])</f>
        <v>Sarawak</v>
      </c>
      <c r="P698">
        <f>_xlfn.XLOOKUP(Table4[[#This Row],[id]],prov_color!A:A,prov_color!C:C)</f>
        <v>49</v>
      </c>
    </row>
    <row r="699" spans="1:16" hidden="1" x14ac:dyDescent="0.25">
      <c r="A699">
        <v>698</v>
      </c>
      <c r="B699" t="s">
        <v>653</v>
      </c>
      <c r="C699" t="s">
        <v>935</v>
      </c>
      <c r="D699" t="s">
        <v>961</v>
      </c>
      <c r="E699" t="s">
        <v>80</v>
      </c>
      <c r="F699" t="s">
        <v>748</v>
      </c>
      <c r="G699" t="s">
        <v>75</v>
      </c>
      <c r="H699" t="s">
        <v>965</v>
      </c>
      <c r="I699" t="s">
        <v>141</v>
      </c>
      <c r="J699" t="s">
        <v>966</v>
      </c>
      <c r="K699">
        <v>4</v>
      </c>
      <c r="L699">
        <v>3</v>
      </c>
      <c r="M699">
        <v>6</v>
      </c>
      <c r="N699">
        <v>698</v>
      </c>
      <c r="O699" t="str">
        <f>_xlfn.XLOOKUP(Table4[[#This Row],[id]],VALINA[id],VALINA[name])</f>
        <v>Bandjarmasin</v>
      </c>
      <c r="P699">
        <f>_xlfn.XLOOKUP(Table4[[#This Row],[id]],prov_color!A:A,prov_color!C:C)</f>
        <v>49</v>
      </c>
    </row>
    <row r="700" spans="1:16" hidden="1" x14ac:dyDescent="0.25">
      <c r="A700">
        <v>699</v>
      </c>
      <c r="B700" t="s">
        <v>653</v>
      </c>
      <c r="C700" t="s">
        <v>935</v>
      </c>
      <c r="D700" t="s">
        <v>961</v>
      </c>
      <c r="E700" t="s">
        <v>80</v>
      </c>
      <c r="F700" t="s">
        <v>748</v>
      </c>
      <c r="G700" t="s">
        <v>75</v>
      </c>
      <c r="H700" t="s">
        <v>965</v>
      </c>
      <c r="I700" t="s">
        <v>685</v>
      </c>
      <c r="J700" t="s">
        <v>967</v>
      </c>
      <c r="K700">
        <v>4</v>
      </c>
      <c r="L700">
        <v>3</v>
      </c>
      <c r="M700">
        <v>6</v>
      </c>
      <c r="N700">
        <v>699</v>
      </c>
      <c r="O700" t="str">
        <f>_xlfn.XLOOKUP(Table4[[#This Row],[id]],VALINA[id],VALINA[name])</f>
        <v>Selatan</v>
      </c>
      <c r="P700">
        <f>_xlfn.XLOOKUP(Table4[[#This Row],[id]],prov_color!A:A,prov_color!C:C)</f>
        <v>44</v>
      </c>
    </row>
    <row r="701" spans="1:16" hidden="1" x14ac:dyDescent="0.25">
      <c r="A701">
        <v>700</v>
      </c>
      <c r="B701" t="s">
        <v>653</v>
      </c>
      <c r="C701" t="s">
        <v>935</v>
      </c>
      <c r="D701" t="s">
        <v>961</v>
      </c>
      <c r="E701" t="s">
        <v>80</v>
      </c>
      <c r="F701" t="s">
        <v>748</v>
      </c>
      <c r="G701" t="s">
        <v>75</v>
      </c>
      <c r="H701" t="s">
        <v>965</v>
      </c>
      <c r="I701" t="s">
        <v>27</v>
      </c>
      <c r="J701" t="s">
        <v>968</v>
      </c>
      <c r="K701">
        <v>4</v>
      </c>
      <c r="L701">
        <v>2</v>
      </c>
      <c r="M701">
        <v>5</v>
      </c>
      <c r="N701">
        <v>700</v>
      </c>
      <c r="O701" t="str">
        <f>_xlfn.XLOOKUP(Table4[[#This Row],[id]],VALINA[id],VALINA[name])</f>
        <v>Kalimantan</v>
      </c>
      <c r="P701">
        <f>_xlfn.XLOOKUP(Table4[[#This Row],[id]],prov_color!A:A,prov_color!C:C)</f>
        <v>39</v>
      </c>
    </row>
    <row r="702" spans="1:16" hidden="1" x14ac:dyDescent="0.25">
      <c r="A702">
        <v>701</v>
      </c>
      <c r="B702" t="s">
        <v>653</v>
      </c>
      <c r="C702" t="s">
        <v>935</v>
      </c>
      <c r="D702" t="s">
        <v>969</v>
      </c>
      <c r="E702" t="s">
        <v>22</v>
      </c>
      <c r="F702" t="s">
        <v>748</v>
      </c>
      <c r="G702" t="s">
        <v>75</v>
      </c>
      <c r="H702" t="s">
        <v>965</v>
      </c>
      <c r="I702" t="s">
        <v>687</v>
      </c>
      <c r="J702" t="s">
        <v>970</v>
      </c>
      <c r="K702">
        <v>3</v>
      </c>
      <c r="L702">
        <v>6</v>
      </c>
      <c r="M702">
        <v>12</v>
      </c>
      <c r="N702">
        <v>701</v>
      </c>
      <c r="O702" t="str">
        <f>_xlfn.XLOOKUP(Table4[[#This Row],[id]],VALINA[id],VALINA[name])</f>
        <v>Sunda</v>
      </c>
      <c r="P702">
        <f>_xlfn.XLOOKUP(Table4[[#This Row],[id]],prov_color!A:A,prov_color!C:C)</f>
        <v>15</v>
      </c>
    </row>
    <row r="703" spans="1:16" hidden="1" x14ac:dyDescent="0.25">
      <c r="A703">
        <v>702</v>
      </c>
      <c r="B703" t="s">
        <v>653</v>
      </c>
      <c r="C703" t="s">
        <v>935</v>
      </c>
      <c r="D703" t="s">
        <v>969</v>
      </c>
      <c r="E703" t="s">
        <v>80</v>
      </c>
      <c r="F703" t="s">
        <v>748</v>
      </c>
      <c r="G703" t="s">
        <v>75</v>
      </c>
      <c r="H703" t="s">
        <v>965</v>
      </c>
      <c r="I703" t="s">
        <v>73</v>
      </c>
      <c r="J703" t="s">
        <v>971</v>
      </c>
      <c r="K703">
        <v>3</v>
      </c>
      <c r="L703">
        <v>8</v>
      </c>
      <c r="M703">
        <v>16</v>
      </c>
      <c r="N703">
        <v>702</v>
      </c>
      <c r="O703" t="str">
        <f>_xlfn.XLOOKUP(Table4[[#This Row],[id]],VALINA[id],VALINA[name])</f>
        <v>Jakarta</v>
      </c>
      <c r="P703">
        <f>_xlfn.XLOOKUP(Table4[[#This Row],[id]],prov_color!A:A,prov_color!C:C)</f>
        <v>14</v>
      </c>
    </row>
    <row r="704" spans="1:16" hidden="1" x14ac:dyDescent="0.25">
      <c r="A704">
        <v>703</v>
      </c>
      <c r="B704" t="s">
        <v>653</v>
      </c>
      <c r="C704" t="s">
        <v>935</v>
      </c>
      <c r="D704" t="s">
        <v>969</v>
      </c>
      <c r="E704" t="s">
        <v>14</v>
      </c>
      <c r="F704" t="s">
        <v>748</v>
      </c>
      <c r="G704" t="s">
        <v>75</v>
      </c>
      <c r="H704" t="s">
        <v>965</v>
      </c>
      <c r="I704" t="s">
        <v>103</v>
      </c>
      <c r="J704" t="s">
        <v>972</v>
      </c>
      <c r="K704">
        <v>3</v>
      </c>
      <c r="L704">
        <v>6</v>
      </c>
      <c r="M704">
        <v>14</v>
      </c>
      <c r="N704">
        <v>703</v>
      </c>
      <c r="O704" t="str">
        <f>_xlfn.XLOOKUP(Table4[[#This Row],[id]],VALINA[id],VALINA[name])</f>
        <v>Bandung</v>
      </c>
      <c r="P704">
        <f>_xlfn.XLOOKUP(Table4[[#This Row],[id]],prov_color!A:A,prov_color!C:C)</f>
        <v>16</v>
      </c>
    </row>
    <row r="705" spans="1:16" hidden="1" x14ac:dyDescent="0.25">
      <c r="A705">
        <v>704</v>
      </c>
      <c r="B705" t="s">
        <v>653</v>
      </c>
      <c r="C705" t="s">
        <v>935</v>
      </c>
      <c r="D705" t="s">
        <v>973</v>
      </c>
      <c r="E705" t="s">
        <v>14</v>
      </c>
      <c r="F705" t="s">
        <v>748</v>
      </c>
      <c r="G705" t="s">
        <v>75</v>
      </c>
      <c r="H705" t="s">
        <v>965</v>
      </c>
      <c r="I705" t="s">
        <v>103</v>
      </c>
      <c r="J705" t="s">
        <v>974</v>
      </c>
      <c r="K705">
        <v>3</v>
      </c>
      <c r="L705">
        <v>7</v>
      </c>
      <c r="M705">
        <v>16</v>
      </c>
      <c r="N705">
        <v>704</v>
      </c>
      <c r="O705" t="str">
        <f>_xlfn.XLOOKUP(Table4[[#This Row],[id]],VALINA[id],VALINA[name])</f>
        <v>Surabaja</v>
      </c>
      <c r="P705">
        <f>_xlfn.XLOOKUP(Table4[[#This Row],[id]],prov_color!A:A,prov_color!C:C)</f>
        <v>35</v>
      </c>
    </row>
    <row r="706" spans="1:16" hidden="1" x14ac:dyDescent="0.25">
      <c r="A706">
        <v>705</v>
      </c>
      <c r="B706" t="s">
        <v>653</v>
      </c>
      <c r="C706" t="s">
        <v>935</v>
      </c>
      <c r="D706" t="s">
        <v>973</v>
      </c>
      <c r="E706" t="s">
        <v>80</v>
      </c>
      <c r="F706" t="s">
        <v>748</v>
      </c>
      <c r="G706" t="s">
        <v>75</v>
      </c>
      <c r="H706" t="s">
        <v>965</v>
      </c>
      <c r="I706" t="s">
        <v>84</v>
      </c>
      <c r="J706" t="s">
        <v>975</v>
      </c>
      <c r="K706">
        <v>3</v>
      </c>
      <c r="L706">
        <v>5</v>
      </c>
      <c r="M706">
        <v>12</v>
      </c>
      <c r="N706">
        <v>705</v>
      </c>
      <c r="O706" t="str">
        <f>_xlfn.XLOOKUP(Table4[[#This Row],[id]],VALINA[id],VALINA[name])</f>
        <v>Bali</v>
      </c>
      <c r="P706">
        <f>_xlfn.XLOOKUP(Table4[[#This Row],[id]],prov_color!A:A,prov_color!C:C)</f>
        <v>8</v>
      </c>
    </row>
    <row r="707" spans="1:16" hidden="1" x14ac:dyDescent="0.25">
      <c r="A707">
        <v>706</v>
      </c>
      <c r="B707" t="s">
        <v>653</v>
      </c>
      <c r="C707" t="s">
        <v>935</v>
      </c>
      <c r="D707" t="s">
        <v>976</v>
      </c>
      <c r="E707" t="s">
        <v>22</v>
      </c>
      <c r="F707" t="s">
        <v>15</v>
      </c>
      <c r="G707" t="s">
        <v>75</v>
      </c>
      <c r="H707" t="s">
        <v>977</v>
      </c>
      <c r="I707" t="s">
        <v>687</v>
      </c>
      <c r="J707" t="s">
        <v>978</v>
      </c>
      <c r="K707">
        <v>3</v>
      </c>
      <c r="L707">
        <v>2</v>
      </c>
      <c r="M707">
        <v>8</v>
      </c>
      <c r="N707">
        <v>706</v>
      </c>
      <c r="O707" t="str">
        <f>_xlfn.XLOOKUP(Table4[[#This Row],[id]],VALINA[id],VALINA[name])</f>
        <v>Manado</v>
      </c>
      <c r="P707">
        <f>_xlfn.XLOOKUP(Table4[[#This Row],[id]],prov_color!A:A,prov_color!C:C)</f>
        <v>36</v>
      </c>
    </row>
    <row r="708" spans="1:16" hidden="1" x14ac:dyDescent="0.25">
      <c r="A708">
        <v>707</v>
      </c>
      <c r="B708" t="s">
        <v>653</v>
      </c>
      <c r="C708" t="s">
        <v>935</v>
      </c>
      <c r="D708" t="s">
        <v>976</v>
      </c>
      <c r="E708" t="s">
        <v>14</v>
      </c>
      <c r="F708" t="s">
        <v>15</v>
      </c>
      <c r="G708" t="s">
        <v>75</v>
      </c>
      <c r="H708" t="s">
        <v>977</v>
      </c>
      <c r="I708" t="s">
        <v>84</v>
      </c>
      <c r="J708" t="s">
        <v>979</v>
      </c>
      <c r="K708">
        <v>3</v>
      </c>
      <c r="L708">
        <v>3</v>
      </c>
      <c r="M708">
        <v>10</v>
      </c>
      <c r="N708">
        <v>707</v>
      </c>
      <c r="O708" t="str">
        <f>_xlfn.XLOOKUP(Table4[[#This Row],[id]],VALINA[id],VALINA[name])</f>
        <v>Sulawesi</v>
      </c>
      <c r="P708">
        <f>_xlfn.XLOOKUP(Table4[[#This Row],[id]],prov_color!A:A,prov_color!C:C)</f>
        <v>33</v>
      </c>
    </row>
    <row r="709" spans="1:16" hidden="1" x14ac:dyDescent="0.25">
      <c r="A709">
        <v>708</v>
      </c>
      <c r="B709" t="s">
        <v>653</v>
      </c>
      <c r="C709" t="s">
        <v>935</v>
      </c>
      <c r="D709" t="s">
        <v>976</v>
      </c>
      <c r="E709" t="s">
        <v>80</v>
      </c>
      <c r="F709" t="s">
        <v>15</v>
      </c>
      <c r="G709" t="s">
        <v>75</v>
      </c>
      <c r="H709" t="s">
        <v>977</v>
      </c>
      <c r="I709" t="s">
        <v>687</v>
      </c>
      <c r="J709" t="s">
        <v>980</v>
      </c>
      <c r="K709">
        <v>3</v>
      </c>
      <c r="L709">
        <v>5</v>
      </c>
      <c r="M709">
        <v>14</v>
      </c>
      <c r="N709">
        <v>708</v>
      </c>
      <c r="O709" t="str">
        <f>_xlfn.XLOOKUP(Table4[[#This Row],[id]],VALINA[id],VALINA[name])</f>
        <v>Makassar</v>
      </c>
      <c r="P709">
        <f>_xlfn.XLOOKUP(Table4[[#This Row],[id]],prov_color!A:A,prov_color!C:C)</f>
        <v>21</v>
      </c>
    </row>
    <row r="710" spans="1:16" hidden="1" x14ac:dyDescent="0.25">
      <c r="A710">
        <v>709</v>
      </c>
      <c r="B710" t="s">
        <v>653</v>
      </c>
      <c r="C710" t="s">
        <v>935</v>
      </c>
      <c r="D710" t="s">
        <v>976</v>
      </c>
      <c r="E710" t="s">
        <v>22</v>
      </c>
      <c r="F710" t="s">
        <v>15</v>
      </c>
      <c r="G710" t="s">
        <v>75</v>
      </c>
      <c r="H710" t="s">
        <v>977</v>
      </c>
      <c r="I710" t="s">
        <v>687</v>
      </c>
      <c r="J710" t="s">
        <v>981</v>
      </c>
      <c r="K710">
        <v>3</v>
      </c>
      <c r="L710">
        <v>3</v>
      </c>
      <c r="M710">
        <v>10</v>
      </c>
      <c r="N710">
        <v>709</v>
      </c>
      <c r="O710" t="str">
        <f>_xlfn.XLOOKUP(Table4[[#This Row],[id]],VALINA[id],VALINA[name])</f>
        <v>Salabanka</v>
      </c>
      <c r="P710">
        <f>_xlfn.XLOOKUP(Table4[[#This Row],[id]],prov_color!A:A,prov_color!C:C)</f>
        <v>29</v>
      </c>
    </row>
    <row r="711" spans="1:16" hidden="1" x14ac:dyDescent="0.25">
      <c r="A711">
        <v>710</v>
      </c>
      <c r="B711" t="s">
        <v>653</v>
      </c>
      <c r="C711" t="s">
        <v>935</v>
      </c>
      <c r="D711" t="s">
        <v>982</v>
      </c>
      <c r="E711" t="s">
        <v>22</v>
      </c>
      <c r="F711" t="s">
        <v>748</v>
      </c>
      <c r="G711" t="s">
        <v>75</v>
      </c>
      <c r="H711" t="s">
        <v>977</v>
      </c>
      <c r="I711" t="s">
        <v>84</v>
      </c>
      <c r="J711" t="s">
        <v>983</v>
      </c>
      <c r="K711">
        <v>3</v>
      </c>
      <c r="L711">
        <v>3</v>
      </c>
      <c r="M711">
        <v>10</v>
      </c>
      <c r="N711">
        <v>710</v>
      </c>
      <c r="O711" t="str">
        <f>_xlfn.XLOOKUP(Table4[[#This Row],[id]],VALINA[id],VALINA[name])</f>
        <v>Sumbawa</v>
      </c>
      <c r="P711">
        <f>_xlfn.XLOOKUP(Table4[[#This Row],[id]],prov_color!A:A,prov_color!C:C)</f>
        <v>8</v>
      </c>
    </row>
    <row r="712" spans="1:16" hidden="1" x14ac:dyDescent="0.25">
      <c r="A712">
        <v>711</v>
      </c>
      <c r="B712" t="s">
        <v>653</v>
      </c>
      <c r="C712" t="s">
        <v>935</v>
      </c>
      <c r="D712" t="s">
        <v>982</v>
      </c>
      <c r="E712" t="s">
        <v>22</v>
      </c>
      <c r="F712" t="s">
        <v>15</v>
      </c>
      <c r="G712" t="s">
        <v>75</v>
      </c>
      <c r="H712" t="s">
        <v>977</v>
      </c>
      <c r="I712" t="s">
        <v>687</v>
      </c>
      <c r="J712" t="s">
        <v>984</v>
      </c>
      <c r="K712">
        <v>3</v>
      </c>
      <c r="L712">
        <v>3</v>
      </c>
      <c r="M712">
        <v>8</v>
      </c>
      <c r="N712">
        <v>711</v>
      </c>
      <c r="O712" t="str">
        <f>_xlfn.XLOOKUP(Table4[[#This Row],[id]],VALINA[id],VALINA[name])</f>
        <v>Flores</v>
      </c>
      <c r="P712">
        <f>_xlfn.XLOOKUP(Table4[[#This Row],[id]],prov_color!A:A,prov_color!C:C)</f>
        <v>15</v>
      </c>
    </row>
    <row r="713" spans="1:16" hidden="1" x14ac:dyDescent="0.25">
      <c r="A713">
        <v>712</v>
      </c>
      <c r="B713" t="s">
        <v>653</v>
      </c>
      <c r="C713" t="s">
        <v>935</v>
      </c>
      <c r="D713" t="s">
        <v>982</v>
      </c>
      <c r="E713" t="s">
        <v>22</v>
      </c>
      <c r="F713" t="s">
        <v>15</v>
      </c>
      <c r="G713" t="s">
        <v>75</v>
      </c>
      <c r="H713" t="s">
        <v>977</v>
      </c>
      <c r="I713" t="s">
        <v>687</v>
      </c>
      <c r="J713" t="s">
        <v>985</v>
      </c>
      <c r="K713">
        <v>5</v>
      </c>
      <c r="L713">
        <v>2</v>
      </c>
      <c r="M713">
        <v>6</v>
      </c>
      <c r="N713">
        <v>712</v>
      </c>
      <c r="O713" t="str">
        <f>_xlfn.XLOOKUP(Table4[[#This Row],[id]],VALINA[id],VALINA[name])</f>
        <v>Timor</v>
      </c>
      <c r="P713">
        <f>_xlfn.XLOOKUP(Table4[[#This Row],[id]],prov_color!A:A,prov_color!C:C)</f>
        <v>30</v>
      </c>
    </row>
    <row r="714" spans="1:16" hidden="1" x14ac:dyDescent="0.25">
      <c r="A714">
        <v>713</v>
      </c>
      <c r="B714" t="s">
        <v>653</v>
      </c>
      <c r="C714" t="s">
        <v>935</v>
      </c>
      <c r="D714" t="s">
        <v>986</v>
      </c>
      <c r="E714" t="s">
        <v>22</v>
      </c>
      <c r="F714" t="s">
        <v>15</v>
      </c>
      <c r="G714" t="s">
        <v>75</v>
      </c>
      <c r="H714" t="s">
        <v>977</v>
      </c>
      <c r="I714" t="s">
        <v>687</v>
      </c>
      <c r="J714" t="s">
        <v>987</v>
      </c>
      <c r="K714">
        <v>4</v>
      </c>
      <c r="L714">
        <v>4</v>
      </c>
      <c r="M714">
        <v>12</v>
      </c>
      <c r="N714">
        <v>713</v>
      </c>
      <c r="O714" t="str">
        <f>_xlfn.XLOOKUP(Table4[[#This Row],[id]],VALINA[id],VALINA[name])</f>
        <v>Tindore</v>
      </c>
      <c r="P714">
        <f>_xlfn.XLOOKUP(Table4[[#This Row],[id]],prov_color!A:A,prov_color!C:C)</f>
        <v>18</v>
      </c>
    </row>
    <row r="715" spans="1:16" hidden="1" x14ac:dyDescent="0.25">
      <c r="A715">
        <v>714</v>
      </c>
      <c r="B715" t="s">
        <v>653</v>
      </c>
      <c r="C715" t="s">
        <v>935</v>
      </c>
      <c r="D715" t="s">
        <v>986</v>
      </c>
      <c r="E715" t="s">
        <v>22</v>
      </c>
      <c r="F715" t="s">
        <v>15</v>
      </c>
      <c r="G715" t="s">
        <v>75</v>
      </c>
      <c r="H715" t="s">
        <v>977</v>
      </c>
      <c r="I715" t="s">
        <v>84</v>
      </c>
      <c r="J715" t="s">
        <v>988</v>
      </c>
      <c r="K715">
        <v>5</v>
      </c>
      <c r="L715">
        <v>2</v>
      </c>
      <c r="M715">
        <v>6</v>
      </c>
      <c r="N715">
        <v>714</v>
      </c>
      <c r="O715" t="str">
        <f>_xlfn.XLOOKUP(Table4[[#This Row],[id]],VALINA[id],VALINA[name])</f>
        <v>Buru</v>
      </c>
      <c r="P715">
        <f>_xlfn.XLOOKUP(Table4[[#This Row],[id]],prov_color!A:A,prov_color!C:C)</f>
        <v>9</v>
      </c>
    </row>
    <row r="716" spans="1:16" hidden="1" x14ac:dyDescent="0.25">
      <c r="A716">
        <v>715</v>
      </c>
      <c r="B716" t="s">
        <v>653</v>
      </c>
      <c r="C716" t="s">
        <v>935</v>
      </c>
      <c r="D716" t="s">
        <v>986</v>
      </c>
      <c r="E716" t="s">
        <v>22</v>
      </c>
      <c r="F716" t="s">
        <v>15</v>
      </c>
      <c r="G716" t="s">
        <v>75</v>
      </c>
      <c r="H716" t="s">
        <v>977</v>
      </c>
      <c r="I716" t="s">
        <v>687</v>
      </c>
      <c r="J716" t="s">
        <v>989</v>
      </c>
      <c r="K716">
        <v>5</v>
      </c>
      <c r="L716">
        <v>2</v>
      </c>
      <c r="M716">
        <v>6</v>
      </c>
      <c r="N716">
        <v>715</v>
      </c>
      <c r="O716" t="str">
        <f>_xlfn.XLOOKUP(Table4[[#This Row],[id]],VALINA[id],VALINA[name])</f>
        <v>Ceram</v>
      </c>
      <c r="P716">
        <f>_xlfn.XLOOKUP(Table4[[#This Row],[id]],prov_color!A:A,prov_color!C:C)</f>
        <v>15</v>
      </c>
    </row>
    <row r="717" spans="1:16" hidden="1" x14ac:dyDescent="0.25">
      <c r="A717">
        <v>716</v>
      </c>
      <c r="B717" t="s">
        <v>990</v>
      </c>
      <c r="C717" t="s">
        <v>991</v>
      </c>
      <c r="D717" t="s">
        <v>992</v>
      </c>
      <c r="E717" t="s">
        <v>14</v>
      </c>
      <c r="F717" t="s">
        <v>15</v>
      </c>
      <c r="G717" t="s">
        <v>75</v>
      </c>
      <c r="H717" t="s">
        <v>993</v>
      </c>
      <c r="I717" t="s">
        <v>27</v>
      </c>
      <c r="J717" t="s">
        <v>994</v>
      </c>
      <c r="K717">
        <v>8</v>
      </c>
      <c r="L717">
        <v>1</v>
      </c>
      <c r="M717">
        <v>1</v>
      </c>
      <c r="N717">
        <v>716</v>
      </c>
      <c r="O717" t="str">
        <f>_xlfn.XLOOKUP(Table4[[#This Row],[id]],VALINA[id],VALINA[name])</f>
        <v>Sorong</v>
      </c>
      <c r="P717">
        <f>_xlfn.XLOOKUP(Table4[[#This Row],[id]],prov_color!A:A,prov_color!C:C)</f>
        <v>51</v>
      </c>
    </row>
    <row r="718" spans="1:16" hidden="1" x14ac:dyDescent="0.25">
      <c r="A718">
        <v>717</v>
      </c>
      <c r="B718" t="s">
        <v>990</v>
      </c>
      <c r="C718" t="s">
        <v>991</v>
      </c>
      <c r="D718" t="s">
        <v>992</v>
      </c>
      <c r="E718" t="s">
        <v>80</v>
      </c>
      <c r="F718" t="s">
        <v>15</v>
      </c>
      <c r="G718" t="s">
        <v>75</v>
      </c>
      <c r="H718" t="s">
        <v>993</v>
      </c>
      <c r="I718" t="s">
        <v>27</v>
      </c>
      <c r="J718" t="s">
        <v>995</v>
      </c>
      <c r="K718">
        <v>7</v>
      </c>
      <c r="L718">
        <v>1</v>
      </c>
      <c r="M718">
        <v>1</v>
      </c>
      <c r="N718">
        <v>717</v>
      </c>
      <c r="O718" t="str">
        <f>_xlfn.XLOOKUP(Table4[[#This Row],[id]],VALINA[id],VALINA[name])</f>
        <v>Kalepam</v>
      </c>
      <c r="P718">
        <f>_xlfn.XLOOKUP(Table4[[#This Row],[id]],prov_color!A:A,prov_color!C:C)</f>
        <v>41</v>
      </c>
    </row>
    <row r="719" spans="1:16" hidden="1" x14ac:dyDescent="0.25">
      <c r="A719">
        <v>718</v>
      </c>
      <c r="B719" t="s">
        <v>990</v>
      </c>
      <c r="C719" t="s">
        <v>991</v>
      </c>
      <c r="D719" t="s">
        <v>992</v>
      </c>
      <c r="E719" t="s">
        <v>22</v>
      </c>
      <c r="F719" t="s">
        <v>15</v>
      </c>
      <c r="G719" t="s">
        <v>75</v>
      </c>
      <c r="H719" t="s">
        <v>993</v>
      </c>
      <c r="I719" t="s">
        <v>18</v>
      </c>
      <c r="J719" t="s">
        <v>996</v>
      </c>
      <c r="K719">
        <v>9</v>
      </c>
      <c r="L719">
        <v>1</v>
      </c>
      <c r="M719">
        <v>1</v>
      </c>
      <c r="N719">
        <v>718</v>
      </c>
      <c r="O719" t="str">
        <f>_xlfn.XLOOKUP(Table4[[#This Row],[id]],VALINA[id],VALINA[name])</f>
        <v>Wewak</v>
      </c>
      <c r="P719">
        <f>_xlfn.XLOOKUP(Table4[[#This Row],[id]],prov_color!A:A,prov_color!C:C)</f>
        <v>24</v>
      </c>
    </row>
    <row r="720" spans="1:16" hidden="1" x14ac:dyDescent="0.25">
      <c r="A720">
        <v>719</v>
      </c>
      <c r="B720" t="s">
        <v>990</v>
      </c>
      <c r="C720" t="s">
        <v>991</v>
      </c>
      <c r="D720" t="s">
        <v>992</v>
      </c>
      <c r="E720" t="s">
        <v>22</v>
      </c>
      <c r="F720" t="s">
        <v>15</v>
      </c>
      <c r="G720" t="s">
        <v>75</v>
      </c>
      <c r="H720" t="s">
        <v>993</v>
      </c>
      <c r="I720" t="s">
        <v>27</v>
      </c>
      <c r="J720" t="s">
        <v>997</v>
      </c>
      <c r="K720">
        <v>9</v>
      </c>
      <c r="L720">
        <v>1</v>
      </c>
      <c r="M720">
        <v>1</v>
      </c>
      <c r="N720">
        <v>719</v>
      </c>
      <c r="O720" t="str">
        <f>_xlfn.XLOOKUP(Table4[[#This Row],[id]],VALINA[id],VALINA[name])</f>
        <v>Rabaul</v>
      </c>
      <c r="P720">
        <f>_xlfn.XLOOKUP(Table4[[#This Row],[id]],prov_color!A:A,prov_color!C:C)</f>
        <v>21</v>
      </c>
    </row>
    <row r="721" spans="1:16" hidden="1" x14ac:dyDescent="0.25">
      <c r="A721">
        <v>720</v>
      </c>
      <c r="B721" t="s">
        <v>990</v>
      </c>
      <c r="C721" t="s">
        <v>991</v>
      </c>
      <c r="D721" t="s">
        <v>998</v>
      </c>
      <c r="E721" t="s">
        <v>34</v>
      </c>
      <c r="F721" t="s">
        <v>15</v>
      </c>
      <c r="G721" t="s">
        <v>35</v>
      </c>
      <c r="H721" t="s">
        <v>999</v>
      </c>
      <c r="I721" t="s">
        <v>41</v>
      </c>
      <c r="J721" t="s">
        <v>1000</v>
      </c>
      <c r="K721">
        <v>3</v>
      </c>
      <c r="L721">
        <v>1</v>
      </c>
      <c r="M721">
        <v>5</v>
      </c>
      <c r="N721">
        <v>720</v>
      </c>
      <c r="O721" t="str">
        <f>_xlfn.XLOOKUP(Table4[[#This Row],[id]],VALINA[id],VALINA[name])</f>
        <v>Manunda</v>
      </c>
      <c r="P721">
        <f>_xlfn.XLOOKUP(Table4[[#This Row],[id]],prov_color!A:A,prov_color!C:C)</f>
        <v>62</v>
      </c>
    </row>
    <row r="722" spans="1:16" hidden="1" x14ac:dyDescent="0.25">
      <c r="A722">
        <v>721</v>
      </c>
      <c r="B722" t="s">
        <v>990</v>
      </c>
      <c r="C722" t="s">
        <v>991</v>
      </c>
      <c r="D722" t="s">
        <v>998</v>
      </c>
      <c r="E722" t="s">
        <v>34</v>
      </c>
      <c r="F722" t="s">
        <v>15</v>
      </c>
      <c r="G722" t="s">
        <v>35</v>
      </c>
      <c r="H722" t="s">
        <v>999</v>
      </c>
      <c r="I722" t="s">
        <v>41</v>
      </c>
      <c r="J722" t="s">
        <v>1001</v>
      </c>
      <c r="K722">
        <v>3</v>
      </c>
      <c r="L722">
        <v>1</v>
      </c>
      <c r="M722">
        <v>6</v>
      </c>
      <c r="N722">
        <v>721</v>
      </c>
      <c r="O722" t="str">
        <f>_xlfn.XLOOKUP(Table4[[#This Row],[id]],VALINA[id],VALINA[name])</f>
        <v>Murumbidgee</v>
      </c>
      <c r="P722">
        <f>_xlfn.XLOOKUP(Table4[[#This Row],[id]],prov_color!A:A,prov_color!C:C)</f>
        <v>81</v>
      </c>
    </row>
    <row r="723" spans="1:16" hidden="1" x14ac:dyDescent="0.25">
      <c r="A723">
        <v>722</v>
      </c>
      <c r="B723" t="s">
        <v>990</v>
      </c>
      <c r="C723" t="s">
        <v>991</v>
      </c>
      <c r="D723" t="s">
        <v>998</v>
      </c>
      <c r="E723" t="s">
        <v>34</v>
      </c>
      <c r="F723" t="s">
        <v>15</v>
      </c>
      <c r="G723" t="s">
        <v>35</v>
      </c>
      <c r="H723" t="s">
        <v>999</v>
      </c>
      <c r="I723" t="s">
        <v>43</v>
      </c>
      <c r="J723" t="s">
        <v>1002</v>
      </c>
      <c r="K723">
        <v>3</v>
      </c>
      <c r="L723">
        <v>1</v>
      </c>
      <c r="M723">
        <v>8</v>
      </c>
      <c r="N723">
        <v>722</v>
      </c>
      <c r="O723" t="str">
        <f>_xlfn.XLOOKUP(Table4[[#This Row],[id]],VALINA[id],VALINA[name])</f>
        <v>Yarra</v>
      </c>
      <c r="P723">
        <f>_xlfn.XLOOKUP(Table4[[#This Row],[id]],prov_color!A:A,prov_color!C:C)</f>
        <v>57</v>
      </c>
    </row>
    <row r="724" spans="1:16" hidden="1" x14ac:dyDescent="0.25">
      <c r="A724">
        <v>723</v>
      </c>
      <c r="B724" t="s">
        <v>990</v>
      </c>
      <c r="C724" t="s">
        <v>991</v>
      </c>
      <c r="D724" t="s">
        <v>1003</v>
      </c>
      <c r="E724" t="s">
        <v>34</v>
      </c>
      <c r="F724" t="s">
        <v>15</v>
      </c>
      <c r="G724" t="s">
        <v>35</v>
      </c>
      <c r="H724" t="s">
        <v>999</v>
      </c>
      <c r="I724" t="s">
        <v>41</v>
      </c>
      <c r="J724" t="s">
        <v>1004</v>
      </c>
      <c r="K724">
        <v>3</v>
      </c>
      <c r="L724">
        <v>1</v>
      </c>
      <c r="M724">
        <v>6</v>
      </c>
      <c r="N724">
        <v>723</v>
      </c>
      <c r="O724" t="str">
        <f>_xlfn.XLOOKUP(Table4[[#This Row],[id]],VALINA[id],VALINA[name])</f>
        <v>Wagga</v>
      </c>
      <c r="P724">
        <f>_xlfn.XLOOKUP(Table4[[#This Row],[id]],prov_color!A:A,prov_color!C:C)</f>
        <v>54</v>
      </c>
    </row>
    <row r="725" spans="1:16" hidden="1" x14ac:dyDescent="0.25">
      <c r="A725">
        <v>724</v>
      </c>
      <c r="B725" t="s">
        <v>990</v>
      </c>
      <c r="C725" t="s">
        <v>991</v>
      </c>
      <c r="D725" t="s">
        <v>1003</v>
      </c>
      <c r="E725" t="s">
        <v>34</v>
      </c>
      <c r="F725" t="s">
        <v>15</v>
      </c>
      <c r="G725" t="s">
        <v>35</v>
      </c>
      <c r="H725" t="s">
        <v>999</v>
      </c>
      <c r="I725" t="s">
        <v>43</v>
      </c>
      <c r="J725" t="s">
        <v>1005</v>
      </c>
      <c r="K725">
        <v>3</v>
      </c>
      <c r="L725">
        <v>1</v>
      </c>
      <c r="M725">
        <v>7</v>
      </c>
      <c r="N725">
        <v>724</v>
      </c>
      <c r="O725" t="str">
        <f>_xlfn.XLOOKUP(Table4[[#This Row],[id]],VALINA[id],VALINA[name])</f>
        <v>Wollongong</v>
      </c>
      <c r="P725">
        <f>_xlfn.XLOOKUP(Table4[[#This Row],[id]],prov_color!A:A,prov_color!C:C)</f>
        <v>65</v>
      </c>
    </row>
    <row r="726" spans="1:16" hidden="1" x14ac:dyDescent="0.25">
      <c r="A726">
        <v>725</v>
      </c>
      <c r="B726" t="s">
        <v>990</v>
      </c>
      <c r="C726" t="s">
        <v>991</v>
      </c>
      <c r="D726" t="s">
        <v>1003</v>
      </c>
      <c r="E726" t="s">
        <v>22</v>
      </c>
      <c r="F726" t="s">
        <v>15</v>
      </c>
      <c r="G726" t="s">
        <v>35</v>
      </c>
      <c r="H726" t="s">
        <v>999</v>
      </c>
      <c r="I726" t="s">
        <v>41</v>
      </c>
      <c r="J726" t="s">
        <v>1006</v>
      </c>
      <c r="K726">
        <v>3</v>
      </c>
      <c r="L726">
        <v>1</v>
      </c>
      <c r="M726">
        <v>5</v>
      </c>
      <c r="N726">
        <v>725</v>
      </c>
      <c r="O726" t="str">
        <f>_xlfn.XLOOKUP(Table4[[#This Row],[id]],VALINA[id],VALINA[name])</f>
        <v>Nandewar</v>
      </c>
      <c r="P726">
        <f>_xlfn.XLOOKUP(Table4[[#This Row],[id]],prov_color!A:A,prov_color!C:C)</f>
        <v>63</v>
      </c>
    </row>
    <row r="727" spans="1:16" hidden="1" x14ac:dyDescent="0.25">
      <c r="A727">
        <v>726</v>
      </c>
      <c r="B727" t="s">
        <v>990</v>
      </c>
      <c r="C727" t="s">
        <v>991</v>
      </c>
      <c r="D727" t="s">
        <v>1003</v>
      </c>
      <c r="E727" t="s">
        <v>22</v>
      </c>
      <c r="F727" t="s">
        <v>15</v>
      </c>
      <c r="G727" t="s">
        <v>75</v>
      </c>
      <c r="H727" t="s">
        <v>999</v>
      </c>
      <c r="I727" t="s">
        <v>27</v>
      </c>
      <c r="J727" t="s">
        <v>1007</v>
      </c>
      <c r="K727">
        <v>4</v>
      </c>
      <c r="L727">
        <v>1</v>
      </c>
      <c r="M727">
        <v>5</v>
      </c>
      <c r="N727">
        <v>726</v>
      </c>
      <c r="O727" t="str">
        <f>_xlfn.XLOOKUP(Table4[[#This Row],[id]],VALINA[id],VALINA[name])</f>
        <v>Towoomba</v>
      </c>
      <c r="P727">
        <f>_xlfn.XLOOKUP(Table4[[#This Row],[id]],prov_color!A:A,prov_color!C:C)</f>
        <v>67</v>
      </c>
    </row>
    <row r="728" spans="1:16" hidden="1" x14ac:dyDescent="0.25">
      <c r="A728">
        <v>727</v>
      </c>
      <c r="B728" t="s">
        <v>990</v>
      </c>
      <c r="C728" t="s">
        <v>991</v>
      </c>
      <c r="D728" t="s">
        <v>1008</v>
      </c>
      <c r="E728" t="s">
        <v>34</v>
      </c>
      <c r="F728" t="s">
        <v>15</v>
      </c>
      <c r="G728" t="s">
        <v>35</v>
      </c>
      <c r="H728" t="s">
        <v>1009</v>
      </c>
      <c r="I728" t="s">
        <v>43</v>
      </c>
      <c r="J728" t="s">
        <v>1010</v>
      </c>
      <c r="K728">
        <v>4</v>
      </c>
      <c r="L728">
        <v>1</v>
      </c>
      <c r="M728">
        <v>7</v>
      </c>
      <c r="N728">
        <v>727</v>
      </c>
      <c r="O728" t="str">
        <f>_xlfn.XLOOKUP(Table4[[#This Row],[id]],VALINA[id],VALINA[name])</f>
        <v>Whangarei</v>
      </c>
      <c r="P728">
        <f>_xlfn.XLOOKUP(Table4[[#This Row],[id]],prov_color!A:A,prov_color!C:C)</f>
        <v>36</v>
      </c>
    </row>
    <row r="729" spans="1:16" hidden="1" x14ac:dyDescent="0.25">
      <c r="A729">
        <v>728</v>
      </c>
      <c r="B729" t="s">
        <v>990</v>
      </c>
      <c r="C729" t="s">
        <v>991</v>
      </c>
      <c r="D729" t="s">
        <v>1008</v>
      </c>
      <c r="E729" t="s">
        <v>34</v>
      </c>
      <c r="F729" t="s">
        <v>15</v>
      </c>
      <c r="G729" t="s">
        <v>35</v>
      </c>
      <c r="H729" t="s">
        <v>1009</v>
      </c>
      <c r="I729" t="s">
        <v>41</v>
      </c>
      <c r="J729" t="s">
        <v>1011</v>
      </c>
      <c r="K729">
        <v>4</v>
      </c>
      <c r="L729">
        <v>1</v>
      </c>
      <c r="M729">
        <v>5</v>
      </c>
      <c r="N729">
        <v>728</v>
      </c>
      <c r="O729" t="str">
        <f>_xlfn.XLOOKUP(Table4[[#This Row],[id]],VALINA[id],VALINA[name])</f>
        <v>Taranaki</v>
      </c>
      <c r="P729">
        <f>_xlfn.XLOOKUP(Table4[[#This Row],[id]],prov_color!A:A,prov_color!C:C)</f>
        <v>49</v>
      </c>
    </row>
    <row r="730" spans="1:16" hidden="1" x14ac:dyDescent="0.25">
      <c r="A730">
        <v>729</v>
      </c>
      <c r="B730" t="s">
        <v>990</v>
      </c>
      <c r="C730" t="s">
        <v>991</v>
      </c>
      <c r="D730" t="s">
        <v>1008</v>
      </c>
      <c r="E730" t="s">
        <v>14</v>
      </c>
      <c r="F730" t="s">
        <v>15</v>
      </c>
      <c r="G730" t="s">
        <v>35</v>
      </c>
      <c r="H730" t="s">
        <v>1009</v>
      </c>
      <c r="I730" t="s">
        <v>41</v>
      </c>
      <c r="J730" t="s">
        <v>1012</v>
      </c>
      <c r="K730">
        <v>4</v>
      </c>
      <c r="L730">
        <v>1</v>
      </c>
      <c r="M730">
        <v>6</v>
      </c>
      <c r="N730">
        <v>729</v>
      </c>
      <c r="O730" t="str">
        <f>_xlfn.XLOOKUP(Table4[[#This Row],[id]],VALINA[id],VALINA[name])</f>
        <v>Wairoa</v>
      </c>
      <c r="P730">
        <f>_xlfn.XLOOKUP(Table4[[#This Row],[id]],prov_color!A:A,prov_color!C:C)</f>
        <v>34</v>
      </c>
    </row>
    <row r="731" spans="1:16" hidden="1" x14ac:dyDescent="0.25">
      <c r="A731">
        <v>730</v>
      </c>
      <c r="B731" t="s">
        <v>990</v>
      </c>
      <c r="C731" t="s">
        <v>991</v>
      </c>
      <c r="D731" t="s">
        <v>1008</v>
      </c>
      <c r="E731" t="s">
        <v>14</v>
      </c>
      <c r="F731" t="s">
        <v>15</v>
      </c>
      <c r="G731" t="s">
        <v>35</v>
      </c>
      <c r="H731" t="s">
        <v>1009</v>
      </c>
      <c r="I731" t="s">
        <v>41</v>
      </c>
      <c r="J731" t="s">
        <v>1013</v>
      </c>
      <c r="K731">
        <v>5</v>
      </c>
      <c r="L731">
        <v>1</v>
      </c>
      <c r="M731">
        <v>5</v>
      </c>
      <c r="N731">
        <v>730</v>
      </c>
      <c r="O731" t="str">
        <f>_xlfn.XLOOKUP(Table4[[#This Row],[id]],VALINA[id],VALINA[name])</f>
        <v>Timaru</v>
      </c>
      <c r="P731">
        <f>_xlfn.XLOOKUP(Table4[[#This Row],[id]],prov_color!A:A,prov_color!C:C)</f>
        <v>48</v>
      </c>
    </row>
    <row r="732" spans="1:16" hidden="1" x14ac:dyDescent="0.25">
      <c r="A732">
        <v>731</v>
      </c>
      <c r="B732" t="s">
        <v>990</v>
      </c>
      <c r="C732" t="s">
        <v>991</v>
      </c>
      <c r="D732" t="s">
        <v>1014</v>
      </c>
      <c r="E732" t="s">
        <v>22</v>
      </c>
      <c r="F732" t="s">
        <v>15</v>
      </c>
      <c r="G732" t="s">
        <v>35</v>
      </c>
      <c r="H732" t="s">
        <v>999</v>
      </c>
      <c r="I732" t="s">
        <v>27</v>
      </c>
      <c r="J732" t="s">
        <v>1015</v>
      </c>
      <c r="K732">
        <v>2</v>
      </c>
      <c r="L732">
        <v>1</v>
      </c>
      <c r="M732">
        <v>6</v>
      </c>
      <c r="N732">
        <v>731</v>
      </c>
      <c r="O732" t="str">
        <f>_xlfn.XLOOKUP(Table4[[#This Row],[id]],VALINA[id],VALINA[name])</f>
        <v>Macquarie</v>
      </c>
      <c r="P732">
        <f>_xlfn.XLOOKUP(Table4[[#This Row],[id]],prov_color!A:A,prov_color!C:C)</f>
        <v>36</v>
      </c>
    </row>
    <row r="733" spans="1:16" hidden="1" x14ac:dyDescent="0.25">
      <c r="A733">
        <v>732</v>
      </c>
      <c r="B733" t="s">
        <v>1016</v>
      </c>
      <c r="C733" t="s">
        <v>1017</v>
      </c>
      <c r="D733" t="s">
        <v>1018</v>
      </c>
      <c r="E733" t="s">
        <v>34</v>
      </c>
      <c r="F733" t="s">
        <v>609</v>
      </c>
      <c r="G733" t="s">
        <v>35</v>
      </c>
      <c r="H733" t="s">
        <v>669</v>
      </c>
      <c r="I733" t="s">
        <v>27</v>
      </c>
      <c r="J733" t="s">
        <v>1019</v>
      </c>
      <c r="K733">
        <v>0</v>
      </c>
      <c r="L733">
        <v>2</v>
      </c>
      <c r="M733">
        <v>8</v>
      </c>
      <c r="N733">
        <v>732</v>
      </c>
      <c r="O733" t="str">
        <f>_xlfn.XLOOKUP(Table4[[#This Row],[id]],VALINA[id],VALINA[name])</f>
        <v>Tangiers</v>
      </c>
      <c r="P733">
        <f>_xlfn.XLOOKUP(Table4[[#This Row],[id]],prov_color!A:A,prov_color!C:C)</f>
        <v>16</v>
      </c>
    </row>
    <row r="734" spans="1:16" hidden="1" x14ac:dyDescent="0.25">
      <c r="A734">
        <v>733</v>
      </c>
      <c r="B734" t="s">
        <v>1016</v>
      </c>
      <c r="C734" t="s">
        <v>1017</v>
      </c>
      <c r="D734" t="s">
        <v>1018</v>
      </c>
      <c r="E734" t="s">
        <v>14</v>
      </c>
      <c r="F734" t="s">
        <v>609</v>
      </c>
      <c r="G734" t="s">
        <v>35</v>
      </c>
      <c r="H734" t="s">
        <v>669</v>
      </c>
      <c r="I734" t="s">
        <v>43</v>
      </c>
      <c r="J734" t="s">
        <v>1020</v>
      </c>
      <c r="K734">
        <v>0</v>
      </c>
      <c r="L734">
        <v>5</v>
      </c>
      <c r="M734">
        <v>12</v>
      </c>
      <c r="N734">
        <v>733</v>
      </c>
      <c r="O734" t="str">
        <f>_xlfn.XLOOKUP(Table4[[#This Row],[id]],VALINA[id],VALINA[name])</f>
        <v>Fez</v>
      </c>
      <c r="P734">
        <f>_xlfn.XLOOKUP(Table4[[#This Row],[id]],prov_color!A:A,prov_color!C:C)</f>
        <v>72</v>
      </c>
    </row>
    <row r="735" spans="1:16" hidden="1" x14ac:dyDescent="0.25">
      <c r="A735">
        <v>734</v>
      </c>
      <c r="B735" t="s">
        <v>1016</v>
      </c>
      <c r="C735" t="s">
        <v>1017</v>
      </c>
      <c r="D735" t="s">
        <v>1018</v>
      </c>
      <c r="E735" t="s">
        <v>34</v>
      </c>
      <c r="F735" t="s">
        <v>609</v>
      </c>
      <c r="G735" t="s">
        <v>35</v>
      </c>
      <c r="H735" t="s">
        <v>669</v>
      </c>
      <c r="I735" t="s">
        <v>37</v>
      </c>
      <c r="J735" t="s">
        <v>1021</v>
      </c>
      <c r="K735">
        <v>0</v>
      </c>
      <c r="L735">
        <v>3</v>
      </c>
      <c r="M735">
        <v>6</v>
      </c>
      <c r="N735">
        <v>734</v>
      </c>
      <c r="O735" t="str">
        <f>_xlfn.XLOOKUP(Table4[[#This Row],[id]],VALINA[id],VALINA[name])</f>
        <v>Orania</v>
      </c>
      <c r="P735">
        <f>_xlfn.XLOOKUP(Table4[[#This Row],[id]],prov_color!A:A,prov_color!C:C)</f>
        <v>38</v>
      </c>
    </row>
    <row r="736" spans="1:16" hidden="1" x14ac:dyDescent="0.25">
      <c r="A736">
        <v>735</v>
      </c>
      <c r="B736" t="s">
        <v>1016</v>
      </c>
      <c r="C736" t="s">
        <v>1017</v>
      </c>
      <c r="D736" t="s">
        <v>1018</v>
      </c>
      <c r="E736" t="s">
        <v>14</v>
      </c>
      <c r="F736" t="s">
        <v>609</v>
      </c>
      <c r="G736" t="s">
        <v>35</v>
      </c>
      <c r="H736" t="s">
        <v>616</v>
      </c>
      <c r="I736" t="s">
        <v>41</v>
      </c>
      <c r="J736" t="s">
        <v>1022</v>
      </c>
      <c r="K736">
        <v>0</v>
      </c>
      <c r="L736">
        <v>1</v>
      </c>
      <c r="M736">
        <v>4</v>
      </c>
      <c r="N736">
        <v>735</v>
      </c>
      <c r="O736" t="str">
        <f>_xlfn.XLOOKUP(Table4[[#This Row],[id]],VALINA[id],VALINA[name])</f>
        <v>Atlas</v>
      </c>
      <c r="P736">
        <f>_xlfn.XLOOKUP(Table4[[#This Row],[id]],prov_color!A:A,prov_color!C:C)</f>
        <v>50</v>
      </c>
    </row>
    <row r="737" spans="1:16" hidden="1" x14ac:dyDescent="0.25">
      <c r="A737">
        <v>736</v>
      </c>
      <c r="B737" t="s">
        <v>1016</v>
      </c>
      <c r="C737" t="s">
        <v>1017</v>
      </c>
      <c r="D737" t="s">
        <v>1018</v>
      </c>
      <c r="E737" t="s">
        <v>14</v>
      </c>
      <c r="F737" t="s">
        <v>609</v>
      </c>
      <c r="G737" t="s">
        <v>35</v>
      </c>
      <c r="H737" t="s">
        <v>616</v>
      </c>
      <c r="I737" t="s">
        <v>141</v>
      </c>
      <c r="J737" t="s">
        <v>1023</v>
      </c>
      <c r="K737">
        <v>0</v>
      </c>
      <c r="L737">
        <v>1</v>
      </c>
      <c r="M737">
        <v>4</v>
      </c>
      <c r="N737">
        <v>736</v>
      </c>
      <c r="O737" t="str">
        <f>_xlfn.XLOOKUP(Table4[[#This Row],[id]],VALINA[id],VALINA[name])</f>
        <v>Aures</v>
      </c>
      <c r="P737">
        <f>_xlfn.XLOOKUP(Table4[[#This Row],[id]],prov_color!A:A,prov_color!C:C)</f>
        <v>49</v>
      </c>
    </row>
    <row r="738" spans="1:16" hidden="1" x14ac:dyDescent="0.25">
      <c r="A738">
        <v>737</v>
      </c>
      <c r="B738" t="s">
        <v>1016</v>
      </c>
      <c r="C738" t="s">
        <v>1017</v>
      </c>
      <c r="D738" t="s">
        <v>1018</v>
      </c>
      <c r="E738" t="s">
        <v>34</v>
      </c>
      <c r="F738" t="s">
        <v>609</v>
      </c>
      <c r="G738" t="s">
        <v>35</v>
      </c>
      <c r="H738" t="s">
        <v>669</v>
      </c>
      <c r="I738" t="s">
        <v>43</v>
      </c>
      <c r="J738" t="s">
        <v>1024</v>
      </c>
      <c r="K738">
        <v>0</v>
      </c>
      <c r="L738">
        <v>4</v>
      </c>
      <c r="M738">
        <v>7</v>
      </c>
      <c r="N738">
        <v>737</v>
      </c>
      <c r="O738" t="str">
        <f>_xlfn.XLOOKUP(Table4[[#This Row],[id]],VALINA[id],VALINA[name])</f>
        <v>Al Djazair</v>
      </c>
      <c r="P738">
        <f>_xlfn.XLOOKUP(Table4[[#This Row],[id]],prov_color!A:A,prov_color!C:C)</f>
        <v>31</v>
      </c>
    </row>
    <row r="739" spans="1:16" hidden="1" x14ac:dyDescent="0.25">
      <c r="A739">
        <v>738</v>
      </c>
      <c r="B739" t="s">
        <v>1016</v>
      </c>
      <c r="C739" t="s">
        <v>1017</v>
      </c>
      <c r="D739" t="s">
        <v>1018</v>
      </c>
      <c r="E739" t="s">
        <v>14</v>
      </c>
      <c r="F739" t="s">
        <v>609</v>
      </c>
      <c r="G739" t="s">
        <v>35</v>
      </c>
      <c r="H739" t="s">
        <v>616</v>
      </c>
      <c r="I739" t="s">
        <v>43</v>
      </c>
      <c r="J739" t="s">
        <v>1025</v>
      </c>
      <c r="K739">
        <v>0</v>
      </c>
      <c r="L739">
        <v>1</v>
      </c>
      <c r="M739">
        <v>5</v>
      </c>
      <c r="N739">
        <v>738</v>
      </c>
      <c r="O739" t="str">
        <f>_xlfn.XLOOKUP(Table4[[#This Row],[id]],VALINA[id],VALINA[name])</f>
        <v>Kabylia</v>
      </c>
      <c r="P739">
        <f>_xlfn.XLOOKUP(Table4[[#This Row],[id]],prov_color!A:A,prov_color!C:C)</f>
        <v>33</v>
      </c>
    </row>
    <row r="740" spans="1:16" hidden="1" x14ac:dyDescent="0.25">
      <c r="A740">
        <v>739</v>
      </c>
      <c r="B740" t="s">
        <v>1016</v>
      </c>
      <c r="C740" t="s">
        <v>1017</v>
      </c>
      <c r="D740" t="s">
        <v>1018</v>
      </c>
      <c r="E740" t="s">
        <v>52</v>
      </c>
      <c r="F740" t="s">
        <v>609</v>
      </c>
      <c r="G740" t="s">
        <v>35</v>
      </c>
      <c r="H740" t="s">
        <v>669</v>
      </c>
      <c r="I740" t="s">
        <v>43</v>
      </c>
      <c r="J740" t="s">
        <v>1026</v>
      </c>
      <c r="K740">
        <v>0</v>
      </c>
      <c r="L740">
        <v>1</v>
      </c>
      <c r="M740">
        <v>8</v>
      </c>
      <c r="N740">
        <v>739</v>
      </c>
      <c r="O740" t="str">
        <f>_xlfn.XLOOKUP(Table4[[#This Row],[id]],VALINA[id],VALINA[name])</f>
        <v>Tunisia</v>
      </c>
      <c r="P740">
        <f>_xlfn.XLOOKUP(Table4[[#This Row],[id]],prov_color!A:A,prov_color!C:C)</f>
        <v>42</v>
      </c>
    </row>
    <row r="741" spans="1:16" hidden="1" x14ac:dyDescent="0.25">
      <c r="A741">
        <v>740</v>
      </c>
      <c r="B741" t="s">
        <v>1016</v>
      </c>
      <c r="C741" t="s">
        <v>1017</v>
      </c>
      <c r="D741" t="s">
        <v>1018</v>
      </c>
      <c r="E741" t="s">
        <v>52</v>
      </c>
      <c r="F741" t="s">
        <v>609</v>
      </c>
      <c r="G741" t="s">
        <v>47</v>
      </c>
      <c r="H741" t="s">
        <v>669</v>
      </c>
      <c r="I741" t="s">
        <v>915</v>
      </c>
      <c r="J741" t="s">
        <v>1027</v>
      </c>
      <c r="K741">
        <v>0</v>
      </c>
      <c r="L741">
        <v>1</v>
      </c>
      <c r="M741">
        <v>3</v>
      </c>
      <c r="N741">
        <v>740</v>
      </c>
      <c r="O741" t="str">
        <f>_xlfn.XLOOKUP(Table4[[#This Row],[id]],VALINA[id],VALINA[name])</f>
        <v>Tripolitania</v>
      </c>
      <c r="P741">
        <f>_xlfn.XLOOKUP(Table4[[#This Row],[id]],prov_color!A:A,prov_color!C:C)</f>
        <v>61</v>
      </c>
    </row>
    <row r="742" spans="1:16" hidden="1" x14ac:dyDescent="0.25">
      <c r="A742">
        <v>741</v>
      </c>
      <c r="B742" t="s">
        <v>1016</v>
      </c>
      <c r="C742" t="s">
        <v>1017</v>
      </c>
      <c r="D742" t="s">
        <v>1018</v>
      </c>
      <c r="E742" t="s">
        <v>52</v>
      </c>
      <c r="F742" t="s">
        <v>609</v>
      </c>
      <c r="G742" t="s">
        <v>47</v>
      </c>
      <c r="H742" t="s">
        <v>669</v>
      </c>
      <c r="I742" t="s">
        <v>41</v>
      </c>
      <c r="J742" t="s">
        <v>1028</v>
      </c>
      <c r="K742">
        <v>0</v>
      </c>
      <c r="L742">
        <v>1</v>
      </c>
      <c r="M742">
        <v>3</v>
      </c>
      <c r="N742">
        <v>741</v>
      </c>
      <c r="O742" t="str">
        <f>_xlfn.XLOOKUP(Table4[[#This Row],[id]],VALINA[id],VALINA[name])</f>
        <v>Cyrenaica</v>
      </c>
      <c r="P742">
        <f>_xlfn.XLOOKUP(Table4[[#This Row],[id]],prov_color!A:A,prov_color!C:C)</f>
        <v>77</v>
      </c>
    </row>
    <row r="743" spans="1:16" hidden="1" x14ac:dyDescent="0.25">
      <c r="A743">
        <v>742</v>
      </c>
      <c r="B743" t="s">
        <v>1016</v>
      </c>
      <c r="C743" t="s">
        <v>1017</v>
      </c>
      <c r="D743" t="s">
        <v>1029</v>
      </c>
      <c r="E743" t="s">
        <v>52</v>
      </c>
      <c r="F743" t="s">
        <v>609</v>
      </c>
      <c r="G743" t="s">
        <v>47</v>
      </c>
      <c r="H743" t="s">
        <v>669</v>
      </c>
      <c r="I743" t="s">
        <v>41</v>
      </c>
      <c r="J743" t="s">
        <v>1030</v>
      </c>
      <c r="K743">
        <v>0</v>
      </c>
      <c r="L743">
        <v>1</v>
      </c>
      <c r="M743">
        <v>1</v>
      </c>
      <c r="N743">
        <v>742</v>
      </c>
      <c r="O743" t="str">
        <f>_xlfn.XLOOKUP(Table4[[#This Row],[id]],VALINA[id],VALINA[name])</f>
        <v>Quattara</v>
      </c>
      <c r="P743">
        <f>_xlfn.XLOOKUP(Table4[[#This Row],[id]],prov_color!A:A,prov_color!C:C)</f>
        <v>59</v>
      </c>
    </row>
    <row r="744" spans="1:16" hidden="1" x14ac:dyDescent="0.25">
      <c r="A744">
        <v>743</v>
      </c>
      <c r="B744" t="s">
        <v>1016</v>
      </c>
      <c r="C744" t="s">
        <v>1017</v>
      </c>
      <c r="D744" t="s">
        <v>1029</v>
      </c>
      <c r="E744" t="s">
        <v>34</v>
      </c>
      <c r="F744" t="s">
        <v>650</v>
      </c>
      <c r="G744" t="s">
        <v>47</v>
      </c>
      <c r="H744" t="s">
        <v>669</v>
      </c>
      <c r="I744" t="s">
        <v>43</v>
      </c>
      <c r="J744" t="s">
        <v>1031</v>
      </c>
      <c r="K744">
        <v>0</v>
      </c>
      <c r="L744">
        <v>1</v>
      </c>
      <c r="M744">
        <v>2</v>
      </c>
      <c r="N744">
        <v>743</v>
      </c>
      <c r="O744" t="str">
        <f>_xlfn.XLOOKUP(Table4[[#This Row],[id]],VALINA[id],VALINA[name])</f>
        <v>Cataract</v>
      </c>
      <c r="P744">
        <f>_xlfn.XLOOKUP(Table4[[#This Row],[id]],prov_color!A:A,prov_color!C:C)</f>
        <v>41</v>
      </c>
    </row>
    <row r="745" spans="1:16" hidden="1" x14ac:dyDescent="0.25">
      <c r="A745">
        <v>744</v>
      </c>
      <c r="B745" t="s">
        <v>1016</v>
      </c>
      <c r="C745" t="s">
        <v>1017</v>
      </c>
      <c r="D745" t="s">
        <v>1029</v>
      </c>
      <c r="E745" t="s">
        <v>34</v>
      </c>
      <c r="F745" t="s">
        <v>609</v>
      </c>
      <c r="G745" t="s">
        <v>47</v>
      </c>
      <c r="H745" t="s">
        <v>669</v>
      </c>
      <c r="I745" t="s">
        <v>43</v>
      </c>
      <c r="J745" t="s">
        <v>1032</v>
      </c>
      <c r="K745">
        <v>0</v>
      </c>
      <c r="L745">
        <v>6</v>
      </c>
      <c r="M745">
        <v>11</v>
      </c>
      <c r="N745">
        <v>744</v>
      </c>
      <c r="O745" t="str">
        <f>_xlfn.XLOOKUP(Table4[[#This Row],[id]],VALINA[id],VALINA[name])</f>
        <v>Alexandria</v>
      </c>
      <c r="P745">
        <f>_xlfn.XLOOKUP(Table4[[#This Row],[id]],prov_color!A:A,prov_color!C:C)</f>
        <v>29</v>
      </c>
    </row>
    <row r="746" spans="1:16" hidden="1" x14ac:dyDescent="0.25">
      <c r="A746">
        <v>745</v>
      </c>
      <c r="B746" t="s">
        <v>1016</v>
      </c>
      <c r="C746" t="s">
        <v>1017</v>
      </c>
      <c r="D746" t="s">
        <v>1029</v>
      </c>
      <c r="E746" t="s">
        <v>80</v>
      </c>
      <c r="F746" t="s">
        <v>609</v>
      </c>
      <c r="G746" t="s">
        <v>35</v>
      </c>
      <c r="H746" t="s">
        <v>669</v>
      </c>
      <c r="I746" t="s">
        <v>27</v>
      </c>
      <c r="J746" t="s">
        <v>1033</v>
      </c>
      <c r="K746">
        <v>0</v>
      </c>
      <c r="L746">
        <v>6</v>
      </c>
      <c r="M746">
        <v>7</v>
      </c>
      <c r="N746">
        <v>745</v>
      </c>
      <c r="O746" t="str">
        <f>_xlfn.XLOOKUP(Table4[[#This Row],[id]],VALINA[id],VALINA[name])</f>
        <v>Delta</v>
      </c>
      <c r="P746">
        <f>_xlfn.XLOOKUP(Table4[[#This Row],[id]],prov_color!A:A,prov_color!C:C)</f>
        <v>22</v>
      </c>
    </row>
    <row r="747" spans="1:16" hidden="1" x14ac:dyDescent="0.25">
      <c r="A747">
        <v>746</v>
      </c>
      <c r="B747" t="s">
        <v>1016</v>
      </c>
      <c r="C747" t="s">
        <v>1017</v>
      </c>
      <c r="D747" t="s">
        <v>1029</v>
      </c>
      <c r="E747" t="s">
        <v>34</v>
      </c>
      <c r="F747" t="s">
        <v>609</v>
      </c>
      <c r="G747" t="s">
        <v>47</v>
      </c>
      <c r="H747" t="s">
        <v>669</v>
      </c>
      <c r="I747" t="s">
        <v>43</v>
      </c>
      <c r="J747" t="s">
        <v>1029</v>
      </c>
      <c r="K747">
        <v>0</v>
      </c>
      <c r="L747">
        <v>6</v>
      </c>
      <c r="M747">
        <v>16</v>
      </c>
      <c r="N747">
        <v>746</v>
      </c>
      <c r="O747" t="str">
        <f>_xlfn.XLOOKUP(Table4[[#This Row],[id]],VALINA[id],VALINA[name])</f>
        <v>Egypt</v>
      </c>
      <c r="P747">
        <f>_xlfn.XLOOKUP(Table4[[#This Row],[id]],prov_color!A:A,prov_color!C:C)</f>
        <v>24</v>
      </c>
    </row>
    <row r="748" spans="1:16" hidden="1" x14ac:dyDescent="0.25">
      <c r="A748">
        <v>747</v>
      </c>
      <c r="B748" t="s">
        <v>1016</v>
      </c>
      <c r="C748" t="s">
        <v>1017</v>
      </c>
      <c r="D748" t="s">
        <v>1029</v>
      </c>
      <c r="E748" t="s">
        <v>34</v>
      </c>
      <c r="F748" t="s">
        <v>609</v>
      </c>
      <c r="G748" t="s">
        <v>47</v>
      </c>
      <c r="H748" t="s">
        <v>669</v>
      </c>
      <c r="I748" t="s">
        <v>43</v>
      </c>
      <c r="J748" t="s">
        <v>1034</v>
      </c>
      <c r="K748">
        <v>0</v>
      </c>
      <c r="L748">
        <v>6</v>
      </c>
      <c r="M748">
        <v>9</v>
      </c>
      <c r="N748">
        <v>747</v>
      </c>
      <c r="O748" t="str">
        <f>_xlfn.XLOOKUP(Table4[[#This Row],[id]],VALINA[id],VALINA[name])</f>
        <v>Nile</v>
      </c>
      <c r="P748">
        <f>_xlfn.XLOOKUP(Table4[[#This Row],[id]],prov_color!A:A,prov_color!C:C)</f>
        <v>43</v>
      </c>
    </row>
    <row r="749" spans="1:16" hidden="1" x14ac:dyDescent="0.25">
      <c r="A749">
        <v>748</v>
      </c>
      <c r="B749" t="s">
        <v>1016</v>
      </c>
      <c r="C749" t="s">
        <v>1035</v>
      </c>
      <c r="D749" t="s">
        <v>1036</v>
      </c>
      <c r="E749" t="s">
        <v>52</v>
      </c>
      <c r="F749" t="s">
        <v>650</v>
      </c>
      <c r="G749" t="s">
        <v>47</v>
      </c>
      <c r="H749" t="s">
        <v>1037</v>
      </c>
      <c r="I749" t="s">
        <v>915</v>
      </c>
      <c r="J749" t="s">
        <v>1038</v>
      </c>
      <c r="K749">
        <v>7</v>
      </c>
      <c r="L749">
        <v>2</v>
      </c>
      <c r="M749">
        <v>4</v>
      </c>
      <c r="N749">
        <v>748</v>
      </c>
      <c r="O749" t="str">
        <f>_xlfn.XLOOKUP(Table4[[#This Row],[id]],VALINA[id],VALINA[name])</f>
        <v>Batn al Hajar</v>
      </c>
      <c r="P749">
        <f>_xlfn.XLOOKUP(Table4[[#This Row],[id]],prov_color!A:A,prov_color!C:C)</f>
        <v>61</v>
      </c>
    </row>
    <row r="750" spans="1:16" hidden="1" x14ac:dyDescent="0.25">
      <c r="A750">
        <v>749</v>
      </c>
      <c r="B750" t="s">
        <v>1016</v>
      </c>
      <c r="C750" t="s">
        <v>1035</v>
      </c>
      <c r="D750" t="s">
        <v>1036</v>
      </c>
      <c r="E750" t="s">
        <v>52</v>
      </c>
      <c r="F750" t="s">
        <v>650</v>
      </c>
      <c r="G750" t="s">
        <v>47</v>
      </c>
      <c r="H750" t="s">
        <v>1037</v>
      </c>
      <c r="I750" t="s">
        <v>1039</v>
      </c>
      <c r="J750" t="s">
        <v>1040</v>
      </c>
      <c r="K750">
        <v>9</v>
      </c>
      <c r="L750">
        <v>2</v>
      </c>
      <c r="M750">
        <v>3</v>
      </c>
      <c r="N750">
        <v>749</v>
      </c>
      <c r="O750" t="str">
        <f>_xlfn.XLOOKUP(Table4[[#This Row],[id]],VALINA[id],VALINA[name])</f>
        <v>Nubia</v>
      </c>
      <c r="P750">
        <f>_xlfn.XLOOKUP(Table4[[#This Row],[id]],prov_color!A:A,prov_color!C:C)</f>
        <v>44</v>
      </c>
    </row>
    <row r="751" spans="1:16" hidden="1" x14ac:dyDescent="0.25">
      <c r="A751">
        <v>750</v>
      </c>
      <c r="B751" t="s">
        <v>1016</v>
      </c>
      <c r="C751" t="s">
        <v>1035</v>
      </c>
      <c r="D751" t="s">
        <v>1036</v>
      </c>
      <c r="E751" t="s">
        <v>52</v>
      </c>
      <c r="F751" t="s">
        <v>650</v>
      </c>
      <c r="G751" t="s">
        <v>47</v>
      </c>
      <c r="H751" t="s">
        <v>1037</v>
      </c>
      <c r="I751" t="s">
        <v>1039</v>
      </c>
      <c r="J751" t="s">
        <v>1036</v>
      </c>
      <c r="K751">
        <v>9</v>
      </c>
      <c r="L751">
        <v>2</v>
      </c>
      <c r="M751">
        <v>3</v>
      </c>
      <c r="N751">
        <v>750</v>
      </c>
      <c r="O751" t="str">
        <f>_xlfn.XLOOKUP(Table4[[#This Row],[id]],VALINA[id],VALINA[name])</f>
        <v>Sudan</v>
      </c>
      <c r="P751">
        <f>_xlfn.XLOOKUP(Table4[[#This Row],[id]],prov_color!A:A,prov_color!C:C)</f>
        <v>56</v>
      </c>
    </row>
    <row r="752" spans="1:16" hidden="1" x14ac:dyDescent="0.25">
      <c r="A752">
        <v>751</v>
      </c>
      <c r="B752" t="s">
        <v>1016</v>
      </c>
      <c r="C752" t="s">
        <v>1035</v>
      </c>
      <c r="D752" t="s">
        <v>1036</v>
      </c>
      <c r="E752" t="s">
        <v>52</v>
      </c>
      <c r="F752" t="s">
        <v>650</v>
      </c>
      <c r="G752" t="s">
        <v>47</v>
      </c>
      <c r="H752" t="s">
        <v>1037</v>
      </c>
      <c r="I752" t="s">
        <v>1039</v>
      </c>
      <c r="J752" t="s">
        <v>1041</v>
      </c>
      <c r="K752">
        <v>9</v>
      </c>
      <c r="L752">
        <v>2</v>
      </c>
      <c r="M752">
        <v>3</v>
      </c>
      <c r="N752">
        <v>751</v>
      </c>
      <c r="O752" t="str">
        <f>_xlfn.XLOOKUP(Table4[[#This Row],[id]],VALINA[id],VALINA[name])</f>
        <v>Bisharin</v>
      </c>
      <c r="P752">
        <f>_xlfn.XLOOKUP(Table4[[#This Row],[id]],prov_color!A:A,prov_color!C:C)</f>
        <v>64</v>
      </c>
    </row>
    <row r="753" spans="1:16" hidden="1" x14ac:dyDescent="0.25">
      <c r="A753">
        <v>752</v>
      </c>
      <c r="B753" t="s">
        <v>1016</v>
      </c>
      <c r="C753" t="s">
        <v>1035</v>
      </c>
      <c r="D753" t="s">
        <v>1042</v>
      </c>
      <c r="E753" t="s">
        <v>52</v>
      </c>
      <c r="F753" t="s">
        <v>609</v>
      </c>
      <c r="G753" t="s">
        <v>47</v>
      </c>
      <c r="H753" t="s">
        <v>1043</v>
      </c>
      <c r="I753" t="s">
        <v>1039</v>
      </c>
      <c r="J753" t="s">
        <v>1044</v>
      </c>
      <c r="K753">
        <v>9</v>
      </c>
      <c r="L753">
        <v>1</v>
      </c>
      <c r="M753">
        <v>2</v>
      </c>
      <c r="N753">
        <v>752</v>
      </c>
      <c r="O753" t="str">
        <f>_xlfn.XLOOKUP(Table4[[#This Row],[id]],VALINA[id],VALINA[name])</f>
        <v>Massawa</v>
      </c>
      <c r="P753">
        <f>_xlfn.XLOOKUP(Table4[[#This Row],[id]],prov_color!A:A,prov_color!C:C)</f>
        <v>66</v>
      </c>
    </row>
    <row r="754" spans="1:16" hidden="1" x14ac:dyDescent="0.25">
      <c r="A754">
        <v>753</v>
      </c>
      <c r="B754" t="s">
        <v>1016</v>
      </c>
      <c r="C754" t="s">
        <v>1035</v>
      </c>
      <c r="D754" t="s">
        <v>1042</v>
      </c>
      <c r="E754" t="s">
        <v>14</v>
      </c>
      <c r="F754" t="s">
        <v>609</v>
      </c>
      <c r="G754" t="s">
        <v>47</v>
      </c>
      <c r="H754" t="s">
        <v>1043</v>
      </c>
      <c r="I754" t="s">
        <v>84</v>
      </c>
      <c r="J754" t="s">
        <v>1045</v>
      </c>
      <c r="K754">
        <v>9</v>
      </c>
      <c r="L754">
        <v>1</v>
      </c>
      <c r="M754">
        <v>1</v>
      </c>
      <c r="N754">
        <v>753</v>
      </c>
      <c r="O754" t="str">
        <f>_xlfn.XLOOKUP(Table4[[#This Row],[id]],VALINA[id],VALINA[name])</f>
        <v>Keren</v>
      </c>
      <c r="P754">
        <f>_xlfn.XLOOKUP(Table4[[#This Row],[id]],prov_color!A:A,prov_color!C:C)</f>
        <v>45</v>
      </c>
    </row>
    <row r="755" spans="1:16" hidden="1" x14ac:dyDescent="0.25">
      <c r="A755">
        <v>754</v>
      </c>
      <c r="B755" t="s">
        <v>1016</v>
      </c>
      <c r="C755" t="s">
        <v>1035</v>
      </c>
      <c r="D755" t="s">
        <v>1046</v>
      </c>
      <c r="E755" t="s">
        <v>14</v>
      </c>
      <c r="F755" t="s">
        <v>609</v>
      </c>
      <c r="G755" t="s">
        <v>47</v>
      </c>
      <c r="H755" t="s">
        <v>1047</v>
      </c>
      <c r="I755" t="s">
        <v>27</v>
      </c>
      <c r="J755" t="s">
        <v>1048</v>
      </c>
      <c r="K755">
        <v>8</v>
      </c>
      <c r="L755">
        <v>1</v>
      </c>
      <c r="M755">
        <v>1</v>
      </c>
      <c r="N755">
        <v>754</v>
      </c>
      <c r="O755" t="str">
        <f>_xlfn.XLOOKUP(Table4[[#This Row],[id]],VALINA[id],VALINA[name])</f>
        <v>Issas</v>
      </c>
      <c r="P755">
        <f>_xlfn.XLOOKUP(Table4[[#This Row],[id]],prov_color!A:A,prov_color!C:C)</f>
        <v>44</v>
      </c>
    </row>
    <row r="756" spans="1:16" hidden="1" x14ac:dyDescent="0.25">
      <c r="A756">
        <v>755</v>
      </c>
      <c r="B756" t="s">
        <v>1016</v>
      </c>
      <c r="C756" t="s">
        <v>1035</v>
      </c>
      <c r="D756" t="s">
        <v>1046</v>
      </c>
      <c r="E756" t="s">
        <v>14</v>
      </c>
      <c r="F756" t="s">
        <v>609</v>
      </c>
      <c r="G756" t="s">
        <v>47</v>
      </c>
      <c r="H756" t="s">
        <v>1047</v>
      </c>
      <c r="I756" t="s">
        <v>1039</v>
      </c>
      <c r="J756" t="s">
        <v>1049</v>
      </c>
      <c r="K756">
        <v>8</v>
      </c>
      <c r="L756">
        <v>1</v>
      </c>
      <c r="M756">
        <v>1</v>
      </c>
      <c r="N756">
        <v>755</v>
      </c>
      <c r="O756" t="str">
        <f>_xlfn.XLOOKUP(Table4[[#This Row],[id]],VALINA[id],VALINA[name])</f>
        <v>Afars</v>
      </c>
      <c r="P756">
        <f>_xlfn.XLOOKUP(Table4[[#This Row],[id]],prov_color!A:A,prov_color!C:C)</f>
        <v>31</v>
      </c>
    </row>
    <row r="757" spans="1:16" hidden="1" x14ac:dyDescent="0.25">
      <c r="A757">
        <v>756</v>
      </c>
      <c r="B757" t="s">
        <v>1016</v>
      </c>
      <c r="C757" t="s">
        <v>1035</v>
      </c>
      <c r="D757" t="s">
        <v>1050</v>
      </c>
      <c r="E757" t="s">
        <v>14</v>
      </c>
      <c r="F757" t="s">
        <v>650</v>
      </c>
      <c r="G757" t="s">
        <v>47</v>
      </c>
      <c r="H757" t="s">
        <v>1051</v>
      </c>
      <c r="I757" t="s">
        <v>27</v>
      </c>
      <c r="J757" t="s">
        <v>1050</v>
      </c>
      <c r="K757">
        <v>8</v>
      </c>
      <c r="L757">
        <v>1</v>
      </c>
      <c r="M757">
        <v>2</v>
      </c>
      <c r="N757">
        <v>756</v>
      </c>
      <c r="O757" t="str">
        <f>_xlfn.XLOOKUP(Table4[[#This Row],[id]],VALINA[id],VALINA[name])</f>
        <v>Socotra</v>
      </c>
      <c r="P757">
        <f>_xlfn.XLOOKUP(Table4[[#This Row],[id]],prov_color!A:A,prov_color!C:C)</f>
        <v>12</v>
      </c>
    </row>
    <row r="758" spans="1:16" hidden="1" x14ac:dyDescent="0.25">
      <c r="A758">
        <v>757</v>
      </c>
      <c r="B758" t="s">
        <v>1016</v>
      </c>
      <c r="C758" t="s">
        <v>1035</v>
      </c>
      <c r="D758" t="s">
        <v>1046</v>
      </c>
      <c r="E758" t="s">
        <v>52</v>
      </c>
      <c r="F758" t="s">
        <v>609</v>
      </c>
      <c r="G758" t="s">
        <v>47</v>
      </c>
      <c r="H758" t="s">
        <v>1051</v>
      </c>
      <c r="I758" t="s">
        <v>1039</v>
      </c>
      <c r="J758" t="s">
        <v>1046</v>
      </c>
      <c r="K758">
        <v>8</v>
      </c>
      <c r="L758">
        <v>1</v>
      </c>
      <c r="M758">
        <v>1</v>
      </c>
      <c r="N758">
        <v>757</v>
      </c>
      <c r="O758" t="str">
        <f>_xlfn.XLOOKUP(Table4[[#This Row],[id]],VALINA[id],VALINA[name])</f>
        <v>Somalia</v>
      </c>
      <c r="P758">
        <f>_xlfn.XLOOKUP(Table4[[#This Row],[id]],prov_color!A:A,prov_color!C:C)</f>
        <v>43</v>
      </c>
    </row>
    <row r="759" spans="1:16" hidden="1" x14ac:dyDescent="0.25">
      <c r="A759">
        <v>758</v>
      </c>
      <c r="B759" t="s">
        <v>1016</v>
      </c>
      <c r="C759" t="s">
        <v>1035</v>
      </c>
      <c r="D759" t="s">
        <v>1046</v>
      </c>
      <c r="E759" t="s">
        <v>52</v>
      </c>
      <c r="F759" t="s">
        <v>609</v>
      </c>
      <c r="G759" t="s">
        <v>47</v>
      </c>
      <c r="H759" t="s">
        <v>1051</v>
      </c>
      <c r="I759" t="s">
        <v>41</v>
      </c>
      <c r="J759" t="s">
        <v>1052</v>
      </c>
      <c r="K759">
        <v>9</v>
      </c>
      <c r="L759">
        <v>1</v>
      </c>
      <c r="M759">
        <v>1</v>
      </c>
      <c r="N759">
        <v>758</v>
      </c>
      <c r="O759" t="str">
        <f>_xlfn.XLOOKUP(Table4[[#This Row],[id]],VALINA[id],VALINA[name])</f>
        <v>Ogaden</v>
      </c>
      <c r="P759">
        <f>_xlfn.XLOOKUP(Table4[[#This Row],[id]],prov_color!A:A,prov_color!C:C)</f>
        <v>35</v>
      </c>
    </row>
    <row r="760" spans="1:16" hidden="1" x14ac:dyDescent="0.25">
      <c r="A760">
        <v>759</v>
      </c>
      <c r="B760" t="s">
        <v>1016</v>
      </c>
      <c r="C760" t="s">
        <v>1035</v>
      </c>
      <c r="D760" t="s">
        <v>1046</v>
      </c>
      <c r="E760" t="s">
        <v>52</v>
      </c>
      <c r="F760" t="s">
        <v>609</v>
      </c>
      <c r="G760" t="s">
        <v>47</v>
      </c>
      <c r="H760" t="s">
        <v>1051</v>
      </c>
      <c r="I760" t="s">
        <v>1039</v>
      </c>
      <c r="J760" t="s">
        <v>1053</v>
      </c>
      <c r="K760">
        <v>7</v>
      </c>
      <c r="L760">
        <v>1</v>
      </c>
      <c r="M760">
        <v>2</v>
      </c>
      <c r="N760">
        <v>759</v>
      </c>
      <c r="O760" t="str">
        <f>_xlfn.XLOOKUP(Table4[[#This Row],[id]],VALINA[id],VALINA[name])</f>
        <v>Mudugh</v>
      </c>
      <c r="P760">
        <f>_xlfn.XLOOKUP(Table4[[#This Row],[id]],prov_color!A:A,prov_color!C:C)</f>
        <v>33</v>
      </c>
    </row>
    <row r="761" spans="1:16" hidden="1" x14ac:dyDescent="0.25">
      <c r="A761">
        <v>760</v>
      </c>
      <c r="B761" t="s">
        <v>1016</v>
      </c>
      <c r="C761" t="s">
        <v>1035</v>
      </c>
      <c r="D761" t="s">
        <v>1046</v>
      </c>
      <c r="E761" t="s">
        <v>52</v>
      </c>
      <c r="F761" t="s">
        <v>609</v>
      </c>
      <c r="G761" t="s">
        <v>47</v>
      </c>
      <c r="H761" t="s">
        <v>1051</v>
      </c>
      <c r="I761" t="s">
        <v>687</v>
      </c>
      <c r="J761" t="s">
        <v>1054</v>
      </c>
      <c r="K761">
        <v>6</v>
      </c>
      <c r="L761">
        <v>1</v>
      </c>
      <c r="M761">
        <v>1</v>
      </c>
      <c r="N761">
        <v>760</v>
      </c>
      <c r="O761" t="str">
        <f>_xlfn.XLOOKUP(Table4[[#This Row],[id]],VALINA[id],VALINA[name])</f>
        <v>Mogadiscio</v>
      </c>
      <c r="P761">
        <f>_xlfn.XLOOKUP(Table4[[#This Row],[id]],prov_color!A:A,prov_color!C:C)</f>
        <v>36</v>
      </c>
    </row>
    <row r="762" spans="1:16" hidden="1" x14ac:dyDescent="0.25">
      <c r="A762">
        <v>761</v>
      </c>
      <c r="B762" t="s">
        <v>1016</v>
      </c>
      <c r="C762" t="s">
        <v>1035</v>
      </c>
      <c r="D762" t="s">
        <v>1055</v>
      </c>
      <c r="E762" t="s">
        <v>34</v>
      </c>
      <c r="F762" t="s">
        <v>609</v>
      </c>
      <c r="G762" t="s">
        <v>75</v>
      </c>
      <c r="H762" t="s">
        <v>1056</v>
      </c>
      <c r="I762" t="s">
        <v>1039</v>
      </c>
      <c r="J762" t="s">
        <v>1057</v>
      </c>
      <c r="K762">
        <v>5</v>
      </c>
      <c r="L762">
        <v>1</v>
      </c>
      <c r="M762">
        <v>2</v>
      </c>
      <c r="N762">
        <v>761</v>
      </c>
      <c r="O762" t="str">
        <f>_xlfn.XLOOKUP(Table4[[#This Row],[id]],VALINA[id],VALINA[name])</f>
        <v>Malindi</v>
      </c>
      <c r="P762">
        <f>_xlfn.XLOOKUP(Table4[[#This Row],[id]],prov_color!A:A,prov_color!C:C)</f>
        <v>37</v>
      </c>
    </row>
    <row r="763" spans="1:16" hidden="1" x14ac:dyDescent="0.25">
      <c r="A763">
        <v>762</v>
      </c>
      <c r="B763" t="s">
        <v>1016</v>
      </c>
      <c r="C763" t="s">
        <v>1035</v>
      </c>
      <c r="D763" t="s">
        <v>1055</v>
      </c>
      <c r="E763" t="s">
        <v>34</v>
      </c>
      <c r="F763" t="s">
        <v>609</v>
      </c>
      <c r="G763" t="s">
        <v>75</v>
      </c>
      <c r="H763" t="s">
        <v>1056</v>
      </c>
      <c r="I763" t="s">
        <v>1039</v>
      </c>
      <c r="J763" t="s">
        <v>1058</v>
      </c>
      <c r="K763">
        <v>6</v>
      </c>
      <c r="L763">
        <v>1</v>
      </c>
      <c r="M763">
        <v>2</v>
      </c>
      <c r="N763">
        <v>762</v>
      </c>
      <c r="O763" t="str">
        <f>_xlfn.XLOOKUP(Table4[[#This Row],[id]],VALINA[id],VALINA[name])</f>
        <v>Kenya</v>
      </c>
      <c r="P763">
        <f>_xlfn.XLOOKUP(Table4[[#This Row],[id]],prov_color!A:A,prov_color!C:C)</f>
        <v>36</v>
      </c>
    </row>
    <row r="764" spans="1:16" hidden="1" x14ac:dyDescent="0.25">
      <c r="A764">
        <v>763</v>
      </c>
      <c r="B764" t="s">
        <v>1016</v>
      </c>
      <c r="C764" t="s">
        <v>1035</v>
      </c>
      <c r="D764" t="s">
        <v>1055</v>
      </c>
      <c r="E764" t="s">
        <v>22</v>
      </c>
      <c r="F764" t="s">
        <v>609</v>
      </c>
      <c r="G764" t="s">
        <v>75</v>
      </c>
      <c r="H764" t="s">
        <v>1056</v>
      </c>
      <c r="I764" t="s">
        <v>687</v>
      </c>
      <c r="J764" t="s">
        <v>1059</v>
      </c>
      <c r="K764">
        <v>7</v>
      </c>
      <c r="L764">
        <v>1</v>
      </c>
      <c r="M764">
        <v>4</v>
      </c>
      <c r="N764">
        <v>763</v>
      </c>
      <c r="O764" t="str">
        <f>_xlfn.XLOOKUP(Table4[[#This Row],[id]],VALINA[id],VALINA[name])</f>
        <v>Mombasa</v>
      </c>
      <c r="P764">
        <f>_xlfn.XLOOKUP(Table4[[#This Row],[id]],prov_color!A:A,prov_color!C:C)</f>
        <v>33</v>
      </c>
    </row>
    <row r="765" spans="1:16" hidden="1" x14ac:dyDescent="0.25">
      <c r="A765">
        <v>764</v>
      </c>
      <c r="B765" t="s">
        <v>1016</v>
      </c>
      <c r="C765" t="s">
        <v>1035</v>
      </c>
      <c r="D765" t="s">
        <v>1055</v>
      </c>
      <c r="E765" t="s">
        <v>22</v>
      </c>
      <c r="F765" t="s">
        <v>609</v>
      </c>
      <c r="G765" t="s">
        <v>75</v>
      </c>
      <c r="H765" t="s">
        <v>1056</v>
      </c>
      <c r="I765" t="s">
        <v>1039</v>
      </c>
      <c r="J765" t="s">
        <v>1060</v>
      </c>
      <c r="K765">
        <v>5</v>
      </c>
      <c r="L765">
        <v>2</v>
      </c>
      <c r="M765">
        <v>3</v>
      </c>
      <c r="N765">
        <v>764</v>
      </c>
      <c r="O765" t="str">
        <f>_xlfn.XLOOKUP(Table4[[#This Row],[id]],VALINA[id],VALINA[name])</f>
        <v>Tanga</v>
      </c>
      <c r="P765">
        <f>_xlfn.XLOOKUP(Table4[[#This Row],[id]],prov_color!A:A,prov_color!C:C)</f>
        <v>38</v>
      </c>
    </row>
    <row r="766" spans="1:16" hidden="1" x14ac:dyDescent="0.25">
      <c r="A766">
        <v>765</v>
      </c>
      <c r="B766" t="s">
        <v>1016</v>
      </c>
      <c r="C766" t="s">
        <v>1035</v>
      </c>
      <c r="D766" t="s">
        <v>1055</v>
      </c>
      <c r="E766" t="s">
        <v>34</v>
      </c>
      <c r="F766" t="s">
        <v>609</v>
      </c>
      <c r="G766" t="s">
        <v>75</v>
      </c>
      <c r="H766" t="s">
        <v>1056</v>
      </c>
      <c r="I766" t="s">
        <v>687</v>
      </c>
      <c r="J766" t="s">
        <v>1061</v>
      </c>
      <c r="K766">
        <v>0</v>
      </c>
      <c r="L766">
        <v>2</v>
      </c>
      <c r="M766">
        <v>5</v>
      </c>
      <c r="N766">
        <v>765</v>
      </c>
      <c r="O766" t="str">
        <f>_xlfn.XLOOKUP(Table4[[#This Row],[id]],VALINA[id],VALINA[name])</f>
        <v>Zanzibar</v>
      </c>
      <c r="P766">
        <f>_xlfn.XLOOKUP(Table4[[#This Row],[id]],prov_color!A:A,prov_color!C:C)</f>
        <v>6</v>
      </c>
    </row>
    <row r="767" spans="1:16" hidden="1" x14ac:dyDescent="0.25">
      <c r="A767">
        <v>766</v>
      </c>
      <c r="B767" t="s">
        <v>1016</v>
      </c>
      <c r="C767" t="s">
        <v>1035</v>
      </c>
      <c r="D767" t="s">
        <v>1055</v>
      </c>
      <c r="E767" t="s">
        <v>22</v>
      </c>
      <c r="F767" t="s">
        <v>609</v>
      </c>
      <c r="G767" t="s">
        <v>75</v>
      </c>
      <c r="H767" t="s">
        <v>1056</v>
      </c>
      <c r="I767" t="s">
        <v>915</v>
      </c>
      <c r="J767" t="s">
        <v>1062</v>
      </c>
      <c r="K767">
        <v>5</v>
      </c>
      <c r="L767">
        <v>2</v>
      </c>
      <c r="M767">
        <v>3</v>
      </c>
      <c r="N767">
        <v>766</v>
      </c>
      <c r="O767" t="str">
        <f>_xlfn.XLOOKUP(Table4[[#This Row],[id]],VALINA[id],VALINA[name])</f>
        <v>Rufiji</v>
      </c>
      <c r="P767">
        <f>_xlfn.XLOOKUP(Table4[[#This Row],[id]],prov_color!A:A,prov_color!C:C)</f>
        <v>44</v>
      </c>
    </row>
    <row r="768" spans="1:16" hidden="1" x14ac:dyDescent="0.25">
      <c r="A768">
        <v>767</v>
      </c>
      <c r="B768" t="s">
        <v>1016</v>
      </c>
      <c r="C768" t="s">
        <v>1035</v>
      </c>
      <c r="D768" t="s">
        <v>1055</v>
      </c>
      <c r="E768" t="s">
        <v>22</v>
      </c>
      <c r="F768" t="s">
        <v>609</v>
      </c>
      <c r="G768" t="s">
        <v>75</v>
      </c>
      <c r="H768" t="s">
        <v>1056</v>
      </c>
      <c r="I768" t="s">
        <v>1039</v>
      </c>
      <c r="J768" t="s">
        <v>1063</v>
      </c>
      <c r="K768">
        <v>5</v>
      </c>
      <c r="L768">
        <v>2</v>
      </c>
      <c r="M768">
        <v>3</v>
      </c>
      <c r="N768">
        <v>767</v>
      </c>
      <c r="O768" t="str">
        <f>_xlfn.XLOOKUP(Table4[[#This Row],[id]],VALINA[id],VALINA[name])</f>
        <v>Lindi</v>
      </c>
      <c r="P768">
        <f>_xlfn.XLOOKUP(Table4[[#This Row],[id]],prov_color!A:A,prov_color!C:C)</f>
        <v>69</v>
      </c>
    </row>
    <row r="769" spans="1:16" hidden="1" x14ac:dyDescent="0.25">
      <c r="A769">
        <v>768</v>
      </c>
      <c r="B769" t="s">
        <v>1016</v>
      </c>
      <c r="C769" t="s">
        <v>1035</v>
      </c>
      <c r="D769" t="s">
        <v>1055</v>
      </c>
      <c r="E769" t="s">
        <v>22</v>
      </c>
      <c r="F769" t="s">
        <v>609</v>
      </c>
      <c r="G769" t="s">
        <v>75</v>
      </c>
      <c r="H769" t="s">
        <v>1056</v>
      </c>
      <c r="I769" t="s">
        <v>1039</v>
      </c>
      <c r="J769" t="s">
        <v>1064</v>
      </c>
      <c r="K769">
        <v>5</v>
      </c>
      <c r="L769">
        <v>2</v>
      </c>
      <c r="M769">
        <v>2</v>
      </c>
      <c r="N769">
        <v>768</v>
      </c>
      <c r="O769" t="str">
        <f>_xlfn.XLOOKUP(Table4[[#This Row],[id]],VALINA[id],VALINA[name])</f>
        <v>Mtawa</v>
      </c>
      <c r="P769">
        <f>_xlfn.XLOOKUP(Table4[[#This Row],[id]],prov_color!A:A,prov_color!C:C)</f>
        <v>49</v>
      </c>
    </row>
    <row r="770" spans="1:16" hidden="1" x14ac:dyDescent="0.25">
      <c r="A770">
        <v>769</v>
      </c>
      <c r="B770" t="s">
        <v>1016</v>
      </c>
      <c r="C770" t="s">
        <v>1035</v>
      </c>
      <c r="D770" t="s">
        <v>1055</v>
      </c>
      <c r="E770" t="s">
        <v>80</v>
      </c>
      <c r="F770" t="s">
        <v>609</v>
      </c>
      <c r="G770" t="s">
        <v>75</v>
      </c>
      <c r="H770" t="s">
        <v>1056</v>
      </c>
      <c r="I770" t="s">
        <v>915</v>
      </c>
      <c r="J770" t="s">
        <v>1065</v>
      </c>
      <c r="K770">
        <v>5</v>
      </c>
      <c r="L770">
        <v>2</v>
      </c>
      <c r="M770">
        <v>2</v>
      </c>
      <c r="N770">
        <v>769</v>
      </c>
      <c r="O770" t="str">
        <f>_xlfn.XLOOKUP(Table4[[#This Row],[id]],VALINA[id],VALINA[name])</f>
        <v>Niassa</v>
      </c>
      <c r="P770">
        <f>_xlfn.XLOOKUP(Table4[[#This Row],[id]],prov_color!A:A,prov_color!C:C)</f>
        <v>45</v>
      </c>
    </row>
    <row r="771" spans="1:16" hidden="1" x14ac:dyDescent="0.25">
      <c r="A771">
        <v>770</v>
      </c>
      <c r="B771" t="s">
        <v>1016</v>
      </c>
      <c r="C771" t="s">
        <v>1066</v>
      </c>
      <c r="D771" t="s">
        <v>1067</v>
      </c>
      <c r="E771" t="s">
        <v>80</v>
      </c>
      <c r="F771" t="s">
        <v>15</v>
      </c>
      <c r="G771" t="s">
        <v>75</v>
      </c>
      <c r="H771" t="s">
        <v>1068</v>
      </c>
      <c r="I771" t="s">
        <v>1039</v>
      </c>
      <c r="J771" t="s">
        <v>1069</v>
      </c>
      <c r="K771">
        <v>5</v>
      </c>
      <c r="L771">
        <v>2</v>
      </c>
      <c r="M771">
        <v>2</v>
      </c>
      <c r="N771">
        <v>770</v>
      </c>
      <c r="O771" t="str">
        <f>_xlfn.XLOOKUP(Table4[[#This Row],[id]],VALINA[id],VALINA[name])</f>
        <v>Nampuia</v>
      </c>
      <c r="P771">
        <f>_xlfn.XLOOKUP(Table4[[#This Row],[id]],prov_color!A:A,prov_color!C:C)</f>
        <v>41</v>
      </c>
    </row>
    <row r="772" spans="1:16" hidden="1" x14ac:dyDescent="0.25">
      <c r="A772">
        <v>771</v>
      </c>
      <c r="B772" t="s">
        <v>1016</v>
      </c>
      <c r="C772" t="s">
        <v>1066</v>
      </c>
      <c r="D772" t="s">
        <v>1067</v>
      </c>
      <c r="E772" t="s">
        <v>80</v>
      </c>
      <c r="F772" t="s">
        <v>15</v>
      </c>
      <c r="G772" t="s">
        <v>75</v>
      </c>
      <c r="H772" t="s">
        <v>1068</v>
      </c>
      <c r="I772" t="s">
        <v>1039</v>
      </c>
      <c r="J772" t="s">
        <v>1070</v>
      </c>
      <c r="K772">
        <v>4</v>
      </c>
      <c r="L772">
        <v>2</v>
      </c>
      <c r="M772">
        <v>3</v>
      </c>
      <c r="N772">
        <v>771</v>
      </c>
      <c r="O772" t="str">
        <f>_xlfn.XLOOKUP(Table4[[#This Row],[id]],VALINA[id],VALINA[name])</f>
        <v>Zambezia</v>
      </c>
      <c r="P772">
        <f>_xlfn.XLOOKUP(Table4[[#This Row],[id]],prov_color!A:A,prov_color!C:C)</f>
        <v>43</v>
      </c>
    </row>
    <row r="773" spans="1:16" hidden="1" x14ac:dyDescent="0.25">
      <c r="A773">
        <v>772</v>
      </c>
      <c r="B773" t="s">
        <v>1016</v>
      </c>
      <c r="C773" t="s">
        <v>1066</v>
      </c>
      <c r="D773" t="s">
        <v>1067</v>
      </c>
      <c r="E773" t="s">
        <v>80</v>
      </c>
      <c r="F773" t="s">
        <v>15</v>
      </c>
      <c r="G773" t="s">
        <v>75</v>
      </c>
      <c r="H773" t="s">
        <v>1071</v>
      </c>
      <c r="I773" t="s">
        <v>1039</v>
      </c>
      <c r="J773" t="s">
        <v>1072</v>
      </c>
      <c r="K773">
        <v>4</v>
      </c>
      <c r="L773">
        <v>2</v>
      </c>
      <c r="M773">
        <v>3</v>
      </c>
      <c r="N773">
        <v>772</v>
      </c>
      <c r="O773" t="str">
        <f>_xlfn.XLOOKUP(Table4[[#This Row],[id]],VALINA[id],VALINA[name])</f>
        <v>Inhambane</v>
      </c>
      <c r="P773">
        <f>_xlfn.XLOOKUP(Table4[[#This Row],[id]],prov_color!A:A,prov_color!C:C)</f>
        <v>42</v>
      </c>
    </row>
    <row r="774" spans="1:16" hidden="1" x14ac:dyDescent="0.25">
      <c r="A774">
        <v>773</v>
      </c>
      <c r="B774" t="s">
        <v>1016</v>
      </c>
      <c r="C774" t="s">
        <v>1066</v>
      </c>
      <c r="D774" t="s">
        <v>1067</v>
      </c>
      <c r="E774" t="s">
        <v>22</v>
      </c>
      <c r="F774" t="s">
        <v>15</v>
      </c>
      <c r="G774" t="s">
        <v>75</v>
      </c>
      <c r="H774" t="s">
        <v>1073</v>
      </c>
      <c r="I774" t="s">
        <v>27</v>
      </c>
      <c r="J774" t="s">
        <v>1074</v>
      </c>
      <c r="K774">
        <v>4</v>
      </c>
      <c r="L774">
        <v>4</v>
      </c>
      <c r="M774">
        <v>5</v>
      </c>
      <c r="N774">
        <v>773</v>
      </c>
      <c r="O774" t="str">
        <f>_xlfn.XLOOKUP(Table4[[#This Row],[id]],VALINA[id],VALINA[name])</f>
        <v>Natal</v>
      </c>
      <c r="P774">
        <f>_xlfn.XLOOKUP(Table4[[#This Row],[id]],prov_color!A:A,prov_color!C:C)</f>
        <v>69</v>
      </c>
    </row>
    <row r="775" spans="1:16" hidden="1" x14ac:dyDescent="0.25">
      <c r="A775">
        <v>774</v>
      </c>
      <c r="B775" t="s">
        <v>1016</v>
      </c>
      <c r="C775" t="s">
        <v>1066</v>
      </c>
      <c r="D775" t="s">
        <v>1075</v>
      </c>
      <c r="E775" t="s">
        <v>22</v>
      </c>
      <c r="F775" t="s">
        <v>15</v>
      </c>
      <c r="G775" t="s">
        <v>75</v>
      </c>
      <c r="H775" t="s">
        <v>1073</v>
      </c>
      <c r="I775" t="s">
        <v>43</v>
      </c>
      <c r="J775" t="s">
        <v>1076</v>
      </c>
      <c r="K775">
        <v>3</v>
      </c>
      <c r="L775">
        <v>4</v>
      </c>
      <c r="M775">
        <v>5</v>
      </c>
      <c r="N775">
        <v>774</v>
      </c>
      <c r="O775" t="str">
        <f>_xlfn.XLOOKUP(Table4[[#This Row],[id]],VALINA[id],VALINA[name])</f>
        <v>Transkei</v>
      </c>
      <c r="P775">
        <f>_xlfn.XLOOKUP(Table4[[#This Row],[id]],prov_color!A:A,prov_color!C:C)</f>
        <v>55</v>
      </c>
    </row>
    <row r="776" spans="1:16" hidden="1" x14ac:dyDescent="0.25">
      <c r="A776">
        <v>775</v>
      </c>
      <c r="B776" t="s">
        <v>1016</v>
      </c>
      <c r="C776" t="s">
        <v>1066</v>
      </c>
      <c r="D776" t="s">
        <v>1075</v>
      </c>
      <c r="E776" t="s">
        <v>14</v>
      </c>
      <c r="F776" t="s">
        <v>15</v>
      </c>
      <c r="G776" t="s">
        <v>35</v>
      </c>
      <c r="H776" t="s">
        <v>1077</v>
      </c>
      <c r="I776" t="s">
        <v>73</v>
      </c>
      <c r="J776" t="s">
        <v>1078</v>
      </c>
      <c r="K776">
        <v>3</v>
      </c>
      <c r="L776">
        <v>2</v>
      </c>
      <c r="M776">
        <v>4</v>
      </c>
      <c r="N776">
        <v>775</v>
      </c>
      <c r="O776" t="str">
        <f>_xlfn.XLOOKUP(Table4[[#This Row],[id]],VALINA[id],VALINA[name])</f>
        <v>Ciskei</v>
      </c>
      <c r="P776">
        <f>_xlfn.XLOOKUP(Table4[[#This Row],[id]],prov_color!A:A,prov_color!C:C)</f>
        <v>42</v>
      </c>
    </row>
    <row r="777" spans="1:16" hidden="1" x14ac:dyDescent="0.25">
      <c r="A777">
        <v>776</v>
      </c>
      <c r="B777" t="s">
        <v>1016</v>
      </c>
      <c r="C777" t="s">
        <v>1066</v>
      </c>
      <c r="D777" t="s">
        <v>1075</v>
      </c>
      <c r="E777" t="s">
        <v>34</v>
      </c>
      <c r="F777" t="s">
        <v>15</v>
      </c>
      <c r="G777" t="s">
        <v>35</v>
      </c>
      <c r="H777" t="s">
        <v>1077</v>
      </c>
      <c r="I777" t="s">
        <v>43</v>
      </c>
      <c r="J777" t="s">
        <v>1079</v>
      </c>
      <c r="K777">
        <v>4</v>
      </c>
      <c r="L777">
        <v>1</v>
      </c>
      <c r="M777">
        <v>4</v>
      </c>
      <c r="N777">
        <v>776</v>
      </c>
      <c r="O777" t="str">
        <f>_xlfn.XLOOKUP(Table4[[#This Row],[id]],VALINA[id],VALINA[name])</f>
        <v>Karroo</v>
      </c>
      <c r="P777">
        <f>_xlfn.XLOOKUP(Table4[[#This Row],[id]],prov_color!A:A,prov_color!C:C)</f>
        <v>51</v>
      </c>
    </row>
    <row r="778" spans="1:16" hidden="1" x14ac:dyDescent="0.25">
      <c r="A778">
        <v>777</v>
      </c>
      <c r="B778" t="s">
        <v>1016</v>
      </c>
      <c r="C778" t="s">
        <v>1066</v>
      </c>
      <c r="D778" t="s">
        <v>1075</v>
      </c>
      <c r="E778" t="s">
        <v>34</v>
      </c>
      <c r="F778" t="s">
        <v>15</v>
      </c>
      <c r="G778" t="s">
        <v>35</v>
      </c>
      <c r="H778" t="s">
        <v>1080</v>
      </c>
      <c r="I778" t="s">
        <v>212</v>
      </c>
      <c r="J778" t="s">
        <v>1081</v>
      </c>
      <c r="K778">
        <v>4</v>
      </c>
      <c r="L778">
        <v>1</v>
      </c>
      <c r="M778">
        <v>3</v>
      </c>
      <c r="N778">
        <v>777</v>
      </c>
      <c r="O778" t="str">
        <f>_xlfn.XLOOKUP(Table4[[#This Row],[id]],VALINA[id],VALINA[name])</f>
        <v>Bushman</v>
      </c>
      <c r="P778">
        <f>_xlfn.XLOOKUP(Table4[[#This Row],[id]],prov_color!A:A,prov_color!C:C)</f>
        <v>33</v>
      </c>
    </row>
    <row r="779" spans="1:16" hidden="1" x14ac:dyDescent="0.25">
      <c r="A779">
        <v>778</v>
      </c>
      <c r="B779" t="s">
        <v>1016</v>
      </c>
      <c r="C779" t="s">
        <v>1066</v>
      </c>
      <c r="D779" t="s">
        <v>1075</v>
      </c>
      <c r="E779" t="s">
        <v>34</v>
      </c>
      <c r="F779" t="s">
        <v>15</v>
      </c>
      <c r="G779" t="s">
        <v>35</v>
      </c>
      <c r="H779" t="s">
        <v>1080</v>
      </c>
      <c r="I779" t="s">
        <v>37</v>
      </c>
      <c r="J779" t="s">
        <v>1082</v>
      </c>
      <c r="K779">
        <v>3</v>
      </c>
      <c r="L779">
        <v>1</v>
      </c>
      <c r="M779">
        <v>7</v>
      </c>
      <c r="N779">
        <v>778</v>
      </c>
      <c r="O779" t="str">
        <f>_xlfn.XLOOKUP(Table4[[#This Row],[id]],VALINA[id],VALINA[name])</f>
        <v>Table</v>
      </c>
      <c r="P779">
        <f>_xlfn.XLOOKUP(Table4[[#This Row],[id]],prov_color!A:A,prov_color!C:C)</f>
        <v>31</v>
      </c>
    </row>
    <row r="780" spans="1:16" hidden="1" x14ac:dyDescent="0.25">
      <c r="A780">
        <v>779</v>
      </c>
      <c r="B780" t="s">
        <v>1016</v>
      </c>
      <c r="C780" t="s">
        <v>1066</v>
      </c>
      <c r="D780" t="s">
        <v>1083</v>
      </c>
      <c r="E780" t="s">
        <v>52</v>
      </c>
      <c r="F780" t="s">
        <v>15</v>
      </c>
      <c r="G780" t="s">
        <v>47</v>
      </c>
      <c r="H780" t="s">
        <v>1080</v>
      </c>
      <c r="I780" t="s">
        <v>915</v>
      </c>
      <c r="J780" t="s">
        <v>1084</v>
      </c>
      <c r="K780">
        <v>9</v>
      </c>
      <c r="L780">
        <v>1</v>
      </c>
      <c r="M780">
        <v>0</v>
      </c>
      <c r="N780">
        <v>779</v>
      </c>
      <c r="O780" t="str">
        <f>_xlfn.XLOOKUP(Table4[[#This Row],[id]],VALINA[id],VALINA[name])</f>
        <v>Namaqua</v>
      </c>
      <c r="P780">
        <f>_xlfn.XLOOKUP(Table4[[#This Row],[id]],prov_color!A:A,prov_color!C:C)</f>
        <v>30</v>
      </c>
    </row>
    <row r="781" spans="1:16" hidden="1" x14ac:dyDescent="0.25">
      <c r="A781">
        <v>780</v>
      </c>
      <c r="B781" t="s">
        <v>1016</v>
      </c>
      <c r="C781" t="s">
        <v>1066</v>
      </c>
      <c r="D781" t="s">
        <v>1083</v>
      </c>
      <c r="E781" t="s">
        <v>52</v>
      </c>
      <c r="F781" t="s">
        <v>15</v>
      </c>
      <c r="G781" t="s">
        <v>47</v>
      </c>
      <c r="H781" t="s">
        <v>1080</v>
      </c>
      <c r="I781" t="s">
        <v>27</v>
      </c>
      <c r="J781" t="s">
        <v>1085</v>
      </c>
      <c r="K781">
        <v>9</v>
      </c>
      <c r="L781">
        <v>1</v>
      </c>
      <c r="M781">
        <v>1</v>
      </c>
      <c r="N781">
        <v>780</v>
      </c>
      <c r="O781" t="str">
        <f>_xlfn.XLOOKUP(Table4[[#This Row],[id]],VALINA[id],VALINA[name])</f>
        <v>Damara</v>
      </c>
      <c r="P781">
        <f>_xlfn.XLOOKUP(Table4[[#This Row],[id]],prov_color!A:A,prov_color!C:C)</f>
        <v>42</v>
      </c>
    </row>
    <row r="782" spans="1:16" hidden="1" x14ac:dyDescent="0.25">
      <c r="A782">
        <v>781</v>
      </c>
      <c r="B782" t="s">
        <v>1016</v>
      </c>
      <c r="C782" t="s">
        <v>1066</v>
      </c>
      <c r="D782" t="s">
        <v>1083</v>
      </c>
      <c r="E782" t="s">
        <v>34</v>
      </c>
      <c r="F782" t="s">
        <v>15</v>
      </c>
      <c r="G782" t="s">
        <v>47</v>
      </c>
      <c r="H782" t="s">
        <v>1080</v>
      </c>
      <c r="I782" t="s">
        <v>915</v>
      </c>
      <c r="J782" t="s">
        <v>1086</v>
      </c>
      <c r="K782">
        <v>9</v>
      </c>
      <c r="L782">
        <v>1</v>
      </c>
      <c r="M782">
        <v>1</v>
      </c>
      <c r="N782">
        <v>781</v>
      </c>
      <c r="O782" t="str">
        <f>_xlfn.XLOOKUP(Table4[[#This Row],[id]],VALINA[id],VALINA[name])</f>
        <v>Ovambo</v>
      </c>
      <c r="P782">
        <f>_xlfn.XLOOKUP(Table4[[#This Row],[id]],prov_color!A:A,prov_color!C:C)</f>
        <v>49</v>
      </c>
    </row>
    <row r="783" spans="1:16" hidden="1" x14ac:dyDescent="0.25">
      <c r="A783">
        <v>782</v>
      </c>
      <c r="B783" t="s">
        <v>1016</v>
      </c>
      <c r="C783" t="s">
        <v>1066</v>
      </c>
      <c r="D783" t="s">
        <v>1087</v>
      </c>
      <c r="E783" t="s">
        <v>34</v>
      </c>
      <c r="F783" t="s">
        <v>15</v>
      </c>
      <c r="G783" t="s">
        <v>75</v>
      </c>
      <c r="H783" t="s">
        <v>1088</v>
      </c>
      <c r="I783" t="s">
        <v>1039</v>
      </c>
      <c r="J783" t="s">
        <v>1089</v>
      </c>
      <c r="K783">
        <v>4</v>
      </c>
      <c r="L783">
        <v>1</v>
      </c>
      <c r="M783">
        <v>4</v>
      </c>
      <c r="N783">
        <v>782</v>
      </c>
      <c r="O783" t="str">
        <f>_xlfn.XLOOKUP(Table4[[#This Row],[id]],VALINA[id],VALINA[name])</f>
        <v>Curango</v>
      </c>
      <c r="P783">
        <f>_xlfn.XLOOKUP(Table4[[#This Row],[id]],prov_color!A:A,prov_color!C:C)</f>
        <v>40</v>
      </c>
    </row>
    <row r="784" spans="1:16" hidden="1" x14ac:dyDescent="0.25">
      <c r="A784">
        <v>783</v>
      </c>
      <c r="B784" t="s">
        <v>1016</v>
      </c>
      <c r="C784" t="s">
        <v>1066</v>
      </c>
      <c r="D784" t="s">
        <v>1087</v>
      </c>
      <c r="E784" t="s">
        <v>22</v>
      </c>
      <c r="F784" t="s">
        <v>15</v>
      </c>
      <c r="G784" t="s">
        <v>75</v>
      </c>
      <c r="H784" t="s">
        <v>1088</v>
      </c>
      <c r="I784" t="s">
        <v>1039</v>
      </c>
      <c r="J784" t="s">
        <v>1090</v>
      </c>
      <c r="K784">
        <v>5</v>
      </c>
      <c r="L784">
        <v>1</v>
      </c>
      <c r="M784">
        <v>4</v>
      </c>
      <c r="N784">
        <v>783</v>
      </c>
      <c r="O784" t="str">
        <f>_xlfn.XLOOKUP(Table4[[#This Row],[id]],VALINA[id],VALINA[name])</f>
        <v>Lobito</v>
      </c>
      <c r="P784">
        <f>_xlfn.XLOOKUP(Table4[[#This Row],[id]],prov_color!A:A,prov_color!C:C)</f>
        <v>40</v>
      </c>
    </row>
    <row r="785" spans="1:16" hidden="1" x14ac:dyDescent="0.25">
      <c r="A785">
        <v>784</v>
      </c>
      <c r="B785" t="s">
        <v>1016</v>
      </c>
      <c r="C785" t="s">
        <v>1066</v>
      </c>
      <c r="D785" t="s">
        <v>1087</v>
      </c>
      <c r="E785" t="s">
        <v>22</v>
      </c>
      <c r="F785" t="s">
        <v>15</v>
      </c>
      <c r="G785" t="s">
        <v>75</v>
      </c>
      <c r="H785" t="s">
        <v>1088</v>
      </c>
      <c r="I785" t="s">
        <v>1039</v>
      </c>
      <c r="J785" t="s">
        <v>1091</v>
      </c>
      <c r="K785">
        <v>5</v>
      </c>
      <c r="L785">
        <v>1</v>
      </c>
      <c r="M785">
        <v>4</v>
      </c>
      <c r="N785">
        <v>784</v>
      </c>
      <c r="O785" t="str">
        <f>_xlfn.XLOOKUP(Table4[[#This Row],[id]],VALINA[id],VALINA[name])</f>
        <v>Luanda</v>
      </c>
      <c r="P785">
        <f>_xlfn.XLOOKUP(Table4[[#This Row],[id]],prov_color!A:A,prov_color!C:C)</f>
        <v>38</v>
      </c>
    </row>
    <row r="786" spans="1:16" hidden="1" x14ac:dyDescent="0.25">
      <c r="A786">
        <v>785</v>
      </c>
      <c r="B786" t="s">
        <v>1016</v>
      </c>
      <c r="C786" t="s">
        <v>1066</v>
      </c>
      <c r="D786" t="s">
        <v>1087</v>
      </c>
      <c r="E786" t="s">
        <v>80</v>
      </c>
      <c r="F786" t="s">
        <v>15</v>
      </c>
      <c r="G786" t="s">
        <v>75</v>
      </c>
      <c r="H786" t="s">
        <v>1088</v>
      </c>
      <c r="I786" t="s">
        <v>1039</v>
      </c>
      <c r="J786" t="s">
        <v>1092</v>
      </c>
      <c r="K786">
        <v>8</v>
      </c>
      <c r="L786">
        <v>2</v>
      </c>
      <c r="M786">
        <v>4</v>
      </c>
      <c r="N786">
        <v>785</v>
      </c>
      <c r="O786" t="str">
        <f>_xlfn.XLOOKUP(Table4[[#This Row],[id]],VALINA[id],VALINA[name])</f>
        <v>Zaire</v>
      </c>
      <c r="P786">
        <f>_xlfn.XLOOKUP(Table4[[#This Row],[id]],prov_color!A:A,prov_color!C:C)</f>
        <v>62</v>
      </c>
    </row>
    <row r="787" spans="1:16" hidden="1" x14ac:dyDescent="0.25">
      <c r="A787">
        <v>786</v>
      </c>
      <c r="B787" t="s">
        <v>1016</v>
      </c>
      <c r="C787" t="s">
        <v>1093</v>
      </c>
      <c r="D787" t="s">
        <v>1094</v>
      </c>
      <c r="E787" t="s">
        <v>22</v>
      </c>
      <c r="F787" t="s">
        <v>15</v>
      </c>
      <c r="G787" t="s">
        <v>75</v>
      </c>
      <c r="H787" t="s">
        <v>1095</v>
      </c>
      <c r="I787" t="s">
        <v>1039</v>
      </c>
      <c r="J787" t="s">
        <v>1096</v>
      </c>
      <c r="K787">
        <v>8</v>
      </c>
      <c r="L787">
        <v>1</v>
      </c>
      <c r="M787">
        <v>1</v>
      </c>
      <c r="N787">
        <v>786</v>
      </c>
      <c r="O787" t="str">
        <f>_xlfn.XLOOKUP(Table4[[#This Row],[id]],VALINA[id],VALINA[name])</f>
        <v>Cabinda</v>
      </c>
      <c r="P787">
        <f>_xlfn.XLOOKUP(Table4[[#This Row],[id]],prov_color!A:A,prov_color!C:C)</f>
        <v>38</v>
      </c>
    </row>
    <row r="788" spans="1:16" hidden="1" x14ac:dyDescent="0.25">
      <c r="A788">
        <v>787</v>
      </c>
      <c r="B788" t="s">
        <v>1016</v>
      </c>
      <c r="C788" t="s">
        <v>1093</v>
      </c>
      <c r="D788" t="s">
        <v>1094</v>
      </c>
      <c r="E788" t="s">
        <v>22</v>
      </c>
      <c r="F788" t="s">
        <v>15</v>
      </c>
      <c r="G788" t="s">
        <v>75</v>
      </c>
      <c r="H788" t="s">
        <v>1095</v>
      </c>
      <c r="I788" t="s">
        <v>1039</v>
      </c>
      <c r="J788" t="s">
        <v>1097</v>
      </c>
      <c r="K788">
        <v>7</v>
      </c>
      <c r="L788">
        <v>1</v>
      </c>
      <c r="M788">
        <v>2</v>
      </c>
      <c r="N788">
        <v>787</v>
      </c>
      <c r="O788" t="str">
        <f>_xlfn.XLOOKUP(Table4[[#This Row],[id]],VALINA[id],VALINA[name])</f>
        <v>Mayumba</v>
      </c>
      <c r="P788">
        <f>_xlfn.XLOOKUP(Table4[[#This Row],[id]],prov_color!A:A,prov_color!C:C)</f>
        <v>32</v>
      </c>
    </row>
    <row r="789" spans="1:16" hidden="1" x14ac:dyDescent="0.25">
      <c r="A789">
        <v>788</v>
      </c>
      <c r="B789" t="s">
        <v>1016</v>
      </c>
      <c r="C789" t="s">
        <v>1093</v>
      </c>
      <c r="D789" t="s">
        <v>1098</v>
      </c>
      <c r="E789" t="s">
        <v>80</v>
      </c>
      <c r="F789" t="s">
        <v>15</v>
      </c>
      <c r="G789" t="s">
        <v>75</v>
      </c>
      <c r="H789" t="s">
        <v>1095</v>
      </c>
      <c r="I789" t="s">
        <v>915</v>
      </c>
      <c r="J789" t="s">
        <v>1099</v>
      </c>
      <c r="K789">
        <v>8</v>
      </c>
      <c r="L789">
        <v>1</v>
      </c>
      <c r="M789">
        <v>2</v>
      </c>
      <c r="N789">
        <v>788</v>
      </c>
      <c r="O789" t="str">
        <f>_xlfn.XLOOKUP(Table4[[#This Row],[id]],VALINA[id],VALINA[name])</f>
        <v>Muni</v>
      </c>
      <c r="P789">
        <f>_xlfn.XLOOKUP(Table4[[#This Row],[id]],prov_color!A:A,prov_color!C:C)</f>
        <v>31</v>
      </c>
    </row>
    <row r="790" spans="1:16" hidden="1" x14ac:dyDescent="0.25">
      <c r="A790">
        <v>789</v>
      </c>
      <c r="B790" t="s">
        <v>1016</v>
      </c>
      <c r="C790" t="s">
        <v>1093</v>
      </c>
      <c r="D790" t="s">
        <v>1100</v>
      </c>
      <c r="E790" t="s">
        <v>22</v>
      </c>
      <c r="F790" t="s">
        <v>15</v>
      </c>
      <c r="G790" t="s">
        <v>75</v>
      </c>
      <c r="H790" t="s">
        <v>1095</v>
      </c>
      <c r="I790" t="s">
        <v>1039</v>
      </c>
      <c r="J790" t="s">
        <v>1101</v>
      </c>
      <c r="K790">
        <v>8</v>
      </c>
      <c r="L790">
        <v>1</v>
      </c>
      <c r="M790">
        <v>2</v>
      </c>
      <c r="N790">
        <v>789</v>
      </c>
      <c r="O790" t="str">
        <f>_xlfn.XLOOKUP(Table4[[#This Row],[id]],VALINA[id],VALINA[name])</f>
        <v>Kribi</v>
      </c>
      <c r="P790">
        <f>_xlfn.XLOOKUP(Table4[[#This Row],[id]],prov_color!A:A,prov_color!C:C)</f>
        <v>45</v>
      </c>
    </row>
    <row r="791" spans="1:16" hidden="1" x14ac:dyDescent="0.25">
      <c r="A791">
        <v>790</v>
      </c>
      <c r="B791" t="s">
        <v>1016</v>
      </c>
      <c r="C791" t="s">
        <v>1093</v>
      </c>
      <c r="D791" t="s">
        <v>1100</v>
      </c>
      <c r="E791" t="s">
        <v>22</v>
      </c>
      <c r="F791" t="s">
        <v>15</v>
      </c>
      <c r="G791" t="s">
        <v>75</v>
      </c>
      <c r="H791" t="s">
        <v>1095</v>
      </c>
      <c r="I791" t="s">
        <v>1039</v>
      </c>
      <c r="J791" t="s">
        <v>1102</v>
      </c>
      <c r="K791">
        <v>7</v>
      </c>
      <c r="L791">
        <v>1</v>
      </c>
      <c r="M791">
        <v>2</v>
      </c>
      <c r="N791">
        <v>790</v>
      </c>
      <c r="O791" t="str">
        <f>_xlfn.XLOOKUP(Table4[[#This Row],[id]],VALINA[id],VALINA[name])</f>
        <v>Douala</v>
      </c>
      <c r="P791">
        <f>_xlfn.XLOOKUP(Table4[[#This Row],[id]],prov_color!A:A,prov_color!C:C)</f>
        <v>35</v>
      </c>
    </row>
    <row r="792" spans="1:16" hidden="1" x14ac:dyDescent="0.25">
      <c r="A792">
        <v>791</v>
      </c>
      <c r="B792" t="s">
        <v>1016</v>
      </c>
      <c r="C792" t="s">
        <v>1093</v>
      </c>
      <c r="D792" t="s">
        <v>1103</v>
      </c>
      <c r="E792" t="s">
        <v>80</v>
      </c>
      <c r="F792" t="s">
        <v>15</v>
      </c>
      <c r="G792" t="s">
        <v>75</v>
      </c>
      <c r="H792" t="s">
        <v>1104</v>
      </c>
      <c r="I792" t="s">
        <v>1039</v>
      </c>
      <c r="J792" t="s">
        <v>1105</v>
      </c>
      <c r="K792">
        <v>7</v>
      </c>
      <c r="L792">
        <v>2</v>
      </c>
      <c r="M792">
        <v>2</v>
      </c>
      <c r="N792">
        <v>791</v>
      </c>
      <c r="O792" t="str">
        <f>_xlfn.XLOOKUP(Table4[[#This Row],[id]],VALINA[id],VALINA[name])</f>
        <v>Nigeria</v>
      </c>
      <c r="P792">
        <f>_xlfn.XLOOKUP(Table4[[#This Row],[id]],prov_color!A:A,prov_color!C:C)</f>
        <v>32</v>
      </c>
    </row>
    <row r="793" spans="1:16" hidden="1" x14ac:dyDescent="0.25">
      <c r="A793">
        <v>792</v>
      </c>
      <c r="B793" t="s">
        <v>1016</v>
      </c>
      <c r="C793" t="s">
        <v>1093</v>
      </c>
      <c r="D793" t="s">
        <v>1103</v>
      </c>
      <c r="E793" t="s">
        <v>22</v>
      </c>
      <c r="F793" t="s">
        <v>15</v>
      </c>
      <c r="G793" t="s">
        <v>75</v>
      </c>
      <c r="H793" t="s">
        <v>1104</v>
      </c>
      <c r="I793" t="s">
        <v>1039</v>
      </c>
      <c r="J793" t="s">
        <v>1106</v>
      </c>
      <c r="K793">
        <v>7</v>
      </c>
      <c r="L793">
        <v>2</v>
      </c>
      <c r="M793">
        <v>3</v>
      </c>
      <c r="N793">
        <v>792</v>
      </c>
      <c r="O793" t="str">
        <f>_xlfn.XLOOKUP(Table4[[#This Row],[id]],VALINA[id],VALINA[name])</f>
        <v>Accra</v>
      </c>
      <c r="P793">
        <f>_xlfn.XLOOKUP(Table4[[#This Row],[id]],prov_color!A:A,prov_color!C:C)</f>
        <v>23</v>
      </c>
    </row>
    <row r="794" spans="1:16" hidden="1" x14ac:dyDescent="0.25">
      <c r="A794">
        <v>793</v>
      </c>
      <c r="B794" t="s">
        <v>1016</v>
      </c>
      <c r="C794" t="s">
        <v>1093</v>
      </c>
      <c r="D794" t="s">
        <v>1103</v>
      </c>
      <c r="E794" t="s">
        <v>80</v>
      </c>
      <c r="F794" t="s">
        <v>15</v>
      </c>
      <c r="G794" t="s">
        <v>75</v>
      </c>
      <c r="H794" t="s">
        <v>1104</v>
      </c>
      <c r="I794" t="s">
        <v>915</v>
      </c>
      <c r="J794" t="s">
        <v>1107</v>
      </c>
      <c r="K794">
        <v>7</v>
      </c>
      <c r="L794">
        <v>2</v>
      </c>
      <c r="M794">
        <v>5</v>
      </c>
      <c r="N794">
        <v>793</v>
      </c>
      <c r="O794" t="str">
        <f>_xlfn.XLOOKUP(Table4[[#This Row],[id]],VALINA[id],VALINA[name])</f>
        <v>Ivoria</v>
      </c>
      <c r="P794">
        <f>_xlfn.XLOOKUP(Table4[[#This Row],[id]],prov_color!A:A,prov_color!C:C)</f>
        <v>27</v>
      </c>
    </row>
    <row r="795" spans="1:16" hidden="1" x14ac:dyDescent="0.25">
      <c r="A795">
        <v>794</v>
      </c>
      <c r="B795" t="s">
        <v>1016</v>
      </c>
      <c r="C795" t="s">
        <v>1093</v>
      </c>
      <c r="D795" t="s">
        <v>1103</v>
      </c>
      <c r="E795" t="s">
        <v>80</v>
      </c>
      <c r="F795" t="s">
        <v>15</v>
      </c>
      <c r="G795" t="s">
        <v>75</v>
      </c>
      <c r="H795" t="s">
        <v>1108</v>
      </c>
      <c r="I795" t="s">
        <v>1039</v>
      </c>
      <c r="J795" t="s">
        <v>1109</v>
      </c>
      <c r="K795">
        <v>8</v>
      </c>
      <c r="L795">
        <v>2</v>
      </c>
      <c r="M795">
        <v>3</v>
      </c>
      <c r="N795">
        <v>794</v>
      </c>
      <c r="O795" t="str">
        <f>_xlfn.XLOOKUP(Table4[[#This Row],[id]],VALINA[id],VALINA[name])</f>
        <v>Palanas</v>
      </c>
      <c r="P795">
        <f>_xlfn.XLOOKUP(Table4[[#This Row],[id]],prov_color!A:A,prov_color!C:C)</f>
        <v>42</v>
      </c>
    </row>
    <row r="796" spans="1:16" hidden="1" x14ac:dyDescent="0.25">
      <c r="A796">
        <v>795</v>
      </c>
      <c r="B796" t="s">
        <v>1016</v>
      </c>
      <c r="C796" t="s">
        <v>1093</v>
      </c>
      <c r="D796" t="s">
        <v>1110</v>
      </c>
      <c r="E796" t="s">
        <v>22</v>
      </c>
      <c r="F796" t="s">
        <v>15</v>
      </c>
      <c r="G796" t="s">
        <v>75</v>
      </c>
      <c r="H796" t="s">
        <v>1111</v>
      </c>
      <c r="I796" t="s">
        <v>915</v>
      </c>
      <c r="J796" t="s">
        <v>1112</v>
      </c>
      <c r="K796">
        <v>7</v>
      </c>
      <c r="L796">
        <v>3</v>
      </c>
      <c r="M796">
        <v>5</v>
      </c>
      <c r="N796">
        <v>795</v>
      </c>
      <c r="O796" t="str">
        <f>_xlfn.XLOOKUP(Table4[[#This Row],[id]],VALINA[id],VALINA[name])</f>
        <v>Leone</v>
      </c>
      <c r="P796">
        <f>_xlfn.XLOOKUP(Table4[[#This Row],[id]],prov_color!A:A,prov_color!C:C)</f>
        <v>38</v>
      </c>
    </row>
    <row r="797" spans="1:16" hidden="1" x14ac:dyDescent="0.25">
      <c r="A797">
        <v>796</v>
      </c>
      <c r="B797" t="s">
        <v>1016</v>
      </c>
      <c r="C797" t="s">
        <v>1093</v>
      </c>
      <c r="D797" t="s">
        <v>1110</v>
      </c>
      <c r="E797" t="s">
        <v>22</v>
      </c>
      <c r="F797" t="s">
        <v>15</v>
      </c>
      <c r="G797" t="s">
        <v>75</v>
      </c>
      <c r="H797" t="s">
        <v>1113</v>
      </c>
      <c r="I797" t="s">
        <v>1039</v>
      </c>
      <c r="J797" t="s">
        <v>1114</v>
      </c>
      <c r="K797">
        <v>7</v>
      </c>
      <c r="L797">
        <v>2</v>
      </c>
      <c r="M797">
        <v>4</v>
      </c>
      <c r="N797">
        <v>796</v>
      </c>
      <c r="O797" t="str">
        <f>_xlfn.XLOOKUP(Table4[[#This Row],[id]],VALINA[id],VALINA[name])</f>
        <v>Guinea</v>
      </c>
      <c r="P797">
        <f>_xlfn.XLOOKUP(Table4[[#This Row],[id]],prov_color!A:A,prov_color!C:C)</f>
        <v>38</v>
      </c>
    </row>
    <row r="798" spans="1:16" hidden="1" x14ac:dyDescent="0.25">
      <c r="A798">
        <v>797</v>
      </c>
      <c r="B798" t="s">
        <v>1016</v>
      </c>
      <c r="C798" t="s">
        <v>1093</v>
      </c>
      <c r="D798" t="s">
        <v>1115</v>
      </c>
      <c r="E798" t="s">
        <v>80</v>
      </c>
      <c r="F798" t="s">
        <v>15</v>
      </c>
      <c r="G798" t="s">
        <v>75</v>
      </c>
      <c r="H798" t="s">
        <v>1113</v>
      </c>
      <c r="I798" t="s">
        <v>915</v>
      </c>
      <c r="J798" t="s">
        <v>1116</v>
      </c>
      <c r="K798">
        <v>7</v>
      </c>
      <c r="L798">
        <v>1</v>
      </c>
      <c r="M798">
        <v>1</v>
      </c>
      <c r="N798">
        <v>797</v>
      </c>
      <c r="O798" t="str">
        <f>_xlfn.XLOOKUP(Table4[[#This Row],[id]],VALINA[id],VALINA[name])</f>
        <v>Casamance</v>
      </c>
      <c r="P798">
        <f>_xlfn.XLOOKUP(Table4[[#This Row],[id]],prov_color!A:A,prov_color!C:C)</f>
        <v>32</v>
      </c>
    </row>
    <row r="799" spans="1:16" hidden="1" x14ac:dyDescent="0.25">
      <c r="A799">
        <v>798</v>
      </c>
      <c r="B799" t="s">
        <v>1016</v>
      </c>
      <c r="C799" t="s">
        <v>1093</v>
      </c>
      <c r="D799" t="s">
        <v>1115</v>
      </c>
      <c r="E799" t="s">
        <v>22</v>
      </c>
      <c r="F799" t="s">
        <v>15</v>
      </c>
      <c r="G799" t="s">
        <v>75</v>
      </c>
      <c r="H799" t="s">
        <v>1117</v>
      </c>
      <c r="I799" t="s">
        <v>1039</v>
      </c>
      <c r="J799" t="s">
        <v>1118</v>
      </c>
      <c r="K799">
        <v>6</v>
      </c>
      <c r="L799">
        <v>1</v>
      </c>
      <c r="M799">
        <v>2</v>
      </c>
      <c r="N799">
        <v>798</v>
      </c>
      <c r="O799" t="str">
        <f>_xlfn.XLOOKUP(Table4[[#This Row],[id]],VALINA[id],VALINA[name])</f>
        <v>Gambia</v>
      </c>
      <c r="P799">
        <f>_xlfn.XLOOKUP(Table4[[#This Row],[id]],prov_color!A:A,prov_color!C:C)</f>
        <v>33</v>
      </c>
    </row>
    <row r="800" spans="1:16" hidden="1" x14ac:dyDescent="0.25">
      <c r="A800">
        <v>799</v>
      </c>
      <c r="B800" t="s">
        <v>1016</v>
      </c>
      <c r="C800" t="s">
        <v>1093</v>
      </c>
      <c r="D800" t="s">
        <v>1115</v>
      </c>
      <c r="E800" t="s">
        <v>34</v>
      </c>
      <c r="F800" t="s">
        <v>15</v>
      </c>
      <c r="G800" t="s">
        <v>35</v>
      </c>
      <c r="H800" t="s">
        <v>1117</v>
      </c>
      <c r="I800" t="s">
        <v>1039</v>
      </c>
      <c r="J800" t="s">
        <v>1119</v>
      </c>
      <c r="K800">
        <v>4</v>
      </c>
      <c r="L800">
        <v>1</v>
      </c>
      <c r="M800">
        <v>2</v>
      </c>
      <c r="N800">
        <v>799</v>
      </c>
      <c r="O800" t="str">
        <f>_xlfn.XLOOKUP(Table4[[#This Row],[id]],VALINA[id],VALINA[name])</f>
        <v>Dakar</v>
      </c>
      <c r="P800">
        <f>_xlfn.XLOOKUP(Table4[[#This Row],[id]],prov_color!A:A,prov_color!C:C)</f>
        <v>43</v>
      </c>
    </row>
    <row r="801" spans="1:16" hidden="1" x14ac:dyDescent="0.25">
      <c r="A801">
        <v>800</v>
      </c>
      <c r="B801" t="s">
        <v>1016</v>
      </c>
      <c r="C801" t="s">
        <v>1093</v>
      </c>
      <c r="D801" t="s">
        <v>1115</v>
      </c>
      <c r="E801" t="s">
        <v>34</v>
      </c>
      <c r="F801" t="s">
        <v>609</v>
      </c>
      <c r="G801" t="s">
        <v>35</v>
      </c>
      <c r="H801" t="s">
        <v>1117</v>
      </c>
      <c r="I801" t="s">
        <v>915</v>
      </c>
      <c r="J801" t="s">
        <v>1115</v>
      </c>
      <c r="K801">
        <v>4</v>
      </c>
      <c r="L801">
        <v>1</v>
      </c>
      <c r="M801">
        <v>3</v>
      </c>
      <c r="N801">
        <v>800</v>
      </c>
      <c r="O801" t="str">
        <f>_xlfn.XLOOKUP(Table4[[#This Row],[id]],VALINA[id],VALINA[name])</f>
        <v>Senegal</v>
      </c>
      <c r="P801">
        <f>_xlfn.XLOOKUP(Table4[[#This Row],[id]],prov_color!A:A,prov_color!C:C)</f>
        <v>33</v>
      </c>
    </row>
    <row r="802" spans="1:16" hidden="1" x14ac:dyDescent="0.25">
      <c r="A802">
        <v>801</v>
      </c>
      <c r="B802" t="s">
        <v>1016</v>
      </c>
      <c r="C802" t="s">
        <v>1093</v>
      </c>
      <c r="D802" t="s">
        <v>1115</v>
      </c>
      <c r="E802" t="s">
        <v>52</v>
      </c>
      <c r="F802" t="s">
        <v>609</v>
      </c>
      <c r="G802" t="s">
        <v>47</v>
      </c>
      <c r="H802" t="s">
        <v>1117</v>
      </c>
      <c r="I802" t="s">
        <v>915</v>
      </c>
      <c r="J802" t="s">
        <v>1120</v>
      </c>
      <c r="K802">
        <v>8</v>
      </c>
      <c r="L802">
        <v>1</v>
      </c>
      <c r="M802">
        <v>1</v>
      </c>
      <c r="N802">
        <v>801</v>
      </c>
      <c r="O802" t="str">
        <f>_xlfn.XLOOKUP(Table4[[#This Row],[id]],VALINA[id],VALINA[name])</f>
        <v>Louga</v>
      </c>
      <c r="P802">
        <f>_xlfn.XLOOKUP(Table4[[#This Row],[id]],prov_color!A:A,prov_color!C:C)</f>
        <v>34</v>
      </c>
    </row>
    <row r="803" spans="1:16" hidden="1" x14ac:dyDescent="0.25">
      <c r="A803">
        <v>802</v>
      </c>
      <c r="B803" t="s">
        <v>1016</v>
      </c>
      <c r="C803" t="s">
        <v>1093</v>
      </c>
      <c r="D803" t="s">
        <v>1121</v>
      </c>
      <c r="E803" t="s">
        <v>52</v>
      </c>
      <c r="F803" t="s">
        <v>609</v>
      </c>
      <c r="G803" t="s">
        <v>47</v>
      </c>
      <c r="H803" t="s">
        <v>616</v>
      </c>
      <c r="I803" t="s">
        <v>1039</v>
      </c>
      <c r="J803" t="s">
        <v>1122</v>
      </c>
      <c r="K803">
        <v>9</v>
      </c>
      <c r="L803">
        <v>1</v>
      </c>
      <c r="M803">
        <v>1</v>
      </c>
      <c r="N803">
        <v>802</v>
      </c>
      <c r="O803" t="str">
        <f>_xlfn.XLOOKUP(Table4[[#This Row],[id]],VALINA[id],VALINA[name])</f>
        <v>Nouakchott</v>
      </c>
      <c r="P803">
        <f>_xlfn.XLOOKUP(Table4[[#This Row],[id]],prov_color!A:A,prov_color!C:C)</f>
        <v>50</v>
      </c>
    </row>
    <row r="804" spans="1:16" hidden="1" x14ac:dyDescent="0.25">
      <c r="A804">
        <v>803</v>
      </c>
      <c r="B804" t="s">
        <v>1016</v>
      </c>
      <c r="C804" t="s">
        <v>1093</v>
      </c>
      <c r="D804" t="s">
        <v>1121</v>
      </c>
      <c r="E804" t="s">
        <v>52</v>
      </c>
      <c r="F804" t="s">
        <v>609</v>
      </c>
      <c r="G804" t="s">
        <v>47</v>
      </c>
      <c r="H804" t="s">
        <v>616</v>
      </c>
      <c r="I804" t="s">
        <v>27</v>
      </c>
      <c r="J804" t="s">
        <v>1123</v>
      </c>
      <c r="K804">
        <v>9</v>
      </c>
      <c r="L804">
        <v>1</v>
      </c>
      <c r="M804">
        <v>1</v>
      </c>
      <c r="N804">
        <v>803</v>
      </c>
      <c r="O804" t="str">
        <f>_xlfn.XLOOKUP(Table4[[#This Row],[id]],VALINA[id],VALINA[name])</f>
        <v>Nouadibuh</v>
      </c>
      <c r="P804">
        <f>_xlfn.XLOOKUP(Table4[[#This Row],[id]],prov_color!A:A,prov_color!C:C)</f>
        <v>54</v>
      </c>
    </row>
    <row r="805" spans="1:16" hidden="1" x14ac:dyDescent="0.25">
      <c r="A805">
        <v>804</v>
      </c>
      <c r="B805" t="s">
        <v>1016</v>
      </c>
      <c r="C805" t="s">
        <v>1093</v>
      </c>
      <c r="D805" t="s">
        <v>1121</v>
      </c>
      <c r="E805" t="s">
        <v>52</v>
      </c>
      <c r="F805" t="s">
        <v>609</v>
      </c>
      <c r="G805" t="s">
        <v>47</v>
      </c>
      <c r="H805" t="s">
        <v>616</v>
      </c>
      <c r="I805" t="s">
        <v>1039</v>
      </c>
      <c r="J805" t="s">
        <v>1124</v>
      </c>
      <c r="K805">
        <v>9</v>
      </c>
      <c r="L805">
        <v>1</v>
      </c>
      <c r="M805">
        <v>1</v>
      </c>
      <c r="N805">
        <v>804</v>
      </c>
      <c r="O805" t="str">
        <f>_xlfn.XLOOKUP(Table4[[#This Row],[id]],VALINA[id],VALINA[name])</f>
        <v>Tassaret</v>
      </c>
      <c r="P805">
        <f>_xlfn.XLOOKUP(Table4[[#This Row],[id]],prov_color!A:A,prov_color!C:C)</f>
        <v>46</v>
      </c>
    </row>
    <row r="806" spans="1:16" hidden="1" x14ac:dyDescent="0.25">
      <c r="A806">
        <v>805</v>
      </c>
      <c r="B806" t="s">
        <v>1016</v>
      </c>
      <c r="C806" t="s">
        <v>1093</v>
      </c>
      <c r="D806" t="s">
        <v>1121</v>
      </c>
      <c r="E806" t="s">
        <v>52</v>
      </c>
      <c r="F806" t="s">
        <v>609</v>
      </c>
      <c r="G806" t="s">
        <v>47</v>
      </c>
      <c r="H806" t="s">
        <v>616</v>
      </c>
      <c r="I806" t="s">
        <v>1039</v>
      </c>
      <c r="J806" t="s">
        <v>1125</v>
      </c>
      <c r="K806">
        <v>9</v>
      </c>
      <c r="L806">
        <v>1</v>
      </c>
      <c r="M806">
        <v>2</v>
      </c>
      <c r="N806">
        <v>805</v>
      </c>
      <c r="O806" t="str">
        <f>_xlfn.XLOOKUP(Table4[[#This Row],[id]],VALINA[id],VALINA[name])</f>
        <v>Sahara</v>
      </c>
      <c r="P806">
        <f>_xlfn.XLOOKUP(Table4[[#This Row],[id]],prov_color!A:A,prov_color!C:C)</f>
        <v>43</v>
      </c>
    </row>
    <row r="807" spans="1:16" hidden="1" x14ac:dyDescent="0.25">
      <c r="A807">
        <v>806</v>
      </c>
      <c r="B807" t="s">
        <v>1016</v>
      </c>
      <c r="C807" t="s">
        <v>1017</v>
      </c>
      <c r="D807" t="s">
        <v>1018</v>
      </c>
      <c r="E807" t="s">
        <v>14</v>
      </c>
      <c r="F807" t="s">
        <v>609</v>
      </c>
      <c r="G807" t="s">
        <v>35</v>
      </c>
      <c r="H807" t="s">
        <v>669</v>
      </c>
      <c r="I807" t="s">
        <v>41</v>
      </c>
      <c r="J807" t="s">
        <v>1126</v>
      </c>
      <c r="K807">
        <v>0</v>
      </c>
      <c r="L807">
        <v>2</v>
      </c>
      <c r="M807">
        <v>9</v>
      </c>
      <c r="N807">
        <v>806</v>
      </c>
      <c r="O807" t="str">
        <f>_xlfn.XLOOKUP(Table4[[#This Row],[id]],VALINA[id],VALINA[name])</f>
        <v>Toubkal</v>
      </c>
      <c r="P807">
        <f>_xlfn.XLOOKUP(Table4[[#This Row],[id]],prov_color!A:A,prov_color!C:C)</f>
        <v>68</v>
      </c>
    </row>
    <row r="808" spans="1:16" hidden="1" x14ac:dyDescent="0.25">
      <c r="A808">
        <v>807</v>
      </c>
      <c r="B808" t="s">
        <v>1016</v>
      </c>
      <c r="C808" t="s">
        <v>1035</v>
      </c>
      <c r="D808" t="s">
        <v>1127</v>
      </c>
      <c r="E808" t="s">
        <v>22</v>
      </c>
      <c r="F808" t="s">
        <v>15</v>
      </c>
      <c r="G808" t="s">
        <v>75</v>
      </c>
      <c r="H808" t="s">
        <v>1128</v>
      </c>
      <c r="I808" t="s">
        <v>1039</v>
      </c>
      <c r="J808" t="s">
        <v>1129</v>
      </c>
      <c r="K808">
        <v>5</v>
      </c>
      <c r="L808">
        <v>1</v>
      </c>
      <c r="M808">
        <v>2</v>
      </c>
      <c r="N808">
        <v>807</v>
      </c>
      <c r="O808" t="str">
        <f>_xlfn.XLOOKUP(Table4[[#This Row],[id]],VALINA[id],VALINA[name])</f>
        <v>Ambovombe</v>
      </c>
      <c r="P808">
        <f>_xlfn.XLOOKUP(Table4[[#This Row],[id]],prov_color!A:A,prov_color!C:C)</f>
        <v>52</v>
      </c>
    </row>
    <row r="809" spans="1:16" hidden="1" x14ac:dyDescent="0.25">
      <c r="A809">
        <v>808</v>
      </c>
      <c r="B809" t="s">
        <v>1016</v>
      </c>
      <c r="C809" t="s">
        <v>1035</v>
      </c>
      <c r="D809" t="s">
        <v>1127</v>
      </c>
      <c r="E809" t="s">
        <v>22</v>
      </c>
      <c r="F809" t="s">
        <v>15</v>
      </c>
      <c r="G809" t="s">
        <v>75</v>
      </c>
      <c r="H809" t="s">
        <v>1128</v>
      </c>
      <c r="I809" t="s">
        <v>73</v>
      </c>
      <c r="J809" t="s">
        <v>1130</v>
      </c>
      <c r="K809">
        <v>6</v>
      </c>
      <c r="L809">
        <v>1</v>
      </c>
      <c r="M809">
        <v>2</v>
      </c>
      <c r="N809">
        <v>808</v>
      </c>
      <c r="O809" t="str">
        <f>_xlfn.XLOOKUP(Table4[[#This Row],[id]],VALINA[id],VALINA[name])</f>
        <v>Antsirana</v>
      </c>
      <c r="P809">
        <f>_xlfn.XLOOKUP(Table4[[#This Row],[id]],prov_color!A:A,prov_color!C:C)</f>
        <v>57</v>
      </c>
    </row>
    <row r="810" spans="1:16" hidden="1" x14ac:dyDescent="0.25">
      <c r="A810">
        <v>809</v>
      </c>
      <c r="B810" t="s">
        <v>1016</v>
      </c>
      <c r="C810" t="s">
        <v>1035</v>
      </c>
      <c r="D810" t="s">
        <v>1131</v>
      </c>
      <c r="E810" t="s">
        <v>22</v>
      </c>
      <c r="F810" t="s">
        <v>15</v>
      </c>
      <c r="G810" t="s">
        <v>75</v>
      </c>
      <c r="H810" t="s">
        <v>1128</v>
      </c>
      <c r="I810" t="s">
        <v>73</v>
      </c>
      <c r="J810" t="s">
        <v>1132</v>
      </c>
      <c r="K810">
        <v>3</v>
      </c>
      <c r="L810">
        <v>1</v>
      </c>
      <c r="M810">
        <v>5</v>
      </c>
      <c r="N810">
        <v>809</v>
      </c>
      <c r="O810" t="str">
        <f>_xlfn.XLOOKUP(Table4[[#This Row],[id]],VALINA[id],VALINA[name])</f>
        <v>Bourbon</v>
      </c>
      <c r="P810">
        <f>_xlfn.XLOOKUP(Table4[[#This Row],[id]],prov_color!A:A,prov_color!C:C)</f>
        <v>6</v>
      </c>
    </row>
    <row r="811" spans="1:16" hidden="1" x14ac:dyDescent="0.25">
      <c r="A811">
        <v>810</v>
      </c>
      <c r="B811" t="s">
        <v>1016</v>
      </c>
      <c r="C811" t="s">
        <v>1035</v>
      </c>
      <c r="D811" t="s">
        <v>1131</v>
      </c>
      <c r="E811" t="s">
        <v>22</v>
      </c>
      <c r="F811" t="s">
        <v>15</v>
      </c>
      <c r="G811" t="s">
        <v>75</v>
      </c>
      <c r="H811" t="s">
        <v>1128</v>
      </c>
      <c r="I811" t="s">
        <v>73</v>
      </c>
      <c r="J811" t="s">
        <v>1133</v>
      </c>
      <c r="K811">
        <v>3</v>
      </c>
      <c r="L811">
        <v>1</v>
      </c>
      <c r="M811">
        <v>5</v>
      </c>
      <c r="N811">
        <v>810</v>
      </c>
      <c r="O811" t="str">
        <f>_xlfn.XLOOKUP(Table4[[#This Row],[id]],VALINA[id],VALINA[name])</f>
        <v>Mauritius</v>
      </c>
      <c r="P811">
        <f>_xlfn.XLOOKUP(Table4[[#This Row],[id]],prov_color!A:A,prov_color!C:C)</f>
        <v>6</v>
      </c>
    </row>
    <row r="812" spans="1:16" hidden="1" x14ac:dyDescent="0.25">
      <c r="A812">
        <v>811</v>
      </c>
      <c r="B812" t="s">
        <v>1016</v>
      </c>
      <c r="C812" t="s">
        <v>1035</v>
      </c>
      <c r="D812" t="s">
        <v>1134</v>
      </c>
      <c r="E812" t="s">
        <v>34</v>
      </c>
      <c r="F812" t="s">
        <v>15</v>
      </c>
      <c r="G812" t="s">
        <v>75</v>
      </c>
      <c r="H812" t="s">
        <v>1128</v>
      </c>
      <c r="I812" t="s">
        <v>687</v>
      </c>
      <c r="J812" t="s">
        <v>1135</v>
      </c>
      <c r="K812">
        <v>4</v>
      </c>
      <c r="L812">
        <v>1</v>
      </c>
      <c r="M812">
        <v>2</v>
      </c>
      <c r="N812">
        <v>811</v>
      </c>
      <c r="O812" t="str">
        <f>_xlfn.XLOOKUP(Table4[[#This Row],[id]],VALINA[id],VALINA[name])</f>
        <v>Mahe</v>
      </c>
      <c r="P812">
        <f>_xlfn.XLOOKUP(Table4[[#This Row],[id]],prov_color!A:A,prov_color!C:C)</f>
        <v>6</v>
      </c>
    </row>
    <row r="813" spans="1:16" hidden="1" x14ac:dyDescent="0.25">
      <c r="A813">
        <v>812</v>
      </c>
      <c r="B813" t="s">
        <v>990</v>
      </c>
      <c r="C813" t="s">
        <v>1136</v>
      </c>
      <c r="D813" t="s">
        <v>1137</v>
      </c>
      <c r="E813" t="s">
        <v>14</v>
      </c>
      <c r="F813" t="s">
        <v>15</v>
      </c>
      <c r="G813" t="s">
        <v>75</v>
      </c>
      <c r="H813" t="s">
        <v>1009</v>
      </c>
      <c r="I813" t="s">
        <v>73</v>
      </c>
      <c r="J813" t="s">
        <v>1138</v>
      </c>
      <c r="K813">
        <v>4</v>
      </c>
      <c r="L813">
        <v>1</v>
      </c>
      <c r="M813">
        <v>3</v>
      </c>
      <c r="N813">
        <v>812</v>
      </c>
      <c r="O813" t="str">
        <f>_xlfn.XLOOKUP(Table4[[#This Row],[id]],VALINA[id],VALINA[name])</f>
        <v>Kauai</v>
      </c>
      <c r="P813">
        <f>_xlfn.XLOOKUP(Table4[[#This Row],[id]],prov_color!A:A,prov_color!C:C)</f>
        <v>12</v>
      </c>
    </row>
    <row r="814" spans="1:16" hidden="1" x14ac:dyDescent="0.25">
      <c r="A814">
        <v>813</v>
      </c>
      <c r="B814" t="s">
        <v>990</v>
      </c>
      <c r="C814" t="s">
        <v>1136</v>
      </c>
      <c r="D814" t="s">
        <v>1137</v>
      </c>
      <c r="E814" t="s">
        <v>22</v>
      </c>
      <c r="F814" t="s">
        <v>15</v>
      </c>
      <c r="G814" t="s">
        <v>75</v>
      </c>
      <c r="H814" t="s">
        <v>1009</v>
      </c>
      <c r="I814" t="s">
        <v>73</v>
      </c>
      <c r="J814" t="s">
        <v>1139</v>
      </c>
      <c r="K814">
        <v>4</v>
      </c>
      <c r="L814">
        <v>1</v>
      </c>
      <c r="M814">
        <v>3</v>
      </c>
      <c r="N814">
        <v>813</v>
      </c>
      <c r="O814" t="str">
        <f>_xlfn.XLOOKUP(Table4[[#This Row],[id]],VALINA[id],VALINA[name])</f>
        <v>Oahu</v>
      </c>
      <c r="P814">
        <f>_xlfn.XLOOKUP(Table4[[#This Row],[id]],prov_color!A:A,prov_color!C:C)</f>
        <v>15</v>
      </c>
    </row>
    <row r="815" spans="1:16" hidden="1" x14ac:dyDescent="0.25">
      <c r="A815">
        <v>814</v>
      </c>
      <c r="B815" t="s">
        <v>990</v>
      </c>
      <c r="C815" t="s">
        <v>1136</v>
      </c>
      <c r="D815" t="s">
        <v>1140</v>
      </c>
      <c r="E815" t="s">
        <v>22</v>
      </c>
      <c r="F815" t="s">
        <v>15</v>
      </c>
      <c r="G815" t="s">
        <v>75</v>
      </c>
      <c r="H815" t="s">
        <v>1009</v>
      </c>
      <c r="I815" t="s">
        <v>687</v>
      </c>
      <c r="J815" t="s">
        <v>1141</v>
      </c>
      <c r="K815">
        <v>2</v>
      </c>
      <c r="L815">
        <v>1</v>
      </c>
      <c r="M815">
        <v>3</v>
      </c>
      <c r="N815">
        <v>814</v>
      </c>
      <c r="O815" t="str">
        <f>_xlfn.XLOOKUP(Table4[[#This Row],[id]],VALINA[id],VALINA[name])</f>
        <v>Tahiti</v>
      </c>
      <c r="P815">
        <f>_xlfn.XLOOKUP(Table4[[#This Row],[id]],prov_color!A:A,prov_color!C:C)</f>
        <v>9</v>
      </c>
    </row>
    <row r="816" spans="1:16" hidden="1" x14ac:dyDescent="0.25">
      <c r="A816">
        <v>815</v>
      </c>
      <c r="B816" t="s">
        <v>990</v>
      </c>
      <c r="C816" t="s">
        <v>1136</v>
      </c>
      <c r="D816" t="s">
        <v>1142</v>
      </c>
      <c r="E816" t="s">
        <v>22</v>
      </c>
      <c r="F816" t="s">
        <v>15</v>
      </c>
      <c r="G816" t="s">
        <v>75</v>
      </c>
      <c r="H816" t="s">
        <v>1009</v>
      </c>
      <c r="I816" t="s">
        <v>73</v>
      </c>
      <c r="J816" t="s">
        <v>1143</v>
      </c>
      <c r="K816">
        <v>5</v>
      </c>
      <c r="L816">
        <v>1</v>
      </c>
      <c r="M816">
        <v>3</v>
      </c>
      <c r="N816">
        <v>815</v>
      </c>
      <c r="O816" t="str">
        <f>_xlfn.XLOOKUP(Table4[[#This Row],[id]],VALINA[id],VALINA[name])</f>
        <v>Viti Levu</v>
      </c>
      <c r="P816">
        <f>_xlfn.XLOOKUP(Table4[[#This Row],[id]],prov_color!A:A,prov_color!C:C)</f>
        <v>9</v>
      </c>
    </row>
    <row r="817" spans="1:16" hidden="1" x14ac:dyDescent="0.25">
      <c r="A817">
        <v>816</v>
      </c>
      <c r="B817" t="s">
        <v>1016</v>
      </c>
      <c r="C817" t="s">
        <v>1093</v>
      </c>
      <c r="D817" t="s">
        <v>1100</v>
      </c>
      <c r="E817" t="s">
        <v>22</v>
      </c>
      <c r="F817" t="s">
        <v>15</v>
      </c>
      <c r="G817" t="s">
        <v>75</v>
      </c>
      <c r="H817" t="s">
        <v>1104</v>
      </c>
      <c r="I817" t="s">
        <v>1039</v>
      </c>
      <c r="J817" t="s">
        <v>1144</v>
      </c>
      <c r="K817">
        <v>5</v>
      </c>
      <c r="L817">
        <v>1</v>
      </c>
      <c r="M817">
        <v>2</v>
      </c>
      <c r="N817">
        <v>816</v>
      </c>
      <c r="O817" t="str">
        <f>_xlfn.XLOOKUP(Table4[[#This Row],[id]],VALINA[id],VALINA[name])</f>
        <v>Fernando Po</v>
      </c>
      <c r="P817">
        <f>_xlfn.XLOOKUP(Table4[[#This Row],[id]],prov_color!A:A,prov_color!C:C)</f>
        <v>6</v>
      </c>
    </row>
    <row r="818" spans="1:16" hidden="1" x14ac:dyDescent="0.25">
      <c r="A818">
        <v>817</v>
      </c>
      <c r="B818" t="s">
        <v>1016</v>
      </c>
      <c r="C818" t="s">
        <v>1093</v>
      </c>
      <c r="D818" t="s">
        <v>1145</v>
      </c>
      <c r="E818" t="s">
        <v>14</v>
      </c>
      <c r="F818" t="s">
        <v>349</v>
      </c>
      <c r="G818" t="s">
        <v>35</v>
      </c>
      <c r="H818" t="s">
        <v>595</v>
      </c>
      <c r="I818" t="s">
        <v>73</v>
      </c>
      <c r="J818" t="s">
        <v>1731</v>
      </c>
      <c r="K818">
        <v>0</v>
      </c>
      <c r="L818">
        <v>1</v>
      </c>
      <c r="M818">
        <v>3</v>
      </c>
      <c r="N818">
        <v>817</v>
      </c>
      <c r="O818" t="str">
        <f>_xlfn.XLOOKUP(Table4[[#This Row],[id]],VALINA[id],VALINA[name])</f>
        <v>The Canary Islands</v>
      </c>
      <c r="P818">
        <f>_xlfn.XLOOKUP(Table4[[#This Row],[id]],prov_color!A:A,prov_color!C:C)</f>
        <v>12</v>
      </c>
    </row>
    <row r="819" spans="1:16" hidden="1" x14ac:dyDescent="0.25">
      <c r="A819">
        <v>818</v>
      </c>
      <c r="B819" t="s">
        <v>1016</v>
      </c>
      <c r="C819" t="s">
        <v>1093</v>
      </c>
      <c r="D819" t="s">
        <v>1146</v>
      </c>
      <c r="E819" t="s">
        <v>22</v>
      </c>
      <c r="F819" t="s">
        <v>15</v>
      </c>
      <c r="G819" t="s">
        <v>75</v>
      </c>
      <c r="H819" t="s">
        <v>1117</v>
      </c>
      <c r="I819" t="s">
        <v>27</v>
      </c>
      <c r="J819" t="s">
        <v>1146</v>
      </c>
      <c r="K819">
        <v>3</v>
      </c>
      <c r="L819">
        <v>1</v>
      </c>
      <c r="M819">
        <v>2</v>
      </c>
      <c r="N819">
        <v>818</v>
      </c>
      <c r="O819" t="str">
        <f>_xlfn.XLOOKUP(Table4[[#This Row],[id]],VALINA[id],VALINA[name])</f>
        <v>Cape Verde</v>
      </c>
      <c r="P819">
        <f>_xlfn.XLOOKUP(Table4[[#This Row],[id]],prov_color!A:A,prov_color!C:C)</f>
        <v>6</v>
      </c>
    </row>
    <row r="820" spans="1:16" hidden="1" x14ac:dyDescent="0.25">
      <c r="A820">
        <v>819</v>
      </c>
      <c r="B820" t="s">
        <v>346</v>
      </c>
      <c r="C820" t="s">
        <v>516</v>
      </c>
      <c r="D820" t="s">
        <v>517</v>
      </c>
      <c r="E820" t="s">
        <v>22</v>
      </c>
      <c r="F820" t="s">
        <v>349</v>
      </c>
      <c r="G820" t="s">
        <v>35</v>
      </c>
      <c r="H820" t="s">
        <v>1147</v>
      </c>
      <c r="I820" t="s">
        <v>27</v>
      </c>
      <c r="J820" t="s">
        <v>1148</v>
      </c>
      <c r="K820">
        <v>0</v>
      </c>
      <c r="L820">
        <v>2</v>
      </c>
      <c r="M820">
        <v>3</v>
      </c>
      <c r="N820">
        <v>819</v>
      </c>
      <c r="O820" t="str">
        <f>_xlfn.XLOOKUP(Table4[[#This Row],[id]],VALINA[id],VALINA[name])</f>
        <v>Malta</v>
      </c>
      <c r="P820">
        <f>_xlfn.XLOOKUP(Table4[[#This Row],[id]],prov_color!A:A,prov_color!C:C)</f>
        <v>6</v>
      </c>
    </row>
    <row r="821" spans="1:16" hidden="1" x14ac:dyDescent="0.25">
      <c r="A821">
        <v>820</v>
      </c>
      <c r="B821" t="s">
        <v>346</v>
      </c>
      <c r="C821" t="s">
        <v>516</v>
      </c>
      <c r="D821" t="s">
        <v>517</v>
      </c>
      <c r="E821" t="s">
        <v>14</v>
      </c>
      <c r="F821" t="s">
        <v>394</v>
      </c>
      <c r="G821" t="s">
        <v>35</v>
      </c>
      <c r="H821" t="s">
        <v>513</v>
      </c>
      <c r="I821" t="s">
        <v>27</v>
      </c>
      <c r="J821" t="s">
        <v>1149</v>
      </c>
      <c r="K821">
        <v>0</v>
      </c>
      <c r="L821">
        <v>1</v>
      </c>
      <c r="M821">
        <v>4</v>
      </c>
      <c r="N821">
        <v>820</v>
      </c>
      <c r="O821" t="str">
        <f>_xlfn.XLOOKUP(Table4[[#This Row],[id]],VALINA[id],VALINA[name])</f>
        <v>Corfu</v>
      </c>
      <c r="P821">
        <f>_xlfn.XLOOKUP(Table4[[#This Row],[id]],prov_color!A:A,prov_color!C:C)</f>
        <v>6</v>
      </c>
    </row>
    <row r="822" spans="1:16" hidden="1" x14ac:dyDescent="0.25">
      <c r="A822">
        <v>821</v>
      </c>
      <c r="B822" t="s">
        <v>346</v>
      </c>
      <c r="C822" t="s">
        <v>516</v>
      </c>
      <c r="D822" t="s">
        <v>594</v>
      </c>
      <c r="E822" t="s">
        <v>14</v>
      </c>
      <c r="F822" t="s">
        <v>349</v>
      </c>
      <c r="G822" t="s">
        <v>35</v>
      </c>
      <c r="H822" t="s">
        <v>595</v>
      </c>
      <c r="I822" t="s">
        <v>27</v>
      </c>
      <c r="J822" t="s">
        <v>1732</v>
      </c>
      <c r="K822">
        <v>0</v>
      </c>
      <c r="L822">
        <v>1</v>
      </c>
      <c r="M822">
        <v>4</v>
      </c>
      <c r="N822">
        <v>821</v>
      </c>
      <c r="O822" t="str">
        <f>_xlfn.XLOOKUP(Table4[[#This Row],[id]],VALINA[id],VALINA[name])</f>
        <v>The Baleares</v>
      </c>
      <c r="P822">
        <f>_xlfn.XLOOKUP(Table4[[#This Row],[id]],prov_color!A:A,prov_color!C:C)</f>
        <v>14</v>
      </c>
    </row>
    <row r="823" spans="1:16" hidden="1" x14ac:dyDescent="0.25">
      <c r="A823">
        <v>822</v>
      </c>
      <c r="B823" t="s">
        <v>11</v>
      </c>
      <c r="C823" t="s">
        <v>45</v>
      </c>
      <c r="D823" t="s">
        <v>83</v>
      </c>
      <c r="E823" t="s">
        <v>22</v>
      </c>
      <c r="F823" t="s">
        <v>15</v>
      </c>
      <c r="G823" t="s">
        <v>75</v>
      </c>
      <c r="H823" t="s">
        <v>88</v>
      </c>
      <c r="I823" t="s">
        <v>131</v>
      </c>
      <c r="J823" t="s">
        <v>83</v>
      </c>
      <c r="K823">
        <v>5</v>
      </c>
      <c r="L823">
        <v>1</v>
      </c>
      <c r="M823">
        <v>3</v>
      </c>
      <c r="N823">
        <v>822</v>
      </c>
      <c r="O823" t="str">
        <f>_xlfn.XLOOKUP(Table4[[#This Row],[id]],VALINA[id],VALINA[name])</f>
        <v>Costa Rica</v>
      </c>
      <c r="P823">
        <f>_xlfn.XLOOKUP(Table4[[#This Row],[id]],prov_color!A:A,prov_color!C:C)</f>
        <v>28</v>
      </c>
    </row>
    <row r="824" spans="1:16" x14ac:dyDescent="0.25">
      <c r="A824">
        <v>823</v>
      </c>
      <c r="B824" t="s">
        <v>346</v>
      </c>
      <c r="C824" t="s">
        <v>516</v>
      </c>
      <c r="D824" t="s">
        <v>594</v>
      </c>
      <c r="E824" t="s">
        <v>14</v>
      </c>
      <c r="F824" t="s">
        <v>349</v>
      </c>
      <c r="G824" t="s">
        <v>35</v>
      </c>
      <c r="H824" t="s">
        <v>604</v>
      </c>
      <c r="I824" t="s">
        <v>27</v>
      </c>
      <c r="J824" t="s">
        <v>1733</v>
      </c>
      <c r="K824">
        <v>0</v>
      </c>
      <c r="L824">
        <v>1</v>
      </c>
      <c r="M824">
        <v>3</v>
      </c>
      <c r="N824">
        <v>823</v>
      </c>
      <c r="O824" t="str">
        <f>_xlfn.XLOOKUP(Table4[[#This Row],[id]],VALINA[id],VALINA[name])</f>
        <v>The Azores</v>
      </c>
      <c r="P824">
        <f>_xlfn.XLOOKUP(Table4[[#This Row],[id]],prov_color!A:A,prov_color!C:C)</f>
        <v>6</v>
      </c>
    </row>
    <row r="825" spans="1:16" hidden="1" x14ac:dyDescent="0.25">
      <c r="A825">
        <v>824</v>
      </c>
      <c r="B825" t="s">
        <v>1016</v>
      </c>
      <c r="C825" t="s">
        <v>1093</v>
      </c>
      <c r="D825" t="s">
        <v>1150</v>
      </c>
      <c r="E825" t="s">
        <v>14</v>
      </c>
      <c r="F825" t="s">
        <v>15</v>
      </c>
      <c r="G825" t="s">
        <v>35</v>
      </c>
      <c r="H825" t="s">
        <v>338</v>
      </c>
      <c r="I825" t="s">
        <v>27</v>
      </c>
      <c r="J825" t="s">
        <v>1734</v>
      </c>
      <c r="K825">
        <v>3</v>
      </c>
      <c r="L825">
        <v>1</v>
      </c>
      <c r="M825">
        <v>1</v>
      </c>
      <c r="N825">
        <v>824</v>
      </c>
      <c r="O825" t="str">
        <f>_xlfn.XLOOKUP(Table4[[#This Row],[id]],VALINA[id],VALINA[name])</f>
        <v>St. Helena</v>
      </c>
      <c r="P825">
        <f>_xlfn.XLOOKUP(Table4[[#This Row],[id]],prov_color!A:A,prov_color!C:C)</f>
        <v>6</v>
      </c>
    </row>
    <row r="826" spans="1:16" hidden="1" x14ac:dyDescent="0.25">
      <c r="A826">
        <v>825</v>
      </c>
      <c r="B826" t="s">
        <v>11</v>
      </c>
      <c r="C826" t="s">
        <v>1640</v>
      </c>
      <c r="D826" t="s">
        <v>1641</v>
      </c>
      <c r="E826" t="s">
        <v>1316</v>
      </c>
      <c r="G826" t="s">
        <v>26</v>
      </c>
      <c r="J826" t="s">
        <v>1735</v>
      </c>
      <c r="N826">
        <v>0</v>
      </c>
      <c r="O826" t="str">
        <f>_xlfn.XLOOKUP(Table4[[#This Row],[id]],VALINA[id],VALINA[name])</f>
        <v>Bering Straits</v>
      </c>
      <c r="P826">
        <f>_xlfn.XLOOKUP(Table4[[#This Row],[id]],prov_color!A:A,prov_color!C:C)</f>
        <v>628</v>
      </c>
    </row>
    <row r="827" spans="1:16" hidden="1" x14ac:dyDescent="0.25">
      <c r="A827">
        <v>826</v>
      </c>
      <c r="B827" t="s">
        <v>11</v>
      </c>
      <c r="C827" t="s">
        <v>1642</v>
      </c>
      <c r="D827" t="s">
        <v>1641</v>
      </c>
      <c r="E827" t="s">
        <v>1316</v>
      </c>
      <c r="G827" t="s">
        <v>122</v>
      </c>
      <c r="J827" t="s">
        <v>1736</v>
      </c>
      <c r="N827">
        <v>0</v>
      </c>
      <c r="O827" t="str">
        <f>_xlfn.XLOOKUP(Table4[[#This Row],[id]],VALINA[id],VALINA[name])</f>
        <v>Aleutian Sea</v>
      </c>
      <c r="P827">
        <f>_xlfn.XLOOKUP(Table4[[#This Row],[id]],prov_color!A:A,prov_color!C:C)</f>
        <v>419</v>
      </c>
    </row>
    <row r="828" spans="1:16" hidden="1" x14ac:dyDescent="0.25">
      <c r="A828">
        <v>827</v>
      </c>
      <c r="B828" t="s">
        <v>11</v>
      </c>
      <c r="C828" t="s">
        <v>1642</v>
      </c>
      <c r="D828" t="s">
        <v>1641</v>
      </c>
      <c r="E828" t="s">
        <v>1316</v>
      </c>
      <c r="G828" t="s">
        <v>122</v>
      </c>
      <c r="J828" t="s">
        <v>1605</v>
      </c>
      <c r="N828">
        <v>0</v>
      </c>
      <c r="O828" t="str">
        <f>_xlfn.XLOOKUP(Table4[[#This Row],[id]],VALINA[id],VALINA[name])</f>
        <v>Aleutian Islands</v>
      </c>
      <c r="P828">
        <f>_xlfn.XLOOKUP(Table4[[#This Row],[id]],prov_color!A:A,prov_color!C:C)</f>
        <v>190</v>
      </c>
    </row>
    <row r="829" spans="1:16" hidden="1" x14ac:dyDescent="0.25">
      <c r="A829">
        <v>828</v>
      </c>
      <c r="B829" t="s">
        <v>11</v>
      </c>
      <c r="C829" t="s">
        <v>1642</v>
      </c>
      <c r="D829" t="s">
        <v>1641</v>
      </c>
      <c r="E829" t="s">
        <v>1316</v>
      </c>
      <c r="J829" t="s">
        <v>1577</v>
      </c>
      <c r="K829">
        <v>0</v>
      </c>
      <c r="N829">
        <v>828</v>
      </c>
      <c r="O829" t="str">
        <f>_xlfn.XLOOKUP(Table4[[#This Row],[id]],VALINA[id],VALINA[name])</f>
        <v>Gulf of Alaska</v>
      </c>
      <c r="P829">
        <f>_xlfn.XLOOKUP(Table4[[#This Row],[id]],prov_color!A:A,prov_color!C:C)</f>
        <v>218</v>
      </c>
    </row>
    <row r="830" spans="1:16" hidden="1" x14ac:dyDescent="0.25">
      <c r="A830">
        <v>829</v>
      </c>
      <c r="B830" t="s">
        <v>11</v>
      </c>
      <c r="C830" t="s">
        <v>1643</v>
      </c>
      <c r="D830" t="s">
        <v>1644</v>
      </c>
      <c r="E830" t="s">
        <v>1316</v>
      </c>
      <c r="J830" t="s">
        <v>210</v>
      </c>
      <c r="K830">
        <v>0</v>
      </c>
      <c r="N830">
        <v>829</v>
      </c>
      <c r="O830" t="str">
        <f>_xlfn.XLOOKUP(Table4[[#This Row],[id]],VALINA[id],VALINA[name])</f>
        <v>Hudson Bay</v>
      </c>
      <c r="P830">
        <f>_xlfn.XLOOKUP(Table4[[#This Row],[id]],prov_color!A:A,prov_color!C:C)</f>
        <v>353</v>
      </c>
    </row>
    <row r="831" spans="1:16" hidden="1" x14ac:dyDescent="0.25">
      <c r="A831">
        <v>830</v>
      </c>
      <c r="B831" t="s">
        <v>11</v>
      </c>
      <c r="C831" t="s">
        <v>1643</v>
      </c>
      <c r="D831" t="s">
        <v>1641</v>
      </c>
      <c r="E831" t="s">
        <v>1316</v>
      </c>
      <c r="J831" t="s">
        <v>1581</v>
      </c>
      <c r="K831">
        <v>0</v>
      </c>
      <c r="N831">
        <v>830</v>
      </c>
      <c r="O831" t="str">
        <f>_xlfn.XLOOKUP(Table4[[#This Row],[id]],VALINA[id],VALINA[name])</f>
        <v>Hudson Straits</v>
      </c>
      <c r="P831">
        <f>_xlfn.XLOOKUP(Table4[[#This Row],[id]],prov_color!A:A,prov_color!C:C)</f>
        <v>242</v>
      </c>
    </row>
    <row r="832" spans="1:16" hidden="1" x14ac:dyDescent="0.25">
      <c r="A832">
        <v>831</v>
      </c>
      <c r="B832" t="s">
        <v>11</v>
      </c>
      <c r="C832" t="s">
        <v>1643</v>
      </c>
      <c r="D832" t="s">
        <v>1641</v>
      </c>
      <c r="E832" t="s">
        <v>1316</v>
      </c>
      <c r="J832" t="s">
        <v>1580</v>
      </c>
      <c r="K832">
        <v>0</v>
      </c>
      <c r="N832">
        <v>831</v>
      </c>
      <c r="O832" t="str">
        <f>_xlfn.XLOOKUP(Table4[[#This Row],[id]],VALINA[id],VALINA[name])</f>
        <v>Sea of Baffin</v>
      </c>
      <c r="P832">
        <f>_xlfn.XLOOKUP(Table4[[#This Row],[id]],prov_color!A:A,prov_color!C:C)</f>
        <v>350</v>
      </c>
    </row>
    <row r="833" spans="1:16" hidden="1" x14ac:dyDescent="0.25">
      <c r="A833">
        <v>832</v>
      </c>
      <c r="B833" t="s">
        <v>11</v>
      </c>
      <c r="C833" t="s">
        <v>1643</v>
      </c>
      <c r="D833" t="s">
        <v>1641</v>
      </c>
      <c r="E833" t="s">
        <v>1316</v>
      </c>
      <c r="J833" t="s">
        <v>1579</v>
      </c>
      <c r="K833">
        <v>0</v>
      </c>
      <c r="N833">
        <v>832</v>
      </c>
      <c r="O833" t="str">
        <f>_xlfn.XLOOKUP(Table4[[#This Row],[id]],VALINA[id],VALINA[name])</f>
        <v>Strait of Labrador</v>
      </c>
      <c r="P833">
        <f>_xlfn.XLOOKUP(Table4[[#This Row],[id]],prov_color!A:A,prov_color!C:C)</f>
        <v>233</v>
      </c>
    </row>
    <row r="834" spans="1:16" hidden="1" x14ac:dyDescent="0.25">
      <c r="A834">
        <v>833</v>
      </c>
      <c r="B834" t="s">
        <v>11</v>
      </c>
      <c r="C834" t="s">
        <v>1643</v>
      </c>
      <c r="D834" t="s">
        <v>1641</v>
      </c>
      <c r="E834" t="s">
        <v>1316</v>
      </c>
      <c r="J834" t="s">
        <v>1527</v>
      </c>
      <c r="K834">
        <v>0</v>
      </c>
      <c r="N834">
        <v>833</v>
      </c>
      <c r="O834" t="str">
        <f>_xlfn.XLOOKUP(Table4[[#This Row],[id]],VALINA[id],VALINA[name])</f>
        <v>Gulf of Saint Lawrence</v>
      </c>
      <c r="P834">
        <f>_xlfn.XLOOKUP(Table4[[#This Row],[id]],prov_color!A:A,prov_color!C:C)</f>
        <v>101</v>
      </c>
    </row>
    <row r="835" spans="1:16" hidden="1" x14ac:dyDescent="0.25">
      <c r="A835">
        <v>834</v>
      </c>
      <c r="B835" t="s">
        <v>11</v>
      </c>
      <c r="C835" t="s">
        <v>1643</v>
      </c>
      <c r="D835" t="s">
        <v>1641</v>
      </c>
      <c r="E835" t="s">
        <v>1316</v>
      </c>
      <c r="J835" t="s">
        <v>1430</v>
      </c>
      <c r="K835">
        <v>0</v>
      </c>
      <c r="N835">
        <v>834</v>
      </c>
      <c r="O835" t="str">
        <f>_xlfn.XLOOKUP(Table4[[#This Row],[id]],VALINA[id],VALINA[name])</f>
        <v>Sea of Labrador</v>
      </c>
      <c r="P835">
        <f>_xlfn.XLOOKUP(Table4[[#This Row],[id]],prov_color!A:A,prov_color!C:C)</f>
        <v>354</v>
      </c>
    </row>
    <row r="836" spans="1:16" hidden="1" x14ac:dyDescent="0.25">
      <c r="A836">
        <v>835</v>
      </c>
      <c r="B836" t="s">
        <v>11</v>
      </c>
      <c r="C836" t="s">
        <v>1645</v>
      </c>
      <c r="D836" t="s">
        <v>1641</v>
      </c>
      <c r="E836" t="s">
        <v>1316</v>
      </c>
      <c r="J836" t="s">
        <v>1429</v>
      </c>
      <c r="K836">
        <v>0</v>
      </c>
      <c r="N836">
        <v>835</v>
      </c>
      <c r="O836" t="str">
        <f>_xlfn.XLOOKUP(Table4[[#This Row],[id]],VALINA[id],VALINA[name])</f>
        <v>Coast of Greenland</v>
      </c>
      <c r="P836">
        <f>_xlfn.XLOOKUP(Table4[[#This Row],[id]],prov_color!A:A,prov_color!C:C)</f>
        <v>607</v>
      </c>
    </row>
    <row r="837" spans="1:16" hidden="1" x14ac:dyDescent="0.25">
      <c r="A837">
        <v>836</v>
      </c>
      <c r="B837" t="s">
        <v>346</v>
      </c>
      <c r="C837" t="s">
        <v>1645</v>
      </c>
      <c r="D837" t="s">
        <v>1641</v>
      </c>
      <c r="E837" t="s">
        <v>1316</v>
      </c>
      <c r="J837" t="s">
        <v>1487</v>
      </c>
      <c r="K837">
        <v>0</v>
      </c>
      <c r="N837">
        <v>836</v>
      </c>
      <c r="O837" t="str">
        <f>_xlfn.XLOOKUP(Table4[[#This Row],[id]],VALINA[id],VALINA[name])</f>
        <v>Coast of Iceland</v>
      </c>
      <c r="P837">
        <f>_xlfn.XLOOKUP(Table4[[#This Row],[id]],prov_color!A:A,prov_color!C:C)</f>
        <v>428</v>
      </c>
    </row>
    <row r="838" spans="1:16" hidden="1" x14ac:dyDescent="0.25">
      <c r="A838">
        <v>837</v>
      </c>
      <c r="B838" t="s">
        <v>346</v>
      </c>
      <c r="C838" t="s">
        <v>1645</v>
      </c>
      <c r="D838" t="s">
        <v>1641</v>
      </c>
      <c r="E838" t="s">
        <v>1316</v>
      </c>
      <c r="J838" t="s">
        <v>1737</v>
      </c>
      <c r="K838">
        <v>0</v>
      </c>
      <c r="N838">
        <v>837</v>
      </c>
      <c r="O838" t="str">
        <f>_xlfn.XLOOKUP(Table4[[#This Row],[id]],VALINA[id],VALINA[name])</f>
        <v>Icelandic Sea</v>
      </c>
      <c r="P838">
        <f>_xlfn.XLOOKUP(Table4[[#This Row],[id]],prov_color!A:A,prov_color!C:C)</f>
        <v>389</v>
      </c>
    </row>
    <row r="839" spans="1:16" hidden="1" x14ac:dyDescent="0.25">
      <c r="A839">
        <v>838</v>
      </c>
      <c r="B839" t="s">
        <v>346</v>
      </c>
      <c r="C839" t="s">
        <v>1645</v>
      </c>
      <c r="D839" t="s">
        <v>1641</v>
      </c>
      <c r="E839" t="s">
        <v>1316</v>
      </c>
      <c r="J839" t="s">
        <v>1486</v>
      </c>
      <c r="K839">
        <v>0</v>
      </c>
      <c r="N839">
        <v>838</v>
      </c>
      <c r="O839" t="str">
        <f>_xlfn.XLOOKUP(Table4[[#This Row],[id]],VALINA[id],VALINA[name])</f>
        <v>Jan Mayen Sea</v>
      </c>
      <c r="P839">
        <f>_xlfn.XLOOKUP(Table4[[#This Row],[id]],prov_color!A:A,prov_color!C:C)</f>
        <v>410</v>
      </c>
    </row>
    <row r="840" spans="1:16" hidden="1" x14ac:dyDescent="0.25">
      <c r="A840">
        <v>839</v>
      </c>
      <c r="B840" t="s">
        <v>346</v>
      </c>
      <c r="C840" t="s">
        <v>1645</v>
      </c>
      <c r="D840" t="s">
        <v>1641</v>
      </c>
      <c r="E840" t="s">
        <v>1316</v>
      </c>
      <c r="J840" t="s">
        <v>1485</v>
      </c>
      <c r="K840">
        <v>0</v>
      </c>
      <c r="N840">
        <v>839</v>
      </c>
      <c r="O840" t="str">
        <f>_xlfn.XLOOKUP(Table4[[#This Row],[id]],VALINA[id],VALINA[name])</f>
        <v>Spitzberg</v>
      </c>
      <c r="P840">
        <f>_xlfn.XLOOKUP(Table4[[#This Row],[id]],prov_color!A:A,prov_color!C:C)</f>
        <v>472</v>
      </c>
    </row>
    <row r="841" spans="1:16" hidden="1" x14ac:dyDescent="0.25">
      <c r="A841">
        <v>840</v>
      </c>
      <c r="B841" t="s">
        <v>346</v>
      </c>
      <c r="C841" t="s">
        <v>1645</v>
      </c>
      <c r="D841" t="s">
        <v>1641</v>
      </c>
      <c r="E841" t="s">
        <v>1316</v>
      </c>
      <c r="J841" t="s">
        <v>1481</v>
      </c>
      <c r="K841">
        <v>0</v>
      </c>
      <c r="N841">
        <v>840</v>
      </c>
      <c r="O841" t="str">
        <f>_xlfn.XLOOKUP(Table4[[#This Row],[id]],VALINA[id],VALINA[name])</f>
        <v>Throndheim Fjord</v>
      </c>
      <c r="P841">
        <f>_xlfn.XLOOKUP(Table4[[#This Row],[id]],prov_color!A:A,prov_color!C:C)</f>
        <v>81</v>
      </c>
    </row>
    <row r="842" spans="1:16" hidden="1" x14ac:dyDescent="0.25">
      <c r="A842">
        <v>841</v>
      </c>
      <c r="B842" t="s">
        <v>346</v>
      </c>
      <c r="C842" t="s">
        <v>1645</v>
      </c>
      <c r="D842" t="s">
        <v>1641</v>
      </c>
      <c r="E842" t="s">
        <v>1316</v>
      </c>
      <c r="J842" t="s">
        <v>1738</v>
      </c>
      <c r="N842">
        <v>0</v>
      </c>
      <c r="O842" t="str">
        <f>_xlfn.XLOOKUP(Table4[[#This Row],[id]],VALINA[id],VALINA[name])</f>
        <v>The Lofotens</v>
      </c>
      <c r="P842">
        <f>_xlfn.XLOOKUP(Table4[[#This Row],[id]],prov_color!A:A,prov_color!C:C)</f>
        <v>69</v>
      </c>
    </row>
    <row r="843" spans="1:16" hidden="1" x14ac:dyDescent="0.25">
      <c r="A843">
        <v>842</v>
      </c>
      <c r="B843" t="s">
        <v>346</v>
      </c>
      <c r="C843" t="s">
        <v>1645</v>
      </c>
      <c r="D843" t="s">
        <v>1641</v>
      </c>
      <c r="E843" t="s">
        <v>1316</v>
      </c>
      <c r="J843" t="s">
        <v>1480</v>
      </c>
      <c r="K843">
        <v>0</v>
      </c>
      <c r="N843">
        <v>842</v>
      </c>
      <c r="O843" t="str">
        <f>_xlfn.XLOOKUP(Table4[[#This Row],[id]],VALINA[id],VALINA[name])</f>
        <v>North Cape</v>
      </c>
      <c r="P843">
        <f>_xlfn.XLOOKUP(Table4[[#This Row],[id]],prov_color!A:A,prov_color!C:C)</f>
        <v>190</v>
      </c>
    </row>
    <row r="844" spans="1:16" hidden="1" x14ac:dyDescent="0.25">
      <c r="A844">
        <v>843</v>
      </c>
      <c r="B844" t="s">
        <v>346</v>
      </c>
      <c r="C844" t="s">
        <v>1645</v>
      </c>
      <c r="D844" t="s">
        <v>1641</v>
      </c>
      <c r="E844" t="s">
        <v>1316</v>
      </c>
      <c r="G844" t="s">
        <v>16</v>
      </c>
      <c r="J844" t="s">
        <v>1322</v>
      </c>
      <c r="K844">
        <v>0</v>
      </c>
      <c r="N844">
        <v>843</v>
      </c>
      <c r="O844" t="str">
        <f>_xlfn.XLOOKUP(Table4[[#This Row],[id]],VALINA[id],VALINA[name])</f>
        <v>White Sea</v>
      </c>
      <c r="P844">
        <f>_xlfn.XLOOKUP(Table4[[#This Row],[id]],prov_color!A:A,prov_color!C:C)</f>
        <v>402</v>
      </c>
    </row>
    <row r="845" spans="1:16" hidden="1" x14ac:dyDescent="0.25">
      <c r="A845">
        <v>844</v>
      </c>
      <c r="B845" t="s">
        <v>653</v>
      </c>
      <c r="C845" t="s">
        <v>1646</v>
      </c>
      <c r="D845" t="s">
        <v>1641</v>
      </c>
      <c r="E845" t="s">
        <v>1316</v>
      </c>
      <c r="J845" t="s">
        <v>1368</v>
      </c>
      <c r="K845">
        <v>0</v>
      </c>
      <c r="N845">
        <v>844</v>
      </c>
      <c r="O845" t="str">
        <f>_xlfn.XLOOKUP(Table4[[#This Row],[id]],VALINA[id],VALINA[name])</f>
        <v>Bay of Ajan</v>
      </c>
      <c r="P845">
        <f>_xlfn.XLOOKUP(Table4[[#This Row],[id]],prov_color!A:A,prov_color!C:C)</f>
        <v>77</v>
      </c>
    </row>
    <row r="846" spans="1:16" hidden="1" x14ac:dyDescent="0.25">
      <c r="A846">
        <v>845</v>
      </c>
      <c r="B846" t="s">
        <v>653</v>
      </c>
      <c r="C846" t="s">
        <v>1646</v>
      </c>
      <c r="D846" t="s">
        <v>1641</v>
      </c>
      <c r="E846" t="s">
        <v>1316</v>
      </c>
      <c r="J846" t="s">
        <v>1369</v>
      </c>
      <c r="K846">
        <v>0</v>
      </c>
      <c r="N846">
        <v>845</v>
      </c>
      <c r="O846" t="str">
        <f>_xlfn.XLOOKUP(Table4[[#This Row],[id]],VALINA[id],VALINA[name])</f>
        <v>Bay of Magadan</v>
      </c>
      <c r="P846">
        <f>_xlfn.XLOOKUP(Table4[[#This Row],[id]],prov_color!A:A,prov_color!C:C)</f>
        <v>70</v>
      </c>
    </row>
    <row r="847" spans="1:16" hidden="1" x14ac:dyDescent="0.25">
      <c r="A847">
        <v>846</v>
      </c>
      <c r="B847" t="s">
        <v>653</v>
      </c>
      <c r="C847" t="s">
        <v>1646</v>
      </c>
      <c r="D847" t="s">
        <v>1641</v>
      </c>
      <c r="E847" t="s">
        <v>1316</v>
      </c>
      <c r="J847" t="s">
        <v>1370</v>
      </c>
      <c r="K847">
        <v>0</v>
      </c>
      <c r="N847">
        <v>846</v>
      </c>
      <c r="O847" t="str">
        <f>_xlfn.XLOOKUP(Table4[[#This Row],[id]],VALINA[id],VALINA[name])</f>
        <v>Gulf of kolyma</v>
      </c>
      <c r="P847">
        <f>_xlfn.XLOOKUP(Table4[[#This Row],[id]],prov_color!A:A,prov_color!C:C)</f>
        <v>82</v>
      </c>
    </row>
    <row r="848" spans="1:16" hidden="1" x14ac:dyDescent="0.25">
      <c r="A848">
        <v>847</v>
      </c>
      <c r="B848" t="s">
        <v>653</v>
      </c>
      <c r="C848" t="s">
        <v>1646</v>
      </c>
      <c r="D848" t="s">
        <v>1641</v>
      </c>
      <c r="E848" t="s">
        <v>1316</v>
      </c>
      <c r="J848" t="s">
        <v>1372</v>
      </c>
      <c r="K848">
        <v>0</v>
      </c>
      <c r="N848">
        <v>847</v>
      </c>
      <c r="O848" t="str">
        <f>_xlfn.XLOOKUP(Table4[[#This Row],[id]],VALINA[id],VALINA[name])</f>
        <v>Bay of Kamenskoie</v>
      </c>
      <c r="P848">
        <f>_xlfn.XLOOKUP(Table4[[#This Row],[id]],prov_color!A:A,prov_color!C:C)</f>
        <v>118</v>
      </c>
    </row>
    <row r="849" spans="1:16" hidden="1" x14ac:dyDescent="0.25">
      <c r="A849">
        <v>848</v>
      </c>
      <c r="B849" t="s">
        <v>653</v>
      </c>
      <c r="C849" t="s">
        <v>1646</v>
      </c>
      <c r="D849" t="s">
        <v>1641</v>
      </c>
      <c r="E849" t="s">
        <v>1316</v>
      </c>
      <c r="J849" t="s">
        <v>1371</v>
      </c>
      <c r="K849">
        <v>0</v>
      </c>
      <c r="N849">
        <v>848</v>
      </c>
      <c r="O849" t="str">
        <f>_xlfn.XLOOKUP(Table4[[#This Row],[id]],VALINA[id],VALINA[name])</f>
        <v>Coast of Kamchatska</v>
      </c>
      <c r="P849">
        <f>_xlfn.XLOOKUP(Table4[[#This Row],[id]],prov_color!A:A,prov_color!C:C)</f>
        <v>159</v>
      </c>
    </row>
    <row r="850" spans="1:16" hidden="1" x14ac:dyDescent="0.25">
      <c r="A850">
        <v>849</v>
      </c>
      <c r="B850" t="s">
        <v>653</v>
      </c>
      <c r="C850" t="s">
        <v>1646</v>
      </c>
      <c r="D850" t="s">
        <v>1641</v>
      </c>
      <c r="E850" t="s">
        <v>1316</v>
      </c>
      <c r="J850" t="s">
        <v>1373</v>
      </c>
      <c r="K850">
        <v>0</v>
      </c>
      <c r="N850">
        <v>849</v>
      </c>
      <c r="O850" t="str">
        <f>_xlfn.XLOOKUP(Table4[[#This Row],[id]],VALINA[id],VALINA[name])</f>
        <v>Cape of Kamchatska</v>
      </c>
      <c r="P850">
        <f>_xlfn.XLOOKUP(Table4[[#This Row],[id]],prov_color!A:A,prov_color!C:C)</f>
        <v>136</v>
      </c>
    </row>
    <row r="851" spans="1:16" hidden="1" x14ac:dyDescent="0.25">
      <c r="A851">
        <v>850</v>
      </c>
      <c r="B851" t="s">
        <v>653</v>
      </c>
      <c r="C851" t="s">
        <v>1646</v>
      </c>
      <c r="D851" t="s">
        <v>1641</v>
      </c>
      <c r="E851" t="s">
        <v>1316</v>
      </c>
      <c r="J851" t="s">
        <v>1740</v>
      </c>
      <c r="K851">
        <v>0</v>
      </c>
      <c r="N851">
        <v>850</v>
      </c>
      <c r="O851" t="str">
        <f>_xlfn.XLOOKUP(Table4[[#This Row],[id]],VALINA[id],VALINA[name])</f>
        <v>Komandorski Islands</v>
      </c>
      <c r="P851">
        <f>_xlfn.XLOOKUP(Table4[[#This Row],[id]],prov_color!A:A,prov_color!C:C)</f>
        <v>130</v>
      </c>
    </row>
    <row r="852" spans="1:16" hidden="1" x14ac:dyDescent="0.25">
      <c r="A852">
        <v>851</v>
      </c>
      <c r="B852" t="s">
        <v>653</v>
      </c>
      <c r="C852" t="s">
        <v>1646</v>
      </c>
      <c r="D852" t="s">
        <v>1641</v>
      </c>
      <c r="E852" t="s">
        <v>1316</v>
      </c>
      <c r="J852" t="s">
        <v>1741</v>
      </c>
      <c r="K852">
        <v>0</v>
      </c>
      <c r="N852">
        <v>851</v>
      </c>
      <c r="O852" t="str">
        <f>_xlfn.XLOOKUP(Table4[[#This Row],[id]],VALINA[id],VALINA[name])</f>
        <v>Bay of Uka</v>
      </c>
      <c r="P852">
        <f>_xlfn.XLOOKUP(Table4[[#This Row],[id]],prov_color!A:A,prov_color!C:C)</f>
        <v>123</v>
      </c>
    </row>
    <row r="853" spans="1:16" hidden="1" x14ac:dyDescent="0.25">
      <c r="A853">
        <v>852</v>
      </c>
      <c r="B853" t="s">
        <v>653</v>
      </c>
      <c r="C853" t="s">
        <v>1646</v>
      </c>
      <c r="D853" t="s">
        <v>1641</v>
      </c>
      <c r="E853" t="s">
        <v>1316</v>
      </c>
      <c r="J853" t="s">
        <v>1606</v>
      </c>
      <c r="K853">
        <v>0</v>
      </c>
      <c r="N853">
        <v>852</v>
      </c>
      <c r="O853" t="str">
        <f>_xlfn.XLOOKUP(Table4[[#This Row],[id]],VALINA[id],VALINA[name])</f>
        <v>Bay of Oljut</v>
      </c>
      <c r="P853">
        <f>_xlfn.XLOOKUP(Table4[[#This Row],[id]],prov_color!A:A,prov_color!C:C)</f>
        <v>120</v>
      </c>
    </row>
    <row r="854" spans="1:16" hidden="1" x14ac:dyDescent="0.25">
      <c r="A854">
        <v>853</v>
      </c>
      <c r="B854" t="s">
        <v>653</v>
      </c>
      <c r="C854" t="s">
        <v>1640</v>
      </c>
      <c r="D854" t="s">
        <v>1641</v>
      </c>
      <c r="E854" t="s">
        <v>1316</v>
      </c>
      <c r="J854" t="s">
        <v>1582</v>
      </c>
      <c r="K854">
        <v>0</v>
      </c>
      <c r="N854">
        <v>853</v>
      </c>
      <c r="O854" t="str">
        <f>_xlfn.XLOOKUP(Table4[[#This Row],[id]],VALINA[id],VALINA[name])</f>
        <v>Bay of Anadyr</v>
      </c>
      <c r="P854">
        <f>_xlfn.XLOOKUP(Table4[[#This Row],[id]],prov_color!A:A,prov_color!C:C)</f>
        <v>177</v>
      </c>
    </row>
    <row r="855" spans="1:16" hidden="1" x14ac:dyDescent="0.25">
      <c r="A855">
        <v>854</v>
      </c>
      <c r="B855" t="s">
        <v>653</v>
      </c>
      <c r="C855" t="s">
        <v>1640</v>
      </c>
      <c r="D855" t="s">
        <v>1641</v>
      </c>
      <c r="E855" t="s">
        <v>1316</v>
      </c>
      <c r="G855" t="s">
        <v>122</v>
      </c>
      <c r="J855" t="s">
        <v>1742</v>
      </c>
      <c r="N855">
        <v>0</v>
      </c>
      <c r="O855" t="str">
        <f>_xlfn.XLOOKUP(Table4[[#This Row],[id]],VALINA[id],VALINA[name])</f>
        <v>Western Aleutian Sea</v>
      </c>
      <c r="P855">
        <f>_xlfn.XLOOKUP(Table4[[#This Row],[id]],prov_color!A:A,prov_color!C:C)</f>
        <v>656</v>
      </c>
    </row>
    <row r="856" spans="1:16" hidden="1" x14ac:dyDescent="0.25">
      <c r="A856">
        <v>855</v>
      </c>
      <c r="B856" t="s">
        <v>653</v>
      </c>
      <c r="C856" t="s">
        <v>1640</v>
      </c>
      <c r="D856" t="s">
        <v>1641</v>
      </c>
      <c r="E856" t="s">
        <v>1316</v>
      </c>
      <c r="G856" t="s">
        <v>122</v>
      </c>
      <c r="J856" t="s">
        <v>1743</v>
      </c>
      <c r="N856">
        <v>0</v>
      </c>
      <c r="O856" t="str">
        <f>_xlfn.XLOOKUP(Table4[[#This Row],[id]],VALINA[id],VALINA[name])</f>
        <v>Central Aleutian Sea</v>
      </c>
      <c r="P856">
        <f>_xlfn.XLOOKUP(Table4[[#This Row],[id]],prov_color!A:A,prov_color!C:C)</f>
        <v>467</v>
      </c>
    </row>
    <row r="857" spans="1:16" hidden="1" x14ac:dyDescent="0.25">
      <c r="A857">
        <v>856</v>
      </c>
      <c r="B857" t="s">
        <v>11</v>
      </c>
      <c r="C857" t="s">
        <v>1640</v>
      </c>
      <c r="D857" t="s">
        <v>1641</v>
      </c>
      <c r="E857" t="s">
        <v>1316</v>
      </c>
      <c r="J857" t="s">
        <v>1744</v>
      </c>
      <c r="N857">
        <v>0</v>
      </c>
      <c r="O857" t="str">
        <f>_xlfn.XLOOKUP(Table4[[#This Row],[id]],VALINA[id],VALINA[name])</f>
        <v>South Aleutian Sea</v>
      </c>
      <c r="P857">
        <f>_xlfn.XLOOKUP(Table4[[#This Row],[id]],prov_color!A:A,prov_color!C:C)</f>
        <v>559</v>
      </c>
    </row>
    <row r="858" spans="1:16" hidden="1" x14ac:dyDescent="0.25">
      <c r="A858">
        <v>857</v>
      </c>
      <c r="B858" t="s">
        <v>11</v>
      </c>
      <c r="C858" t="s">
        <v>1642</v>
      </c>
      <c r="D858" t="s">
        <v>1641</v>
      </c>
      <c r="E858" t="s">
        <v>1316</v>
      </c>
      <c r="J858" t="s">
        <v>1745</v>
      </c>
      <c r="N858">
        <v>0</v>
      </c>
      <c r="O858" t="str">
        <f>_xlfn.XLOOKUP(Table4[[#This Row],[id]],VALINA[id],VALINA[name])</f>
        <v>Northwestern Pacific Ocean</v>
      </c>
      <c r="P858">
        <f>_xlfn.XLOOKUP(Table4[[#This Row],[id]],prov_color!A:A,prov_color!C:C)</f>
        <v>613</v>
      </c>
    </row>
    <row r="859" spans="1:16" hidden="1" x14ac:dyDescent="0.25">
      <c r="A859">
        <v>858</v>
      </c>
      <c r="B859" t="s">
        <v>11</v>
      </c>
      <c r="C859" t="s">
        <v>1642</v>
      </c>
      <c r="D859" t="s">
        <v>1641</v>
      </c>
      <c r="E859" t="s">
        <v>1316</v>
      </c>
      <c r="J859" t="s">
        <v>1746</v>
      </c>
      <c r="K859">
        <v>0</v>
      </c>
      <c r="N859">
        <v>858</v>
      </c>
      <c r="O859" t="str">
        <f>_xlfn.XLOOKUP(Table4[[#This Row],[id]],VALINA[id],VALINA[name])</f>
        <v>Northern Pacific Ocean</v>
      </c>
      <c r="P859">
        <f>_xlfn.XLOOKUP(Table4[[#This Row],[id]],prov_color!A:A,prov_color!C:C)</f>
        <v>533</v>
      </c>
    </row>
    <row r="860" spans="1:16" hidden="1" x14ac:dyDescent="0.25">
      <c r="A860">
        <v>859</v>
      </c>
      <c r="B860" t="s">
        <v>11</v>
      </c>
      <c r="C860" t="s">
        <v>1642</v>
      </c>
      <c r="D860" t="s">
        <v>1641</v>
      </c>
      <c r="E860" t="s">
        <v>1316</v>
      </c>
      <c r="J860" t="s">
        <v>1745</v>
      </c>
      <c r="N860">
        <v>0</v>
      </c>
      <c r="O860" t="str">
        <f>_xlfn.XLOOKUP(Table4[[#This Row],[id]],VALINA[id],VALINA[name])</f>
        <v>Northwestern Pacific Ocean</v>
      </c>
      <c r="P860">
        <f>_xlfn.XLOOKUP(Table4[[#This Row],[id]],prov_color!A:A,prov_color!C:C)</f>
        <v>574</v>
      </c>
    </row>
    <row r="861" spans="1:16" hidden="1" x14ac:dyDescent="0.25">
      <c r="A861">
        <v>860</v>
      </c>
      <c r="B861" t="s">
        <v>11</v>
      </c>
      <c r="C861" t="s">
        <v>1642</v>
      </c>
      <c r="D861" t="s">
        <v>1641</v>
      </c>
      <c r="E861" t="s">
        <v>1316</v>
      </c>
      <c r="J861" t="s">
        <v>1575</v>
      </c>
      <c r="K861">
        <v>0</v>
      </c>
      <c r="N861">
        <v>860</v>
      </c>
      <c r="O861" t="str">
        <f>_xlfn.XLOOKUP(Table4[[#This Row],[id]],VALINA[id],VALINA[name])</f>
        <v>Coast of Oregon</v>
      </c>
      <c r="P861">
        <f>_xlfn.XLOOKUP(Table4[[#This Row],[id]],prov_color!A:A,prov_color!C:C)</f>
        <v>253</v>
      </c>
    </row>
    <row r="862" spans="1:16" hidden="1" x14ac:dyDescent="0.25">
      <c r="A862">
        <v>861</v>
      </c>
      <c r="B862" t="s">
        <v>11</v>
      </c>
      <c r="C862" t="s">
        <v>1642</v>
      </c>
      <c r="D862" t="s">
        <v>1641</v>
      </c>
      <c r="E862" t="s">
        <v>1316</v>
      </c>
      <c r="J862" t="s">
        <v>1576</v>
      </c>
      <c r="K862">
        <v>0</v>
      </c>
      <c r="N862">
        <v>861</v>
      </c>
      <c r="O862" t="str">
        <f>_xlfn.XLOOKUP(Table4[[#This Row],[id]],VALINA[id],VALINA[name])</f>
        <v>Coast of Columbia</v>
      </c>
      <c r="P862">
        <f>_xlfn.XLOOKUP(Table4[[#This Row],[id]],prov_color!A:A,prov_color!C:C)</f>
        <v>256</v>
      </c>
    </row>
    <row r="863" spans="1:16" hidden="1" x14ac:dyDescent="0.25">
      <c r="A863">
        <v>862</v>
      </c>
      <c r="B863" t="s">
        <v>11</v>
      </c>
      <c r="C863" t="s">
        <v>1647</v>
      </c>
      <c r="D863" t="s">
        <v>1641</v>
      </c>
      <c r="E863" t="s">
        <v>1316</v>
      </c>
      <c r="J863" t="s">
        <v>1946</v>
      </c>
      <c r="K863">
        <v>0</v>
      </c>
      <c r="N863">
        <v>862</v>
      </c>
      <c r="O863" t="str">
        <f>_xlfn.XLOOKUP(Table4[[#This Row],[id]],VALINA[id],VALINA[name])</f>
        <v>Cheasapeake Bay</v>
      </c>
      <c r="P863">
        <f>_xlfn.XLOOKUP(Table4[[#This Row],[id]],prov_color!A:A,prov_color!C:C)</f>
        <v>109</v>
      </c>
    </row>
    <row r="864" spans="1:16" hidden="1" x14ac:dyDescent="0.25">
      <c r="A864">
        <v>863</v>
      </c>
      <c r="B864" t="s">
        <v>11</v>
      </c>
      <c r="C864" t="s">
        <v>1647</v>
      </c>
      <c r="D864" t="s">
        <v>1641</v>
      </c>
      <c r="E864" t="s">
        <v>1316</v>
      </c>
      <c r="J864" t="s">
        <v>1528</v>
      </c>
      <c r="K864">
        <v>0</v>
      </c>
      <c r="N864">
        <v>863</v>
      </c>
      <c r="O864" t="str">
        <f>_xlfn.XLOOKUP(Table4[[#This Row],[id]],VALINA[id],VALINA[name])</f>
        <v>Massachussetts Bay</v>
      </c>
      <c r="P864">
        <f>_xlfn.XLOOKUP(Table4[[#This Row],[id]],prov_color!A:A,prov_color!C:C)</f>
        <v>113</v>
      </c>
    </row>
    <row r="865" spans="1:16" hidden="1" x14ac:dyDescent="0.25">
      <c r="A865">
        <v>864</v>
      </c>
      <c r="B865" t="s">
        <v>11</v>
      </c>
      <c r="C865" t="s">
        <v>1643</v>
      </c>
      <c r="D865" t="s">
        <v>1641</v>
      </c>
      <c r="E865" t="s">
        <v>1316</v>
      </c>
      <c r="J865" t="s">
        <v>1749</v>
      </c>
      <c r="K865">
        <v>0</v>
      </c>
      <c r="N865">
        <v>864</v>
      </c>
      <c r="O865" t="str">
        <f>_xlfn.XLOOKUP(Table4[[#This Row],[id]],VALINA[id],VALINA[name])</f>
        <v>Bay of Fundy</v>
      </c>
      <c r="P865">
        <f>_xlfn.XLOOKUP(Table4[[#This Row],[id]],prov_color!A:A,prov_color!C:C)</f>
        <v>211</v>
      </c>
    </row>
    <row r="866" spans="1:16" hidden="1" x14ac:dyDescent="0.25">
      <c r="A866">
        <v>865</v>
      </c>
      <c r="B866" t="s">
        <v>11</v>
      </c>
      <c r="C866" t="s">
        <v>1643</v>
      </c>
      <c r="D866" t="s">
        <v>1641</v>
      </c>
      <c r="E866" t="s">
        <v>1316</v>
      </c>
      <c r="J866" t="s">
        <v>1431</v>
      </c>
      <c r="K866">
        <v>0</v>
      </c>
      <c r="N866">
        <v>865</v>
      </c>
      <c r="O866" t="str">
        <f>_xlfn.XLOOKUP(Table4[[#This Row],[id]],VALINA[id],VALINA[name])</f>
        <v>Newfoundland Banks</v>
      </c>
      <c r="P866">
        <f>_xlfn.XLOOKUP(Table4[[#This Row],[id]],prov_color!A:A,prov_color!C:C)</f>
        <v>172</v>
      </c>
    </row>
    <row r="867" spans="1:16" hidden="1" x14ac:dyDescent="0.25">
      <c r="A867">
        <v>866</v>
      </c>
      <c r="B867" t="s">
        <v>11</v>
      </c>
      <c r="C867" t="s">
        <v>1648</v>
      </c>
      <c r="D867" t="s">
        <v>1641</v>
      </c>
      <c r="E867" t="s">
        <v>1316</v>
      </c>
      <c r="J867" t="s">
        <v>1434</v>
      </c>
      <c r="K867">
        <v>0</v>
      </c>
      <c r="N867">
        <v>866</v>
      </c>
      <c r="O867" t="str">
        <f>_xlfn.XLOOKUP(Table4[[#This Row],[id]],VALINA[id],VALINA[name])</f>
        <v>Greenland Sea</v>
      </c>
      <c r="P867">
        <f>_xlfn.XLOOKUP(Table4[[#This Row],[id]],prov_color!A:A,prov_color!C:C)</f>
        <v>576</v>
      </c>
    </row>
    <row r="868" spans="1:16" hidden="1" x14ac:dyDescent="0.25">
      <c r="A868">
        <v>867</v>
      </c>
      <c r="B868" t="s">
        <v>346</v>
      </c>
      <c r="C868" t="s">
        <v>1648</v>
      </c>
      <c r="D868" t="s">
        <v>1641</v>
      </c>
      <c r="E868" t="s">
        <v>1316</v>
      </c>
      <c r="J868" t="s">
        <v>1947</v>
      </c>
      <c r="N868">
        <v>0</v>
      </c>
      <c r="O868" t="str">
        <f>_xlfn.XLOOKUP(Table4[[#This Row],[id]],VALINA[id],VALINA[name])</f>
        <v>Western Icelandic Sea</v>
      </c>
      <c r="P868">
        <f>_xlfn.XLOOKUP(Table4[[#This Row],[id]],prov_color!A:A,prov_color!C:C)</f>
        <v>658</v>
      </c>
    </row>
    <row r="869" spans="1:16" hidden="1" x14ac:dyDescent="0.25">
      <c r="A869">
        <v>868</v>
      </c>
      <c r="B869" t="s">
        <v>346</v>
      </c>
      <c r="C869" t="s">
        <v>1648</v>
      </c>
      <c r="D869" t="s">
        <v>1641</v>
      </c>
      <c r="E869" t="s">
        <v>1316</v>
      </c>
      <c r="J869" t="s">
        <v>1488</v>
      </c>
      <c r="K869">
        <v>0</v>
      </c>
      <c r="N869">
        <v>868</v>
      </c>
      <c r="O869" t="str">
        <f>_xlfn.XLOOKUP(Table4[[#This Row],[id]],VALINA[id],VALINA[name])</f>
        <v>South Icelandic Sea</v>
      </c>
      <c r="P869">
        <f>_xlfn.XLOOKUP(Table4[[#This Row],[id]],prov_color!A:A,prov_color!C:C)</f>
        <v>317</v>
      </c>
    </row>
    <row r="870" spans="1:16" hidden="1" x14ac:dyDescent="0.25">
      <c r="A870">
        <v>869</v>
      </c>
      <c r="B870" t="s">
        <v>346</v>
      </c>
      <c r="C870" t="s">
        <v>1649</v>
      </c>
      <c r="D870" t="s">
        <v>1641</v>
      </c>
      <c r="E870" t="s">
        <v>1316</v>
      </c>
      <c r="J870" t="s">
        <v>1482</v>
      </c>
      <c r="K870">
        <v>0</v>
      </c>
      <c r="N870">
        <v>869</v>
      </c>
      <c r="O870" t="str">
        <f>_xlfn.XLOOKUP(Table4[[#This Row],[id]],VALINA[id],VALINA[name])</f>
        <v>Faeroes</v>
      </c>
      <c r="P870">
        <f>_xlfn.XLOOKUP(Table4[[#This Row],[id]],prov_color!A:A,prov_color!C:C)</f>
        <v>219</v>
      </c>
    </row>
    <row r="871" spans="1:16" hidden="1" x14ac:dyDescent="0.25">
      <c r="A871">
        <v>870</v>
      </c>
      <c r="B871" t="s">
        <v>346</v>
      </c>
      <c r="C871" t="s">
        <v>1649</v>
      </c>
      <c r="D871" t="s">
        <v>1641</v>
      </c>
      <c r="E871" t="s">
        <v>1316</v>
      </c>
      <c r="J871" t="s">
        <v>1336</v>
      </c>
      <c r="K871">
        <v>0</v>
      </c>
      <c r="N871">
        <v>870</v>
      </c>
      <c r="O871" t="str">
        <f>_xlfn.XLOOKUP(Table4[[#This Row],[id]],VALINA[id],VALINA[name])</f>
        <v>Shetland Straits</v>
      </c>
      <c r="P871">
        <f>_xlfn.XLOOKUP(Table4[[#This Row],[id]],prov_color!A:A,prov_color!C:C)</f>
        <v>111</v>
      </c>
    </row>
    <row r="872" spans="1:16" hidden="1" x14ac:dyDescent="0.25">
      <c r="A872">
        <v>871</v>
      </c>
      <c r="B872" t="s">
        <v>346</v>
      </c>
      <c r="C872" t="s">
        <v>1649</v>
      </c>
      <c r="D872" t="s">
        <v>1641</v>
      </c>
      <c r="E872" t="s">
        <v>1316</v>
      </c>
      <c r="J872" t="s">
        <v>1159</v>
      </c>
      <c r="K872">
        <v>0</v>
      </c>
      <c r="N872">
        <v>871</v>
      </c>
      <c r="O872" t="str">
        <f>_xlfn.XLOOKUP(Table4[[#This Row],[id]],VALINA[id],VALINA[name])</f>
        <v>Shetlands</v>
      </c>
      <c r="P872">
        <f>_xlfn.XLOOKUP(Table4[[#This Row],[id]],prov_color!A:A,prov_color!C:C)</f>
        <v>136</v>
      </c>
    </row>
    <row r="873" spans="1:16" hidden="1" x14ac:dyDescent="0.25">
      <c r="A873">
        <v>872</v>
      </c>
      <c r="B873" t="s">
        <v>346</v>
      </c>
      <c r="C873" t="s">
        <v>1649</v>
      </c>
      <c r="D873" t="s">
        <v>1641</v>
      </c>
      <c r="E873" t="s">
        <v>1316</v>
      </c>
      <c r="J873" t="s">
        <v>1751</v>
      </c>
      <c r="K873">
        <v>0</v>
      </c>
      <c r="N873">
        <v>872</v>
      </c>
      <c r="O873" t="str">
        <f>_xlfn.XLOOKUP(Table4[[#This Row],[id]],VALINA[id],VALINA[name])</f>
        <v>Norwegian Sea</v>
      </c>
      <c r="P873">
        <f>_xlfn.XLOOKUP(Table4[[#This Row],[id]],prov_color!A:A,prov_color!C:C)</f>
        <v>203</v>
      </c>
    </row>
    <row r="874" spans="1:16" hidden="1" x14ac:dyDescent="0.25">
      <c r="A874">
        <v>873</v>
      </c>
      <c r="B874" t="s">
        <v>346</v>
      </c>
      <c r="C874" t="s">
        <v>1649</v>
      </c>
      <c r="D874" t="s">
        <v>1641</v>
      </c>
      <c r="E874" t="s">
        <v>1316</v>
      </c>
      <c r="J874" t="s">
        <v>1338</v>
      </c>
      <c r="K874">
        <v>0</v>
      </c>
      <c r="N874">
        <v>873</v>
      </c>
      <c r="O874" t="str">
        <f>_xlfn.XLOOKUP(Table4[[#This Row],[id]],VALINA[id],VALINA[name])</f>
        <v>Sea of Bergen</v>
      </c>
      <c r="P874">
        <f>_xlfn.XLOOKUP(Table4[[#This Row],[id]],prov_color!A:A,prov_color!C:C)</f>
        <v>69</v>
      </c>
    </row>
    <row r="875" spans="1:16" hidden="1" x14ac:dyDescent="0.25">
      <c r="A875">
        <v>874</v>
      </c>
      <c r="B875" t="s">
        <v>346</v>
      </c>
      <c r="C875" t="s">
        <v>1649</v>
      </c>
      <c r="D875" t="s">
        <v>1641</v>
      </c>
      <c r="E875" t="s">
        <v>1316</v>
      </c>
      <c r="G875" t="s">
        <v>16</v>
      </c>
      <c r="J875" t="s">
        <v>1326</v>
      </c>
      <c r="K875">
        <v>0</v>
      </c>
      <c r="N875">
        <v>874</v>
      </c>
      <c r="O875" t="str">
        <f>_xlfn.XLOOKUP(Table4[[#This Row],[id]],VALINA[id],VALINA[name])</f>
        <v>Sea of Stavanger</v>
      </c>
      <c r="P875">
        <f>_xlfn.XLOOKUP(Table4[[#This Row],[id]],prov_color!A:A,prov_color!C:C)</f>
        <v>66</v>
      </c>
    </row>
    <row r="876" spans="1:16" hidden="1" x14ac:dyDescent="0.25">
      <c r="A876">
        <v>875</v>
      </c>
      <c r="B876" t="s">
        <v>346</v>
      </c>
      <c r="C876" t="s">
        <v>1650</v>
      </c>
      <c r="D876" t="s">
        <v>1641</v>
      </c>
      <c r="E876" t="s">
        <v>1316</v>
      </c>
      <c r="G876" t="s">
        <v>26</v>
      </c>
      <c r="J876" t="s">
        <v>1317</v>
      </c>
      <c r="K876">
        <v>0</v>
      </c>
      <c r="N876">
        <v>875</v>
      </c>
      <c r="O876" t="str">
        <f>_xlfn.XLOOKUP(Table4[[#This Row],[id]],VALINA[id],VALINA[name])</f>
        <v>The Sund</v>
      </c>
      <c r="P876">
        <f>_xlfn.XLOOKUP(Table4[[#This Row],[id]],prov_color!A:A,prov_color!C:C)</f>
        <v>39</v>
      </c>
    </row>
    <row r="877" spans="1:16" hidden="1" x14ac:dyDescent="0.25">
      <c r="A877">
        <v>876</v>
      </c>
      <c r="B877" t="s">
        <v>346</v>
      </c>
      <c r="C877" t="s">
        <v>1650</v>
      </c>
      <c r="D877" t="s">
        <v>1641</v>
      </c>
      <c r="E877" t="s">
        <v>1316</v>
      </c>
      <c r="G877" t="s">
        <v>26</v>
      </c>
      <c r="J877" t="s">
        <v>1752</v>
      </c>
      <c r="K877">
        <v>0</v>
      </c>
      <c r="N877">
        <v>876</v>
      </c>
      <c r="O877" t="str">
        <f>_xlfn.XLOOKUP(Table4[[#This Row],[id]],VALINA[id],VALINA[name])</f>
        <v>Baltic Sea</v>
      </c>
      <c r="P877">
        <f>_xlfn.XLOOKUP(Table4[[#This Row],[id]],prov_color!A:A,prov_color!C:C)</f>
        <v>31</v>
      </c>
    </row>
    <row r="878" spans="1:16" hidden="1" x14ac:dyDescent="0.25">
      <c r="A878">
        <v>877</v>
      </c>
      <c r="B878" t="s">
        <v>346</v>
      </c>
      <c r="C878" t="s">
        <v>1650</v>
      </c>
      <c r="D878" t="s">
        <v>1641</v>
      </c>
      <c r="E878" t="s">
        <v>1316</v>
      </c>
      <c r="G878" t="s">
        <v>26</v>
      </c>
      <c r="J878" t="s">
        <v>1318</v>
      </c>
      <c r="K878">
        <v>0</v>
      </c>
      <c r="N878">
        <v>877</v>
      </c>
      <c r="O878" t="str">
        <f>_xlfn.XLOOKUP(Table4[[#This Row],[id]],VALINA[id],VALINA[name])</f>
        <v>Kalmar Strait</v>
      </c>
      <c r="P878">
        <f>_xlfn.XLOOKUP(Table4[[#This Row],[id]],prov_color!A:A,prov_color!C:C)</f>
        <v>49</v>
      </c>
    </row>
    <row r="879" spans="1:16" hidden="1" x14ac:dyDescent="0.25">
      <c r="A879">
        <v>878</v>
      </c>
      <c r="B879" t="s">
        <v>346</v>
      </c>
      <c r="C879" t="s">
        <v>1650</v>
      </c>
      <c r="D879" t="s">
        <v>1641</v>
      </c>
      <c r="E879" t="s">
        <v>1316</v>
      </c>
      <c r="G879" t="s">
        <v>122</v>
      </c>
      <c r="J879" t="s">
        <v>1319</v>
      </c>
      <c r="K879">
        <v>0</v>
      </c>
      <c r="N879">
        <v>878</v>
      </c>
      <c r="O879" t="str">
        <f>_xlfn.XLOOKUP(Table4[[#This Row],[id]],VALINA[id],VALINA[name])</f>
        <v>Gulf of Riga</v>
      </c>
      <c r="P879">
        <f>_xlfn.XLOOKUP(Table4[[#This Row],[id]],prov_color!A:A,prov_color!C:C)</f>
        <v>49</v>
      </c>
    </row>
    <row r="880" spans="1:16" hidden="1" x14ac:dyDescent="0.25">
      <c r="A880">
        <v>879</v>
      </c>
      <c r="B880" t="s">
        <v>346</v>
      </c>
      <c r="C880" t="s">
        <v>1650</v>
      </c>
      <c r="D880" t="s">
        <v>1641</v>
      </c>
      <c r="E880" t="s">
        <v>1316</v>
      </c>
      <c r="G880" t="s">
        <v>122</v>
      </c>
      <c r="J880" t="s">
        <v>1320</v>
      </c>
      <c r="K880">
        <v>0</v>
      </c>
      <c r="N880">
        <v>879</v>
      </c>
      <c r="O880" t="str">
        <f>_xlfn.XLOOKUP(Table4[[#This Row],[id]],VALINA[id],VALINA[name])</f>
        <v>Gulf of Finland</v>
      </c>
      <c r="P880">
        <f>_xlfn.XLOOKUP(Table4[[#This Row],[id]],prov_color!A:A,prov_color!C:C)</f>
        <v>19</v>
      </c>
    </row>
    <row r="881" spans="1:16" hidden="1" x14ac:dyDescent="0.25">
      <c r="A881">
        <v>880</v>
      </c>
      <c r="B881" t="s">
        <v>346</v>
      </c>
      <c r="C881" t="s">
        <v>1650</v>
      </c>
      <c r="D881" t="s">
        <v>1641</v>
      </c>
      <c r="E881" t="s">
        <v>1316</v>
      </c>
      <c r="G881" t="s">
        <v>122</v>
      </c>
      <c r="J881" t="s">
        <v>1753</v>
      </c>
      <c r="N881">
        <v>0</v>
      </c>
      <c r="O881" t="str">
        <f>_xlfn.XLOOKUP(Table4[[#This Row],[id]],VALINA[id],VALINA[name])</f>
        <v>�land Sea</v>
      </c>
      <c r="P881">
        <f>_xlfn.XLOOKUP(Table4[[#This Row],[id]],prov_color!A:A,prov_color!C:C)</f>
        <v>56</v>
      </c>
    </row>
    <row r="882" spans="1:16" hidden="1" x14ac:dyDescent="0.25">
      <c r="A882">
        <v>881</v>
      </c>
      <c r="B882" t="s">
        <v>346</v>
      </c>
      <c r="C882" t="s">
        <v>1650</v>
      </c>
      <c r="D882" t="s">
        <v>1641</v>
      </c>
      <c r="E882" t="s">
        <v>1316</v>
      </c>
      <c r="G882" t="s">
        <v>16</v>
      </c>
      <c r="J882" t="s">
        <v>1323</v>
      </c>
      <c r="K882">
        <v>0</v>
      </c>
      <c r="N882">
        <v>881</v>
      </c>
      <c r="O882" t="str">
        <f>_xlfn.XLOOKUP(Table4[[#This Row],[id]],VALINA[id],VALINA[name])</f>
        <v>Gulf of Turku</v>
      </c>
      <c r="P882">
        <f>_xlfn.XLOOKUP(Table4[[#This Row],[id]],prov_color!A:A,prov_color!C:C)</f>
        <v>35</v>
      </c>
    </row>
    <row r="883" spans="1:16" hidden="1" x14ac:dyDescent="0.25">
      <c r="A883">
        <v>882</v>
      </c>
      <c r="B883" t="s">
        <v>346</v>
      </c>
      <c r="C883" t="s">
        <v>1650</v>
      </c>
      <c r="D883" t="s">
        <v>1641</v>
      </c>
      <c r="E883" t="s">
        <v>1316</v>
      </c>
      <c r="G883" t="s">
        <v>16</v>
      </c>
      <c r="J883" t="s">
        <v>1324</v>
      </c>
      <c r="K883">
        <v>0</v>
      </c>
      <c r="N883">
        <v>882</v>
      </c>
      <c r="O883" t="str">
        <f>_xlfn.XLOOKUP(Table4[[#This Row],[id]],VALINA[id],VALINA[name])</f>
        <v>Gulf of Bothnia</v>
      </c>
      <c r="P883">
        <f>_xlfn.XLOOKUP(Table4[[#This Row],[id]],prov_color!A:A,prov_color!C:C)</f>
        <v>31</v>
      </c>
    </row>
    <row r="884" spans="1:16" hidden="1" x14ac:dyDescent="0.25">
      <c r="A884">
        <v>883</v>
      </c>
      <c r="B884" t="s">
        <v>653</v>
      </c>
      <c r="C884" t="s">
        <v>1646</v>
      </c>
      <c r="D884" t="s">
        <v>1641</v>
      </c>
      <c r="E884" t="s">
        <v>1316</v>
      </c>
      <c r="J884" t="s">
        <v>1367</v>
      </c>
      <c r="K884">
        <v>0</v>
      </c>
      <c r="N884">
        <v>883</v>
      </c>
      <c r="O884" t="str">
        <f>_xlfn.XLOOKUP(Table4[[#This Row],[id]],VALINA[id],VALINA[name])</f>
        <v>Amur Delta</v>
      </c>
      <c r="P884">
        <f>_xlfn.XLOOKUP(Table4[[#This Row],[id]],prov_color!A:A,prov_color!C:C)</f>
        <v>101</v>
      </c>
    </row>
    <row r="885" spans="1:16" hidden="1" x14ac:dyDescent="0.25">
      <c r="A885">
        <v>884</v>
      </c>
      <c r="B885" t="s">
        <v>653</v>
      </c>
      <c r="C885" t="s">
        <v>1646</v>
      </c>
      <c r="D885" t="s">
        <v>1641</v>
      </c>
      <c r="E885" t="s">
        <v>1316</v>
      </c>
      <c r="J885" t="s">
        <v>1754</v>
      </c>
      <c r="K885">
        <v>0</v>
      </c>
      <c r="N885">
        <v>884</v>
      </c>
      <c r="O885" t="str">
        <f>_xlfn.XLOOKUP(Table4[[#This Row],[id]],VALINA[id],VALINA[name])</f>
        <v>Okhotsk Sea</v>
      </c>
      <c r="P885">
        <f>_xlfn.XLOOKUP(Table4[[#This Row],[id]],prov_color!A:A,prov_color!C:C)</f>
        <v>93</v>
      </c>
    </row>
    <row r="886" spans="1:16" hidden="1" x14ac:dyDescent="0.25">
      <c r="A886">
        <v>885</v>
      </c>
      <c r="B886" t="s">
        <v>653</v>
      </c>
      <c r="C886" t="s">
        <v>1651</v>
      </c>
      <c r="D886" t="s">
        <v>1641</v>
      </c>
      <c r="E886" t="s">
        <v>1316</v>
      </c>
      <c r="J886" t="s">
        <v>1374</v>
      </c>
      <c r="K886">
        <v>0</v>
      </c>
      <c r="N886">
        <v>885</v>
      </c>
      <c r="O886" t="str">
        <f>_xlfn.XLOOKUP(Table4[[#This Row],[id]],VALINA[id],VALINA[name])</f>
        <v>Coast of Sakhalin</v>
      </c>
      <c r="P886">
        <f>_xlfn.XLOOKUP(Table4[[#This Row],[id]],prov_color!A:A,prov_color!C:C)</f>
        <v>223</v>
      </c>
    </row>
    <row r="887" spans="1:16" hidden="1" x14ac:dyDescent="0.25">
      <c r="A887">
        <v>886</v>
      </c>
      <c r="B887" t="s">
        <v>653</v>
      </c>
      <c r="C887" t="s">
        <v>1651</v>
      </c>
      <c r="D887" t="s">
        <v>1641</v>
      </c>
      <c r="E887" t="s">
        <v>1316</v>
      </c>
      <c r="J887" t="s">
        <v>1755</v>
      </c>
      <c r="K887">
        <v>0</v>
      </c>
      <c r="N887">
        <v>886</v>
      </c>
      <c r="O887" t="str">
        <f>_xlfn.XLOOKUP(Table4[[#This Row],[id]],VALINA[id],VALINA[name])</f>
        <v>Tatar Straits</v>
      </c>
      <c r="P887">
        <f>_xlfn.XLOOKUP(Table4[[#This Row],[id]],prov_color!A:A,prov_color!C:C)</f>
        <v>121</v>
      </c>
    </row>
    <row r="888" spans="1:16" hidden="1" x14ac:dyDescent="0.25">
      <c r="A888">
        <v>887</v>
      </c>
      <c r="B888" t="s">
        <v>653</v>
      </c>
      <c r="C888" t="s">
        <v>1651</v>
      </c>
      <c r="D888" t="s">
        <v>1641</v>
      </c>
      <c r="E888" t="s">
        <v>1316</v>
      </c>
      <c r="J888" t="s">
        <v>1375</v>
      </c>
      <c r="K888">
        <v>0</v>
      </c>
      <c r="N888">
        <v>887</v>
      </c>
      <c r="O888" t="str">
        <f>_xlfn.XLOOKUP(Table4[[#This Row],[id]],VALINA[id],VALINA[name])</f>
        <v>Soya Strait</v>
      </c>
      <c r="P888">
        <f>_xlfn.XLOOKUP(Table4[[#This Row],[id]],prov_color!A:A,prov_color!C:C)</f>
        <v>144</v>
      </c>
    </row>
    <row r="889" spans="1:16" hidden="1" x14ac:dyDescent="0.25">
      <c r="A889">
        <v>888</v>
      </c>
      <c r="B889" t="s">
        <v>653</v>
      </c>
      <c r="C889" t="s">
        <v>1651</v>
      </c>
      <c r="D889" t="s">
        <v>1641</v>
      </c>
      <c r="E889" t="s">
        <v>1316</v>
      </c>
      <c r="J889" t="s">
        <v>1948</v>
      </c>
      <c r="K889">
        <v>0</v>
      </c>
      <c r="N889">
        <v>888</v>
      </c>
      <c r="O889" t="str">
        <f>_xlfn.XLOOKUP(Table4[[#This Row],[id]],VALINA[id],VALINA[name])</f>
        <v>The Kuriles</v>
      </c>
      <c r="P889">
        <f>_xlfn.XLOOKUP(Table4[[#This Row],[id]],prov_color!A:A,prov_color!C:C)</f>
        <v>408</v>
      </c>
    </row>
    <row r="890" spans="1:16" hidden="1" x14ac:dyDescent="0.25">
      <c r="A890">
        <v>889</v>
      </c>
      <c r="B890" t="s">
        <v>653</v>
      </c>
      <c r="C890" t="s">
        <v>1640</v>
      </c>
      <c r="D890" t="s">
        <v>1641</v>
      </c>
      <c r="E890" t="s">
        <v>1316</v>
      </c>
      <c r="J890" t="s">
        <v>1746</v>
      </c>
      <c r="N890">
        <v>0</v>
      </c>
      <c r="O890" t="str">
        <f>_xlfn.XLOOKUP(Table4[[#This Row],[id]],VALINA[id],VALINA[name])</f>
        <v>Northern Pacific Ocean</v>
      </c>
      <c r="P890">
        <f>_xlfn.XLOOKUP(Table4[[#This Row],[id]],prov_color!A:A,prov_color!C:C)</f>
        <v>439</v>
      </c>
    </row>
    <row r="891" spans="1:16" hidden="1" x14ac:dyDescent="0.25">
      <c r="A891">
        <v>890</v>
      </c>
      <c r="B891" t="s">
        <v>653</v>
      </c>
      <c r="C891" t="s">
        <v>1640</v>
      </c>
      <c r="D891" t="s">
        <v>1641</v>
      </c>
      <c r="E891" t="s">
        <v>1316</v>
      </c>
      <c r="J891" t="s">
        <v>1746</v>
      </c>
      <c r="N891">
        <v>0</v>
      </c>
      <c r="O891" t="str">
        <f>_xlfn.XLOOKUP(Table4[[#This Row],[id]],VALINA[id],VALINA[name])</f>
        <v>Northern Pacific Ocean</v>
      </c>
      <c r="P891">
        <f>_xlfn.XLOOKUP(Table4[[#This Row],[id]],prov_color!A:A,prov_color!C:C)</f>
        <v>271</v>
      </c>
    </row>
    <row r="892" spans="1:16" hidden="1" x14ac:dyDescent="0.25">
      <c r="A892">
        <v>891</v>
      </c>
      <c r="B892" t="s">
        <v>653</v>
      </c>
      <c r="C892" t="s">
        <v>1640</v>
      </c>
      <c r="D892" t="s">
        <v>1641</v>
      </c>
      <c r="E892" t="s">
        <v>1316</v>
      </c>
      <c r="J892" t="s">
        <v>1746</v>
      </c>
      <c r="N892">
        <v>0</v>
      </c>
      <c r="O892" t="str">
        <f>_xlfn.XLOOKUP(Table4[[#This Row],[id]],VALINA[id],VALINA[name])</f>
        <v>Northern Pacific Ocean</v>
      </c>
      <c r="P892">
        <f>_xlfn.XLOOKUP(Table4[[#This Row],[id]],prov_color!A:A,prov_color!C:C)</f>
        <v>296</v>
      </c>
    </row>
    <row r="893" spans="1:16" hidden="1" x14ac:dyDescent="0.25">
      <c r="A893">
        <v>892</v>
      </c>
      <c r="B893" t="s">
        <v>653</v>
      </c>
      <c r="C893" t="s">
        <v>1640</v>
      </c>
      <c r="D893" t="s">
        <v>1641</v>
      </c>
      <c r="E893" t="s">
        <v>1316</v>
      </c>
      <c r="J893" t="s">
        <v>1746</v>
      </c>
      <c r="N893">
        <v>0</v>
      </c>
      <c r="O893" t="str">
        <f>_xlfn.XLOOKUP(Table4[[#This Row],[id]],VALINA[id],VALINA[name])</f>
        <v>Northern Pacific Ocean</v>
      </c>
      <c r="P893">
        <f>_xlfn.XLOOKUP(Table4[[#This Row],[id]],prov_color!A:A,prov_color!C:C)</f>
        <v>658</v>
      </c>
    </row>
    <row r="894" spans="1:16" hidden="1" x14ac:dyDescent="0.25">
      <c r="A894">
        <v>893</v>
      </c>
      <c r="B894" t="s">
        <v>653</v>
      </c>
      <c r="C894" t="s">
        <v>1640</v>
      </c>
      <c r="D894" t="s">
        <v>1641</v>
      </c>
      <c r="E894" t="s">
        <v>1316</v>
      </c>
      <c r="J894" t="s">
        <v>1746</v>
      </c>
      <c r="N894">
        <v>0</v>
      </c>
      <c r="O894" t="str">
        <f>_xlfn.XLOOKUP(Table4[[#This Row],[id]],VALINA[id],VALINA[name])</f>
        <v>Northern Pacific Ocean</v>
      </c>
      <c r="P894">
        <f>_xlfn.XLOOKUP(Table4[[#This Row],[id]],prov_color!A:A,prov_color!C:C)</f>
        <v>668</v>
      </c>
    </row>
    <row r="895" spans="1:16" hidden="1" x14ac:dyDescent="0.25">
      <c r="A895">
        <v>894</v>
      </c>
      <c r="B895" t="s">
        <v>11</v>
      </c>
      <c r="C895" t="s">
        <v>1642</v>
      </c>
      <c r="D895" t="s">
        <v>1641</v>
      </c>
      <c r="E895" t="s">
        <v>1316</v>
      </c>
      <c r="J895" t="s">
        <v>1746</v>
      </c>
      <c r="N895">
        <v>0</v>
      </c>
      <c r="O895" t="str">
        <f>_xlfn.XLOOKUP(Table4[[#This Row],[id]],VALINA[id],VALINA[name])</f>
        <v>Northern Pacific Ocean</v>
      </c>
      <c r="P895">
        <f>_xlfn.XLOOKUP(Table4[[#This Row],[id]],prov_color!A:A,prov_color!C:C)</f>
        <v>339</v>
      </c>
    </row>
    <row r="896" spans="1:16" hidden="1" x14ac:dyDescent="0.25">
      <c r="A896">
        <v>895</v>
      </c>
      <c r="B896" t="s">
        <v>11</v>
      </c>
      <c r="C896" t="s">
        <v>1642</v>
      </c>
      <c r="D896" t="s">
        <v>1641</v>
      </c>
      <c r="E896" t="s">
        <v>1316</v>
      </c>
      <c r="J896" t="s">
        <v>1746</v>
      </c>
      <c r="N896">
        <v>0</v>
      </c>
      <c r="O896" t="str">
        <f>_xlfn.XLOOKUP(Table4[[#This Row],[id]],VALINA[id],VALINA[name])</f>
        <v>Northern Pacific Ocean</v>
      </c>
      <c r="P896">
        <f>_xlfn.XLOOKUP(Table4[[#This Row],[id]],prov_color!A:A,prov_color!C:C)</f>
        <v>552</v>
      </c>
    </row>
    <row r="897" spans="1:16" hidden="1" x14ac:dyDescent="0.25">
      <c r="A897">
        <v>896</v>
      </c>
      <c r="B897" t="s">
        <v>11</v>
      </c>
      <c r="C897" t="s">
        <v>1642</v>
      </c>
      <c r="D897" t="s">
        <v>1641</v>
      </c>
      <c r="E897" t="s">
        <v>1316</v>
      </c>
      <c r="J897" t="s">
        <v>1746</v>
      </c>
      <c r="N897">
        <v>0</v>
      </c>
      <c r="O897" t="str">
        <f>_xlfn.XLOOKUP(Table4[[#This Row],[id]],VALINA[id],VALINA[name])</f>
        <v>Northern Pacific Ocean</v>
      </c>
      <c r="P897">
        <f>_xlfn.XLOOKUP(Table4[[#This Row],[id]],prov_color!A:A,prov_color!C:C)</f>
        <v>605</v>
      </c>
    </row>
    <row r="898" spans="1:16" hidden="1" x14ac:dyDescent="0.25">
      <c r="A898">
        <v>897</v>
      </c>
      <c r="B898" t="s">
        <v>11</v>
      </c>
      <c r="C898" t="s">
        <v>1642</v>
      </c>
      <c r="D898" t="s">
        <v>1641</v>
      </c>
      <c r="E898" t="s">
        <v>1316</v>
      </c>
      <c r="J898" t="s">
        <v>1574</v>
      </c>
      <c r="K898">
        <v>0</v>
      </c>
      <c r="N898">
        <v>897</v>
      </c>
      <c r="O898" t="str">
        <f>_xlfn.XLOOKUP(Table4[[#This Row],[id]],VALINA[id],VALINA[name])</f>
        <v>Santa Catalina Islands</v>
      </c>
      <c r="P898">
        <f>_xlfn.XLOOKUP(Table4[[#This Row],[id]],prov_color!A:A,prov_color!C:C)</f>
        <v>173</v>
      </c>
    </row>
    <row r="899" spans="1:16" hidden="1" x14ac:dyDescent="0.25">
      <c r="A899">
        <v>898</v>
      </c>
      <c r="B899" t="s">
        <v>11</v>
      </c>
      <c r="C899" t="s">
        <v>1652</v>
      </c>
      <c r="D899" t="s">
        <v>1641</v>
      </c>
      <c r="E899" t="s">
        <v>1316</v>
      </c>
      <c r="J899" t="s">
        <v>1746</v>
      </c>
      <c r="N899">
        <v>0</v>
      </c>
      <c r="O899" t="str">
        <f>_xlfn.XLOOKUP(Table4[[#This Row],[id]],VALINA[id],VALINA[name])</f>
        <v>Northern Pacific Ocean</v>
      </c>
      <c r="P899">
        <f>_xlfn.XLOOKUP(Table4[[#This Row],[id]],prov_color!A:A,prov_color!C:C)</f>
        <v>157</v>
      </c>
    </row>
    <row r="900" spans="1:16" hidden="1" x14ac:dyDescent="0.25">
      <c r="A900">
        <v>899</v>
      </c>
      <c r="B900" t="s">
        <v>11</v>
      </c>
      <c r="C900" t="s">
        <v>1652</v>
      </c>
      <c r="D900" t="s">
        <v>1641</v>
      </c>
      <c r="E900" t="s">
        <v>1316</v>
      </c>
      <c r="J900" t="s">
        <v>1573</v>
      </c>
      <c r="K900">
        <v>0</v>
      </c>
      <c r="N900">
        <v>899</v>
      </c>
      <c r="O900" t="str">
        <f>_xlfn.XLOOKUP(Table4[[#This Row],[id]],VALINA[id],VALINA[name])</f>
        <v>Coast of California</v>
      </c>
      <c r="P900">
        <f>_xlfn.XLOOKUP(Table4[[#This Row],[id]],prov_color!A:A,prov_color!C:C)</f>
        <v>203</v>
      </c>
    </row>
    <row r="901" spans="1:16" hidden="1" x14ac:dyDescent="0.25">
      <c r="A901">
        <v>900</v>
      </c>
      <c r="B901" t="s">
        <v>11</v>
      </c>
      <c r="C901" t="s">
        <v>1652</v>
      </c>
      <c r="D901" t="s">
        <v>1641</v>
      </c>
      <c r="E901" t="s">
        <v>1316</v>
      </c>
      <c r="J901" t="s">
        <v>1758</v>
      </c>
      <c r="K901">
        <v>0</v>
      </c>
      <c r="N901">
        <v>900</v>
      </c>
      <c r="O901" t="str">
        <f>_xlfn.XLOOKUP(Table4[[#This Row],[id]],VALINA[id],VALINA[name])</f>
        <v>Californian Gulf</v>
      </c>
      <c r="P901">
        <f>_xlfn.XLOOKUP(Table4[[#This Row],[id]],prov_color!A:A,prov_color!C:C)</f>
        <v>155</v>
      </c>
    </row>
    <row r="902" spans="1:16" hidden="1" x14ac:dyDescent="0.25">
      <c r="A902">
        <v>901</v>
      </c>
      <c r="B902" t="s">
        <v>11</v>
      </c>
      <c r="C902" t="s">
        <v>1652</v>
      </c>
      <c r="D902" t="s">
        <v>1641</v>
      </c>
      <c r="E902" t="s">
        <v>1316</v>
      </c>
      <c r="J902" t="s">
        <v>1572</v>
      </c>
      <c r="K902">
        <v>0</v>
      </c>
      <c r="N902">
        <v>901</v>
      </c>
      <c r="O902" t="str">
        <f>_xlfn.XLOOKUP(Table4[[#This Row],[id]],VALINA[id],VALINA[name])</f>
        <v>Mazatlan Bay</v>
      </c>
      <c r="P902">
        <f>_xlfn.XLOOKUP(Table4[[#This Row],[id]],prov_color!A:A,prov_color!C:C)</f>
        <v>210</v>
      </c>
    </row>
    <row r="903" spans="1:16" hidden="1" x14ac:dyDescent="0.25">
      <c r="A903">
        <v>902</v>
      </c>
      <c r="B903" t="s">
        <v>11</v>
      </c>
      <c r="C903" t="s">
        <v>1653</v>
      </c>
      <c r="D903" t="s">
        <v>1641</v>
      </c>
      <c r="E903" t="s">
        <v>1316</v>
      </c>
      <c r="J903" t="s">
        <v>1532</v>
      </c>
      <c r="K903">
        <v>0</v>
      </c>
      <c r="N903">
        <v>902</v>
      </c>
      <c r="O903" t="str">
        <f>_xlfn.XLOOKUP(Table4[[#This Row],[id]],VALINA[id],VALINA[name])</f>
        <v>Tampico Bay</v>
      </c>
      <c r="P903">
        <f>_xlfn.XLOOKUP(Table4[[#This Row],[id]],prov_color!A:A,prov_color!C:C)</f>
        <v>109</v>
      </c>
    </row>
    <row r="904" spans="1:16" hidden="1" x14ac:dyDescent="0.25">
      <c r="A904">
        <v>903</v>
      </c>
      <c r="B904" t="s">
        <v>11</v>
      </c>
      <c r="C904" t="s">
        <v>1653</v>
      </c>
      <c r="D904" t="s">
        <v>1641</v>
      </c>
      <c r="E904" t="s">
        <v>1316</v>
      </c>
      <c r="J904" t="s">
        <v>1533</v>
      </c>
      <c r="K904">
        <v>0</v>
      </c>
      <c r="N904">
        <v>903</v>
      </c>
      <c r="O904" t="str">
        <f>_xlfn.XLOOKUP(Table4[[#This Row],[id]],VALINA[id],VALINA[name])</f>
        <v>Yucatan Sea</v>
      </c>
      <c r="P904">
        <f>_xlfn.XLOOKUP(Table4[[#This Row],[id]],prov_color!A:A,prov_color!C:C)</f>
        <v>91</v>
      </c>
    </row>
    <row r="905" spans="1:16" hidden="1" x14ac:dyDescent="0.25">
      <c r="A905">
        <v>904</v>
      </c>
      <c r="B905" t="s">
        <v>11</v>
      </c>
      <c r="C905" t="s">
        <v>1653</v>
      </c>
      <c r="D905" t="s">
        <v>1641</v>
      </c>
      <c r="E905" t="s">
        <v>1316</v>
      </c>
      <c r="J905" t="s">
        <v>1534</v>
      </c>
      <c r="K905">
        <v>0</v>
      </c>
      <c r="N905">
        <v>904</v>
      </c>
      <c r="O905" t="str">
        <f>_xlfn.XLOOKUP(Table4[[#This Row],[id]],VALINA[id],VALINA[name])</f>
        <v>Gulf of Mexico</v>
      </c>
      <c r="P905">
        <f>_xlfn.XLOOKUP(Table4[[#This Row],[id]],prov_color!A:A,prov_color!C:C)</f>
        <v>164</v>
      </c>
    </row>
    <row r="906" spans="1:16" hidden="1" x14ac:dyDescent="0.25">
      <c r="A906">
        <v>905</v>
      </c>
      <c r="B906" t="s">
        <v>11</v>
      </c>
      <c r="C906" t="s">
        <v>1653</v>
      </c>
      <c r="D906" t="s">
        <v>1641</v>
      </c>
      <c r="E906" t="s">
        <v>1316</v>
      </c>
      <c r="J906" t="s">
        <v>1759</v>
      </c>
      <c r="K906">
        <v>0</v>
      </c>
      <c r="N906">
        <v>905</v>
      </c>
      <c r="O906" t="str">
        <f>_xlfn.XLOOKUP(Table4[[#This Row],[id]],VALINA[id],VALINA[name])</f>
        <v>Mississippi Bay</v>
      </c>
      <c r="P906">
        <f>_xlfn.XLOOKUP(Table4[[#This Row],[id]],prov_color!A:A,prov_color!C:C)</f>
        <v>94</v>
      </c>
    </row>
    <row r="907" spans="1:16" hidden="1" x14ac:dyDescent="0.25">
      <c r="A907">
        <v>906</v>
      </c>
      <c r="B907" t="s">
        <v>11</v>
      </c>
      <c r="C907" t="s">
        <v>1653</v>
      </c>
      <c r="D907" t="s">
        <v>1641</v>
      </c>
      <c r="E907" t="s">
        <v>1316</v>
      </c>
      <c r="J907" t="s">
        <v>1531</v>
      </c>
      <c r="K907">
        <v>0</v>
      </c>
      <c r="N907">
        <v>906</v>
      </c>
      <c r="O907" t="str">
        <f>_xlfn.XLOOKUP(Table4[[#This Row],[id]],VALINA[id],VALINA[name])</f>
        <v>Mobile Bay</v>
      </c>
      <c r="P907">
        <f>_xlfn.XLOOKUP(Table4[[#This Row],[id]],prov_color!A:A,prov_color!C:C)</f>
        <v>85</v>
      </c>
    </row>
    <row r="908" spans="1:16" hidden="1" x14ac:dyDescent="0.25">
      <c r="A908">
        <v>907</v>
      </c>
      <c r="B908" t="s">
        <v>11</v>
      </c>
      <c r="C908" t="s">
        <v>1647</v>
      </c>
      <c r="D908" t="s">
        <v>1641</v>
      </c>
      <c r="E908" t="s">
        <v>1316</v>
      </c>
      <c r="J908" t="s">
        <v>1760</v>
      </c>
      <c r="N908">
        <v>0</v>
      </c>
      <c r="O908" t="str">
        <f>_xlfn.XLOOKUP(Table4[[#This Row],[id]],VALINA[id],VALINA[name])</f>
        <v>Cape Canaveral</v>
      </c>
      <c r="P908">
        <f>_xlfn.XLOOKUP(Table4[[#This Row],[id]],prov_color!A:A,prov_color!C:C)</f>
        <v>65</v>
      </c>
    </row>
    <row r="909" spans="1:16" hidden="1" x14ac:dyDescent="0.25">
      <c r="A909">
        <v>908</v>
      </c>
      <c r="B909" t="s">
        <v>11</v>
      </c>
      <c r="C909" t="s">
        <v>1647</v>
      </c>
      <c r="D909" t="s">
        <v>1641</v>
      </c>
      <c r="E909" t="s">
        <v>1316</v>
      </c>
      <c r="J909" t="s">
        <v>1761</v>
      </c>
      <c r="K909">
        <v>0</v>
      </c>
      <c r="N909">
        <v>908</v>
      </c>
      <c r="O909" t="str">
        <f>_xlfn.XLOOKUP(Table4[[#This Row],[id]],VALINA[id],VALINA[name])</f>
        <v>Coast of Carolina</v>
      </c>
      <c r="P909">
        <f>_xlfn.XLOOKUP(Table4[[#This Row],[id]],prov_color!A:A,prov_color!C:C)</f>
        <v>128</v>
      </c>
    </row>
    <row r="910" spans="1:16" hidden="1" x14ac:dyDescent="0.25">
      <c r="A910">
        <v>909</v>
      </c>
      <c r="B910" t="s">
        <v>11</v>
      </c>
      <c r="C910" t="s">
        <v>1647</v>
      </c>
      <c r="D910" t="s">
        <v>1641</v>
      </c>
      <c r="E910" t="s">
        <v>1316</v>
      </c>
      <c r="J910" t="s">
        <v>1529</v>
      </c>
      <c r="K910">
        <v>0</v>
      </c>
      <c r="N910">
        <v>909</v>
      </c>
      <c r="O910" t="str">
        <f>_xlfn.XLOOKUP(Table4[[#This Row],[id]],VALINA[id],VALINA[name])</f>
        <v>Cape Hatteras</v>
      </c>
      <c r="P910">
        <f>_xlfn.XLOOKUP(Table4[[#This Row],[id]],prov_color!A:A,prov_color!C:C)</f>
        <v>78</v>
      </c>
    </row>
    <row r="911" spans="1:16" hidden="1" x14ac:dyDescent="0.25">
      <c r="A911">
        <v>910</v>
      </c>
      <c r="B911" t="s">
        <v>11</v>
      </c>
      <c r="C911" t="s">
        <v>1647</v>
      </c>
      <c r="D911" t="s">
        <v>1641</v>
      </c>
      <c r="E911" t="s">
        <v>1316</v>
      </c>
      <c r="J911" t="s">
        <v>1762</v>
      </c>
      <c r="K911">
        <v>0</v>
      </c>
      <c r="N911">
        <v>910</v>
      </c>
      <c r="O911" t="str">
        <f>_xlfn.XLOOKUP(Table4[[#This Row],[id]],VALINA[id],VALINA[name])</f>
        <v>Bermuda Triangle</v>
      </c>
      <c r="P911">
        <f>_xlfn.XLOOKUP(Table4[[#This Row],[id]],prov_color!A:A,prov_color!C:C)</f>
        <v>221</v>
      </c>
    </row>
    <row r="912" spans="1:16" hidden="1" x14ac:dyDescent="0.25">
      <c r="A912">
        <v>911</v>
      </c>
      <c r="B912" t="s">
        <v>11</v>
      </c>
      <c r="C912" t="s">
        <v>1647</v>
      </c>
      <c r="D912" t="s">
        <v>1641</v>
      </c>
      <c r="E912" t="s">
        <v>1316</v>
      </c>
      <c r="J912" t="s">
        <v>1764</v>
      </c>
      <c r="K912">
        <v>0</v>
      </c>
      <c r="N912">
        <v>911</v>
      </c>
      <c r="O912" t="str">
        <f>_xlfn.XLOOKUP(Table4[[#This Row],[id]],VALINA[id],VALINA[name])</f>
        <v>Northern Atlantic Ocean</v>
      </c>
      <c r="P912">
        <f>_xlfn.XLOOKUP(Table4[[#This Row],[id]],prov_color!A:A,prov_color!C:C)</f>
        <v>349</v>
      </c>
    </row>
    <row r="913" spans="1:16" hidden="1" x14ac:dyDescent="0.25">
      <c r="A913">
        <v>912</v>
      </c>
      <c r="B913" t="s">
        <v>11</v>
      </c>
      <c r="C913" t="s">
        <v>1647</v>
      </c>
      <c r="D913" t="s">
        <v>1641</v>
      </c>
      <c r="E913" t="s">
        <v>1316</v>
      </c>
      <c r="J913" t="s">
        <v>1436</v>
      </c>
      <c r="K913">
        <v>0</v>
      </c>
      <c r="N913">
        <v>912</v>
      </c>
      <c r="O913" t="str">
        <f>_xlfn.XLOOKUP(Table4[[#This Row],[id]],VALINA[id],VALINA[name])</f>
        <v>The Bermudas</v>
      </c>
      <c r="P913">
        <f>_xlfn.XLOOKUP(Table4[[#This Row],[id]],prov_color!A:A,prov_color!C:C)</f>
        <v>259</v>
      </c>
    </row>
    <row r="914" spans="1:16" hidden="1" x14ac:dyDescent="0.25">
      <c r="A914">
        <v>913</v>
      </c>
      <c r="B914" t="s">
        <v>11</v>
      </c>
      <c r="C914" t="s">
        <v>1647</v>
      </c>
      <c r="D914" t="s">
        <v>1641</v>
      </c>
      <c r="E914" t="s">
        <v>1316</v>
      </c>
      <c r="J914" t="s">
        <v>1764</v>
      </c>
      <c r="N914">
        <v>0</v>
      </c>
      <c r="O914" t="str">
        <f>_xlfn.XLOOKUP(Table4[[#This Row],[id]],VALINA[id],VALINA[name])</f>
        <v>Northern Atlantic Ocean</v>
      </c>
      <c r="P914">
        <f>_xlfn.XLOOKUP(Table4[[#This Row],[id]],prov_color!A:A,prov_color!C:C)</f>
        <v>474</v>
      </c>
    </row>
    <row r="915" spans="1:16" hidden="1" x14ac:dyDescent="0.25">
      <c r="A915">
        <v>914</v>
      </c>
      <c r="B915" t="s">
        <v>11</v>
      </c>
      <c r="C915" t="s">
        <v>1648</v>
      </c>
      <c r="D915" t="s">
        <v>1641</v>
      </c>
      <c r="E915" t="s">
        <v>1316</v>
      </c>
      <c r="J915" t="s">
        <v>1764</v>
      </c>
      <c r="N915">
        <v>0</v>
      </c>
      <c r="O915" t="str">
        <f>_xlfn.XLOOKUP(Table4[[#This Row],[id]],VALINA[id],VALINA[name])</f>
        <v>Northern Atlantic Ocean</v>
      </c>
      <c r="P915">
        <f>_xlfn.XLOOKUP(Table4[[#This Row],[id]],prov_color!A:A,prov_color!C:C)</f>
        <v>598</v>
      </c>
    </row>
    <row r="916" spans="1:16" hidden="1" x14ac:dyDescent="0.25">
      <c r="A916">
        <v>915</v>
      </c>
      <c r="B916" t="s">
        <v>11</v>
      </c>
      <c r="C916" t="s">
        <v>1648</v>
      </c>
      <c r="D916" t="s">
        <v>1641</v>
      </c>
      <c r="E916" t="s">
        <v>1316</v>
      </c>
      <c r="J916" t="s">
        <v>1764</v>
      </c>
      <c r="N916">
        <v>0</v>
      </c>
      <c r="O916" t="str">
        <f>_xlfn.XLOOKUP(Table4[[#This Row],[id]],VALINA[id],VALINA[name])</f>
        <v>Northern Atlantic Ocean</v>
      </c>
      <c r="P916">
        <f>_xlfn.XLOOKUP(Table4[[#This Row],[id]],prov_color!A:A,prov_color!C:C)</f>
        <v>657</v>
      </c>
    </row>
    <row r="917" spans="1:16" hidden="1" x14ac:dyDescent="0.25">
      <c r="A917">
        <v>916</v>
      </c>
      <c r="B917" t="s">
        <v>346</v>
      </c>
      <c r="C917" t="s">
        <v>1648</v>
      </c>
      <c r="D917" t="s">
        <v>1641</v>
      </c>
      <c r="E917" t="s">
        <v>1316</v>
      </c>
      <c r="J917" t="s">
        <v>1764</v>
      </c>
      <c r="N917">
        <v>0</v>
      </c>
      <c r="O917" t="str">
        <f>_xlfn.XLOOKUP(Table4[[#This Row],[id]],VALINA[id],VALINA[name])</f>
        <v>Northern Atlantic Ocean</v>
      </c>
      <c r="P917">
        <f>_xlfn.XLOOKUP(Table4[[#This Row],[id]],prov_color!A:A,prov_color!C:C)</f>
        <v>463</v>
      </c>
    </row>
    <row r="918" spans="1:16" hidden="1" x14ac:dyDescent="0.25">
      <c r="A918">
        <v>917</v>
      </c>
      <c r="B918" t="s">
        <v>346</v>
      </c>
      <c r="C918" t="s">
        <v>1648</v>
      </c>
      <c r="D918" t="s">
        <v>1641</v>
      </c>
      <c r="E918" t="s">
        <v>1316</v>
      </c>
      <c r="J918" t="s">
        <v>1764</v>
      </c>
      <c r="N918">
        <v>0</v>
      </c>
      <c r="O918" t="str">
        <f>_xlfn.XLOOKUP(Table4[[#This Row],[id]],VALINA[id],VALINA[name])</f>
        <v>Northern Atlantic Ocean</v>
      </c>
      <c r="P918">
        <f>_xlfn.XLOOKUP(Table4[[#This Row],[id]],prov_color!A:A,prov_color!C:C)</f>
        <v>259</v>
      </c>
    </row>
    <row r="919" spans="1:16" hidden="1" x14ac:dyDescent="0.25">
      <c r="A919">
        <v>918</v>
      </c>
      <c r="B919" t="s">
        <v>346</v>
      </c>
      <c r="C919" t="s">
        <v>1648</v>
      </c>
      <c r="D919" t="s">
        <v>1641</v>
      </c>
      <c r="E919" t="s">
        <v>1316</v>
      </c>
      <c r="J919" t="s">
        <v>1489</v>
      </c>
      <c r="K919">
        <v>0</v>
      </c>
      <c r="N919">
        <v>918</v>
      </c>
      <c r="O919" t="str">
        <f>_xlfn.XLOOKUP(Table4[[#This Row],[id]],VALINA[id],VALINA[name])</f>
        <v>Rockall</v>
      </c>
      <c r="P919">
        <f>_xlfn.XLOOKUP(Table4[[#This Row],[id]],prov_color!A:A,prov_color!C:C)</f>
        <v>402</v>
      </c>
    </row>
    <row r="920" spans="1:16" hidden="1" x14ac:dyDescent="0.25">
      <c r="A920">
        <v>919</v>
      </c>
      <c r="B920" t="s">
        <v>346</v>
      </c>
      <c r="C920" t="s">
        <v>1654</v>
      </c>
      <c r="D920" t="s">
        <v>1641</v>
      </c>
      <c r="E920" t="s">
        <v>1316</v>
      </c>
      <c r="J920" t="s">
        <v>1475</v>
      </c>
      <c r="K920">
        <v>0</v>
      </c>
      <c r="N920">
        <v>919</v>
      </c>
      <c r="O920" t="str">
        <f>_xlfn.XLOOKUP(Table4[[#This Row],[id]],VALINA[id],VALINA[name])</f>
        <v>Finisterre</v>
      </c>
      <c r="P920">
        <f>_xlfn.XLOOKUP(Table4[[#This Row],[id]],prov_color!A:A,prov_color!C:C)</f>
        <v>74</v>
      </c>
    </row>
    <row r="921" spans="1:16" hidden="1" x14ac:dyDescent="0.25">
      <c r="A921">
        <v>920</v>
      </c>
      <c r="B921" t="s">
        <v>346</v>
      </c>
      <c r="C921" t="s">
        <v>1654</v>
      </c>
      <c r="D921" t="s">
        <v>1641</v>
      </c>
      <c r="E921" t="s">
        <v>1316</v>
      </c>
      <c r="J921" t="s">
        <v>1476</v>
      </c>
      <c r="K921">
        <v>0</v>
      </c>
      <c r="N921">
        <v>920</v>
      </c>
      <c r="O921" t="str">
        <f>_xlfn.XLOOKUP(Table4[[#This Row],[id]],VALINA[id],VALINA[name])</f>
        <v>Cantabrian Sea</v>
      </c>
      <c r="P921">
        <f>_xlfn.XLOOKUP(Table4[[#This Row],[id]],prov_color!A:A,prov_color!C:C)</f>
        <v>46</v>
      </c>
    </row>
    <row r="922" spans="1:16" hidden="1" x14ac:dyDescent="0.25">
      <c r="A922">
        <v>921</v>
      </c>
      <c r="B922" t="s">
        <v>346</v>
      </c>
      <c r="C922" t="s">
        <v>1654</v>
      </c>
      <c r="D922" t="s">
        <v>1641</v>
      </c>
      <c r="E922" t="s">
        <v>1316</v>
      </c>
      <c r="J922" t="s">
        <v>1765</v>
      </c>
      <c r="N922">
        <v>0</v>
      </c>
      <c r="O922" t="str">
        <f>_xlfn.XLOOKUP(Table4[[#This Row],[id]],VALINA[id],VALINA[name])</f>
        <v>C�te d'Argent</v>
      </c>
      <c r="P922">
        <f>_xlfn.XLOOKUP(Table4[[#This Row],[id]],prov_color!A:A,prov_color!C:C)</f>
        <v>37</v>
      </c>
    </row>
    <row r="923" spans="1:16" hidden="1" x14ac:dyDescent="0.25">
      <c r="A923">
        <v>922</v>
      </c>
      <c r="B923" t="s">
        <v>346</v>
      </c>
      <c r="C923" t="s">
        <v>1654</v>
      </c>
      <c r="D923" t="s">
        <v>1641</v>
      </c>
      <c r="E923" t="s">
        <v>1316</v>
      </c>
      <c r="J923" t="s">
        <v>1477</v>
      </c>
      <c r="K923">
        <v>0</v>
      </c>
      <c r="N923">
        <v>922</v>
      </c>
      <c r="O923" t="str">
        <f>_xlfn.XLOOKUP(Table4[[#This Row],[id]],VALINA[id],VALINA[name])</f>
        <v>Quiberon Bay</v>
      </c>
      <c r="P923">
        <f>_xlfn.XLOOKUP(Table4[[#This Row],[id]],prov_color!A:A,prov_color!C:C)</f>
        <v>37</v>
      </c>
    </row>
    <row r="924" spans="1:16" hidden="1" x14ac:dyDescent="0.25">
      <c r="A924">
        <v>923</v>
      </c>
      <c r="B924" t="s">
        <v>346</v>
      </c>
      <c r="C924" t="s">
        <v>1654</v>
      </c>
      <c r="D924" t="s">
        <v>1641</v>
      </c>
      <c r="E924" t="s">
        <v>1316</v>
      </c>
      <c r="J924" t="s">
        <v>1478</v>
      </c>
      <c r="K924">
        <v>0</v>
      </c>
      <c r="N924">
        <v>923</v>
      </c>
      <c r="O924" t="str">
        <f>_xlfn.XLOOKUP(Table4[[#This Row],[id]],VALINA[id],VALINA[name])</f>
        <v>Bay of Biscay</v>
      </c>
      <c r="P924">
        <f>_xlfn.XLOOKUP(Table4[[#This Row],[id]],prov_color!A:A,prov_color!C:C)</f>
        <v>70</v>
      </c>
    </row>
    <row r="925" spans="1:16" hidden="1" x14ac:dyDescent="0.25">
      <c r="A925">
        <v>924</v>
      </c>
      <c r="B925" t="s">
        <v>346</v>
      </c>
      <c r="C925" t="s">
        <v>1654</v>
      </c>
      <c r="D925" t="s">
        <v>1641</v>
      </c>
      <c r="E925" t="s">
        <v>1316</v>
      </c>
      <c r="J925" t="s">
        <v>1583</v>
      </c>
      <c r="K925">
        <v>0</v>
      </c>
      <c r="N925">
        <v>924</v>
      </c>
      <c r="O925" t="str">
        <f>_xlfn.XLOOKUP(Table4[[#This Row],[id]],VALINA[id],VALINA[name])</f>
        <v>Western Approaches</v>
      </c>
      <c r="P925">
        <f>_xlfn.XLOOKUP(Table4[[#This Row],[id]],prov_color!A:A,prov_color!C:C)</f>
        <v>133</v>
      </c>
    </row>
    <row r="926" spans="1:16" hidden="1" x14ac:dyDescent="0.25">
      <c r="A926">
        <v>925</v>
      </c>
      <c r="B926" t="s">
        <v>346</v>
      </c>
      <c r="C926" t="s">
        <v>1654</v>
      </c>
      <c r="D926" t="s">
        <v>1641</v>
      </c>
      <c r="E926" t="s">
        <v>1316</v>
      </c>
      <c r="J926" t="s">
        <v>1766</v>
      </c>
      <c r="N926">
        <v>0</v>
      </c>
      <c r="O926" t="str">
        <f>_xlfn.XLOOKUP(Table4[[#This Row],[id]],VALINA[id],VALINA[name])</f>
        <v>Coast of Brittany</v>
      </c>
      <c r="P926">
        <f>_xlfn.XLOOKUP(Table4[[#This Row],[id]],prov_color!A:A,prov_color!C:C)</f>
        <v>35</v>
      </c>
    </row>
    <row r="927" spans="1:16" hidden="1" x14ac:dyDescent="0.25">
      <c r="A927">
        <v>926</v>
      </c>
      <c r="B927" t="s">
        <v>346</v>
      </c>
      <c r="C927" t="s">
        <v>1654</v>
      </c>
      <c r="D927" t="s">
        <v>1641</v>
      </c>
      <c r="E927" t="s">
        <v>1316</v>
      </c>
      <c r="J927" t="s">
        <v>1333</v>
      </c>
      <c r="K927">
        <v>0</v>
      </c>
      <c r="N927">
        <v>926</v>
      </c>
      <c r="O927" t="str">
        <f>_xlfn.XLOOKUP(Table4[[#This Row],[id]],VALINA[id],VALINA[name])</f>
        <v>Land's End</v>
      </c>
      <c r="P927">
        <f>_xlfn.XLOOKUP(Table4[[#This Row],[id]],prov_color!A:A,prov_color!C:C)</f>
        <v>38</v>
      </c>
    </row>
    <row r="928" spans="1:16" hidden="1" x14ac:dyDescent="0.25">
      <c r="A928">
        <v>927</v>
      </c>
      <c r="B928" t="s">
        <v>346</v>
      </c>
      <c r="C928" t="s">
        <v>1649</v>
      </c>
      <c r="D928" t="s">
        <v>1641</v>
      </c>
      <c r="E928" t="s">
        <v>1316</v>
      </c>
      <c r="J928" t="s">
        <v>1484</v>
      </c>
      <c r="K928">
        <v>0</v>
      </c>
      <c r="N928">
        <v>927</v>
      </c>
      <c r="O928" t="str">
        <f>_xlfn.XLOOKUP(Table4[[#This Row],[id]],VALINA[id],VALINA[name])</f>
        <v>Bantry Bay</v>
      </c>
      <c r="P928">
        <f>_xlfn.XLOOKUP(Table4[[#This Row],[id]],prov_color!A:A,prov_color!C:C)</f>
        <v>96</v>
      </c>
    </row>
    <row r="929" spans="1:16" hidden="1" x14ac:dyDescent="0.25">
      <c r="A929">
        <v>928</v>
      </c>
      <c r="B929" t="s">
        <v>346</v>
      </c>
      <c r="C929" t="s">
        <v>1649</v>
      </c>
      <c r="D929" t="s">
        <v>1641</v>
      </c>
      <c r="E929" t="s">
        <v>1316</v>
      </c>
      <c r="J929" t="s">
        <v>1483</v>
      </c>
      <c r="K929">
        <v>0</v>
      </c>
      <c r="N929">
        <v>928</v>
      </c>
      <c r="O929" t="str">
        <f>_xlfn.XLOOKUP(Table4[[#This Row],[id]],VALINA[id],VALINA[name])</f>
        <v>Donegal Bay</v>
      </c>
      <c r="P929">
        <f>_xlfn.XLOOKUP(Table4[[#This Row],[id]],prov_color!A:A,prov_color!C:C)</f>
        <v>110</v>
      </c>
    </row>
    <row r="930" spans="1:16" hidden="1" x14ac:dyDescent="0.25">
      <c r="A930">
        <v>929</v>
      </c>
      <c r="B930" t="s">
        <v>346</v>
      </c>
      <c r="C930" t="s">
        <v>1649</v>
      </c>
      <c r="D930" t="s">
        <v>1641</v>
      </c>
      <c r="E930" t="s">
        <v>1316</v>
      </c>
      <c r="J930" t="s">
        <v>1334</v>
      </c>
      <c r="K930">
        <v>0</v>
      </c>
      <c r="N930">
        <v>929</v>
      </c>
      <c r="O930" t="str">
        <f>_xlfn.XLOOKUP(Table4[[#This Row],[id]],VALINA[id],VALINA[name])</f>
        <v>Irish Sea</v>
      </c>
      <c r="P930">
        <f>_xlfn.XLOOKUP(Table4[[#This Row],[id]],prov_color!A:A,prov_color!C:C)</f>
        <v>42</v>
      </c>
    </row>
    <row r="931" spans="1:16" hidden="1" x14ac:dyDescent="0.25">
      <c r="A931">
        <v>930</v>
      </c>
      <c r="B931" t="s">
        <v>346</v>
      </c>
      <c r="C931" t="s">
        <v>1649</v>
      </c>
      <c r="D931" t="s">
        <v>1641</v>
      </c>
      <c r="E931" t="s">
        <v>1316</v>
      </c>
      <c r="J931" t="s">
        <v>1335</v>
      </c>
      <c r="K931">
        <v>0</v>
      </c>
      <c r="N931">
        <v>930</v>
      </c>
      <c r="O931" t="str">
        <f>_xlfn.XLOOKUP(Table4[[#This Row],[id]],VALINA[id],VALINA[name])</f>
        <v>Hebrides</v>
      </c>
      <c r="P931">
        <f>_xlfn.XLOOKUP(Table4[[#This Row],[id]],prov_color!A:A,prov_color!C:C)</f>
        <v>86</v>
      </c>
    </row>
    <row r="932" spans="1:16" hidden="1" x14ac:dyDescent="0.25">
      <c r="A932">
        <v>931</v>
      </c>
      <c r="B932" t="s">
        <v>346</v>
      </c>
      <c r="C932" t="s">
        <v>1649</v>
      </c>
      <c r="D932" t="s">
        <v>1641</v>
      </c>
      <c r="E932" t="s">
        <v>1316</v>
      </c>
      <c r="J932" t="s">
        <v>1330</v>
      </c>
      <c r="K932">
        <v>0</v>
      </c>
      <c r="N932">
        <v>931</v>
      </c>
      <c r="O932" t="str">
        <f>_xlfn.XLOOKUP(Table4[[#This Row],[id]],VALINA[id],VALINA[name])</f>
        <v>Moray Firth</v>
      </c>
      <c r="P932">
        <f>_xlfn.XLOOKUP(Table4[[#This Row],[id]],prov_color!A:A,prov_color!C:C)</f>
        <v>60</v>
      </c>
    </row>
    <row r="933" spans="1:16" hidden="1" x14ac:dyDescent="0.25">
      <c r="A933">
        <v>932</v>
      </c>
      <c r="B933" t="s">
        <v>346</v>
      </c>
      <c r="C933" t="s">
        <v>1649</v>
      </c>
      <c r="D933" t="s">
        <v>1641</v>
      </c>
      <c r="E933" t="s">
        <v>1316</v>
      </c>
      <c r="J933" t="s">
        <v>1767</v>
      </c>
      <c r="N933">
        <v>0</v>
      </c>
      <c r="O933" t="str">
        <f>_xlfn.XLOOKUP(Table4[[#This Row],[id]],VALINA[id],VALINA[name])</f>
        <v>Firth of Forth</v>
      </c>
      <c r="P933">
        <f>_xlfn.XLOOKUP(Table4[[#This Row],[id]],prov_color!A:A,prov_color!C:C)</f>
        <v>37</v>
      </c>
    </row>
    <row r="934" spans="1:16" hidden="1" x14ac:dyDescent="0.25">
      <c r="A934">
        <v>933</v>
      </c>
      <c r="B934" t="s">
        <v>346</v>
      </c>
      <c r="C934" t="s">
        <v>1649</v>
      </c>
      <c r="D934" t="s">
        <v>1641</v>
      </c>
      <c r="E934" t="s">
        <v>1316</v>
      </c>
      <c r="J934" t="s">
        <v>1768</v>
      </c>
      <c r="K934">
        <v>0</v>
      </c>
      <c r="N934">
        <v>933</v>
      </c>
      <c r="O934" t="str">
        <f>_xlfn.XLOOKUP(Table4[[#This Row],[id]],VALINA[id],VALINA[name])</f>
        <v>The North Sea</v>
      </c>
      <c r="P934">
        <f>_xlfn.XLOOKUP(Table4[[#This Row],[id]],prov_color!A:A,prov_color!C:C)</f>
        <v>160</v>
      </c>
    </row>
    <row r="935" spans="1:16" hidden="1" x14ac:dyDescent="0.25">
      <c r="A935">
        <v>934</v>
      </c>
      <c r="B935" t="s">
        <v>346</v>
      </c>
      <c r="C935" t="s">
        <v>1649</v>
      </c>
      <c r="D935" t="s">
        <v>1641</v>
      </c>
      <c r="E935" t="s">
        <v>1316</v>
      </c>
      <c r="J935" t="s">
        <v>1329</v>
      </c>
      <c r="K935">
        <v>0</v>
      </c>
      <c r="N935">
        <v>934</v>
      </c>
      <c r="O935" t="str">
        <f>_xlfn.XLOOKUP(Table4[[#This Row],[id]],VALINA[id],VALINA[name])</f>
        <v>Tyne</v>
      </c>
      <c r="P935">
        <f>_xlfn.XLOOKUP(Table4[[#This Row],[id]],prov_color!A:A,prov_color!C:C)</f>
        <v>34</v>
      </c>
    </row>
    <row r="936" spans="1:16" hidden="1" x14ac:dyDescent="0.25">
      <c r="A936">
        <v>935</v>
      </c>
      <c r="B936" t="s">
        <v>346</v>
      </c>
      <c r="C936" t="s">
        <v>1649</v>
      </c>
      <c r="D936" t="s">
        <v>1641</v>
      </c>
      <c r="E936" t="s">
        <v>1316</v>
      </c>
      <c r="J936" t="s">
        <v>1769</v>
      </c>
      <c r="K936">
        <v>0</v>
      </c>
      <c r="N936">
        <v>935</v>
      </c>
      <c r="O936" t="str">
        <f>_xlfn.XLOOKUP(Table4[[#This Row],[id]],VALINA[id],VALINA[name])</f>
        <v>Dogger Bank</v>
      </c>
      <c r="P936">
        <f>_xlfn.XLOOKUP(Table4[[#This Row],[id]],prov_color!A:A,prov_color!C:C)</f>
        <v>46</v>
      </c>
    </row>
    <row r="937" spans="1:16" hidden="1" x14ac:dyDescent="0.25">
      <c r="A937">
        <v>936</v>
      </c>
      <c r="B937" t="s">
        <v>346</v>
      </c>
      <c r="C937" t="s">
        <v>1654</v>
      </c>
      <c r="D937" t="s">
        <v>1641</v>
      </c>
      <c r="E937" t="s">
        <v>1316</v>
      </c>
      <c r="J937" t="s">
        <v>1332</v>
      </c>
      <c r="K937">
        <v>0</v>
      </c>
      <c r="N937">
        <v>936</v>
      </c>
      <c r="O937" t="str">
        <f>_xlfn.XLOOKUP(Table4[[#This Row],[id]],VALINA[id],VALINA[name])</f>
        <v>The Channel</v>
      </c>
      <c r="P937">
        <f>_xlfn.XLOOKUP(Table4[[#This Row],[id]],prov_color!A:A,prov_color!C:C)</f>
        <v>29</v>
      </c>
    </row>
    <row r="938" spans="1:16" hidden="1" x14ac:dyDescent="0.25">
      <c r="A938">
        <v>937</v>
      </c>
      <c r="B938" t="s">
        <v>346</v>
      </c>
      <c r="C938" t="s">
        <v>1649</v>
      </c>
      <c r="D938" t="s">
        <v>1641</v>
      </c>
      <c r="E938" t="s">
        <v>1316</v>
      </c>
      <c r="J938" t="s">
        <v>1331</v>
      </c>
      <c r="K938">
        <v>0</v>
      </c>
      <c r="N938">
        <v>937</v>
      </c>
      <c r="O938" t="str">
        <f>_xlfn.XLOOKUP(Table4[[#This Row],[id]],VALINA[id],VALINA[name])</f>
        <v>Straits of Dover</v>
      </c>
      <c r="P938">
        <f>_xlfn.XLOOKUP(Table4[[#This Row],[id]],prov_color!A:A,prov_color!C:C)</f>
        <v>18</v>
      </c>
    </row>
    <row r="939" spans="1:16" hidden="1" x14ac:dyDescent="0.25">
      <c r="A939">
        <v>938</v>
      </c>
      <c r="B939" t="s">
        <v>346</v>
      </c>
      <c r="C939" t="s">
        <v>1649</v>
      </c>
      <c r="D939" t="s">
        <v>1641</v>
      </c>
      <c r="E939" t="s">
        <v>1316</v>
      </c>
      <c r="J939" t="s">
        <v>1328</v>
      </c>
      <c r="K939">
        <v>0</v>
      </c>
      <c r="N939">
        <v>938</v>
      </c>
      <c r="O939" t="str">
        <f>_xlfn.XLOOKUP(Table4[[#This Row],[id]],VALINA[id],VALINA[name])</f>
        <v>Coast of Holland</v>
      </c>
      <c r="P939">
        <f>_xlfn.XLOOKUP(Table4[[#This Row],[id]],prov_color!A:A,prov_color!C:C)</f>
        <v>46</v>
      </c>
    </row>
    <row r="940" spans="1:16" hidden="1" x14ac:dyDescent="0.25">
      <c r="A940">
        <v>939</v>
      </c>
      <c r="B940" t="s">
        <v>346</v>
      </c>
      <c r="C940" t="s">
        <v>1649</v>
      </c>
      <c r="D940" t="s">
        <v>1641</v>
      </c>
      <c r="E940" t="s">
        <v>1316</v>
      </c>
      <c r="J940" t="s">
        <v>1327</v>
      </c>
      <c r="K940">
        <v>0</v>
      </c>
      <c r="N940">
        <v>939</v>
      </c>
      <c r="O940" t="str">
        <f>_xlfn.XLOOKUP(Table4[[#This Row],[id]],VALINA[id],VALINA[name])</f>
        <v>German Bight</v>
      </c>
      <c r="P940">
        <f>_xlfn.XLOOKUP(Table4[[#This Row],[id]],prov_color!A:A,prov_color!C:C)</f>
        <v>37</v>
      </c>
    </row>
    <row r="941" spans="1:16" hidden="1" x14ac:dyDescent="0.25">
      <c r="A941">
        <v>940</v>
      </c>
      <c r="B941" t="s">
        <v>653</v>
      </c>
      <c r="C941" t="s">
        <v>1655</v>
      </c>
      <c r="D941" t="s">
        <v>1641</v>
      </c>
      <c r="E941" t="s">
        <v>1316</v>
      </c>
      <c r="J941" t="s">
        <v>1770</v>
      </c>
      <c r="K941">
        <v>0</v>
      </c>
      <c r="N941">
        <v>940</v>
      </c>
      <c r="O941" t="str">
        <f>_xlfn.XLOOKUP(Table4[[#This Row],[id]],VALINA[id],VALINA[name])</f>
        <v>Korea Bay</v>
      </c>
      <c r="P941">
        <f>_xlfn.XLOOKUP(Table4[[#This Row],[id]],prov_color!A:A,prov_color!C:C)</f>
        <v>97</v>
      </c>
    </row>
    <row r="942" spans="1:16" hidden="1" x14ac:dyDescent="0.25">
      <c r="A942">
        <v>941</v>
      </c>
      <c r="B942" t="s">
        <v>653</v>
      </c>
      <c r="C942" t="s">
        <v>1655</v>
      </c>
      <c r="D942" t="s">
        <v>1641</v>
      </c>
      <c r="E942" t="s">
        <v>1316</v>
      </c>
      <c r="J942" t="s">
        <v>1358</v>
      </c>
      <c r="K942">
        <v>0</v>
      </c>
      <c r="N942">
        <v>941</v>
      </c>
      <c r="O942" t="str">
        <f>_xlfn.XLOOKUP(Table4[[#This Row],[id]],VALINA[id],VALINA[name])</f>
        <v>Yellow Sea</v>
      </c>
      <c r="P942">
        <f>_xlfn.XLOOKUP(Table4[[#This Row],[id]],prov_color!A:A,prov_color!C:C)</f>
        <v>116</v>
      </c>
    </row>
    <row r="943" spans="1:16" hidden="1" x14ac:dyDescent="0.25">
      <c r="A943">
        <v>942</v>
      </c>
      <c r="B943" t="s">
        <v>653</v>
      </c>
      <c r="C943" t="s">
        <v>1651</v>
      </c>
      <c r="D943" t="s">
        <v>1641</v>
      </c>
      <c r="E943" t="s">
        <v>1316</v>
      </c>
      <c r="J943" t="s">
        <v>1359</v>
      </c>
      <c r="K943">
        <v>0</v>
      </c>
      <c r="N943">
        <v>942</v>
      </c>
      <c r="O943" t="str">
        <f>_xlfn.XLOOKUP(Table4[[#This Row],[id]],VALINA[id],VALINA[name])</f>
        <v>South Korean Sea</v>
      </c>
      <c r="P943">
        <f>_xlfn.XLOOKUP(Table4[[#This Row],[id]],prov_color!A:A,prov_color!C:C)</f>
        <v>81</v>
      </c>
    </row>
    <row r="944" spans="1:16" hidden="1" x14ac:dyDescent="0.25">
      <c r="A944">
        <v>943</v>
      </c>
      <c r="B944" t="s">
        <v>653</v>
      </c>
      <c r="C944" t="s">
        <v>1651</v>
      </c>
      <c r="D944" t="s">
        <v>1641</v>
      </c>
      <c r="E944" t="s">
        <v>1316</v>
      </c>
      <c r="J944" t="s">
        <v>1360</v>
      </c>
      <c r="K944">
        <v>0</v>
      </c>
      <c r="N944">
        <v>943</v>
      </c>
      <c r="O944" t="str">
        <f>_xlfn.XLOOKUP(Table4[[#This Row],[id]],VALINA[id],VALINA[name])</f>
        <v>North Korean Sea</v>
      </c>
      <c r="P944">
        <f>_xlfn.XLOOKUP(Table4[[#This Row],[id]],prov_color!A:A,prov_color!C:C)</f>
        <v>43</v>
      </c>
    </row>
    <row r="945" spans="1:16" hidden="1" x14ac:dyDescent="0.25">
      <c r="A945">
        <v>944</v>
      </c>
      <c r="B945" t="s">
        <v>653</v>
      </c>
      <c r="C945" t="s">
        <v>1651</v>
      </c>
      <c r="D945" t="s">
        <v>1641</v>
      </c>
      <c r="E945" t="s">
        <v>1316</v>
      </c>
      <c r="J945" t="s">
        <v>1771</v>
      </c>
      <c r="K945">
        <v>0</v>
      </c>
      <c r="N945">
        <v>944</v>
      </c>
      <c r="O945" t="str">
        <f>_xlfn.XLOOKUP(Table4[[#This Row],[id]],VALINA[id],VALINA[name])</f>
        <v>Tsushima Strait</v>
      </c>
      <c r="P945">
        <f>_xlfn.XLOOKUP(Table4[[#This Row],[id]],prov_color!A:A,prov_color!C:C)</f>
        <v>47</v>
      </c>
    </row>
    <row r="946" spans="1:16" hidden="1" x14ac:dyDescent="0.25">
      <c r="A946">
        <v>945</v>
      </c>
      <c r="B946" t="s">
        <v>653</v>
      </c>
      <c r="C946" t="s">
        <v>1651</v>
      </c>
      <c r="D946" t="s">
        <v>1641</v>
      </c>
      <c r="E946" t="s">
        <v>1316</v>
      </c>
      <c r="J946" t="s">
        <v>1362</v>
      </c>
      <c r="K946">
        <v>0</v>
      </c>
      <c r="N946">
        <v>945</v>
      </c>
      <c r="O946" t="str">
        <f>_xlfn.XLOOKUP(Table4[[#This Row],[id]],VALINA[id],VALINA[name])</f>
        <v>Sado Strait</v>
      </c>
      <c r="P946">
        <f>_xlfn.XLOOKUP(Table4[[#This Row],[id]],prov_color!A:A,prov_color!C:C)</f>
        <v>57</v>
      </c>
    </row>
    <row r="947" spans="1:16" hidden="1" x14ac:dyDescent="0.25">
      <c r="A947">
        <v>946</v>
      </c>
      <c r="B947" t="s">
        <v>653</v>
      </c>
      <c r="C947" t="s">
        <v>1651</v>
      </c>
      <c r="D947" t="s">
        <v>1641</v>
      </c>
      <c r="E947" t="s">
        <v>1316</v>
      </c>
      <c r="J947" t="s">
        <v>1361</v>
      </c>
      <c r="N947">
        <v>0</v>
      </c>
      <c r="O947" t="str">
        <f>_xlfn.XLOOKUP(Table4[[#This Row],[id]],VALINA[id],VALINA[name])</f>
        <v>Sea of Japan</v>
      </c>
      <c r="P947">
        <f>_xlfn.XLOOKUP(Table4[[#This Row],[id]],prov_color!A:A,prov_color!C:C)</f>
        <v>77</v>
      </c>
    </row>
    <row r="948" spans="1:16" hidden="1" x14ac:dyDescent="0.25">
      <c r="A948">
        <v>947</v>
      </c>
      <c r="B948" t="s">
        <v>653</v>
      </c>
      <c r="C948" t="s">
        <v>1651</v>
      </c>
      <c r="D948" t="s">
        <v>1641</v>
      </c>
      <c r="E948" t="s">
        <v>1316</v>
      </c>
      <c r="J948" t="s">
        <v>1772</v>
      </c>
      <c r="K948">
        <v>0</v>
      </c>
      <c r="N948">
        <v>947</v>
      </c>
      <c r="O948" t="str">
        <f>_xlfn.XLOOKUP(Table4[[#This Row],[id]],VALINA[id],VALINA[name])</f>
        <v>Western Japan Sea</v>
      </c>
      <c r="P948">
        <f>_xlfn.XLOOKUP(Table4[[#This Row],[id]],prov_color!A:A,prov_color!C:C)</f>
        <v>76</v>
      </c>
    </row>
    <row r="949" spans="1:16" hidden="1" x14ac:dyDescent="0.25">
      <c r="A949">
        <v>948</v>
      </c>
      <c r="B949" t="s">
        <v>653</v>
      </c>
      <c r="C949" t="s">
        <v>1651</v>
      </c>
      <c r="D949" t="s">
        <v>1641</v>
      </c>
      <c r="E949" t="s">
        <v>1316</v>
      </c>
      <c r="J949" t="s">
        <v>1773</v>
      </c>
      <c r="K949">
        <v>0</v>
      </c>
      <c r="N949">
        <v>948</v>
      </c>
      <c r="O949" t="str">
        <f>_xlfn.XLOOKUP(Table4[[#This Row],[id]],VALINA[id],VALINA[name])</f>
        <v>Northern Japan Sea</v>
      </c>
      <c r="P949">
        <f>_xlfn.XLOOKUP(Table4[[#This Row],[id]],prov_color!A:A,prov_color!C:C)</f>
        <v>67</v>
      </c>
    </row>
    <row r="950" spans="1:16" hidden="1" x14ac:dyDescent="0.25">
      <c r="A950">
        <v>949</v>
      </c>
      <c r="B950" t="s">
        <v>653</v>
      </c>
      <c r="C950" t="s">
        <v>1651</v>
      </c>
      <c r="D950" t="s">
        <v>1641</v>
      </c>
      <c r="E950" t="s">
        <v>1316</v>
      </c>
      <c r="J950" t="s">
        <v>1774</v>
      </c>
      <c r="K950">
        <v>0</v>
      </c>
      <c r="N950">
        <v>949</v>
      </c>
      <c r="O950" t="str">
        <f>_xlfn.XLOOKUP(Table4[[#This Row],[id]],VALINA[id],VALINA[name])</f>
        <v>Tsugaru Strait</v>
      </c>
      <c r="P950">
        <f>_xlfn.XLOOKUP(Table4[[#This Row],[id]],prov_color!A:A,prov_color!C:C)</f>
        <v>118</v>
      </c>
    </row>
    <row r="951" spans="1:16" hidden="1" x14ac:dyDescent="0.25">
      <c r="A951">
        <v>950</v>
      </c>
      <c r="B951" t="s">
        <v>653</v>
      </c>
      <c r="C951" t="s">
        <v>1651</v>
      </c>
      <c r="D951" t="s">
        <v>1641</v>
      </c>
      <c r="E951" t="s">
        <v>1316</v>
      </c>
      <c r="J951" t="s">
        <v>1775</v>
      </c>
      <c r="K951">
        <v>0</v>
      </c>
      <c r="N951">
        <v>950</v>
      </c>
      <c r="O951" t="str">
        <f>_xlfn.XLOOKUP(Table4[[#This Row],[id]],VALINA[id],VALINA[name])</f>
        <v>Taihei Ocean</v>
      </c>
      <c r="P951">
        <f>_xlfn.XLOOKUP(Table4[[#This Row],[id]],prov_color!A:A,prov_color!C:C)</f>
        <v>370</v>
      </c>
    </row>
    <row r="952" spans="1:16" hidden="1" x14ac:dyDescent="0.25">
      <c r="A952">
        <v>951</v>
      </c>
      <c r="B952" t="s">
        <v>653</v>
      </c>
      <c r="C952" t="s">
        <v>1656</v>
      </c>
      <c r="D952" t="s">
        <v>1641</v>
      </c>
      <c r="E952" t="s">
        <v>1316</v>
      </c>
      <c r="J952" t="s">
        <v>6463</v>
      </c>
      <c r="K952">
        <v>0</v>
      </c>
      <c r="N952">
        <v>951</v>
      </c>
      <c r="O952" t="str">
        <f>_xlfn.XLOOKUP(Table4[[#This Row],[id]],VALINA[id],VALINA[name])</f>
        <v>Taihei Ocean 2</v>
      </c>
      <c r="P952">
        <f>_xlfn.XLOOKUP(Table4[[#This Row],[id]],prov_color!A:A,prov_color!C:C)</f>
        <v>455</v>
      </c>
    </row>
    <row r="953" spans="1:16" hidden="1" x14ac:dyDescent="0.25">
      <c r="A953">
        <v>952</v>
      </c>
      <c r="B953" t="s">
        <v>653</v>
      </c>
      <c r="C953" t="s">
        <v>1656</v>
      </c>
      <c r="D953" t="s">
        <v>1641</v>
      </c>
      <c r="E953" t="s">
        <v>1316</v>
      </c>
      <c r="J953" t="s">
        <v>1746</v>
      </c>
      <c r="N953">
        <v>0</v>
      </c>
      <c r="O953" t="str">
        <f>_xlfn.XLOOKUP(Table4[[#This Row],[id]],VALINA[id],VALINA[name])</f>
        <v>Northern Pacific Ocean</v>
      </c>
      <c r="P953">
        <f>_xlfn.XLOOKUP(Table4[[#This Row],[id]],prov_color!A:A,prov_color!C:C)</f>
        <v>481</v>
      </c>
    </row>
    <row r="954" spans="1:16" hidden="1" x14ac:dyDescent="0.25">
      <c r="A954">
        <v>953</v>
      </c>
      <c r="B954" t="s">
        <v>653</v>
      </c>
      <c r="C954" t="s">
        <v>1640</v>
      </c>
      <c r="D954" t="s">
        <v>1641</v>
      </c>
      <c r="E954" t="s">
        <v>1316</v>
      </c>
      <c r="J954" t="s">
        <v>1746</v>
      </c>
      <c r="N954">
        <v>0</v>
      </c>
      <c r="O954" t="str">
        <f>_xlfn.XLOOKUP(Table4[[#This Row],[id]],VALINA[id],VALINA[name])</f>
        <v>Northern Pacific Ocean</v>
      </c>
      <c r="P954">
        <f>_xlfn.XLOOKUP(Table4[[#This Row],[id]],prov_color!A:A,prov_color!C:C)</f>
        <v>513</v>
      </c>
    </row>
    <row r="955" spans="1:16" hidden="1" x14ac:dyDescent="0.25">
      <c r="A955">
        <v>954</v>
      </c>
      <c r="B955" t="s">
        <v>653</v>
      </c>
      <c r="C955" t="s">
        <v>1640</v>
      </c>
      <c r="D955" t="s">
        <v>1641</v>
      </c>
      <c r="E955" t="s">
        <v>1316</v>
      </c>
      <c r="J955" t="s">
        <v>1746</v>
      </c>
      <c r="N955">
        <v>0</v>
      </c>
      <c r="O955" t="str">
        <f>_xlfn.XLOOKUP(Table4[[#This Row],[id]],VALINA[id],VALINA[name])</f>
        <v>Northern Pacific Ocean</v>
      </c>
      <c r="P955">
        <f>_xlfn.XLOOKUP(Table4[[#This Row],[id]],prov_color!A:A,prov_color!C:C)</f>
        <v>694</v>
      </c>
    </row>
    <row r="956" spans="1:16" hidden="1" x14ac:dyDescent="0.25">
      <c r="A956">
        <v>955</v>
      </c>
      <c r="B956" t="s">
        <v>653</v>
      </c>
      <c r="C956" t="s">
        <v>1656</v>
      </c>
      <c r="D956" t="s">
        <v>1641</v>
      </c>
      <c r="E956" t="s">
        <v>1316</v>
      </c>
      <c r="J956" t="s">
        <v>1746</v>
      </c>
      <c r="N956">
        <v>0</v>
      </c>
      <c r="O956" t="str">
        <f>_xlfn.XLOOKUP(Table4[[#This Row],[id]],VALINA[id],VALINA[name])</f>
        <v>Northern Pacific Ocean</v>
      </c>
      <c r="P956">
        <f>_xlfn.XLOOKUP(Table4[[#This Row],[id]],prov_color!A:A,prov_color!C:C)</f>
        <v>691</v>
      </c>
    </row>
    <row r="957" spans="1:16" hidden="1" x14ac:dyDescent="0.25">
      <c r="A957">
        <v>956</v>
      </c>
      <c r="B957" t="s">
        <v>990</v>
      </c>
      <c r="C957" t="s">
        <v>1652</v>
      </c>
      <c r="D957" t="s">
        <v>1641</v>
      </c>
      <c r="E957" t="s">
        <v>1316</v>
      </c>
      <c r="J957" t="s">
        <v>1776</v>
      </c>
      <c r="N957">
        <v>0</v>
      </c>
      <c r="O957" t="str">
        <f>_xlfn.XLOOKUP(Table4[[#This Row],[id]],VALINA[id],VALINA[name])</f>
        <v>Midway Island</v>
      </c>
      <c r="P957">
        <f>_xlfn.XLOOKUP(Table4[[#This Row],[id]],prov_color!A:A,prov_color!C:C)</f>
        <v>454</v>
      </c>
    </row>
    <row r="958" spans="1:16" hidden="1" x14ac:dyDescent="0.25">
      <c r="A958">
        <v>957</v>
      </c>
      <c r="B958" t="s">
        <v>990</v>
      </c>
      <c r="C958" t="s">
        <v>1652</v>
      </c>
      <c r="D958" t="s">
        <v>1641</v>
      </c>
      <c r="E958" t="s">
        <v>1316</v>
      </c>
      <c r="J958" t="s">
        <v>1949</v>
      </c>
      <c r="N958">
        <v>0</v>
      </c>
      <c r="O958" t="str">
        <f>_xlfn.XLOOKUP(Table4[[#This Row],[id]],VALINA[id],VALINA[name])</f>
        <v>Hawaiian Sea</v>
      </c>
      <c r="P958">
        <f>_xlfn.XLOOKUP(Table4[[#This Row],[id]],prov_color!A:A,prov_color!C:C)</f>
        <v>859</v>
      </c>
    </row>
    <row r="959" spans="1:16" hidden="1" x14ac:dyDescent="0.25">
      <c r="A959">
        <v>958</v>
      </c>
      <c r="B959" t="s">
        <v>990</v>
      </c>
      <c r="C959" t="s">
        <v>1652</v>
      </c>
      <c r="D959" t="s">
        <v>1641</v>
      </c>
      <c r="E959" t="s">
        <v>1316</v>
      </c>
      <c r="J959" t="s">
        <v>1778</v>
      </c>
      <c r="N959">
        <v>0</v>
      </c>
      <c r="O959" t="str">
        <f>_xlfn.XLOOKUP(Table4[[#This Row],[id]],VALINA[id],VALINA[name])</f>
        <v>Northeastern Pacific Ocean</v>
      </c>
      <c r="P959">
        <f>_xlfn.XLOOKUP(Table4[[#This Row],[id]],prov_color!A:A,prov_color!C:C)</f>
        <v>531</v>
      </c>
    </row>
    <row r="960" spans="1:16" hidden="1" x14ac:dyDescent="0.25">
      <c r="A960">
        <v>959</v>
      </c>
      <c r="B960" t="s">
        <v>990</v>
      </c>
      <c r="C960" t="s">
        <v>1652</v>
      </c>
      <c r="D960" t="s">
        <v>1641</v>
      </c>
      <c r="E960" t="s">
        <v>1316</v>
      </c>
      <c r="J960" t="s">
        <v>1778</v>
      </c>
      <c r="N960">
        <v>0</v>
      </c>
      <c r="O960" t="str">
        <f>_xlfn.XLOOKUP(Table4[[#This Row],[id]],VALINA[id],VALINA[name])</f>
        <v>Northeastern Pacific Ocean</v>
      </c>
      <c r="P960">
        <f>_xlfn.XLOOKUP(Table4[[#This Row],[id]],prov_color!A:A,prov_color!C:C)</f>
        <v>418</v>
      </c>
    </row>
    <row r="961" spans="1:16" hidden="1" x14ac:dyDescent="0.25">
      <c r="A961">
        <v>960</v>
      </c>
      <c r="B961" t="s">
        <v>11</v>
      </c>
      <c r="C961" t="s">
        <v>1652</v>
      </c>
      <c r="D961" t="s">
        <v>1641</v>
      </c>
      <c r="E961" t="s">
        <v>1316</v>
      </c>
      <c r="J961" t="s">
        <v>1778</v>
      </c>
      <c r="N961">
        <v>0</v>
      </c>
      <c r="O961" t="str">
        <f>_xlfn.XLOOKUP(Table4[[#This Row],[id]],VALINA[id],VALINA[name])</f>
        <v>Northeastern Pacific Ocean</v>
      </c>
      <c r="P961">
        <f>_xlfn.XLOOKUP(Table4[[#This Row],[id]],prov_color!A:A,prov_color!C:C)</f>
        <v>499</v>
      </c>
    </row>
    <row r="962" spans="1:16" hidden="1" x14ac:dyDescent="0.25">
      <c r="A962">
        <v>961</v>
      </c>
      <c r="B962" t="s">
        <v>11</v>
      </c>
      <c r="C962" t="s">
        <v>1652</v>
      </c>
      <c r="D962" t="s">
        <v>1641</v>
      </c>
      <c r="E962" t="s">
        <v>1316</v>
      </c>
      <c r="J962" t="s">
        <v>1778</v>
      </c>
      <c r="N962">
        <v>0</v>
      </c>
      <c r="O962" t="str">
        <f>_xlfn.XLOOKUP(Table4[[#This Row],[id]],VALINA[id],VALINA[name])</f>
        <v>Northeastern Pacific Ocean</v>
      </c>
      <c r="P962">
        <f>_xlfn.XLOOKUP(Table4[[#This Row],[id]],prov_color!A:A,prov_color!C:C)</f>
        <v>567</v>
      </c>
    </row>
    <row r="963" spans="1:16" hidden="1" x14ac:dyDescent="0.25">
      <c r="A963">
        <v>962</v>
      </c>
      <c r="B963" t="s">
        <v>11</v>
      </c>
      <c r="C963" t="s">
        <v>1652</v>
      </c>
      <c r="D963" t="s">
        <v>1641</v>
      </c>
      <c r="E963" t="s">
        <v>1316</v>
      </c>
      <c r="J963" t="s">
        <v>1571</v>
      </c>
      <c r="K963">
        <v>0</v>
      </c>
      <c r="N963">
        <v>962</v>
      </c>
      <c r="O963" t="str">
        <f>_xlfn.XLOOKUP(Table4[[#This Row],[id]],VALINA[id],VALINA[name])</f>
        <v>Manzanillo Bay</v>
      </c>
      <c r="P963">
        <f>_xlfn.XLOOKUP(Table4[[#This Row],[id]],prov_color!A:A,prov_color!C:C)</f>
        <v>117</v>
      </c>
    </row>
    <row r="964" spans="1:16" hidden="1" x14ac:dyDescent="0.25">
      <c r="A964">
        <v>963</v>
      </c>
      <c r="B964" t="s">
        <v>11</v>
      </c>
      <c r="C964" t="s">
        <v>1652</v>
      </c>
      <c r="D964" t="s">
        <v>1641</v>
      </c>
      <c r="E964" t="s">
        <v>1316</v>
      </c>
      <c r="J964" t="s">
        <v>1570</v>
      </c>
      <c r="K964">
        <v>0</v>
      </c>
      <c r="N964">
        <v>963</v>
      </c>
      <c r="O964" t="str">
        <f>_xlfn.XLOOKUP(Table4[[#This Row],[id]],VALINA[id],VALINA[name])</f>
        <v>Acapulco Bay</v>
      </c>
      <c r="P964">
        <f>_xlfn.XLOOKUP(Table4[[#This Row],[id]],prov_color!A:A,prov_color!C:C)</f>
        <v>109</v>
      </c>
    </row>
    <row r="965" spans="1:16" hidden="1" x14ac:dyDescent="0.25">
      <c r="A965">
        <v>964</v>
      </c>
      <c r="B965" t="s">
        <v>11</v>
      </c>
      <c r="C965" t="s">
        <v>1653</v>
      </c>
      <c r="D965" t="s">
        <v>1641</v>
      </c>
      <c r="E965" t="s">
        <v>1316</v>
      </c>
      <c r="J965" t="s">
        <v>1535</v>
      </c>
      <c r="K965">
        <v>0</v>
      </c>
      <c r="N965">
        <v>964</v>
      </c>
      <c r="O965" t="str">
        <f>_xlfn.XLOOKUP(Table4[[#This Row],[id]],VALINA[id],VALINA[name])</f>
        <v>Belize Bay</v>
      </c>
      <c r="P965">
        <f>_xlfn.XLOOKUP(Table4[[#This Row],[id]],prov_color!A:A,prov_color!C:C)</f>
        <v>91</v>
      </c>
    </row>
    <row r="966" spans="1:16" hidden="1" x14ac:dyDescent="0.25">
      <c r="A966">
        <v>965</v>
      </c>
      <c r="B966" t="s">
        <v>11</v>
      </c>
      <c r="C966" t="s">
        <v>1653</v>
      </c>
      <c r="D966" t="s">
        <v>1641</v>
      </c>
      <c r="E966" t="s">
        <v>1316</v>
      </c>
      <c r="J966" t="s">
        <v>1536</v>
      </c>
      <c r="K966">
        <v>0</v>
      </c>
      <c r="N966">
        <v>965</v>
      </c>
      <c r="O966" t="str">
        <f>_xlfn.XLOOKUP(Table4[[#This Row],[id]],VALINA[id],VALINA[name])</f>
        <v>Florida Straits</v>
      </c>
      <c r="P966">
        <f>_xlfn.XLOOKUP(Table4[[#This Row],[id]],prov_color!A:A,prov_color!C:C)</f>
        <v>116</v>
      </c>
    </row>
    <row r="967" spans="1:16" hidden="1" x14ac:dyDescent="0.25">
      <c r="A967">
        <v>966</v>
      </c>
      <c r="B967" t="s">
        <v>11</v>
      </c>
      <c r="C967" t="s">
        <v>1653</v>
      </c>
      <c r="D967" t="s">
        <v>1641</v>
      </c>
      <c r="E967" t="s">
        <v>1316</v>
      </c>
      <c r="J967" t="s">
        <v>1780</v>
      </c>
      <c r="K967">
        <v>0</v>
      </c>
      <c r="N967">
        <v>966</v>
      </c>
      <c r="O967" t="str">
        <f>_xlfn.XLOOKUP(Table4[[#This Row],[id]],VALINA[id],VALINA[name])</f>
        <v>Jamaican Sea</v>
      </c>
      <c r="P967">
        <f>_xlfn.XLOOKUP(Table4[[#This Row],[id]],prov_color!A:A,prov_color!C:C)</f>
        <v>104</v>
      </c>
    </row>
    <row r="968" spans="1:16" hidden="1" x14ac:dyDescent="0.25">
      <c r="A968">
        <v>967</v>
      </c>
      <c r="B968" t="s">
        <v>11</v>
      </c>
      <c r="C968" t="s">
        <v>1653</v>
      </c>
      <c r="D968" t="s">
        <v>1641</v>
      </c>
      <c r="E968" t="s">
        <v>1316</v>
      </c>
      <c r="J968" t="s">
        <v>1781</v>
      </c>
      <c r="K968">
        <v>0</v>
      </c>
      <c r="N968">
        <v>967</v>
      </c>
      <c r="O968" t="str">
        <f>_xlfn.XLOOKUP(Table4[[#This Row],[id]],VALINA[id],VALINA[name])</f>
        <v>The Bahamas</v>
      </c>
      <c r="P968">
        <f>_xlfn.XLOOKUP(Table4[[#This Row],[id]],prov_color!A:A,prov_color!C:C)</f>
        <v>90</v>
      </c>
    </row>
    <row r="969" spans="1:16" hidden="1" x14ac:dyDescent="0.25">
      <c r="A969">
        <v>968</v>
      </c>
      <c r="B969" t="s">
        <v>11</v>
      </c>
      <c r="C969" t="s">
        <v>1647</v>
      </c>
      <c r="D969" t="s">
        <v>1641</v>
      </c>
      <c r="E969" t="s">
        <v>1316</v>
      </c>
      <c r="J969" t="s">
        <v>1432</v>
      </c>
      <c r="K969">
        <v>0</v>
      </c>
      <c r="N969">
        <v>968</v>
      </c>
      <c r="O969" t="str">
        <f>_xlfn.XLOOKUP(Table4[[#This Row],[id]],VALINA[id],VALINA[name])</f>
        <v>Sea of Sargassos</v>
      </c>
      <c r="P969">
        <f>_xlfn.XLOOKUP(Table4[[#This Row],[id]],prov_color!A:A,prov_color!C:C)</f>
        <v>226</v>
      </c>
    </row>
    <row r="970" spans="1:16" hidden="1" x14ac:dyDescent="0.25">
      <c r="A970">
        <v>969</v>
      </c>
      <c r="B970" t="s">
        <v>11</v>
      </c>
      <c r="C970" t="s">
        <v>1653</v>
      </c>
      <c r="D970" t="s">
        <v>1641</v>
      </c>
      <c r="E970" t="s">
        <v>1316</v>
      </c>
      <c r="J970" t="s">
        <v>1782</v>
      </c>
      <c r="K970">
        <v>0</v>
      </c>
      <c r="N970">
        <v>969</v>
      </c>
      <c r="O970" t="str">
        <f>_xlfn.XLOOKUP(Table4[[#This Row],[id]],VALINA[id],VALINA[name])</f>
        <v>Tortuga Island</v>
      </c>
      <c r="P970">
        <f>_xlfn.XLOOKUP(Table4[[#This Row],[id]],prov_color!A:A,prov_color!C:C)</f>
        <v>85</v>
      </c>
    </row>
    <row r="971" spans="1:16" hidden="1" x14ac:dyDescent="0.25">
      <c r="A971">
        <v>970</v>
      </c>
      <c r="B971" t="s">
        <v>11</v>
      </c>
      <c r="C971" t="s">
        <v>1657</v>
      </c>
      <c r="D971" t="s">
        <v>1641</v>
      </c>
      <c r="E971" t="s">
        <v>1316</v>
      </c>
      <c r="J971" t="s">
        <v>1433</v>
      </c>
      <c r="K971">
        <v>0</v>
      </c>
      <c r="N971">
        <v>970</v>
      </c>
      <c r="O971" t="str">
        <f>_xlfn.XLOOKUP(Table4[[#This Row],[id]],VALINA[id],VALINA[name])</f>
        <v>Central Atlantic Ocean</v>
      </c>
      <c r="P971">
        <f>_xlfn.XLOOKUP(Table4[[#This Row],[id]],prov_color!A:A,prov_color!C:C)</f>
        <v>192</v>
      </c>
    </row>
    <row r="972" spans="1:16" hidden="1" x14ac:dyDescent="0.25">
      <c r="A972">
        <v>971</v>
      </c>
      <c r="B972" t="s">
        <v>11</v>
      </c>
      <c r="C972" t="s">
        <v>1657</v>
      </c>
      <c r="D972" t="s">
        <v>1641</v>
      </c>
      <c r="E972" t="s">
        <v>1316</v>
      </c>
      <c r="J972" t="s">
        <v>1433</v>
      </c>
      <c r="K972">
        <v>0</v>
      </c>
      <c r="N972">
        <v>971</v>
      </c>
      <c r="O972" t="str">
        <f>_xlfn.XLOOKUP(Table4[[#This Row],[id]],VALINA[id],VALINA[name])</f>
        <v>Central Atlantic Ocean</v>
      </c>
      <c r="P972">
        <f>_xlfn.XLOOKUP(Table4[[#This Row],[id]],prov_color!A:A,prov_color!C:C)</f>
        <v>403</v>
      </c>
    </row>
    <row r="973" spans="1:16" hidden="1" x14ac:dyDescent="0.25">
      <c r="A973">
        <v>972</v>
      </c>
      <c r="B973" t="s">
        <v>11</v>
      </c>
      <c r="C973" t="s">
        <v>1657</v>
      </c>
      <c r="D973" t="s">
        <v>1641</v>
      </c>
      <c r="E973" t="s">
        <v>1316</v>
      </c>
      <c r="J973" t="s">
        <v>1433</v>
      </c>
      <c r="K973">
        <v>0</v>
      </c>
      <c r="N973">
        <v>972</v>
      </c>
      <c r="O973" t="str">
        <f>_xlfn.XLOOKUP(Table4[[#This Row],[id]],VALINA[id],VALINA[name])</f>
        <v>Central Atlantic Ocean</v>
      </c>
      <c r="P973">
        <f>_xlfn.XLOOKUP(Table4[[#This Row],[id]],prov_color!A:A,prov_color!C:C)</f>
        <v>448</v>
      </c>
    </row>
    <row r="974" spans="1:16" hidden="1" x14ac:dyDescent="0.25">
      <c r="A974">
        <v>973</v>
      </c>
      <c r="B974" t="s">
        <v>11</v>
      </c>
      <c r="C974" t="s">
        <v>1657</v>
      </c>
      <c r="D974" t="s">
        <v>1641</v>
      </c>
      <c r="E974" t="s">
        <v>1316</v>
      </c>
      <c r="J974" t="s">
        <v>1433</v>
      </c>
      <c r="N974">
        <v>0</v>
      </c>
      <c r="O974" t="str">
        <f>_xlfn.XLOOKUP(Table4[[#This Row],[id]],VALINA[id],VALINA[name])</f>
        <v>Central Atlantic Ocean</v>
      </c>
      <c r="P974">
        <f>_xlfn.XLOOKUP(Table4[[#This Row],[id]],prov_color!A:A,prov_color!C:C)</f>
        <v>337</v>
      </c>
    </row>
    <row r="975" spans="1:16" hidden="1" x14ac:dyDescent="0.25">
      <c r="A975">
        <v>974</v>
      </c>
      <c r="B975" t="s">
        <v>11</v>
      </c>
      <c r="C975" t="s">
        <v>1657</v>
      </c>
      <c r="D975" t="s">
        <v>1641</v>
      </c>
      <c r="E975" t="s">
        <v>1316</v>
      </c>
      <c r="J975" t="s">
        <v>1433</v>
      </c>
      <c r="N975">
        <v>0</v>
      </c>
      <c r="O975" t="str">
        <f>_xlfn.XLOOKUP(Table4[[#This Row],[id]],VALINA[id],VALINA[name])</f>
        <v>Central Atlantic Ocean</v>
      </c>
      <c r="P975">
        <f>_xlfn.XLOOKUP(Table4[[#This Row],[id]],prov_color!A:A,prov_color!C:C)</f>
        <v>459</v>
      </c>
    </row>
    <row r="976" spans="1:16" hidden="1" x14ac:dyDescent="0.25">
      <c r="A976">
        <v>975</v>
      </c>
      <c r="B976" t="s">
        <v>11</v>
      </c>
      <c r="C976" t="s">
        <v>1657</v>
      </c>
      <c r="D976" t="s">
        <v>1641</v>
      </c>
      <c r="E976" t="s">
        <v>1316</v>
      </c>
      <c r="J976" t="s">
        <v>1433</v>
      </c>
      <c r="N976">
        <v>0</v>
      </c>
      <c r="O976" t="str">
        <f>_xlfn.XLOOKUP(Table4[[#This Row],[id]],VALINA[id],VALINA[name])</f>
        <v>Central Atlantic Ocean</v>
      </c>
      <c r="P976">
        <f>_xlfn.XLOOKUP(Table4[[#This Row],[id]],prov_color!A:A,prov_color!C:C)</f>
        <v>528</v>
      </c>
    </row>
    <row r="977" spans="1:16" hidden="1" x14ac:dyDescent="0.25">
      <c r="A977">
        <v>976</v>
      </c>
      <c r="B977" t="s">
        <v>346</v>
      </c>
      <c r="C977" t="s">
        <v>1658</v>
      </c>
      <c r="D977" t="s">
        <v>1641</v>
      </c>
      <c r="E977" t="s">
        <v>1316</v>
      </c>
      <c r="J977" t="s">
        <v>1435</v>
      </c>
      <c r="K977">
        <v>0</v>
      </c>
      <c r="N977">
        <v>976</v>
      </c>
      <c r="O977" t="str">
        <f>_xlfn.XLOOKUP(Table4[[#This Row],[id]],VALINA[id],VALINA[name])</f>
        <v>Sea of Azores</v>
      </c>
      <c r="P977">
        <f>_xlfn.XLOOKUP(Table4[[#This Row],[id]],prov_color!A:A,prov_color!C:C)</f>
        <v>488</v>
      </c>
    </row>
    <row r="978" spans="1:16" hidden="1" x14ac:dyDescent="0.25">
      <c r="A978">
        <v>977</v>
      </c>
      <c r="B978" t="s">
        <v>346</v>
      </c>
      <c r="C978" t="s">
        <v>1658</v>
      </c>
      <c r="D978" t="s">
        <v>1641</v>
      </c>
      <c r="E978" t="s">
        <v>1316</v>
      </c>
      <c r="J978" t="s">
        <v>1433</v>
      </c>
      <c r="N978">
        <v>0</v>
      </c>
      <c r="O978" t="str">
        <f>_xlfn.XLOOKUP(Table4[[#This Row],[id]],VALINA[id],VALINA[name])</f>
        <v>Central Atlantic Ocean</v>
      </c>
      <c r="P978">
        <f>_xlfn.XLOOKUP(Table4[[#This Row],[id]],prov_color!A:A,prov_color!C:C)</f>
        <v>399</v>
      </c>
    </row>
    <row r="979" spans="1:16" hidden="1" x14ac:dyDescent="0.25">
      <c r="A979">
        <v>978</v>
      </c>
      <c r="B979" t="s">
        <v>346</v>
      </c>
      <c r="C979" t="s">
        <v>1658</v>
      </c>
      <c r="D979" t="s">
        <v>1641</v>
      </c>
      <c r="E979" t="s">
        <v>1316</v>
      </c>
      <c r="J979" t="s">
        <v>1433</v>
      </c>
      <c r="N979">
        <v>0</v>
      </c>
      <c r="O979" t="str">
        <f>_xlfn.XLOOKUP(Table4[[#This Row],[id]],VALINA[id],VALINA[name])</f>
        <v>Central Atlantic Ocean</v>
      </c>
      <c r="P979">
        <f>_xlfn.XLOOKUP(Table4[[#This Row],[id]],prov_color!A:A,prov_color!C:C)</f>
        <v>261</v>
      </c>
    </row>
    <row r="980" spans="1:16" hidden="1" x14ac:dyDescent="0.25">
      <c r="A980">
        <v>979</v>
      </c>
      <c r="B980" t="s">
        <v>346</v>
      </c>
      <c r="C980" t="s">
        <v>1658</v>
      </c>
      <c r="D980" t="s">
        <v>1641</v>
      </c>
      <c r="E980" t="s">
        <v>1316</v>
      </c>
      <c r="J980" t="s">
        <v>1474</v>
      </c>
      <c r="K980">
        <v>0</v>
      </c>
      <c r="N980">
        <v>979</v>
      </c>
      <c r="O980" t="str">
        <f>_xlfn.XLOOKUP(Table4[[#This Row],[id]],VALINA[id],VALINA[name])</f>
        <v>Lusitanian Sea</v>
      </c>
      <c r="P980">
        <f>_xlfn.XLOOKUP(Table4[[#This Row],[id]],prov_color!A:A,prov_color!C:C)</f>
        <v>74</v>
      </c>
    </row>
    <row r="981" spans="1:16" hidden="1" x14ac:dyDescent="0.25">
      <c r="A981">
        <v>980</v>
      </c>
      <c r="B981" t="s">
        <v>346</v>
      </c>
      <c r="C981" t="s">
        <v>1658</v>
      </c>
      <c r="D981" t="s">
        <v>1641</v>
      </c>
      <c r="E981" t="s">
        <v>1316</v>
      </c>
      <c r="J981" t="s">
        <v>1473</v>
      </c>
      <c r="K981">
        <v>0</v>
      </c>
      <c r="N981">
        <v>980</v>
      </c>
      <c r="O981" t="str">
        <f>_xlfn.XLOOKUP(Table4[[#This Row],[id]],VALINA[id],VALINA[name])</f>
        <v>Gulf of Cadiz</v>
      </c>
      <c r="P981">
        <f>_xlfn.XLOOKUP(Table4[[#This Row],[id]],prov_color!A:A,prov_color!C:C)</f>
        <v>86</v>
      </c>
    </row>
    <row r="982" spans="1:16" hidden="1" x14ac:dyDescent="0.25">
      <c r="A982">
        <v>981</v>
      </c>
      <c r="B982" t="s">
        <v>1016</v>
      </c>
      <c r="C982" t="s">
        <v>1658</v>
      </c>
      <c r="D982" t="s">
        <v>1641</v>
      </c>
      <c r="E982" t="s">
        <v>1316</v>
      </c>
      <c r="J982" t="s">
        <v>1433</v>
      </c>
      <c r="N982">
        <v>0</v>
      </c>
      <c r="O982" t="str">
        <f>_xlfn.XLOOKUP(Table4[[#This Row],[id]],VALINA[id],VALINA[name])</f>
        <v>Central Atlantic Ocean</v>
      </c>
      <c r="P982">
        <f>_xlfn.XLOOKUP(Table4[[#This Row],[id]],prov_color!A:A,prov_color!C:C)</f>
        <v>215</v>
      </c>
    </row>
    <row r="983" spans="1:16" hidden="1" x14ac:dyDescent="0.25">
      <c r="A983">
        <v>982</v>
      </c>
      <c r="B983" t="s">
        <v>346</v>
      </c>
      <c r="C983" t="s">
        <v>1658</v>
      </c>
      <c r="D983" t="s">
        <v>1641</v>
      </c>
      <c r="E983" t="s">
        <v>1316</v>
      </c>
      <c r="J983" t="s">
        <v>1472</v>
      </c>
      <c r="K983">
        <v>0</v>
      </c>
      <c r="N983">
        <v>982</v>
      </c>
      <c r="O983" t="str">
        <f>_xlfn.XLOOKUP(Table4[[#This Row],[id]],VALINA[id],VALINA[name])</f>
        <v>Straits of Gibraltar</v>
      </c>
      <c r="P983">
        <f>_xlfn.XLOOKUP(Table4[[#This Row],[id]],prov_color!A:A,prov_color!C:C)</f>
        <v>42</v>
      </c>
    </row>
    <row r="984" spans="1:16" hidden="1" x14ac:dyDescent="0.25">
      <c r="A984">
        <v>983</v>
      </c>
      <c r="B984" t="s">
        <v>346</v>
      </c>
      <c r="C984" t="s">
        <v>1659</v>
      </c>
      <c r="D984" t="s">
        <v>1641</v>
      </c>
      <c r="E984" t="s">
        <v>1316</v>
      </c>
      <c r="J984" t="s">
        <v>1471</v>
      </c>
      <c r="K984">
        <v>0</v>
      </c>
      <c r="N984">
        <v>983</v>
      </c>
      <c r="O984" t="str">
        <f>_xlfn.XLOOKUP(Table4[[#This Row],[id]],VALINA[id],VALINA[name])</f>
        <v>Gulf of Almeria</v>
      </c>
      <c r="P984">
        <f>_xlfn.XLOOKUP(Table4[[#This Row],[id]],prov_color!A:A,prov_color!C:C)</f>
        <v>47</v>
      </c>
    </row>
    <row r="985" spans="1:16" hidden="1" x14ac:dyDescent="0.25">
      <c r="A985">
        <v>984</v>
      </c>
      <c r="B985" t="s">
        <v>346</v>
      </c>
      <c r="C985" t="s">
        <v>1659</v>
      </c>
      <c r="D985" t="s">
        <v>1641</v>
      </c>
      <c r="E985" t="s">
        <v>1316</v>
      </c>
      <c r="J985" t="s">
        <v>1469</v>
      </c>
      <c r="K985">
        <v>0</v>
      </c>
      <c r="N985">
        <v>984</v>
      </c>
      <c r="O985" t="str">
        <f>_xlfn.XLOOKUP(Table4[[#This Row],[id]],VALINA[id],VALINA[name])</f>
        <v>Gulf of Valencia</v>
      </c>
      <c r="P985">
        <f>_xlfn.XLOOKUP(Table4[[#This Row],[id]],prov_color!A:A,prov_color!C:C)</f>
        <v>41</v>
      </c>
    </row>
    <row r="986" spans="1:16" hidden="1" x14ac:dyDescent="0.25">
      <c r="A986">
        <v>985</v>
      </c>
      <c r="B986" t="s">
        <v>346</v>
      </c>
      <c r="C986" t="s">
        <v>1659</v>
      </c>
      <c r="D986" t="s">
        <v>1641</v>
      </c>
      <c r="E986" t="s">
        <v>1316</v>
      </c>
      <c r="J986" t="s">
        <v>1468</v>
      </c>
      <c r="K986">
        <v>0</v>
      </c>
      <c r="N986">
        <v>985</v>
      </c>
      <c r="O986" t="str">
        <f>_xlfn.XLOOKUP(Table4[[#This Row],[id]],VALINA[id],VALINA[name])</f>
        <v>Gulf of Mallorca</v>
      </c>
      <c r="P986">
        <f>_xlfn.XLOOKUP(Table4[[#This Row],[id]],prov_color!A:A,prov_color!C:C)</f>
        <v>57</v>
      </c>
    </row>
    <row r="987" spans="1:16" hidden="1" x14ac:dyDescent="0.25">
      <c r="A987">
        <v>986</v>
      </c>
      <c r="B987" t="s">
        <v>346</v>
      </c>
      <c r="C987" t="s">
        <v>1659</v>
      </c>
      <c r="D987" t="s">
        <v>1641</v>
      </c>
      <c r="E987" t="s">
        <v>1316</v>
      </c>
      <c r="J987" t="s">
        <v>1470</v>
      </c>
      <c r="K987">
        <v>0</v>
      </c>
      <c r="N987">
        <v>986</v>
      </c>
      <c r="O987" t="str">
        <f>_xlfn.XLOOKUP(Table4[[#This Row],[id]],VALINA[id],VALINA[name])</f>
        <v>Barbary Coast</v>
      </c>
      <c r="P987">
        <f>_xlfn.XLOOKUP(Table4[[#This Row],[id]],prov_color!A:A,prov_color!C:C)</f>
        <v>45</v>
      </c>
    </row>
    <row r="988" spans="1:16" hidden="1" x14ac:dyDescent="0.25">
      <c r="A988">
        <v>987</v>
      </c>
      <c r="B988" t="s">
        <v>346</v>
      </c>
      <c r="C988" t="s">
        <v>1659</v>
      </c>
      <c r="D988" t="s">
        <v>1641</v>
      </c>
      <c r="E988" t="s">
        <v>1316</v>
      </c>
      <c r="J988" t="s">
        <v>1467</v>
      </c>
      <c r="K988">
        <v>0</v>
      </c>
      <c r="N988">
        <v>987</v>
      </c>
      <c r="O988" t="str">
        <f>_xlfn.XLOOKUP(Table4[[#This Row],[id]],VALINA[id],VALINA[name])</f>
        <v>Gulf of Lion</v>
      </c>
      <c r="P988">
        <f>_xlfn.XLOOKUP(Table4[[#This Row],[id]],prov_color!A:A,prov_color!C:C)</f>
        <v>46</v>
      </c>
    </row>
    <row r="989" spans="1:16" hidden="1" x14ac:dyDescent="0.25">
      <c r="A989">
        <v>988</v>
      </c>
      <c r="B989" t="s">
        <v>346</v>
      </c>
      <c r="C989" t="s">
        <v>1659</v>
      </c>
      <c r="D989" t="s">
        <v>1641</v>
      </c>
      <c r="E989" t="s">
        <v>1316</v>
      </c>
      <c r="J989" t="s">
        <v>1783</v>
      </c>
      <c r="N989">
        <v>0</v>
      </c>
      <c r="O989" t="str">
        <f>_xlfn.XLOOKUP(Table4[[#This Row],[id]],VALINA[id],VALINA[name])</f>
        <v>C�te d'Azur</v>
      </c>
      <c r="P989">
        <f>_xlfn.XLOOKUP(Table4[[#This Row],[id]],prov_color!A:A,prov_color!C:C)</f>
        <v>38</v>
      </c>
    </row>
    <row r="990" spans="1:16" hidden="1" x14ac:dyDescent="0.25">
      <c r="A990">
        <v>989</v>
      </c>
      <c r="B990" t="s">
        <v>346</v>
      </c>
      <c r="C990" t="s">
        <v>1659</v>
      </c>
      <c r="D990" t="s">
        <v>1641</v>
      </c>
      <c r="E990" t="s">
        <v>1316</v>
      </c>
      <c r="J990" t="s">
        <v>1466</v>
      </c>
      <c r="K990">
        <v>0</v>
      </c>
      <c r="N990">
        <v>989</v>
      </c>
      <c r="O990" t="str">
        <f>_xlfn.XLOOKUP(Table4[[#This Row],[id]],VALINA[id],VALINA[name])</f>
        <v>Western Mediterranean</v>
      </c>
      <c r="P990">
        <f>_xlfn.XLOOKUP(Table4[[#This Row],[id]],prov_color!A:A,prov_color!C:C)</f>
        <v>49</v>
      </c>
    </row>
    <row r="991" spans="1:16" hidden="1" x14ac:dyDescent="0.25">
      <c r="A991">
        <v>990</v>
      </c>
      <c r="B991" t="s">
        <v>346</v>
      </c>
      <c r="C991" t="s">
        <v>1659</v>
      </c>
      <c r="D991" t="s">
        <v>1641</v>
      </c>
      <c r="E991" t="s">
        <v>1316</v>
      </c>
      <c r="J991" t="s">
        <v>1460</v>
      </c>
      <c r="K991">
        <v>0</v>
      </c>
      <c r="N991">
        <v>990</v>
      </c>
      <c r="O991" t="str">
        <f>_xlfn.XLOOKUP(Table4[[#This Row],[id]],VALINA[id],VALINA[name])</f>
        <v>Cape Bon</v>
      </c>
      <c r="P991">
        <f>_xlfn.XLOOKUP(Table4[[#This Row],[id]],prov_color!A:A,prov_color!C:C)</f>
        <v>67</v>
      </c>
    </row>
    <row r="992" spans="1:16" hidden="1" x14ac:dyDescent="0.25">
      <c r="A992">
        <v>991</v>
      </c>
      <c r="B992" t="s">
        <v>346</v>
      </c>
      <c r="C992" t="s">
        <v>1659</v>
      </c>
      <c r="D992" t="s">
        <v>1641</v>
      </c>
      <c r="E992" t="s">
        <v>1316</v>
      </c>
      <c r="J992" t="s">
        <v>1459</v>
      </c>
      <c r="K992">
        <v>0</v>
      </c>
      <c r="N992">
        <v>991</v>
      </c>
      <c r="O992" t="str">
        <f>_xlfn.XLOOKUP(Table4[[#This Row],[id]],VALINA[id],VALINA[name])</f>
        <v>Gulf of Cagliari</v>
      </c>
      <c r="P992">
        <f>_xlfn.XLOOKUP(Table4[[#This Row],[id]],prov_color!A:A,prov_color!C:C)</f>
        <v>54</v>
      </c>
    </row>
    <row r="993" spans="1:16" hidden="1" x14ac:dyDescent="0.25">
      <c r="A993">
        <v>992</v>
      </c>
      <c r="B993" t="s">
        <v>346</v>
      </c>
      <c r="C993" t="s">
        <v>1659</v>
      </c>
      <c r="D993" t="s">
        <v>1641</v>
      </c>
      <c r="E993" t="s">
        <v>1316</v>
      </c>
      <c r="J993" t="s">
        <v>1458</v>
      </c>
      <c r="K993">
        <v>0</v>
      </c>
      <c r="N993">
        <v>992</v>
      </c>
      <c r="O993" t="str">
        <f>_xlfn.XLOOKUP(Table4[[#This Row],[id]],VALINA[id],VALINA[name])</f>
        <v>Ligurian Sea</v>
      </c>
      <c r="P993">
        <f>_xlfn.XLOOKUP(Table4[[#This Row],[id]],prov_color!A:A,prov_color!C:C)</f>
        <v>46</v>
      </c>
    </row>
    <row r="994" spans="1:16" hidden="1" x14ac:dyDescent="0.25">
      <c r="A994">
        <v>993</v>
      </c>
      <c r="B994" t="s">
        <v>346</v>
      </c>
      <c r="C994" t="s">
        <v>1659</v>
      </c>
      <c r="D994" t="s">
        <v>1641</v>
      </c>
      <c r="E994" t="s">
        <v>1316</v>
      </c>
      <c r="J994" t="s">
        <v>1457</v>
      </c>
      <c r="K994">
        <v>0</v>
      </c>
      <c r="N994">
        <v>993</v>
      </c>
      <c r="O994" t="str">
        <f>_xlfn.XLOOKUP(Table4[[#This Row],[id]],VALINA[id],VALINA[name])</f>
        <v>Tyrrenean Sea</v>
      </c>
      <c r="P994">
        <f>_xlfn.XLOOKUP(Table4[[#This Row],[id]],prov_color!A:A,prov_color!C:C)</f>
        <v>32</v>
      </c>
    </row>
    <row r="995" spans="1:16" hidden="1" x14ac:dyDescent="0.25">
      <c r="A995">
        <v>994</v>
      </c>
      <c r="B995" t="s">
        <v>346</v>
      </c>
      <c r="C995" t="s">
        <v>1659</v>
      </c>
      <c r="D995" t="s">
        <v>1641</v>
      </c>
      <c r="E995" t="s">
        <v>1316</v>
      </c>
      <c r="J995" t="s">
        <v>1456</v>
      </c>
      <c r="K995">
        <v>0</v>
      </c>
      <c r="N995">
        <v>994</v>
      </c>
      <c r="O995" t="str">
        <f>_xlfn.XLOOKUP(Table4[[#This Row],[id]],VALINA[id],VALINA[name])</f>
        <v>Bay of Naples</v>
      </c>
      <c r="P995">
        <f>_xlfn.XLOOKUP(Table4[[#This Row],[id]],prov_color!A:A,prov_color!C:C)</f>
        <v>45</v>
      </c>
    </row>
    <row r="996" spans="1:16" hidden="1" x14ac:dyDescent="0.25">
      <c r="A996">
        <v>995</v>
      </c>
      <c r="B996" t="s">
        <v>346</v>
      </c>
      <c r="C996" t="s">
        <v>1660</v>
      </c>
      <c r="D996" t="s">
        <v>1641</v>
      </c>
      <c r="E996" t="s">
        <v>1316</v>
      </c>
      <c r="J996" t="s">
        <v>1455</v>
      </c>
      <c r="K996">
        <v>0</v>
      </c>
      <c r="N996">
        <v>995</v>
      </c>
      <c r="O996" t="str">
        <f>_xlfn.XLOOKUP(Table4[[#This Row],[id]],VALINA[id],VALINA[name])</f>
        <v>Straits of Messina</v>
      </c>
      <c r="P996">
        <f>_xlfn.XLOOKUP(Table4[[#This Row],[id]],prov_color!A:A,prov_color!C:C)</f>
        <v>61</v>
      </c>
    </row>
    <row r="997" spans="1:16" hidden="1" x14ac:dyDescent="0.25">
      <c r="A997">
        <v>996</v>
      </c>
      <c r="B997" t="s">
        <v>346</v>
      </c>
      <c r="C997" t="s">
        <v>1660</v>
      </c>
      <c r="D997" t="s">
        <v>1641</v>
      </c>
      <c r="E997" t="s">
        <v>1316</v>
      </c>
      <c r="J997" t="s">
        <v>1454</v>
      </c>
      <c r="K997">
        <v>0</v>
      </c>
      <c r="N997">
        <v>996</v>
      </c>
      <c r="O997" t="str">
        <f>_xlfn.XLOOKUP(Table4[[#This Row],[id]],VALINA[id],VALINA[name])</f>
        <v>Malta Channel</v>
      </c>
      <c r="P997">
        <f>_xlfn.XLOOKUP(Table4[[#This Row],[id]],prov_color!A:A,prov_color!C:C)</f>
        <v>83</v>
      </c>
    </row>
    <row r="998" spans="1:16" hidden="1" x14ac:dyDescent="0.25">
      <c r="A998">
        <v>997</v>
      </c>
      <c r="B998" t="s">
        <v>346</v>
      </c>
      <c r="C998" t="s">
        <v>1660</v>
      </c>
      <c r="D998" t="s">
        <v>1641</v>
      </c>
      <c r="E998" t="s">
        <v>1316</v>
      </c>
      <c r="J998" t="s">
        <v>1453</v>
      </c>
      <c r="K998">
        <v>0</v>
      </c>
      <c r="N998">
        <v>997</v>
      </c>
      <c r="O998" t="str">
        <f>_xlfn.XLOOKUP(Table4[[#This Row],[id]],VALINA[id],VALINA[name])</f>
        <v>Gulf of Sirte</v>
      </c>
      <c r="P998">
        <f>_xlfn.XLOOKUP(Table4[[#This Row],[id]],prov_color!A:A,prov_color!C:C)</f>
        <v>92</v>
      </c>
    </row>
    <row r="999" spans="1:16" hidden="1" x14ac:dyDescent="0.25">
      <c r="A999">
        <v>998</v>
      </c>
      <c r="B999" t="s">
        <v>346</v>
      </c>
      <c r="C999" t="s">
        <v>1660</v>
      </c>
      <c r="D999" t="s">
        <v>1641</v>
      </c>
      <c r="E999" t="s">
        <v>1316</v>
      </c>
      <c r="J999" t="s">
        <v>1465</v>
      </c>
      <c r="K999">
        <v>0</v>
      </c>
      <c r="N999">
        <v>998</v>
      </c>
      <c r="O999" t="str">
        <f>_xlfn.XLOOKUP(Table4[[#This Row],[id]],VALINA[id],VALINA[name])</f>
        <v>Gulf of Taranto</v>
      </c>
      <c r="P999">
        <f>_xlfn.XLOOKUP(Table4[[#This Row],[id]],prov_color!A:A,prov_color!C:C)</f>
        <v>44</v>
      </c>
    </row>
    <row r="1000" spans="1:16" hidden="1" x14ac:dyDescent="0.25">
      <c r="A1000">
        <v>999</v>
      </c>
      <c r="B1000" t="s">
        <v>346</v>
      </c>
      <c r="C1000" t="s">
        <v>1660</v>
      </c>
      <c r="D1000" t="s">
        <v>1641</v>
      </c>
      <c r="E1000" t="s">
        <v>1316</v>
      </c>
      <c r="J1000" t="s">
        <v>1461</v>
      </c>
      <c r="K1000">
        <v>0</v>
      </c>
      <c r="N1000">
        <v>999</v>
      </c>
      <c r="O1000" t="str">
        <f>_xlfn.XLOOKUP(Table4[[#This Row],[id]],VALINA[id],VALINA[name])</f>
        <v>Gulf of Venice</v>
      </c>
      <c r="P1000">
        <f>_xlfn.XLOOKUP(Table4[[#This Row],[id]],prov_color!A:A,prov_color!C:C)</f>
        <v>40</v>
      </c>
    </row>
    <row r="1001" spans="1:16" hidden="1" x14ac:dyDescent="0.25">
      <c r="A1001">
        <v>1000</v>
      </c>
      <c r="B1001" t="s">
        <v>346</v>
      </c>
      <c r="C1001" t="s">
        <v>1660</v>
      </c>
      <c r="D1001" t="s">
        <v>1641</v>
      </c>
      <c r="E1001" t="s">
        <v>1316</v>
      </c>
      <c r="J1001" t="s">
        <v>1462</v>
      </c>
      <c r="K1001">
        <v>0</v>
      </c>
      <c r="N1001">
        <v>1000</v>
      </c>
      <c r="O1001" t="str">
        <f>_xlfn.XLOOKUP(Table4[[#This Row],[id]],VALINA[id],VALINA[name])</f>
        <v>Adriatic Sea</v>
      </c>
      <c r="P1001">
        <f>_xlfn.XLOOKUP(Table4[[#This Row],[id]],prov_color!A:A,prov_color!C:C)</f>
        <v>50</v>
      </c>
    </row>
    <row r="1002" spans="1:16" hidden="1" x14ac:dyDescent="0.25">
      <c r="A1002">
        <v>1001</v>
      </c>
      <c r="B1002" t="s">
        <v>346</v>
      </c>
      <c r="C1002" t="s">
        <v>1660</v>
      </c>
      <c r="D1002" t="s">
        <v>1641</v>
      </c>
      <c r="E1002" t="s">
        <v>1316</v>
      </c>
      <c r="J1002" t="s">
        <v>1463</v>
      </c>
      <c r="K1002">
        <v>0</v>
      </c>
      <c r="N1002">
        <v>1001</v>
      </c>
      <c r="O1002" t="str">
        <f>_xlfn.XLOOKUP(Table4[[#This Row],[id]],VALINA[id],VALINA[name])</f>
        <v>Straits of Otranto</v>
      </c>
      <c r="P1002">
        <f>_xlfn.XLOOKUP(Table4[[#This Row],[id]],prov_color!A:A,prov_color!C:C)</f>
        <v>48</v>
      </c>
    </row>
    <row r="1003" spans="1:16" hidden="1" x14ac:dyDescent="0.25">
      <c r="A1003">
        <v>1002</v>
      </c>
      <c r="B1003" t="s">
        <v>346</v>
      </c>
      <c r="C1003" t="s">
        <v>1660</v>
      </c>
      <c r="D1003" t="s">
        <v>1641</v>
      </c>
      <c r="E1003" t="s">
        <v>1316</v>
      </c>
      <c r="J1003" t="s">
        <v>1464</v>
      </c>
      <c r="K1003">
        <v>0</v>
      </c>
      <c r="N1003">
        <v>1002</v>
      </c>
      <c r="O1003" t="str">
        <f>_xlfn.XLOOKUP(Table4[[#This Row],[id]],VALINA[id],VALINA[name])</f>
        <v>Ionian Sea</v>
      </c>
      <c r="P1003">
        <f>_xlfn.XLOOKUP(Table4[[#This Row],[id]],prov_color!A:A,prov_color!C:C)</f>
        <v>51</v>
      </c>
    </row>
    <row r="1004" spans="1:16" hidden="1" x14ac:dyDescent="0.25">
      <c r="A1004">
        <v>1003</v>
      </c>
      <c r="B1004" t="s">
        <v>346</v>
      </c>
      <c r="C1004" t="s">
        <v>1660</v>
      </c>
      <c r="D1004" t="s">
        <v>1641</v>
      </c>
      <c r="E1004" t="s">
        <v>1316</v>
      </c>
      <c r="J1004" t="s">
        <v>1447</v>
      </c>
      <c r="K1004">
        <v>0</v>
      </c>
      <c r="N1004">
        <v>1003</v>
      </c>
      <c r="O1004" t="str">
        <f>_xlfn.XLOOKUP(Table4[[#This Row],[id]],VALINA[id],VALINA[name])</f>
        <v>Gulf of Tobruk</v>
      </c>
      <c r="P1004">
        <f>_xlfn.XLOOKUP(Table4[[#This Row],[id]],prov_color!A:A,prov_color!C:C)</f>
        <v>47</v>
      </c>
    </row>
    <row r="1005" spans="1:16" hidden="1" x14ac:dyDescent="0.25">
      <c r="A1005">
        <v>1004</v>
      </c>
      <c r="B1005" t="s">
        <v>346</v>
      </c>
      <c r="C1005" t="s">
        <v>1660</v>
      </c>
      <c r="D1005" t="s">
        <v>1641</v>
      </c>
      <c r="E1005" t="s">
        <v>1316</v>
      </c>
      <c r="J1005" t="s">
        <v>1448</v>
      </c>
      <c r="K1005">
        <v>0</v>
      </c>
      <c r="N1005">
        <v>1004</v>
      </c>
      <c r="O1005" t="str">
        <f>_xlfn.XLOOKUP(Table4[[#This Row],[id]],VALINA[id],VALINA[name])</f>
        <v>Bay of Alexandria</v>
      </c>
      <c r="P1005">
        <f>_xlfn.XLOOKUP(Table4[[#This Row],[id]],prov_color!A:A,prov_color!C:C)</f>
        <v>32</v>
      </c>
    </row>
    <row r="1006" spans="1:16" hidden="1" x14ac:dyDescent="0.25">
      <c r="A1006">
        <v>1005</v>
      </c>
      <c r="B1006" t="s">
        <v>346</v>
      </c>
      <c r="C1006" t="s">
        <v>1660</v>
      </c>
      <c r="D1006" t="s">
        <v>1641</v>
      </c>
      <c r="E1006" t="s">
        <v>1316</v>
      </c>
      <c r="J1006" t="s">
        <v>1449</v>
      </c>
      <c r="K1006">
        <v>0</v>
      </c>
      <c r="N1006">
        <v>1005</v>
      </c>
      <c r="O1006" t="str">
        <f>_xlfn.XLOOKUP(Table4[[#This Row],[id]],VALINA[id],VALINA[name])</f>
        <v>Coast of Palestine</v>
      </c>
      <c r="P1006">
        <f>_xlfn.XLOOKUP(Table4[[#This Row],[id]],prov_color!A:A,prov_color!C:C)</f>
        <v>37</v>
      </c>
    </row>
    <row r="1007" spans="1:16" hidden="1" x14ac:dyDescent="0.25">
      <c r="A1007">
        <v>1006</v>
      </c>
      <c r="B1007" t="s">
        <v>346</v>
      </c>
      <c r="C1007" t="s">
        <v>1660</v>
      </c>
      <c r="D1007" t="s">
        <v>1641</v>
      </c>
      <c r="E1007" t="s">
        <v>1316</v>
      </c>
      <c r="J1007" t="s">
        <v>1784</v>
      </c>
      <c r="K1007">
        <v>0</v>
      </c>
      <c r="N1007">
        <v>1006</v>
      </c>
      <c r="O1007" t="str">
        <f>_xlfn.XLOOKUP(Table4[[#This Row],[id]],VALINA[id],VALINA[name])</f>
        <v>Gulf of Cyprus</v>
      </c>
      <c r="P1007">
        <f>_xlfn.XLOOKUP(Table4[[#This Row],[id]],prov_color!A:A,prov_color!C:C)</f>
        <v>46</v>
      </c>
    </row>
    <row r="1008" spans="1:16" hidden="1" x14ac:dyDescent="0.25">
      <c r="A1008">
        <v>1007</v>
      </c>
      <c r="B1008" t="s">
        <v>346</v>
      </c>
      <c r="C1008" t="s">
        <v>1660</v>
      </c>
      <c r="D1008" t="s">
        <v>1641</v>
      </c>
      <c r="E1008" t="s">
        <v>1316</v>
      </c>
      <c r="J1008" t="s">
        <v>1785</v>
      </c>
      <c r="K1008">
        <v>0</v>
      </c>
      <c r="N1008">
        <v>1007</v>
      </c>
      <c r="O1008" t="str">
        <f>_xlfn.XLOOKUP(Table4[[#This Row],[id]],VALINA[id],VALINA[name])</f>
        <v>Eastern Mediterranean</v>
      </c>
      <c r="P1008">
        <f>_xlfn.XLOOKUP(Table4[[#This Row],[id]],prov_color!A:A,prov_color!C:C)</f>
        <v>48</v>
      </c>
    </row>
    <row r="1009" spans="1:16" hidden="1" x14ac:dyDescent="0.25">
      <c r="A1009">
        <v>1008</v>
      </c>
      <c r="B1009" t="s">
        <v>346</v>
      </c>
      <c r="C1009" t="s">
        <v>1660</v>
      </c>
      <c r="D1009" t="s">
        <v>1641</v>
      </c>
      <c r="E1009" t="s">
        <v>1316</v>
      </c>
      <c r="J1009" t="s">
        <v>1446</v>
      </c>
      <c r="K1009">
        <v>0</v>
      </c>
      <c r="N1009">
        <v>1008</v>
      </c>
      <c r="O1009" t="str">
        <f>_xlfn.XLOOKUP(Table4[[#This Row],[id]],VALINA[id],VALINA[name])</f>
        <v>Cretan Sea</v>
      </c>
      <c r="P1009">
        <f>_xlfn.XLOOKUP(Table4[[#This Row],[id]],prov_color!A:A,prov_color!C:C)</f>
        <v>47</v>
      </c>
    </row>
    <row r="1010" spans="1:16" hidden="1" x14ac:dyDescent="0.25">
      <c r="A1010">
        <v>1009</v>
      </c>
      <c r="B1010" t="s">
        <v>346</v>
      </c>
      <c r="C1010" t="s">
        <v>1660</v>
      </c>
      <c r="D1010" t="s">
        <v>1641</v>
      </c>
      <c r="E1010" t="s">
        <v>1316</v>
      </c>
      <c r="J1010" t="s">
        <v>1786</v>
      </c>
      <c r="K1010">
        <v>0</v>
      </c>
      <c r="N1010">
        <v>1009</v>
      </c>
      <c r="O1010" t="str">
        <f>_xlfn.XLOOKUP(Table4[[#This Row],[id]],VALINA[id],VALINA[name])</f>
        <v>The Dodecanese</v>
      </c>
      <c r="P1010">
        <f>_xlfn.XLOOKUP(Table4[[#This Row],[id]],prov_color!A:A,prov_color!C:C)</f>
        <v>37</v>
      </c>
    </row>
    <row r="1011" spans="1:16" hidden="1" x14ac:dyDescent="0.25">
      <c r="A1011">
        <v>1010</v>
      </c>
      <c r="B1011" t="s">
        <v>346</v>
      </c>
      <c r="C1011" t="s">
        <v>1660</v>
      </c>
      <c r="D1011" t="s">
        <v>1641</v>
      </c>
      <c r="E1011" t="s">
        <v>1316</v>
      </c>
      <c r="J1011" t="s">
        <v>1787</v>
      </c>
      <c r="K1011">
        <v>0</v>
      </c>
      <c r="N1011">
        <v>1010</v>
      </c>
      <c r="O1011" t="str">
        <f>_xlfn.XLOOKUP(Table4[[#This Row],[id]],VALINA[id],VALINA[name])</f>
        <v>The Cyclades</v>
      </c>
      <c r="P1011">
        <f>_xlfn.XLOOKUP(Table4[[#This Row],[id]],prov_color!A:A,prov_color!C:C)</f>
        <v>34</v>
      </c>
    </row>
    <row r="1012" spans="1:16" hidden="1" x14ac:dyDescent="0.25">
      <c r="A1012">
        <v>1011</v>
      </c>
      <c r="B1012" t="s">
        <v>346</v>
      </c>
      <c r="C1012" t="s">
        <v>1660</v>
      </c>
      <c r="D1012" t="s">
        <v>1641</v>
      </c>
      <c r="E1012" t="s">
        <v>1316</v>
      </c>
      <c r="J1012" t="s">
        <v>1788</v>
      </c>
      <c r="K1012">
        <v>0</v>
      </c>
      <c r="N1012">
        <v>1011</v>
      </c>
      <c r="O1012" t="str">
        <f>_xlfn.XLOOKUP(Table4[[#This Row],[id]],VALINA[id],VALINA[name])</f>
        <v>Aegean Sea</v>
      </c>
      <c r="P1012">
        <f>_xlfn.XLOOKUP(Table4[[#This Row],[id]],prov_color!A:A,prov_color!C:C)</f>
        <v>44</v>
      </c>
    </row>
    <row r="1013" spans="1:16" hidden="1" x14ac:dyDescent="0.25">
      <c r="A1013">
        <v>1012</v>
      </c>
      <c r="B1013" t="s">
        <v>346</v>
      </c>
      <c r="C1013" t="s">
        <v>1660</v>
      </c>
      <c r="D1013" t="s">
        <v>1641</v>
      </c>
      <c r="E1013" t="s">
        <v>1316</v>
      </c>
      <c r="J1013" t="s">
        <v>1445</v>
      </c>
      <c r="K1013">
        <v>0</v>
      </c>
      <c r="N1013">
        <v>1012</v>
      </c>
      <c r="O1013" t="str">
        <f>_xlfn.XLOOKUP(Table4[[#This Row],[id]],VALINA[id],VALINA[name])</f>
        <v>Sea of Marmara</v>
      </c>
      <c r="P1013">
        <f>_xlfn.XLOOKUP(Table4[[#This Row],[id]],prov_color!A:A,prov_color!C:C)</f>
        <v>33</v>
      </c>
    </row>
    <row r="1014" spans="1:16" hidden="1" x14ac:dyDescent="0.25">
      <c r="A1014">
        <v>1013</v>
      </c>
      <c r="B1014" t="s">
        <v>346</v>
      </c>
      <c r="C1014" t="s">
        <v>1660</v>
      </c>
      <c r="D1014" t="s">
        <v>1641</v>
      </c>
      <c r="E1014" t="s">
        <v>1316</v>
      </c>
      <c r="J1014" t="s">
        <v>1444</v>
      </c>
      <c r="K1014">
        <v>0</v>
      </c>
      <c r="N1014">
        <v>1013</v>
      </c>
      <c r="O1014" t="str">
        <f>_xlfn.XLOOKUP(Table4[[#This Row],[id]],VALINA[id],VALINA[name])</f>
        <v>Gulf of Varna</v>
      </c>
      <c r="P1014">
        <f>_xlfn.XLOOKUP(Table4[[#This Row],[id]],prov_color!A:A,prov_color!C:C)</f>
        <v>38</v>
      </c>
    </row>
    <row r="1015" spans="1:16" hidden="1" x14ac:dyDescent="0.25">
      <c r="A1015">
        <v>1014</v>
      </c>
      <c r="B1015" t="s">
        <v>346</v>
      </c>
      <c r="C1015" t="s">
        <v>1660</v>
      </c>
      <c r="D1015" t="s">
        <v>1641</v>
      </c>
      <c r="E1015" t="s">
        <v>1316</v>
      </c>
      <c r="J1015" t="s">
        <v>1443</v>
      </c>
      <c r="K1015">
        <v>0</v>
      </c>
      <c r="N1015">
        <v>1014</v>
      </c>
      <c r="O1015" t="str">
        <f>_xlfn.XLOOKUP(Table4[[#This Row],[id]],VALINA[id],VALINA[name])</f>
        <v>Gulf of Odessa</v>
      </c>
      <c r="P1015">
        <f>_xlfn.XLOOKUP(Table4[[#This Row],[id]],prov_color!A:A,prov_color!C:C)</f>
        <v>35</v>
      </c>
    </row>
    <row r="1016" spans="1:16" hidden="1" x14ac:dyDescent="0.25">
      <c r="A1016">
        <v>1015</v>
      </c>
      <c r="B1016" t="s">
        <v>346</v>
      </c>
      <c r="C1016" t="s">
        <v>1660</v>
      </c>
      <c r="D1016" t="s">
        <v>1641</v>
      </c>
      <c r="E1016" t="s">
        <v>1316</v>
      </c>
      <c r="J1016" t="s">
        <v>1441</v>
      </c>
      <c r="K1016">
        <v>0</v>
      </c>
      <c r="N1016">
        <v>1015</v>
      </c>
      <c r="O1016" t="str">
        <f>_xlfn.XLOOKUP(Table4[[#This Row],[id]],VALINA[id],VALINA[name])</f>
        <v>Western Black Sea</v>
      </c>
      <c r="P1016">
        <f>_xlfn.XLOOKUP(Table4[[#This Row],[id]],prov_color!A:A,prov_color!C:C)</f>
        <v>68</v>
      </c>
    </row>
    <row r="1017" spans="1:16" hidden="1" x14ac:dyDescent="0.25">
      <c r="A1017">
        <v>1016</v>
      </c>
      <c r="B1017" t="s">
        <v>346</v>
      </c>
      <c r="C1017" t="s">
        <v>1660</v>
      </c>
      <c r="D1017" t="s">
        <v>1641</v>
      </c>
      <c r="E1017" t="s">
        <v>1316</v>
      </c>
      <c r="J1017" t="s">
        <v>1442</v>
      </c>
      <c r="K1017">
        <v>0</v>
      </c>
      <c r="N1017">
        <v>1016</v>
      </c>
      <c r="O1017" t="str">
        <f>_xlfn.XLOOKUP(Table4[[#This Row],[id]],VALINA[id],VALINA[name])</f>
        <v>Eastern Black Sea</v>
      </c>
      <c r="P1017">
        <f>_xlfn.XLOOKUP(Table4[[#This Row],[id]],prov_color!A:A,prov_color!C:C)</f>
        <v>55</v>
      </c>
    </row>
    <row r="1018" spans="1:16" hidden="1" x14ac:dyDescent="0.25">
      <c r="A1018">
        <v>1017</v>
      </c>
      <c r="B1018" t="s">
        <v>346</v>
      </c>
      <c r="C1018" t="s">
        <v>1660</v>
      </c>
      <c r="D1018" t="s">
        <v>1641</v>
      </c>
      <c r="E1018" t="s">
        <v>1316</v>
      </c>
      <c r="J1018" t="s">
        <v>1440</v>
      </c>
      <c r="K1018">
        <v>0</v>
      </c>
      <c r="N1018">
        <v>1017</v>
      </c>
      <c r="O1018" t="str">
        <f>_xlfn.XLOOKUP(Table4[[#This Row],[id]],VALINA[id],VALINA[name])</f>
        <v>Sea of Azov</v>
      </c>
      <c r="P1018">
        <f>_xlfn.XLOOKUP(Table4[[#This Row],[id]],prov_color!A:A,prov_color!C:C)</f>
        <v>25</v>
      </c>
    </row>
    <row r="1019" spans="1:16" hidden="1" x14ac:dyDescent="0.25">
      <c r="A1019">
        <v>1018</v>
      </c>
      <c r="B1019" t="s">
        <v>653</v>
      </c>
      <c r="C1019" t="s">
        <v>1655</v>
      </c>
      <c r="D1019" t="s">
        <v>1641</v>
      </c>
      <c r="E1019" t="s">
        <v>1316</v>
      </c>
      <c r="J1019" t="s">
        <v>1357</v>
      </c>
      <c r="K1019">
        <v>0</v>
      </c>
      <c r="N1019">
        <v>1018</v>
      </c>
      <c r="O1019" t="str">
        <f>_xlfn.XLOOKUP(Table4[[#This Row],[id]],VALINA[id],VALINA[name])</f>
        <v>Yang Tse Delta</v>
      </c>
      <c r="P1019">
        <f>_xlfn.XLOOKUP(Table4[[#This Row],[id]],prov_color!A:A,prov_color!C:C)</f>
        <v>105</v>
      </c>
    </row>
    <row r="1020" spans="1:16" hidden="1" x14ac:dyDescent="0.25">
      <c r="A1020">
        <v>1019</v>
      </c>
      <c r="B1020" t="s">
        <v>653</v>
      </c>
      <c r="C1020" t="s">
        <v>1655</v>
      </c>
      <c r="D1020" t="s">
        <v>1641</v>
      </c>
      <c r="E1020" t="s">
        <v>1316</v>
      </c>
      <c r="J1020" t="s">
        <v>1365</v>
      </c>
      <c r="K1020">
        <v>0</v>
      </c>
      <c r="N1020">
        <v>1019</v>
      </c>
      <c r="O1020" t="str">
        <f>_xlfn.XLOOKUP(Table4[[#This Row],[id]],VALINA[id],VALINA[name])</f>
        <v>Amakusa Sea</v>
      </c>
      <c r="P1020">
        <f>_xlfn.XLOOKUP(Table4[[#This Row],[id]],prov_color!A:A,prov_color!C:C)</f>
        <v>93</v>
      </c>
    </row>
    <row r="1021" spans="1:16" hidden="1" x14ac:dyDescent="0.25">
      <c r="A1021">
        <v>1020</v>
      </c>
      <c r="B1021" t="s">
        <v>653</v>
      </c>
      <c r="C1021" t="s">
        <v>1651</v>
      </c>
      <c r="D1021" t="s">
        <v>1641</v>
      </c>
      <c r="E1021" t="s">
        <v>1316</v>
      </c>
      <c r="J1021" t="s">
        <v>1789</v>
      </c>
      <c r="K1021">
        <v>0</v>
      </c>
      <c r="N1021">
        <v>1020</v>
      </c>
      <c r="O1021" t="str">
        <f>_xlfn.XLOOKUP(Table4[[#This Row],[id]],VALINA[id],VALINA[name])</f>
        <v>Setto Inland Sea</v>
      </c>
      <c r="P1021">
        <f>_xlfn.XLOOKUP(Table4[[#This Row],[id]],prov_color!A:A,prov_color!C:C)</f>
        <v>91</v>
      </c>
    </row>
    <row r="1022" spans="1:16" hidden="1" x14ac:dyDescent="0.25">
      <c r="A1022">
        <v>1021</v>
      </c>
      <c r="B1022" t="s">
        <v>653</v>
      </c>
      <c r="C1022" t="s">
        <v>1651</v>
      </c>
      <c r="D1022" t="s">
        <v>1641</v>
      </c>
      <c r="E1022" t="s">
        <v>1316</v>
      </c>
      <c r="J1022" t="s">
        <v>1363</v>
      </c>
      <c r="K1022">
        <v>0</v>
      </c>
      <c r="N1022">
        <v>1021</v>
      </c>
      <c r="O1022" t="str">
        <f>_xlfn.XLOOKUP(Table4[[#This Row],[id]],VALINA[id],VALINA[name])</f>
        <v>Tokai Sea</v>
      </c>
      <c r="P1022">
        <f>_xlfn.XLOOKUP(Table4[[#This Row],[id]],prov_color!A:A,prov_color!C:C)</f>
        <v>157</v>
      </c>
    </row>
    <row r="1023" spans="1:16" hidden="1" x14ac:dyDescent="0.25">
      <c r="A1023">
        <v>1022</v>
      </c>
      <c r="B1023" t="s">
        <v>653</v>
      </c>
      <c r="C1023" t="s">
        <v>1651</v>
      </c>
      <c r="D1023" t="s">
        <v>1641</v>
      </c>
      <c r="E1023" t="s">
        <v>1316</v>
      </c>
      <c r="J1023" t="s">
        <v>1596</v>
      </c>
      <c r="K1023">
        <v>0</v>
      </c>
      <c r="N1023">
        <v>1022</v>
      </c>
      <c r="O1023" t="str">
        <f>_xlfn.XLOOKUP(Table4[[#This Row],[id]],VALINA[id],VALINA[name])</f>
        <v>Iwo Jima Sea</v>
      </c>
      <c r="P1023">
        <f>_xlfn.XLOOKUP(Table4[[#This Row],[id]],prov_color!A:A,prov_color!C:C)</f>
        <v>312</v>
      </c>
    </row>
    <row r="1024" spans="1:16" hidden="1" x14ac:dyDescent="0.25">
      <c r="A1024">
        <v>1023</v>
      </c>
      <c r="B1024" t="s">
        <v>653</v>
      </c>
      <c r="C1024" t="s">
        <v>1656</v>
      </c>
      <c r="D1024" t="s">
        <v>1641</v>
      </c>
      <c r="E1024" t="s">
        <v>1316</v>
      </c>
      <c r="J1024" t="s">
        <v>1745</v>
      </c>
      <c r="N1024">
        <v>0</v>
      </c>
      <c r="O1024" t="str">
        <f>_xlfn.XLOOKUP(Table4[[#This Row],[id]],VALINA[id],VALINA[name])</f>
        <v>Northwestern Pacific Ocean</v>
      </c>
      <c r="P1024">
        <f>_xlfn.XLOOKUP(Table4[[#This Row],[id]],prov_color!A:A,prov_color!C:C)</f>
        <v>576</v>
      </c>
    </row>
    <row r="1025" spans="1:16" hidden="1" x14ac:dyDescent="0.25">
      <c r="A1025">
        <v>1024</v>
      </c>
      <c r="B1025" t="s">
        <v>653</v>
      </c>
      <c r="C1025" t="s">
        <v>1656</v>
      </c>
      <c r="D1025" t="s">
        <v>1641</v>
      </c>
      <c r="E1025" t="s">
        <v>1316</v>
      </c>
      <c r="J1025" t="s">
        <v>1745</v>
      </c>
      <c r="N1025">
        <v>0</v>
      </c>
      <c r="O1025" t="str">
        <f>_xlfn.XLOOKUP(Table4[[#This Row],[id]],VALINA[id],VALINA[name])</f>
        <v>Northwestern Pacific Ocean</v>
      </c>
      <c r="P1025">
        <f>_xlfn.XLOOKUP(Table4[[#This Row],[id]],prov_color!A:A,prov_color!C:C)</f>
        <v>494</v>
      </c>
    </row>
    <row r="1026" spans="1:16" hidden="1" x14ac:dyDescent="0.25">
      <c r="A1026">
        <v>1025</v>
      </c>
      <c r="B1026" t="s">
        <v>653</v>
      </c>
      <c r="C1026" t="s">
        <v>1656</v>
      </c>
      <c r="D1026" t="s">
        <v>1641</v>
      </c>
      <c r="E1026" t="s">
        <v>1316</v>
      </c>
      <c r="J1026" t="s">
        <v>1745</v>
      </c>
      <c r="N1026">
        <v>0</v>
      </c>
      <c r="O1026" t="str">
        <f>_xlfn.XLOOKUP(Table4[[#This Row],[id]],VALINA[id],VALINA[name])</f>
        <v>Northwestern Pacific Ocean</v>
      </c>
      <c r="P1026">
        <f>_xlfn.XLOOKUP(Table4[[#This Row],[id]],prov_color!A:A,prov_color!C:C)</f>
        <v>558</v>
      </c>
    </row>
    <row r="1027" spans="1:16" hidden="1" x14ac:dyDescent="0.25">
      <c r="A1027">
        <v>1026</v>
      </c>
      <c r="B1027" t="s">
        <v>990</v>
      </c>
      <c r="C1027" t="s">
        <v>1656</v>
      </c>
      <c r="D1027" t="s">
        <v>1641</v>
      </c>
      <c r="E1027" t="s">
        <v>1316</v>
      </c>
      <c r="J1027" t="s">
        <v>1745</v>
      </c>
      <c r="N1027">
        <v>0</v>
      </c>
      <c r="O1027" t="str">
        <f>_xlfn.XLOOKUP(Table4[[#This Row],[id]],VALINA[id],VALINA[name])</f>
        <v>Northwestern Pacific Ocean</v>
      </c>
      <c r="P1027">
        <f>_xlfn.XLOOKUP(Table4[[#This Row],[id]],prov_color!A:A,prov_color!C:C)</f>
        <v>1034</v>
      </c>
    </row>
    <row r="1028" spans="1:16" hidden="1" x14ac:dyDescent="0.25">
      <c r="A1028">
        <v>1027</v>
      </c>
      <c r="B1028" t="s">
        <v>653</v>
      </c>
      <c r="C1028" t="s">
        <v>1640</v>
      </c>
      <c r="D1028" t="s">
        <v>1641</v>
      </c>
      <c r="E1028" t="s">
        <v>1316</v>
      </c>
      <c r="J1028" t="s">
        <v>1745</v>
      </c>
      <c r="N1028">
        <v>0</v>
      </c>
      <c r="O1028" t="str">
        <f>_xlfn.XLOOKUP(Table4[[#This Row],[id]],VALINA[id],VALINA[name])</f>
        <v>Northwestern Pacific Ocean</v>
      </c>
      <c r="P1028">
        <f>_xlfn.XLOOKUP(Table4[[#This Row],[id]],prov_color!A:A,prov_color!C:C)</f>
        <v>729</v>
      </c>
    </row>
    <row r="1029" spans="1:16" hidden="1" x14ac:dyDescent="0.25">
      <c r="A1029">
        <v>1028</v>
      </c>
      <c r="B1029" t="s">
        <v>990</v>
      </c>
      <c r="C1029" t="s">
        <v>1656</v>
      </c>
      <c r="D1029" t="s">
        <v>1641</v>
      </c>
      <c r="E1029" t="s">
        <v>1316</v>
      </c>
      <c r="J1029" t="s">
        <v>1745</v>
      </c>
      <c r="N1029">
        <v>0</v>
      </c>
      <c r="O1029" t="str">
        <f>_xlfn.XLOOKUP(Table4[[#This Row],[id]],VALINA[id],VALINA[name])</f>
        <v>Northwestern Pacific Ocean</v>
      </c>
      <c r="P1029">
        <f>_xlfn.XLOOKUP(Table4[[#This Row],[id]],prov_color!A:A,prov_color!C:C)</f>
        <v>682</v>
      </c>
    </row>
    <row r="1030" spans="1:16" hidden="1" x14ac:dyDescent="0.25">
      <c r="A1030">
        <v>1029</v>
      </c>
      <c r="B1030" t="s">
        <v>990</v>
      </c>
      <c r="C1030" t="s">
        <v>1652</v>
      </c>
      <c r="D1030" t="s">
        <v>1641</v>
      </c>
      <c r="E1030" t="s">
        <v>1316</v>
      </c>
      <c r="J1030" t="s">
        <v>1790</v>
      </c>
      <c r="N1030">
        <v>0</v>
      </c>
      <c r="O1030" t="str">
        <f>_xlfn.XLOOKUP(Table4[[#This Row],[id]],VALINA[id],VALINA[name])</f>
        <v>Central Pacific Ocean</v>
      </c>
      <c r="P1030">
        <f>_xlfn.XLOOKUP(Table4[[#This Row],[id]],prov_color!A:A,prov_color!C:C)</f>
        <v>594</v>
      </c>
    </row>
    <row r="1031" spans="1:16" hidden="1" x14ac:dyDescent="0.25">
      <c r="A1031">
        <v>1030</v>
      </c>
      <c r="B1031" t="s">
        <v>990</v>
      </c>
      <c r="C1031" t="s">
        <v>1652</v>
      </c>
      <c r="D1031" t="s">
        <v>1641</v>
      </c>
      <c r="E1031" t="s">
        <v>1316</v>
      </c>
      <c r="J1031" t="s">
        <v>1790</v>
      </c>
      <c r="N1031">
        <v>0</v>
      </c>
      <c r="O1031" t="str">
        <f>_xlfn.XLOOKUP(Table4[[#This Row],[id]],VALINA[id],VALINA[name])</f>
        <v>Central Pacific Ocean</v>
      </c>
      <c r="P1031">
        <f>_xlfn.XLOOKUP(Table4[[#This Row],[id]],prov_color!A:A,prov_color!C:C)</f>
        <v>716</v>
      </c>
    </row>
    <row r="1032" spans="1:16" hidden="1" x14ac:dyDescent="0.25">
      <c r="A1032">
        <v>1031</v>
      </c>
      <c r="B1032" t="s">
        <v>990</v>
      </c>
      <c r="C1032" t="s">
        <v>1652</v>
      </c>
      <c r="D1032" t="s">
        <v>1641</v>
      </c>
      <c r="E1032" t="s">
        <v>1316</v>
      </c>
      <c r="J1032" t="s">
        <v>1790</v>
      </c>
      <c r="N1032">
        <v>0</v>
      </c>
      <c r="O1032" t="str">
        <f>_xlfn.XLOOKUP(Table4[[#This Row],[id]],VALINA[id],VALINA[name])</f>
        <v>Central Pacific Ocean</v>
      </c>
      <c r="P1032">
        <f>_xlfn.XLOOKUP(Table4[[#This Row],[id]],prov_color!A:A,prov_color!C:C)</f>
        <v>753</v>
      </c>
    </row>
    <row r="1033" spans="1:16" hidden="1" x14ac:dyDescent="0.25">
      <c r="A1033">
        <v>1032</v>
      </c>
      <c r="B1033" t="s">
        <v>990</v>
      </c>
      <c r="C1033" t="s">
        <v>1652</v>
      </c>
      <c r="D1033" t="s">
        <v>1641</v>
      </c>
      <c r="E1033" t="s">
        <v>1316</v>
      </c>
      <c r="J1033" t="s">
        <v>1778</v>
      </c>
      <c r="N1033">
        <v>0</v>
      </c>
      <c r="O1033" t="str">
        <f>_xlfn.XLOOKUP(Table4[[#This Row],[id]],VALINA[id],VALINA[name])</f>
        <v>Northeastern Pacific Ocean</v>
      </c>
      <c r="P1033">
        <f>_xlfn.XLOOKUP(Table4[[#This Row],[id]],prov_color!A:A,prov_color!C:C)</f>
        <v>1078</v>
      </c>
    </row>
    <row r="1034" spans="1:16" hidden="1" x14ac:dyDescent="0.25">
      <c r="A1034">
        <v>1033</v>
      </c>
      <c r="B1034" t="s">
        <v>990</v>
      </c>
      <c r="C1034" t="s">
        <v>1652</v>
      </c>
      <c r="D1034" t="s">
        <v>1641</v>
      </c>
      <c r="E1034" t="s">
        <v>1316</v>
      </c>
      <c r="J1034" t="s">
        <v>1778</v>
      </c>
      <c r="N1034">
        <v>0</v>
      </c>
      <c r="O1034" t="str">
        <f>_xlfn.XLOOKUP(Table4[[#This Row],[id]],VALINA[id],VALINA[name])</f>
        <v>Northeastern Pacific Ocean</v>
      </c>
      <c r="P1034">
        <f>_xlfn.XLOOKUP(Table4[[#This Row],[id]],prov_color!A:A,prov_color!C:C)</f>
        <v>1011</v>
      </c>
    </row>
    <row r="1035" spans="1:16" hidden="1" x14ac:dyDescent="0.25">
      <c r="A1035">
        <v>1034</v>
      </c>
      <c r="B1035" t="s">
        <v>990</v>
      </c>
      <c r="C1035" t="s">
        <v>1661</v>
      </c>
      <c r="D1035" t="s">
        <v>1641</v>
      </c>
      <c r="E1035" t="s">
        <v>1316</v>
      </c>
      <c r="J1035" t="s">
        <v>1950</v>
      </c>
      <c r="K1035">
        <v>0</v>
      </c>
      <c r="N1035">
        <v>1034</v>
      </c>
      <c r="O1035" t="str">
        <f>_xlfn.XLOOKUP(Table4[[#This Row],[id]],VALINA[id],VALINA[name])</f>
        <v>Galapagos Islands</v>
      </c>
      <c r="P1035">
        <f>_xlfn.XLOOKUP(Table4[[#This Row],[id]],prov_color!A:A,prov_color!C:C)</f>
        <v>425</v>
      </c>
    </row>
    <row r="1036" spans="1:16" hidden="1" x14ac:dyDescent="0.25">
      <c r="A1036">
        <v>1035</v>
      </c>
      <c r="B1036" t="s">
        <v>990</v>
      </c>
      <c r="C1036" t="s">
        <v>1652</v>
      </c>
      <c r="D1036" t="s">
        <v>1641</v>
      </c>
      <c r="E1036" t="s">
        <v>1316</v>
      </c>
      <c r="J1036" t="s">
        <v>1778</v>
      </c>
      <c r="N1036">
        <v>0</v>
      </c>
      <c r="O1036" t="str">
        <f>_xlfn.XLOOKUP(Table4[[#This Row],[id]],VALINA[id],VALINA[name])</f>
        <v>Northeastern Pacific Ocean</v>
      </c>
      <c r="P1036">
        <f>_xlfn.XLOOKUP(Table4[[#This Row],[id]],prov_color!A:A,prov_color!C:C)</f>
        <v>379</v>
      </c>
    </row>
    <row r="1037" spans="1:16" hidden="1" x14ac:dyDescent="0.25">
      <c r="A1037">
        <v>1036</v>
      </c>
      <c r="B1037" t="s">
        <v>11</v>
      </c>
      <c r="C1037" t="s">
        <v>1652</v>
      </c>
      <c r="D1037" t="s">
        <v>1641</v>
      </c>
      <c r="E1037" t="s">
        <v>1316</v>
      </c>
      <c r="J1037" t="s">
        <v>1778</v>
      </c>
      <c r="N1037">
        <v>0</v>
      </c>
      <c r="O1037" t="str">
        <f>_xlfn.XLOOKUP(Table4[[#This Row],[id]],VALINA[id],VALINA[name])</f>
        <v>Northeastern Pacific Ocean</v>
      </c>
      <c r="P1037">
        <f>_xlfn.XLOOKUP(Table4[[#This Row],[id]],prov_color!A:A,prov_color!C:C)</f>
        <v>267</v>
      </c>
    </row>
    <row r="1038" spans="1:16" hidden="1" x14ac:dyDescent="0.25">
      <c r="A1038">
        <v>1037</v>
      </c>
      <c r="B1038" t="s">
        <v>11</v>
      </c>
      <c r="C1038" t="s">
        <v>1652</v>
      </c>
      <c r="D1038" t="s">
        <v>1641</v>
      </c>
      <c r="E1038" t="s">
        <v>1316</v>
      </c>
      <c r="J1038" t="s">
        <v>1778</v>
      </c>
      <c r="N1038">
        <v>0</v>
      </c>
      <c r="O1038" t="str">
        <f>_xlfn.XLOOKUP(Table4[[#This Row],[id]],VALINA[id],VALINA[name])</f>
        <v>Northeastern Pacific Ocean</v>
      </c>
      <c r="P1038">
        <f>_xlfn.XLOOKUP(Table4[[#This Row],[id]],prov_color!A:A,prov_color!C:C)</f>
        <v>144</v>
      </c>
    </row>
    <row r="1039" spans="1:16" hidden="1" x14ac:dyDescent="0.25">
      <c r="A1039">
        <v>1038</v>
      </c>
      <c r="B1039" t="s">
        <v>11</v>
      </c>
      <c r="C1039" t="s">
        <v>1652</v>
      </c>
      <c r="D1039" t="s">
        <v>1641</v>
      </c>
      <c r="E1039" t="s">
        <v>1316</v>
      </c>
      <c r="J1039" t="s">
        <v>1569</v>
      </c>
      <c r="K1039">
        <v>0</v>
      </c>
      <c r="N1039">
        <v>1038</v>
      </c>
      <c r="O1039" t="str">
        <f>_xlfn.XLOOKUP(Table4[[#This Row],[id]],VALINA[id],VALINA[name])</f>
        <v>Bay of Costa Rica</v>
      </c>
      <c r="P1039">
        <f>_xlfn.XLOOKUP(Table4[[#This Row],[id]],prov_color!A:A,prov_color!C:C)</f>
        <v>84</v>
      </c>
    </row>
    <row r="1040" spans="1:16" hidden="1" x14ac:dyDescent="0.25">
      <c r="A1040">
        <v>1039</v>
      </c>
      <c r="B1040" t="s">
        <v>11</v>
      </c>
      <c r="C1040" t="s">
        <v>1652</v>
      </c>
      <c r="D1040" t="s">
        <v>1641</v>
      </c>
      <c r="E1040" t="s">
        <v>1316</v>
      </c>
      <c r="J1040" t="s">
        <v>1568</v>
      </c>
      <c r="K1040">
        <v>0</v>
      </c>
      <c r="N1040">
        <v>1039</v>
      </c>
      <c r="O1040" t="str">
        <f>_xlfn.XLOOKUP(Table4[[#This Row],[id]],VALINA[id],VALINA[name])</f>
        <v>Gulf of Panama</v>
      </c>
      <c r="P1040">
        <f>_xlfn.XLOOKUP(Table4[[#This Row],[id]],prov_color!A:A,prov_color!C:C)</f>
        <v>103</v>
      </c>
    </row>
    <row r="1041" spans="1:16" hidden="1" x14ac:dyDescent="0.25">
      <c r="A1041">
        <v>1040</v>
      </c>
      <c r="B1041" t="s">
        <v>11</v>
      </c>
      <c r="C1041" t="s">
        <v>1661</v>
      </c>
      <c r="D1041" t="s">
        <v>1641</v>
      </c>
      <c r="E1041" t="s">
        <v>1316</v>
      </c>
      <c r="J1041" t="s">
        <v>1566</v>
      </c>
      <c r="K1041">
        <v>0</v>
      </c>
      <c r="N1041">
        <v>1040</v>
      </c>
      <c r="O1041" t="str">
        <f>_xlfn.XLOOKUP(Table4[[#This Row],[id]],VALINA[id],VALINA[name])</f>
        <v>Gulf of Guayaquil</v>
      </c>
      <c r="P1041">
        <f>_xlfn.XLOOKUP(Table4[[#This Row],[id]],prov_color!A:A,prov_color!C:C)</f>
        <v>107</v>
      </c>
    </row>
    <row r="1042" spans="1:16" hidden="1" x14ac:dyDescent="0.25">
      <c r="A1042">
        <v>1041</v>
      </c>
      <c r="B1042" t="s">
        <v>11</v>
      </c>
      <c r="C1042" t="s">
        <v>1661</v>
      </c>
      <c r="D1042" t="s">
        <v>1641</v>
      </c>
      <c r="E1042" t="s">
        <v>1316</v>
      </c>
      <c r="J1042" t="s">
        <v>1567</v>
      </c>
      <c r="K1042">
        <v>0</v>
      </c>
      <c r="N1042">
        <v>1041</v>
      </c>
      <c r="O1042" t="str">
        <f>_xlfn.XLOOKUP(Table4[[#This Row],[id]],VALINA[id],VALINA[name])</f>
        <v>Coast of Ecuador</v>
      </c>
      <c r="P1042">
        <f>_xlfn.XLOOKUP(Table4[[#This Row],[id]],prov_color!A:A,prov_color!C:C)</f>
        <v>94</v>
      </c>
    </row>
    <row r="1043" spans="1:16" hidden="1" x14ac:dyDescent="0.25">
      <c r="A1043">
        <v>1042</v>
      </c>
      <c r="B1043" t="s">
        <v>11</v>
      </c>
      <c r="C1043" t="s">
        <v>1653</v>
      </c>
      <c r="D1043" t="s">
        <v>1641</v>
      </c>
      <c r="E1043" t="s">
        <v>1316</v>
      </c>
      <c r="J1043" t="s">
        <v>1537</v>
      </c>
      <c r="K1043">
        <v>0</v>
      </c>
      <c r="N1043">
        <v>1042</v>
      </c>
      <c r="O1043" t="str">
        <f>_xlfn.XLOOKUP(Table4[[#This Row],[id]],VALINA[id],VALINA[name])</f>
        <v>Mosquitos Coast</v>
      </c>
      <c r="P1043">
        <f>_xlfn.XLOOKUP(Table4[[#This Row],[id]],prov_color!A:A,prov_color!C:C)</f>
        <v>105</v>
      </c>
    </row>
    <row r="1044" spans="1:16" hidden="1" x14ac:dyDescent="0.25">
      <c r="A1044">
        <v>1043</v>
      </c>
      <c r="B1044" t="s">
        <v>11</v>
      </c>
      <c r="C1044" t="s">
        <v>1653</v>
      </c>
      <c r="D1044" t="s">
        <v>1641</v>
      </c>
      <c r="E1044" t="s">
        <v>1316</v>
      </c>
      <c r="J1044" t="s">
        <v>1538</v>
      </c>
      <c r="K1044">
        <v>0</v>
      </c>
      <c r="N1044">
        <v>1043</v>
      </c>
      <c r="O1044" t="str">
        <f>_xlfn.XLOOKUP(Table4[[#This Row],[id]],VALINA[id],VALINA[name])</f>
        <v>Gulf of Darien</v>
      </c>
      <c r="P1044">
        <f>_xlfn.XLOOKUP(Table4[[#This Row],[id]],prov_color!A:A,prov_color!C:C)</f>
        <v>87</v>
      </c>
    </row>
    <row r="1045" spans="1:16" hidden="1" x14ac:dyDescent="0.25">
      <c r="A1045">
        <v>1044</v>
      </c>
      <c r="B1045" t="s">
        <v>11</v>
      </c>
      <c r="C1045" t="s">
        <v>1653</v>
      </c>
      <c r="D1045" t="s">
        <v>1641</v>
      </c>
      <c r="E1045" t="s">
        <v>1316</v>
      </c>
      <c r="J1045" t="s">
        <v>1541</v>
      </c>
      <c r="K1045">
        <v>0</v>
      </c>
      <c r="N1045">
        <v>1044</v>
      </c>
      <c r="O1045" t="str">
        <f>_xlfn.XLOOKUP(Table4[[#This Row],[id]],VALINA[id],VALINA[name])</f>
        <v>Caribbean Sea</v>
      </c>
      <c r="P1045">
        <f>_xlfn.XLOOKUP(Table4[[#This Row],[id]],prov_color!A:A,prov_color!C:C)</f>
        <v>75</v>
      </c>
    </row>
    <row r="1046" spans="1:16" hidden="1" x14ac:dyDescent="0.25">
      <c r="A1046">
        <v>1045</v>
      </c>
      <c r="B1046" t="s">
        <v>11</v>
      </c>
      <c r="C1046" t="s">
        <v>1653</v>
      </c>
      <c r="D1046" t="s">
        <v>1641</v>
      </c>
      <c r="E1046" t="s">
        <v>1316</v>
      </c>
      <c r="J1046" t="s">
        <v>1544</v>
      </c>
      <c r="K1046">
        <v>0</v>
      </c>
      <c r="N1046">
        <v>1045</v>
      </c>
      <c r="O1046" t="str">
        <f>_xlfn.XLOOKUP(Table4[[#This Row],[id]],VALINA[id],VALINA[name])</f>
        <v>Venezuelan Sea</v>
      </c>
      <c r="P1046">
        <f>_xlfn.XLOOKUP(Table4[[#This Row],[id]],prov_color!A:A,prov_color!C:C)</f>
        <v>88</v>
      </c>
    </row>
    <row r="1047" spans="1:16" hidden="1" x14ac:dyDescent="0.25">
      <c r="A1047">
        <v>1046</v>
      </c>
      <c r="B1047" t="s">
        <v>11</v>
      </c>
      <c r="C1047" t="s">
        <v>1653</v>
      </c>
      <c r="D1047" t="s">
        <v>1641</v>
      </c>
      <c r="E1047" t="s">
        <v>1316</v>
      </c>
      <c r="J1047" t="s">
        <v>1542</v>
      </c>
      <c r="K1047">
        <v>0</v>
      </c>
      <c r="N1047">
        <v>1046</v>
      </c>
      <c r="O1047" t="str">
        <f>_xlfn.XLOOKUP(Table4[[#This Row],[id]],VALINA[id],VALINA[name])</f>
        <v>Straits of Puerto Rico</v>
      </c>
      <c r="P1047">
        <f>_xlfn.XLOOKUP(Table4[[#This Row],[id]],prov_color!A:A,prov_color!C:C)</f>
        <v>84</v>
      </c>
    </row>
    <row r="1048" spans="1:16" hidden="1" x14ac:dyDescent="0.25">
      <c r="A1048">
        <v>1047</v>
      </c>
      <c r="B1048" t="s">
        <v>11</v>
      </c>
      <c r="C1048" t="s">
        <v>1653</v>
      </c>
      <c r="D1048" t="s">
        <v>1641</v>
      </c>
      <c r="E1048" t="s">
        <v>1316</v>
      </c>
      <c r="J1048" t="s">
        <v>1546</v>
      </c>
      <c r="K1048">
        <v>0</v>
      </c>
      <c r="N1048">
        <v>1047</v>
      </c>
      <c r="O1048" t="str">
        <f>_xlfn.XLOOKUP(Table4[[#This Row],[id]],VALINA[id],VALINA[name])</f>
        <v>Leeward Islands</v>
      </c>
      <c r="P1048">
        <f>_xlfn.XLOOKUP(Table4[[#This Row],[id]],prov_color!A:A,prov_color!C:C)</f>
        <v>102</v>
      </c>
    </row>
    <row r="1049" spans="1:16" hidden="1" x14ac:dyDescent="0.25">
      <c r="A1049">
        <v>1048</v>
      </c>
      <c r="B1049" t="s">
        <v>11</v>
      </c>
      <c r="C1049" t="s">
        <v>1653</v>
      </c>
      <c r="D1049" t="s">
        <v>1641</v>
      </c>
      <c r="E1049" t="s">
        <v>1316</v>
      </c>
      <c r="J1049" t="s">
        <v>1792</v>
      </c>
      <c r="K1049">
        <v>0</v>
      </c>
      <c r="N1049">
        <v>1048</v>
      </c>
      <c r="O1049" t="str">
        <f>_xlfn.XLOOKUP(Table4[[#This Row],[id]],VALINA[id],VALINA[name])</f>
        <v>Winward Islands</v>
      </c>
      <c r="P1049">
        <f>_xlfn.XLOOKUP(Table4[[#This Row],[id]],prov_color!A:A,prov_color!C:C)</f>
        <v>86</v>
      </c>
    </row>
    <row r="1050" spans="1:16" hidden="1" x14ac:dyDescent="0.25">
      <c r="A1050">
        <v>1049</v>
      </c>
      <c r="B1050" t="s">
        <v>11</v>
      </c>
      <c r="C1050" t="s">
        <v>1653</v>
      </c>
      <c r="D1050" t="s">
        <v>1641</v>
      </c>
      <c r="E1050" t="s">
        <v>1316</v>
      </c>
      <c r="J1050" t="s">
        <v>1433</v>
      </c>
      <c r="N1050">
        <v>0</v>
      </c>
      <c r="O1050" t="str">
        <f>_xlfn.XLOOKUP(Table4[[#This Row],[id]],VALINA[id],VALINA[name])</f>
        <v>Central Atlantic Ocean</v>
      </c>
      <c r="P1050">
        <f>_xlfn.XLOOKUP(Table4[[#This Row],[id]],prov_color!A:A,prov_color!C:C)</f>
        <v>237</v>
      </c>
    </row>
    <row r="1051" spans="1:16" hidden="1" x14ac:dyDescent="0.25">
      <c r="A1051">
        <v>1050</v>
      </c>
      <c r="B1051" t="s">
        <v>11</v>
      </c>
      <c r="C1051" t="s">
        <v>1653</v>
      </c>
      <c r="D1051" t="s">
        <v>1641</v>
      </c>
      <c r="E1051" t="s">
        <v>1316</v>
      </c>
      <c r="J1051" t="s">
        <v>1433</v>
      </c>
      <c r="N1051">
        <v>0</v>
      </c>
      <c r="O1051" t="str">
        <f>_xlfn.XLOOKUP(Table4[[#This Row],[id]],VALINA[id],VALINA[name])</f>
        <v>Central Atlantic Ocean</v>
      </c>
      <c r="P1051">
        <f>_xlfn.XLOOKUP(Table4[[#This Row],[id]],prov_color!A:A,prov_color!C:C)</f>
        <v>242</v>
      </c>
    </row>
    <row r="1052" spans="1:16" hidden="1" x14ac:dyDescent="0.25">
      <c r="A1052">
        <v>1051</v>
      </c>
      <c r="B1052" t="s">
        <v>11</v>
      </c>
      <c r="C1052" t="s">
        <v>1657</v>
      </c>
      <c r="D1052" t="s">
        <v>1641</v>
      </c>
      <c r="E1052" t="s">
        <v>1316</v>
      </c>
      <c r="J1052" t="s">
        <v>1433</v>
      </c>
      <c r="N1052">
        <v>0</v>
      </c>
      <c r="O1052" t="str">
        <f>_xlfn.XLOOKUP(Table4[[#This Row],[id]],VALINA[id],VALINA[name])</f>
        <v>Central Atlantic Ocean</v>
      </c>
      <c r="P1052">
        <f>_xlfn.XLOOKUP(Table4[[#This Row],[id]],prov_color!A:A,prov_color!C:C)</f>
        <v>310</v>
      </c>
    </row>
    <row r="1053" spans="1:16" hidden="1" x14ac:dyDescent="0.25">
      <c r="A1053">
        <v>1052</v>
      </c>
      <c r="B1053" t="s">
        <v>11</v>
      </c>
      <c r="C1053" t="s">
        <v>1657</v>
      </c>
      <c r="D1053" t="s">
        <v>1641</v>
      </c>
      <c r="E1053" t="s">
        <v>1316</v>
      </c>
      <c r="J1053" t="s">
        <v>1433</v>
      </c>
      <c r="N1053">
        <v>0</v>
      </c>
      <c r="O1053" t="str">
        <f>_xlfn.XLOOKUP(Table4[[#This Row],[id]],VALINA[id],VALINA[name])</f>
        <v>Central Atlantic Ocean</v>
      </c>
      <c r="P1053">
        <f>_xlfn.XLOOKUP(Table4[[#This Row],[id]],prov_color!A:A,prov_color!C:C)</f>
        <v>325</v>
      </c>
    </row>
    <row r="1054" spans="1:16" hidden="1" x14ac:dyDescent="0.25">
      <c r="A1054">
        <v>1053</v>
      </c>
      <c r="B1054" t="s">
        <v>1016</v>
      </c>
      <c r="C1054" t="s">
        <v>1657</v>
      </c>
      <c r="D1054" t="s">
        <v>1641</v>
      </c>
      <c r="E1054" t="s">
        <v>1316</v>
      </c>
      <c r="J1054" t="s">
        <v>1433</v>
      </c>
      <c r="N1054">
        <v>0</v>
      </c>
      <c r="O1054" t="str">
        <f>_xlfn.XLOOKUP(Table4[[#This Row],[id]],VALINA[id],VALINA[name])</f>
        <v>Central Atlantic Ocean</v>
      </c>
      <c r="P1054">
        <f>_xlfn.XLOOKUP(Table4[[#This Row],[id]],prov_color!A:A,prov_color!C:C)</f>
        <v>347</v>
      </c>
    </row>
    <row r="1055" spans="1:16" hidden="1" x14ac:dyDescent="0.25">
      <c r="A1055">
        <v>1054</v>
      </c>
      <c r="B1055" t="s">
        <v>1016</v>
      </c>
      <c r="C1055" t="s">
        <v>1657</v>
      </c>
      <c r="D1055" t="s">
        <v>1641</v>
      </c>
      <c r="E1055" t="s">
        <v>1316</v>
      </c>
      <c r="J1055" t="s">
        <v>1438</v>
      </c>
      <c r="K1055">
        <v>0</v>
      </c>
      <c r="N1055">
        <v>1054</v>
      </c>
      <c r="O1055" t="str">
        <f>_xlfn.XLOOKUP(Table4[[#This Row],[id]],VALINA[id],VALINA[name])</f>
        <v>Arguin Bank</v>
      </c>
      <c r="P1055">
        <f>_xlfn.XLOOKUP(Table4[[#This Row],[id]],prov_color!A:A,prov_color!C:C)</f>
        <v>283</v>
      </c>
    </row>
    <row r="1056" spans="1:16" hidden="1" x14ac:dyDescent="0.25">
      <c r="A1056">
        <v>1055</v>
      </c>
      <c r="B1056" t="s">
        <v>1016</v>
      </c>
      <c r="C1056" t="s">
        <v>1658</v>
      </c>
      <c r="D1056" t="s">
        <v>1641</v>
      </c>
      <c r="E1056" t="s">
        <v>1316</v>
      </c>
      <c r="J1056" t="s">
        <v>1433</v>
      </c>
      <c r="N1056">
        <v>0</v>
      </c>
      <c r="O1056" t="str">
        <f>_xlfn.XLOOKUP(Table4[[#This Row],[id]],VALINA[id],VALINA[name])</f>
        <v>Central Atlantic Ocean</v>
      </c>
      <c r="P1056">
        <f>_xlfn.XLOOKUP(Table4[[#This Row],[id]],prov_color!A:A,prov_color!C:C)</f>
        <v>270</v>
      </c>
    </row>
    <row r="1057" spans="1:16" hidden="1" x14ac:dyDescent="0.25">
      <c r="A1057">
        <v>1056</v>
      </c>
      <c r="B1057" t="s">
        <v>1016</v>
      </c>
      <c r="C1057" t="s">
        <v>1662</v>
      </c>
      <c r="D1057" t="s">
        <v>1641</v>
      </c>
      <c r="E1057" t="s">
        <v>1316</v>
      </c>
      <c r="J1057" t="s">
        <v>1492</v>
      </c>
      <c r="K1057">
        <v>0</v>
      </c>
      <c r="N1057">
        <v>1056</v>
      </c>
      <c r="O1057" t="str">
        <f>_xlfn.XLOOKUP(Table4[[#This Row],[id]],VALINA[id],VALINA[name])</f>
        <v>Mauretanian Coast</v>
      </c>
      <c r="P1057">
        <f>_xlfn.XLOOKUP(Table4[[#This Row],[id]],prov_color!A:A,prov_color!C:C)</f>
        <v>122</v>
      </c>
    </row>
    <row r="1058" spans="1:16" hidden="1" x14ac:dyDescent="0.25">
      <c r="A1058">
        <v>1057</v>
      </c>
      <c r="B1058" t="s">
        <v>1016</v>
      </c>
      <c r="C1058" t="s">
        <v>1658</v>
      </c>
      <c r="D1058" t="s">
        <v>1641</v>
      </c>
      <c r="E1058" t="s">
        <v>1316</v>
      </c>
      <c r="J1058" t="s">
        <v>1491</v>
      </c>
      <c r="K1058">
        <v>0</v>
      </c>
      <c r="N1058">
        <v>1057</v>
      </c>
      <c r="O1058" t="str">
        <f>_xlfn.XLOOKUP(Table4[[#This Row],[id]],VALINA[id],VALINA[name])</f>
        <v>Canarian Sea</v>
      </c>
      <c r="P1058">
        <f>_xlfn.XLOOKUP(Table4[[#This Row],[id]],prov_color!A:A,prov_color!C:C)</f>
        <v>125</v>
      </c>
    </row>
    <row r="1059" spans="1:16" hidden="1" x14ac:dyDescent="0.25">
      <c r="A1059">
        <v>1058</v>
      </c>
      <c r="B1059" t="s">
        <v>1016</v>
      </c>
      <c r="C1059" t="s">
        <v>1658</v>
      </c>
      <c r="D1059" t="s">
        <v>1641</v>
      </c>
      <c r="E1059" t="s">
        <v>1316</v>
      </c>
      <c r="J1059" t="s">
        <v>1490</v>
      </c>
      <c r="K1059">
        <v>0</v>
      </c>
      <c r="N1059">
        <v>1058</v>
      </c>
      <c r="O1059" t="str">
        <f>_xlfn.XLOOKUP(Table4[[#This Row],[id]],VALINA[id],VALINA[name])</f>
        <v>Coast of Morocco</v>
      </c>
      <c r="P1059">
        <f>_xlfn.XLOOKUP(Table4[[#This Row],[id]],prov_color!A:A,prov_color!C:C)</f>
        <v>66</v>
      </c>
    </row>
    <row r="1060" spans="1:16" hidden="1" x14ac:dyDescent="0.25">
      <c r="A1060">
        <v>1059</v>
      </c>
      <c r="B1060" t="s">
        <v>1016</v>
      </c>
      <c r="C1060" t="s">
        <v>1663</v>
      </c>
      <c r="D1060" t="s">
        <v>1641</v>
      </c>
      <c r="E1060" t="s">
        <v>1316</v>
      </c>
      <c r="J1060" t="s">
        <v>1451</v>
      </c>
      <c r="K1060">
        <v>0</v>
      </c>
      <c r="N1060">
        <v>1059</v>
      </c>
      <c r="O1060" t="str">
        <f>_xlfn.XLOOKUP(Table4[[#This Row],[id]],VALINA[id],VALINA[name])</f>
        <v>Gulf of Suez</v>
      </c>
      <c r="P1060">
        <f>_xlfn.XLOOKUP(Table4[[#This Row],[id]],prov_color!A:A,prov_color!C:C)</f>
        <v>75</v>
      </c>
    </row>
    <row r="1061" spans="1:16" hidden="1" x14ac:dyDescent="0.25">
      <c r="A1061">
        <v>1060</v>
      </c>
      <c r="B1061" t="s">
        <v>1016</v>
      </c>
      <c r="C1061" t="s">
        <v>1663</v>
      </c>
      <c r="D1061" t="s">
        <v>1641</v>
      </c>
      <c r="E1061" t="s">
        <v>1316</v>
      </c>
      <c r="J1061" t="s">
        <v>1452</v>
      </c>
      <c r="K1061">
        <v>0</v>
      </c>
      <c r="N1061">
        <v>1060</v>
      </c>
      <c r="O1061" t="str">
        <f>_xlfn.XLOOKUP(Table4[[#This Row],[id]],VALINA[id],VALINA[name])</f>
        <v>Red Sea</v>
      </c>
      <c r="P1061">
        <f>_xlfn.XLOOKUP(Table4[[#This Row],[id]],prov_color!A:A,prov_color!C:C)</f>
        <v>118</v>
      </c>
    </row>
    <row r="1062" spans="1:16" hidden="1" x14ac:dyDescent="0.25">
      <c r="A1062">
        <v>1061</v>
      </c>
      <c r="B1062" t="s">
        <v>1016</v>
      </c>
      <c r="C1062" t="s">
        <v>1663</v>
      </c>
      <c r="D1062" t="s">
        <v>1641</v>
      </c>
      <c r="E1062" t="s">
        <v>1316</v>
      </c>
      <c r="J1062" t="s">
        <v>1795</v>
      </c>
      <c r="K1062">
        <v>0</v>
      </c>
      <c r="N1062">
        <v>1061</v>
      </c>
      <c r="O1062" t="str">
        <f>_xlfn.XLOOKUP(Table4[[#This Row],[id]],VALINA[id],VALINA[name])</f>
        <v>Straits of Obock</v>
      </c>
      <c r="P1062">
        <f>_xlfn.XLOOKUP(Table4[[#This Row],[id]],prov_color!A:A,prov_color!C:C)</f>
        <v>89</v>
      </c>
    </row>
    <row r="1063" spans="1:16" hidden="1" x14ac:dyDescent="0.25">
      <c r="A1063">
        <v>1062</v>
      </c>
      <c r="B1063" t="s">
        <v>1016</v>
      </c>
      <c r="C1063" t="s">
        <v>1663</v>
      </c>
      <c r="D1063" t="s">
        <v>1641</v>
      </c>
      <c r="E1063" t="s">
        <v>1316</v>
      </c>
      <c r="J1063" t="s">
        <v>1796</v>
      </c>
      <c r="K1063">
        <v>0</v>
      </c>
      <c r="N1063">
        <v>1062</v>
      </c>
      <c r="O1063" t="str">
        <f>_xlfn.XLOOKUP(Table4[[#This Row],[id]],VALINA[id],VALINA[name])</f>
        <v>Bab El Mandeb</v>
      </c>
      <c r="P1063">
        <f>_xlfn.XLOOKUP(Table4[[#This Row],[id]],prov_color!A:A,prov_color!C:C)</f>
        <v>133</v>
      </c>
    </row>
    <row r="1064" spans="1:16" hidden="1" x14ac:dyDescent="0.25">
      <c r="A1064">
        <v>1063</v>
      </c>
      <c r="B1064" t="s">
        <v>653</v>
      </c>
      <c r="C1064" t="s">
        <v>1664</v>
      </c>
      <c r="D1064" t="s">
        <v>1641</v>
      </c>
      <c r="E1064" t="s">
        <v>1316</v>
      </c>
      <c r="J1064" t="s">
        <v>1797</v>
      </c>
      <c r="K1064">
        <v>0</v>
      </c>
      <c r="N1064">
        <v>1063</v>
      </c>
      <c r="O1064" t="str">
        <f>_xlfn.XLOOKUP(Table4[[#This Row],[id]],VALINA[id],VALINA[name])</f>
        <v>Straits of Ormuz</v>
      </c>
      <c r="P1064">
        <f>_xlfn.XLOOKUP(Table4[[#This Row],[id]],prov_color!A:A,prov_color!C:C)</f>
        <v>96</v>
      </c>
    </row>
    <row r="1065" spans="1:16" hidden="1" x14ac:dyDescent="0.25">
      <c r="A1065">
        <v>1064</v>
      </c>
      <c r="B1065" t="s">
        <v>653</v>
      </c>
      <c r="C1065" t="s">
        <v>1664</v>
      </c>
      <c r="D1065" t="s">
        <v>1641</v>
      </c>
      <c r="E1065" t="s">
        <v>1316</v>
      </c>
      <c r="J1065" t="s">
        <v>1798</v>
      </c>
      <c r="K1065">
        <v>0</v>
      </c>
      <c r="N1065">
        <v>1064</v>
      </c>
      <c r="O1065" t="str">
        <f>_xlfn.XLOOKUP(Table4[[#This Row],[id]],VALINA[id],VALINA[name])</f>
        <v>Coast of Mascate</v>
      </c>
      <c r="P1065">
        <f>_xlfn.XLOOKUP(Table4[[#This Row],[id]],prov_color!A:A,prov_color!C:C)</f>
        <v>133</v>
      </c>
    </row>
    <row r="1066" spans="1:16" hidden="1" x14ac:dyDescent="0.25">
      <c r="A1066">
        <v>1065</v>
      </c>
      <c r="B1066" t="s">
        <v>653</v>
      </c>
      <c r="C1066" t="s">
        <v>1664</v>
      </c>
      <c r="D1066" t="s">
        <v>1641</v>
      </c>
      <c r="E1066" t="s">
        <v>1316</v>
      </c>
      <c r="J1066" t="s">
        <v>1517</v>
      </c>
      <c r="K1066">
        <v>0</v>
      </c>
      <c r="N1066">
        <v>1065</v>
      </c>
      <c r="O1066" t="str">
        <f>_xlfn.XLOOKUP(Table4[[#This Row],[id]],VALINA[id],VALINA[name])</f>
        <v>Mascate Coast</v>
      </c>
      <c r="P1066">
        <f>_xlfn.XLOOKUP(Table4[[#This Row],[id]],prov_color!A:A,prov_color!C:C)</f>
        <v>73</v>
      </c>
    </row>
    <row r="1067" spans="1:16" hidden="1" x14ac:dyDescent="0.25">
      <c r="A1067">
        <v>1066</v>
      </c>
      <c r="B1067" t="s">
        <v>653</v>
      </c>
      <c r="C1067" t="s">
        <v>1664</v>
      </c>
      <c r="D1067" t="s">
        <v>1641</v>
      </c>
      <c r="E1067" t="s">
        <v>1316</v>
      </c>
      <c r="J1067" t="s">
        <v>1516</v>
      </c>
      <c r="K1067">
        <v>0</v>
      </c>
      <c r="N1067">
        <v>1066</v>
      </c>
      <c r="O1067" t="str">
        <f>_xlfn.XLOOKUP(Table4[[#This Row],[id]],VALINA[id],VALINA[name])</f>
        <v>Gulf of Indus</v>
      </c>
      <c r="P1067">
        <f>_xlfn.XLOOKUP(Table4[[#This Row],[id]],prov_color!A:A,prov_color!C:C)</f>
        <v>111</v>
      </c>
    </row>
    <row r="1068" spans="1:16" hidden="1" x14ac:dyDescent="0.25">
      <c r="A1068">
        <v>1067</v>
      </c>
      <c r="B1068" t="s">
        <v>653</v>
      </c>
      <c r="C1068" t="s">
        <v>1664</v>
      </c>
      <c r="D1068" t="s">
        <v>1641</v>
      </c>
      <c r="E1068" t="s">
        <v>1316</v>
      </c>
      <c r="J1068" t="s">
        <v>1426</v>
      </c>
      <c r="K1068">
        <v>0</v>
      </c>
      <c r="N1068">
        <v>1067</v>
      </c>
      <c r="O1068" t="str">
        <f>_xlfn.XLOOKUP(Table4[[#This Row],[id]],VALINA[id],VALINA[name])</f>
        <v>Western Arabian Sea</v>
      </c>
      <c r="P1068">
        <f>_xlfn.XLOOKUP(Table4[[#This Row],[id]],prov_color!A:A,prov_color!C:C)</f>
        <v>257</v>
      </c>
    </row>
    <row r="1069" spans="1:16" hidden="1" x14ac:dyDescent="0.25">
      <c r="A1069">
        <v>1068</v>
      </c>
      <c r="B1069" t="s">
        <v>653</v>
      </c>
      <c r="C1069" t="s">
        <v>1665</v>
      </c>
      <c r="D1069" t="s">
        <v>1641</v>
      </c>
      <c r="E1069" t="s">
        <v>1316</v>
      </c>
      <c r="J1069" t="s">
        <v>1799</v>
      </c>
      <c r="K1069">
        <v>0</v>
      </c>
      <c r="N1069">
        <v>1068</v>
      </c>
      <c r="O1069" t="str">
        <f>_xlfn.XLOOKUP(Table4[[#This Row],[id]],VALINA[id],VALINA[name])</f>
        <v>Eastern Arabian Sea</v>
      </c>
      <c r="P1069">
        <f>_xlfn.XLOOKUP(Table4[[#This Row],[id]],prov_color!A:A,prov_color!C:C)</f>
        <v>224</v>
      </c>
    </row>
    <row r="1070" spans="1:16" hidden="1" x14ac:dyDescent="0.25">
      <c r="A1070">
        <v>1069</v>
      </c>
      <c r="B1070" t="s">
        <v>653</v>
      </c>
      <c r="C1070" t="s">
        <v>1665</v>
      </c>
      <c r="D1070" t="s">
        <v>1641</v>
      </c>
      <c r="E1070" t="s">
        <v>1316</v>
      </c>
      <c r="J1070" t="s">
        <v>1519</v>
      </c>
      <c r="K1070">
        <v>0</v>
      </c>
      <c r="N1070">
        <v>1069</v>
      </c>
      <c r="O1070" t="str">
        <f>_xlfn.XLOOKUP(Table4[[#This Row],[id]],VALINA[id],VALINA[name])</f>
        <v>Coast of Gujarat</v>
      </c>
      <c r="P1070">
        <f>_xlfn.XLOOKUP(Table4[[#This Row],[id]],prov_color!A:A,prov_color!C:C)</f>
        <v>123</v>
      </c>
    </row>
    <row r="1071" spans="1:16" hidden="1" x14ac:dyDescent="0.25">
      <c r="A1071">
        <v>1070</v>
      </c>
      <c r="B1071" t="s">
        <v>653</v>
      </c>
      <c r="C1071" t="s">
        <v>1665</v>
      </c>
      <c r="D1071" t="s">
        <v>1641</v>
      </c>
      <c r="E1071" t="s">
        <v>1316</v>
      </c>
      <c r="J1071" t="s">
        <v>1520</v>
      </c>
      <c r="K1071">
        <v>0</v>
      </c>
      <c r="N1071">
        <v>1070</v>
      </c>
      <c r="O1071" t="str">
        <f>_xlfn.XLOOKUP(Table4[[#This Row],[id]],VALINA[id],VALINA[name])</f>
        <v>Lacquedive Islands</v>
      </c>
      <c r="P1071">
        <f>_xlfn.XLOOKUP(Table4[[#This Row],[id]],prov_color!A:A,prov_color!C:C)</f>
        <v>84</v>
      </c>
    </row>
    <row r="1072" spans="1:16" hidden="1" x14ac:dyDescent="0.25">
      <c r="A1072">
        <v>1071</v>
      </c>
      <c r="B1072" t="s">
        <v>653</v>
      </c>
      <c r="C1072" t="s">
        <v>1665</v>
      </c>
      <c r="D1072" t="s">
        <v>1641</v>
      </c>
      <c r="E1072" t="s">
        <v>1316</v>
      </c>
      <c r="J1072" t="s">
        <v>1521</v>
      </c>
      <c r="K1072">
        <v>0</v>
      </c>
      <c r="N1072">
        <v>1071</v>
      </c>
      <c r="O1072" t="str">
        <f>_xlfn.XLOOKUP(Table4[[#This Row],[id]],VALINA[id],VALINA[name])</f>
        <v>Coast of Malabar</v>
      </c>
      <c r="P1072">
        <f>_xlfn.XLOOKUP(Table4[[#This Row],[id]],prov_color!A:A,prov_color!C:C)</f>
        <v>109</v>
      </c>
    </row>
    <row r="1073" spans="1:16" hidden="1" x14ac:dyDescent="0.25">
      <c r="A1073">
        <v>1072</v>
      </c>
      <c r="B1073" t="s">
        <v>653</v>
      </c>
      <c r="C1073" t="s">
        <v>1666</v>
      </c>
      <c r="D1073" t="s">
        <v>1641</v>
      </c>
      <c r="E1073" t="s">
        <v>1316</v>
      </c>
      <c r="J1073" t="s">
        <v>1341</v>
      </c>
      <c r="K1073">
        <v>0</v>
      </c>
      <c r="N1073">
        <v>1072</v>
      </c>
      <c r="O1073" t="str">
        <f>_xlfn.XLOOKUP(Table4[[#This Row],[id]],VALINA[id],VALINA[name])</f>
        <v>Coast of Coromandel</v>
      </c>
      <c r="P1073">
        <f>_xlfn.XLOOKUP(Table4[[#This Row],[id]],prov_color!A:A,prov_color!C:C)</f>
        <v>68</v>
      </c>
    </row>
    <row r="1074" spans="1:16" hidden="1" x14ac:dyDescent="0.25">
      <c r="A1074">
        <v>1073</v>
      </c>
      <c r="B1074" t="s">
        <v>653</v>
      </c>
      <c r="C1074" t="s">
        <v>1666</v>
      </c>
      <c r="D1074" t="s">
        <v>1641</v>
      </c>
      <c r="E1074" t="s">
        <v>1316</v>
      </c>
      <c r="J1074" t="s">
        <v>1342</v>
      </c>
      <c r="K1074">
        <v>0</v>
      </c>
      <c r="N1074">
        <v>1073</v>
      </c>
      <c r="O1074" t="str">
        <f>_xlfn.XLOOKUP(Table4[[#This Row],[id]],VALINA[id],VALINA[name])</f>
        <v>Coast of Orissa</v>
      </c>
      <c r="P1074">
        <f>_xlfn.XLOOKUP(Table4[[#This Row],[id]],prov_color!A:A,prov_color!C:C)</f>
        <v>59</v>
      </c>
    </row>
    <row r="1075" spans="1:16" hidden="1" x14ac:dyDescent="0.25">
      <c r="A1075">
        <v>1074</v>
      </c>
      <c r="B1075" t="s">
        <v>653</v>
      </c>
      <c r="C1075" t="s">
        <v>1666</v>
      </c>
      <c r="D1075" t="s">
        <v>1641</v>
      </c>
      <c r="E1075" t="s">
        <v>1316</v>
      </c>
      <c r="J1075" t="s">
        <v>1343</v>
      </c>
      <c r="K1075">
        <v>0</v>
      </c>
      <c r="N1075">
        <v>1074</v>
      </c>
      <c r="O1075" t="str">
        <f>_xlfn.XLOOKUP(Table4[[#This Row],[id]],VALINA[id],VALINA[name])</f>
        <v>Ganges Delta</v>
      </c>
      <c r="P1075">
        <f>_xlfn.XLOOKUP(Table4[[#This Row],[id]],prov_color!A:A,prov_color!C:C)</f>
        <v>72</v>
      </c>
    </row>
    <row r="1076" spans="1:16" hidden="1" x14ac:dyDescent="0.25">
      <c r="A1076">
        <v>1075</v>
      </c>
      <c r="B1076" t="s">
        <v>653</v>
      </c>
      <c r="C1076" t="s">
        <v>1666</v>
      </c>
      <c r="D1076" t="s">
        <v>1641</v>
      </c>
      <c r="E1076" t="s">
        <v>1316</v>
      </c>
      <c r="J1076" t="s">
        <v>1422</v>
      </c>
      <c r="K1076">
        <v>0</v>
      </c>
      <c r="N1076">
        <v>1075</v>
      </c>
      <c r="O1076" t="str">
        <f>_xlfn.XLOOKUP(Table4[[#This Row],[id]],VALINA[id],VALINA[name])</f>
        <v>Gulf of Bengal</v>
      </c>
      <c r="P1076">
        <f>_xlfn.XLOOKUP(Table4[[#This Row],[id]],prov_color!A:A,prov_color!C:C)</f>
        <v>132</v>
      </c>
    </row>
    <row r="1077" spans="1:16" hidden="1" x14ac:dyDescent="0.25">
      <c r="A1077">
        <v>1076</v>
      </c>
      <c r="B1077" t="s">
        <v>653</v>
      </c>
      <c r="C1077" t="s">
        <v>1666</v>
      </c>
      <c r="D1077" t="s">
        <v>1641</v>
      </c>
      <c r="E1077" t="s">
        <v>1316</v>
      </c>
      <c r="J1077" t="s">
        <v>1423</v>
      </c>
      <c r="K1077">
        <v>0</v>
      </c>
      <c r="N1077">
        <v>1076</v>
      </c>
      <c r="O1077" t="str">
        <f>_xlfn.XLOOKUP(Table4[[#This Row],[id]],VALINA[id],VALINA[name])</f>
        <v>Northern Bay of Bengale</v>
      </c>
      <c r="P1077">
        <f>_xlfn.XLOOKUP(Table4[[#This Row],[id]],prov_color!A:A,prov_color!C:C)</f>
        <v>115</v>
      </c>
    </row>
    <row r="1078" spans="1:16" hidden="1" x14ac:dyDescent="0.25">
      <c r="A1078">
        <v>1077</v>
      </c>
      <c r="B1078" t="s">
        <v>653</v>
      </c>
      <c r="C1078" t="s">
        <v>1666</v>
      </c>
      <c r="D1078" t="s">
        <v>1641</v>
      </c>
      <c r="E1078" t="s">
        <v>1316</v>
      </c>
      <c r="J1078" t="s">
        <v>1421</v>
      </c>
      <c r="K1078">
        <v>0</v>
      </c>
      <c r="N1078">
        <v>1077</v>
      </c>
      <c r="O1078" t="str">
        <f>_xlfn.XLOOKUP(Table4[[#This Row],[id]],VALINA[id],VALINA[name])</f>
        <v>Andaman Sea</v>
      </c>
      <c r="P1078">
        <f>_xlfn.XLOOKUP(Table4[[#This Row],[id]],prov_color!A:A,prov_color!C:C)</f>
        <v>151</v>
      </c>
    </row>
    <row r="1079" spans="1:16" hidden="1" x14ac:dyDescent="0.25">
      <c r="A1079">
        <v>1078</v>
      </c>
      <c r="B1079" t="s">
        <v>653</v>
      </c>
      <c r="C1079" t="s">
        <v>1666</v>
      </c>
      <c r="D1079" t="s">
        <v>1641</v>
      </c>
      <c r="E1079" t="s">
        <v>1316</v>
      </c>
      <c r="J1079" t="s">
        <v>1344</v>
      </c>
      <c r="K1079">
        <v>0</v>
      </c>
      <c r="N1079">
        <v>1078</v>
      </c>
      <c r="O1079" t="str">
        <f>_xlfn.XLOOKUP(Table4[[#This Row],[id]],VALINA[id],VALINA[name])</f>
        <v>Akyab Bay</v>
      </c>
      <c r="P1079">
        <f>_xlfn.XLOOKUP(Table4[[#This Row],[id]],prov_color!A:A,prov_color!C:C)</f>
        <v>74</v>
      </c>
    </row>
    <row r="1080" spans="1:16" hidden="1" x14ac:dyDescent="0.25">
      <c r="A1080">
        <v>1079</v>
      </c>
      <c r="B1080" t="s">
        <v>653</v>
      </c>
      <c r="C1080" t="s">
        <v>1666</v>
      </c>
      <c r="D1080" t="s">
        <v>1641</v>
      </c>
      <c r="E1080" t="s">
        <v>1316</v>
      </c>
      <c r="J1080" t="s">
        <v>1345</v>
      </c>
      <c r="K1080">
        <v>0</v>
      </c>
      <c r="N1080">
        <v>1079</v>
      </c>
      <c r="O1080" t="str">
        <f>_xlfn.XLOOKUP(Table4[[#This Row],[id]],VALINA[id],VALINA[name])</f>
        <v>Irrawady delta</v>
      </c>
      <c r="P1080">
        <f>_xlfn.XLOOKUP(Table4[[#This Row],[id]],prov_color!A:A,prov_color!C:C)</f>
        <v>83</v>
      </c>
    </row>
    <row r="1081" spans="1:16" hidden="1" x14ac:dyDescent="0.25">
      <c r="A1081">
        <v>1080</v>
      </c>
      <c r="B1081" t="s">
        <v>653</v>
      </c>
      <c r="C1081" t="s">
        <v>1666</v>
      </c>
      <c r="D1081" t="s">
        <v>1641</v>
      </c>
      <c r="E1081" t="s">
        <v>1316</v>
      </c>
      <c r="J1081" t="s">
        <v>1346</v>
      </c>
      <c r="K1081">
        <v>0</v>
      </c>
      <c r="N1081">
        <v>1080</v>
      </c>
      <c r="O1081" t="str">
        <f>_xlfn.XLOOKUP(Table4[[#This Row],[id]],VALINA[id],VALINA[name])</f>
        <v>Mergui Archipelago</v>
      </c>
      <c r="P1081">
        <f>_xlfn.XLOOKUP(Table4[[#This Row],[id]],prov_color!A:A,prov_color!C:C)</f>
        <v>113</v>
      </c>
    </row>
    <row r="1082" spans="1:16" hidden="1" x14ac:dyDescent="0.25">
      <c r="A1082">
        <v>1081</v>
      </c>
      <c r="B1082" t="s">
        <v>653</v>
      </c>
      <c r="C1082" t="s">
        <v>1667</v>
      </c>
      <c r="D1082" t="s">
        <v>1641</v>
      </c>
      <c r="E1082" t="s">
        <v>1316</v>
      </c>
      <c r="J1082" t="s">
        <v>1351</v>
      </c>
      <c r="K1082">
        <v>0</v>
      </c>
      <c r="N1082">
        <v>1081</v>
      </c>
      <c r="O1082" t="str">
        <f>_xlfn.XLOOKUP(Table4[[#This Row],[id]],VALINA[id],VALINA[name])</f>
        <v>Gulf of Siam</v>
      </c>
      <c r="P1082">
        <f>_xlfn.XLOOKUP(Table4[[#This Row],[id]],prov_color!A:A,prov_color!C:C)</f>
        <v>66</v>
      </c>
    </row>
    <row r="1083" spans="1:16" hidden="1" x14ac:dyDescent="0.25">
      <c r="A1083">
        <v>1082</v>
      </c>
      <c r="B1083" t="s">
        <v>653</v>
      </c>
      <c r="C1083" t="s">
        <v>1667</v>
      </c>
      <c r="D1083" t="s">
        <v>1641</v>
      </c>
      <c r="E1083" t="s">
        <v>1316</v>
      </c>
      <c r="J1083" t="s">
        <v>1354</v>
      </c>
      <c r="K1083">
        <v>0</v>
      </c>
      <c r="N1083">
        <v>1082</v>
      </c>
      <c r="O1083" t="str">
        <f>_xlfn.XLOOKUP(Table4[[#This Row],[id]],VALINA[id],VALINA[name])</f>
        <v>Gulf of Tonkin</v>
      </c>
      <c r="P1083">
        <f>_xlfn.XLOOKUP(Table4[[#This Row],[id]],prov_color!A:A,prov_color!C:C)</f>
        <v>116</v>
      </c>
    </row>
    <row r="1084" spans="1:16" hidden="1" x14ac:dyDescent="0.25">
      <c r="A1084">
        <v>1083</v>
      </c>
      <c r="B1084" t="s">
        <v>653</v>
      </c>
      <c r="C1084" t="s">
        <v>1667</v>
      </c>
      <c r="D1084" t="s">
        <v>1641</v>
      </c>
      <c r="E1084" t="s">
        <v>1316</v>
      </c>
      <c r="J1084" t="s">
        <v>1353</v>
      </c>
      <c r="K1084">
        <v>0</v>
      </c>
      <c r="N1084">
        <v>1083</v>
      </c>
      <c r="O1084" t="str">
        <f>_xlfn.XLOOKUP(Table4[[#This Row],[id]],VALINA[id],VALINA[name])</f>
        <v>Coast of Annam</v>
      </c>
      <c r="P1084">
        <f>_xlfn.XLOOKUP(Table4[[#This Row],[id]],prov_color!A:A,prov_color!C:C)</f>
        <v>95</v>
      </c>
    </row>
    <row r="1085" spans="1:16" hidden="1" x14ac:dyDescent="0.25">
      <c r="A1085">
        <v>1084</v>
      </c>
      <c r="B1085" t="s">
        <v>653</v>
      </c>
      <c r="C1085" t="s">
        <v>1667</v>
      </c>
      <c r="D1085" t="s">
        <v>1641</v>
      </c>
      <c r="E1085" t="s">
        <v>1316</v>
      </c>
      <c r="J1085" t="s">
        <v>1801</v>
      </c>
      <c r="K1085">
        <v>0</v>
      </c>
      <c r="N1085">
        <v>1084</v>
      </c>
      <c r="O1085" t="str">
        <f>_xlfn.XLOOKUP(Table4[[#This Row],[id]],VALINA[id],VALINA[name])</f>
        <v>Paracel Islands</v>
      </c>
      <c r="P1085">
        <f>_xlfn.XLOOKUP(Table4[[#This Row],[id]],prov_color!A:A,prov_color!C:C)</f>
        <v>132</v>
      </c>
    </row>
    <row r="1086" spans="1:16" hidden="1" x14ac:dyDescent="0.25">
      <c r="A1086">
        <v>1085</v>
      </c>
      <c r="B1086" t="s">
        <v>653</v>
      </c>
      <c r="C1086" t="s">
        <v>1655</v>
      </c>
      <c r="D1086" t="s">
        <v>1641</v>
      </c>
      <c r="E1086" t="s">
        <v>1316</v>
      </c>
      <c r="J1086" t="s">
        <v>1355</v>
      </c>
      <c r="K1086">
        <v>0</v>
      </c>
      <c r="N1086">
        <v>1085</v>
      </c>
      <c r="O1086" t="str">
        <f>_xlfn.XLOOKUP(Table4[[#This Row],[id]],VALINA[id],VALINA[name])</f>
        <v>Taiwan Strait</v>
      </c>
      <c r="P1086">
        <f>_xlfn.XLOOKUP(Table4[[#This Row],[id]],prov_color!A:A,prov_color!C:C)</f>
        <v>73</v>
      </c>
    </row>
    <row r="1087" spans="1:16" hidden="1" x14ac:dyDescent="0.25">
      <c r="A1087">
        <v>1086</v>
      </c>
      <c r="B1087" t="s">
        <v>653</v>
      </c>
      <c r="C1087" t="s">
        <v>1655</v>
      </c>
      <c r="D1087" t="s">
        <v>1641</v>
      </c>
      <c r="E1087" t="s">
        <v>1316</v>
      </c>
      <c r="J1087" t="s">
        <v>1376</v>
      </c>
      <c r="K1087">
        <v>0</v>
      </c>
      <c r="N1087">
        <v>1086</v>
      </c>
      <c r="O1087" t="str">
        <f>_xlfn.XLOOKUP(Table4[[#This Row],[id]],VALINA[id],VALINA[name])</f>
        <v>Strait of Luzon</v>
      </c>
      <c r="P1087">
        <f>_xlfn.XLOOKUP(Table4[[#This Row],[id]],prov_color!A:A,prov_color!C:C)</f>
        <v>94</v>
      </c>
    </row>
    <row r="1088" spans="1:16" hidden="1" x14ac:dyDescent="0.25">
      <c r="A1088">
        <v>1087</v>
      </c>
      <c r="B1088" t="s">
        <v>653</v>
      </c>
      <c r="C1088" t="s">
        <v>1655</v>
      </c>
      <c r="D1088" t="s">
        <v>1641</v>
      </c>
      <c r="E1088" t="s">
        <v>1316</v>
      </c>
      <c r="J1088" t="s">
        <v>1356</v>
      </c>
      <c r="K1088">
        <v>0</v>
      </c>
      <c r="N1088">
        <v>1087</v>
      </c>
      <c r="O1088" t="str">
        <f>_xlfn.XLOOKUP(Table4[[#This Row],[id]],VALINA[id],VALINA[name])</f>
        <v>Sea of Taiwan</v>
      </c>
      <c r="P1088">
        <f>_xlfn.XLOOKUP(Table4[[#This Row],[id]],prov_color!A:A,prov_color!C:C)</f>
        <v>77</v>
      </c>
    </row>
    <row r="1089" spans="1:16" hidden="1" x14ac:dyDescent="0.25">
      <c r="A1089">
        <v>1088</v>
      </c>
      <c r="B1089" t="s">
        <v>653</v>
      </c>
      <c r="C1089" t="s">
        <v>1655</v>
      </c>
      <c r="D1089" t="s">
        <v>1641</v>
      </c>
      <c r="E1089" t="s">
        <v>1316</v>
      </c>
      <c r="J1089" t="s">
        <v>1366</v>
      </c>
      <c r="K1089">
        <v>0</v>
      </c>
      <c r="N1089">
        <v>1088</v>
      </c>
      <c r="O1089" t="str">
        <f>_xlfn.XLOOKUP(Table4[[#This Row],[id]],VALINA[id],VALINA[name])</f>
        <v>Eastern China Sea</v>
      </c>
      <c r="P1089">
        <f>_xlfn.XLOOKUP(Table4[[#This Row],[id]],prov_color!A:A,prov_color!C:C)</f>
        <v>106</v>
      </c>
    </row>
    <row r="1090" spans="1:16" hidden="1" x14ac:dyDescent="0.25">
      <c r="A1090">
        <v>1089</v>
      </c>
      <c r="B1090" t="s">
        <v>653</v>
      </c>
      <c r="C1090" t="s">
        <v>1655</v>
      </c>
      <c r="D1090" t="s">
        <v>1641</v>
      </c>
      <c r="E1090" t="s">
        <v>1316</v>
      </c>
      <c r="J1090" t="s">
        <v>1595</v>
      </c>
      <c r="K1090">
        <v>0</v>
      </c>
      <c r="N1090">
        <v>1089</v>
      </c>
      <c r="O1090" t="str">
        <f>_xlfn.XLOOKUP(Table4[[#This Row],[id]],VALINA[id],VALINA[name])</f>
        <v>Ryukyu Islands</v>
      </c>
      <c r="P1090">
        <f>_xlfn.XLOOKUP(Table4[[#This Row],[id]],prov_color!A:A,prov_color!C:C)</f>
        <v>192</v>
      </c>
    </row>
    <row r="1091" spans="1:16" hidden="1" x14ac:dyDescent="0.25">
      <c r="A1091">
        <v>1090</v>
      </c>
      <c r="B1091" t="s">
        <v>653</v>
      </c>
      <c r="C1091" t="s">
        <v>1656</v>
      </c>
      <c r="D1091" t="s">
        <v>1641</v>
      </c>
      <c r="E1091" t="s">
        <v>1316</v>
      </c>
      <c r="J1091" t="s">
        <v>1599</v>
      </c>
      <c r="K1091">
        <v>0</v>
      </c>
      <c r="N1091">
        <v>1090</v>
      </c>
      <c r="O1091" t="str">
        <f>_xlfn.XLOOKUP(Table4[[#This Row],[id]],VALINA[id],VALINA[name])</f>
        <v>Mariana Islands</v>
      </c>
      <c r="P1091">
        <f>_xlfn.XLOOKUP(Table4[[#This Row],[id]],prov_color!A:A,prov_color!C:C)</f>
        <v>305</v>
      </c>
    </row>
    <row r="1092" spans="1:16" hidden="1" x14ac:dyDescent="0.25">
      <c r="A1092">
        <v>1091</v>
      </c>
      <c r="B1092" t="s">
        <v>990</v>
      </c>
      <c r="C1092" t="s">
        <v>1656</v>
      </c>
      <c r="D1092" t="s">
        <v>1641</v>
      </c>
      <c r="E1092" t="s">
        <v>1316</v>
      </c>
      <c r="J1092" t="s">
        <v>1951</v>
      </c>
      <c r="N1092">
        <v>0</v>
      </c>
      <c r="O1092" t="str">
        <f>_xlfn.XLOOKUP(Table4[[#This Row],[id]],VALINA[id],VALINA[name])</f>
        <v>Tinian Sea</v>
      </c>
      <c r="P1092">
        <f>_xlfn.XLOOKUP(Table4[[#This Row],[id]],prov_color!A:A,prov_color!C:C)</f>
        <v>532</v>
      </c>
    </row>
    <row r="1093" spans="1:16" hidden="1" x14ac:dyDescent="0.25">
      <c r="A1093">
        <v>1092</v>
      </c>
      <c r="B1093" t="s">
        <v>990</v>
      </c>
      <c r="C1093" t="s">
        <v>1656</v>
      </c>
      <c r="D1093" t="s">
        <v>1641</v>
      </c>
      <c r="E1093" t="s">
        <v>1316</v>
      </c>
      <c r="J1093" t="s">
        <v>1952</v>
      </c>
      <c r="N1093">
        <v>0</v>
      </c>
      <c r="O1093" t="str">
        <f>_xlfn.XLOOKUP(Table4[[#This Row],[id]],VALINA[id],VALINA[name])</f>
        <v>Wake Island</v>
      </c>
      <c r="P1093">
        <f>_xlfn.XLOOKUP(Table4[[#This Row],[id]],prov_color!A:A,prov_color!C:C)</f>
        <v>870</v>
      </c>
    </row>
    <row r="1094" spans="1:16" hidden="1" x14ac:dyDescent="0.25">
      <c r="A1094">
        <v>1093</v>
      </c>
      <c r="B1094" t="s">
        <v>990</v>
      </c>
      <c r="C1094" t="s">
        <v>1656</v>
      </c>
      <c r="D1094" t="s">
        <v>1641</v>
      </c>
      <c r="E1094" t="s">
        <v>1316</v>
      </c>
      <c r="J1094" t="s">
        <v>1953</v>
      </c>
      <c r="N1094">
        <v>0</v>
      </c>
      <c r="O1094" t="str">
        <f>_xlfn.XLOOKUP(Table4[[#This Row],[id]],VALINA[id],VALINA[name])</f>
        <v>Northern Micronesia</v>
      </c>
      <c r="P1094">
        <f>_xlfn.XLOOKUP(Table4[[#This Row],[id]],prov_color!A:A,prov_color!C:C)</f>
        <v>801</v>
      </c>
    </row>
    <row r="1095" spans="1:16" hidden="1" x14ac:dyDescent="0.25">
      <c r="A1095">
        <v>1094</v>
      </c>
      <c r="B1095" t="s">
        <v>990</v>
      </c>
      <c r="C1095" t="s">
        <v>1668</v>
      </c>
      <c r="D1095" t="s">
        <v>1641</v>
      </c>
      <c r="E1095" t="s">
        <v>1316</v>
      </c>
      <c r="J1095" t="s">
        <v>1790</v>
      </c>
      <c r="N1095">
        <v>0</v>
      </c>
      <c r="O1095" t="str">
        <f>_xlfn.XLOOKUP(Table4[[#This Row],[id]],VALINA[id],VALINA[name])</f>
        <v>Central Pacific Ocean</v>
      </c>
      <c r="P1095">
        <f>_xlfn.XLOOKUP(Table4[[#This Row],[id]],prov_color!A:A,prov_color!C:C)</f>
        <v>676</v>
      </c>
    </row>
    <row r="1096" spans="1:16" hidden="1" x14ac:dyDescent="0.25">
      <c r="A1096">
        <v>1095</v>
      </c>
      <c r="B1096" t="s">
        <v>990</v>
      </c>
      <c r="C1096" t="s">
        <v>1652</v>
      </c>
      <c r="D1096" t="s">
        <v>1641</v>
      </c>
      <c r="E1096" t="s">
        <v>1316</v>
      </c>
      <c r="J1096" t="s">
        <v>1790</v>
      </c>
      <c r="N1096">
        <v>0</v>
      </c>
      <c r="O1096" t="str">
        <f>_xlfn.XLOOKUP(Table4[[#This Row],[id]],VALINA[id],VALINA[name])</f>
        <v>Central Pacific Ocean</v>
      </c>
      <c r="P1096">
        <f>_xlfn.XLOOKUP(Table4[[#This Row],[id]],prov_color!A:A,prov_color!C:C)</f>
        <v>629</v>
      </c>
    </row>
    <row r="1097" spans="1:16" hidden="1" x14ac:dyDescent="0.25">
      <c r="A1097">
        <v>1096</v>
      </c>
      <c r="B1097" t="s">
        <v>990</v>
      </c>
      <c r="C1097" t="s">
        <v>1652</v>
      </c>
      <c r="D1097" t="s">
        <v>1641</v>
      </c>
      <c r="E1097" t="s">
        <v>1316</v>
      </c>
      <c r="J1097" t="s">
        <v>1790</v>
      </c>
      <c r="N1097">
        <v>0</v>
      </c>
      <c r="O1097" t="str">
        <f>_xlfn.XLOOKUP(Table4[[#This Row],[id]],VALINA[id],VALINA[name])</f>
        <v>Central Pacific Ocean</v>
      </c>
      <c r="P1097">
        <f>_xlfn.XLOOKUP(Table4[[#This Row],[id]],prov_color!A:A,prov_color!C:C)</f>
        <v>1035</v>
      </c>
    </row>
    <row r="1098" spans="1:16" hidden="1" x14ac:dyDescent="0.25">
      <c r="A1098">
        <v>1097</v>
      </c>
      <c r="B1098" t="s">
        <v>990</v>
      </c>
      <c r="C1098" t="s">
        <v>1661</v>
      </c>
      <c r="D1098" t="s">
        <v>1641</v>
      </c>
      <c r="E1098" t="s">
        <v>1316</v>
      </c>
      <c r="J1098" t="s">
        <v>1790</v>
      </c>
      <c r="N1098">
        <v>0</v>
      </c>
      <c r="O1098" t="str">
        <f>_xlfn.XLOOKUP(Table4[[#This Row],[id]],VALINA[id],VALINA[name])</f>
        <v>Central Pacific Ocean</v>
      </c>
      <c r="P1098">
        <f>_xlfn.XLOOKUP(Table4[[#This Row],[id]],prov_color!A:A,prov_color!C:C)</f>
        <v>1020</v>
      </c>
    </row>
    <row r="1099" spans="1:16" hidden="1" x14ac:dyDescent="0.25">
      <c r="A1099">
        <v>1098</v>
      </c>
      <c r="B1099" t="s">
        <v>990</v>
      </c>
      <c r="C1099" t="s">
        <v>1661</v>
      </c>
      <c r="D1099" t="s">
        <v>1641</v>
      </c>
      <c r="E1099" t="s">
        <v>1316</v>
      </c>
      <c r="J1099" t="s">
        <v>1790</v>
      </c>
      <c r="N1099">
        <v>0</v>
      </c>
      <c r="O1099" t="str">
        <f>_xlfn.XLOOKUP(Table4[[#This Row],[id]],VALINA[id],VALINA[name])</f>
        <v>Central Pacific Ocean</v>
      </c>
      <c r="P1099">
        <f>_xlfn.XLOOKUP(Table4[[#This Row],[id]],prov_color!A:A,prov_color!C:C)</f>
        <v>940</v>
      </c>
    </row>
    <row r="1100" spans="1:16" hidden="1" x14ac:dyDescent="0.25">
      <c r="A1100">
        <v>1099</v>
      </c>
      <c r="B1100" t="s">
        <v>990</v>
      </c>
      <c r="C1100" t="s">
        <v>1661</v>
      </c>
      <c r="D1100" t="s">
        <v>1641</v>
      </c>
      <c r="E1100" t="s">
        <v>1316</v>
      </c>
      <c r="J1100" t="s">
        <v>1790</v>
      </c>
      <c r="N1100">
        <v>0</v>
      </c>
      <c r="O1100" t="str">
        <f>_xlfn.XLOOKUP(Table4[[#This Row],[id]],VALINA[id],VALINA[name])</f>
        <v>Central Pacific Ocean</v>
      </c>
      <c r="P1100">
        <f>_xlfn.XLOOKUP(Table4[[#This Row],[id]],prov_color!A:A,prov_color!C:C)</f>
        <v>502</v>
      </c>
    </row>
    <row r="1101" spans="1:16" hidden="1" x14ac:dyDescent="0.25">
      <c r="A1101">
        <v>1100</v>
      </c>
      <c r="B1101" t="s">
        <v>990</v>
      </c>
      <c r="C1101" t="s">
        <v>1661</v>
      </c>
      <c r="D1101" t="s">
        <v>1641</v>
      </c>
      <c r="E1101" t="s">
        <v>1316</v>
      </c>
      <c r="J1101" t="s">
        <v>1790</v>
      </c>
      <c r="N1101">
        <v>0</v>
      </c>
      <c r="O1101" t="str">
        <f>_xlfn.XLOOKUP(Table4[[#This Row],[id]],VALINA[id],VALINA[name])</f>
        <v>Central Pacific Ocean</v>
      </c>
      <c r="P1101">
        <f>_xlfn.XLOOKUP(Table4[[#This Row],[id]],prov_color!A:A,prov_color!C:C)</f>
        <v>404</v>
      </c>
    </row>
    <row r="1102" spans="1:16" hidden="1" x14ac:dyDescent="0.25">
      <c r="A1102">
        <v>1101</v>
      </c>
      <c r="B1102" t="s">
        <v>11</v>
      </c>
      <c r="C1102" t="s">
        <v>1661</v>
      </c>
      <c r="D1102" t="s">
        <v>1641</v>
      </c>
      <c r="E1102" t="s">
        <v>1316</v>
      </c>
      <c r="J1102" t="s">
        <v>1565</v>
      </c>
      <c r="K1102">
        <v>0</v>
      </c>
      <c r="N1102">
        <v>1101</v>
      </c>
      <c r="O1102" t="str">
        <f>_xlfn.XLOOKUP(Table4[[#This Row],[id]],VALINA[id],VALINA[name])</f>
        <v>Coast of Peru</v>
      </c>
      <c r="P1102">
        <f>_xlfn.XLOOKUP(Table4[[#This Row],[id]],prov_color!A:A,prov_color!C:C)</f>
        <v>122</v>
      </c>
    </row>
    <row r="1103" spans="1:16" hidden="1" x14ac:dyDescent="0.25">
      <c r="A1103">
        <v>1102</v>
      </c>
      <c r="B1103" t="s">
        <v>11</v>
      </c>
      <c r="C1103" t="s">
        <v>1661</v>
      </c>
      <c r="D1103" t="s">
        <v>1641</v>
      </c>
      <c r="E1103" t="s">
        <v>1316</v>
      </c>
      <c r="J1103" t="s">
        <v>1790</v>
      </c>
      <c r="N1103">
        <v>0</v>
      </c>
      <c r="O1103" t="str">
        <f>_xlfn.XLOOKUP(Table4[[#This Row],[id]],VALINA[id],VALINA[name])</f>
        <v>Central Pacific Ocean</v>
      </c>
      <c r="P1103">
        <f>_xlfn.XLOOKUP(Table4[[#This Row],[id]],prov_color!A:A,prov_color!C:C)</f>
        <v>227</v>
      </c>
    </row>
    <row r="1104" spans="1:16" hidden="1" x14ac:dyDescent="0.25">
      <c r="A1104">
        <v>1103</v>
      </c>
      <c r="B1104" t="s">
        <v>11</v>
      </c>
      <c r="C1104" t="s">
        <v>1661</v>
      </c>
      <c r="D1104" t="s">
        <v>1641</v>
      </c>
      <c r="E1104" t="s">
        <v>1316</v>
      </c>
      <c r="J1104" t="s">
        <v>1803</v>
      </c>
      <c r="N1104">
        <v>0</v>
      </c>
      <c r="O1104" t="str">
        <f>_xlfn.XLOOKUP(Table4[[#This Row],[id]],VALINA[id],VALINA[name])</f>
        <v>Juan Fernandez Islands</v>
      </c>
      <c r="P1104">
        <f>_xlfn.XLOOKUP(Table4[[#This Row],[id]],prov_color!A:A,prov_color!C:C)</f>
        <v>270</v>
      </c>
    </row>
    <row r="1105" spans="1:16" hidden="1" x14ac:dyDescent="0.25">
      <c r="A1105">
        <v>1104</v>
      </c>
      <c r="B1105" t="s">
        <v>11</v>
      </c>
      <c r="C1105" t="s">
        <v>1661</v>
      </c>
      <c r="D1105" t="s">
        <v>1641</v>
      </c>
      <c r="E1105" t="s">
        <v>1316</v>
      </c>
      <c r="J1105" t="s">
        <v>1563</v>
      </c>
      <c r="K1105">
        <v>0</v>
      </c>
      <c r="N1105">
        <v>1104</v>
      </c>
      <c r="O1105" t="str">
        <f>_xlfn.XLOOKUP(Table4[[#This Row],[id]],VALINA[id],VALINA[name])</f>
        <v>Arica Gulf</v>
      </c>
      <c r="P1105">
        <f>_xlfn.XLOOKUP(Table4[[#This Row],[id]],prov_color!A:A,prov_color!C:C)</f>
        <v>140</v>
      </c>
    </row>
    <row r="1106" spans="1:16" hidden="1" x14ac:dyDescent="0.25">
      <c r="A1106">
        <v>1105</v>
      </c>
      <c r="B1106" t="s">
        <v>11</v>
      </c>
      <c r="C1106" t="s">
        <v>1661</v>
      </c>
      <c r="D1106" t="s">
        <v>1641</v>
      </c>
      <c r="E1106" t="s">
        <v>1316</v>
      </c>
      <c r="J1106" t="s">
        <v>1564</v>
      </c>
      <c r="K1106">
        <v>0</v>
      </c>
      <c r="N1106">
        <v>1105</v>
      </c>
      <c r="O1106" t="str">
        <f>_xlfn.XLOOKUP(Table4[[#This Row],[id]],VALINA[id],VALINA[name])</f>
        <v>Arequipa Bay</v>
      </c>
      <c r="P1106">
        <f>_xlfn.XLOOKUP(Table4[[#This Row],[id]],prov_color!A:A,prov_color!C:C)</f>
        <v>129</v>
      </c>
    </row>
    <row r="1107" spans="1:16" hidden="1" x14ac:dyDescent="0.25">
      <c r="A1107">
        <v>1106</v>
      </c>
      <c r="B1107" t="s">
        <v>11</v>
      </c>
      <c r="C1107" t="s">
        <v>1653</v>
      </c>
      <c r="D1107" t="s">
        <v>1641</v>
      </c>
      <c r="E1107" t="s">
        <v>1316</v>
      </c>
      <c r="J1107" t="s">
        <v>1547</v>
      </c>
      <c r="K1107">
        <v>0</v>
      </c>
      <c r="N1107">
        <v>1106</v>
      </c>
      <c r="O1107" t="str">
        <f>_xlfn.XLOOKUP(Table4[[#This Row],[id]],VALINA[id],VALINA[name])</f>
        <v>Guyana Coast</v>
      </c>
      <c r="P1107">
        <f>_xlfn.XLOOKUP(Table4[[#This Row],[id]],prov_color!A:A,prov_color!C:C)</f>
        <v>93</v>
      </c>
    </row>
    <row r="1108" spans="1:16" hidden="1" x14ac:dyDescent="0.25">
      <c r="A1108">
        <v>1107</v>
      </c>
      <c r="B1108" t="s">
        <v>11</v>
      </c>
      <c r="C1108" t="s">
        <v>1653</v>
      </c>
      <c r="D1108" t="s">
        <v>1641</v>
      </c>
      <c r="E1108" t="s">
        <v>1316</v>
      </c>
      <c r="J1108" t="s">
        <v>1548</v>
      </c>
      <c r="K1108">
        <v>0</v>
      </c>
      <c r="N1108">
        <v>1107</v>
      </c>
      <c r="O1108" t="str">
        <f>_xlfn.XLOOKUP(Table4[[#This Row],[id]],VALINA[id],VALINA[name])</f>
        <v>Bay of Belem</v>
      </c>
      <c r="P1108">
        <f>_xlfn.XLOOKUP(Table4[[#This Row],[id]],prov_color!A:A,prov_color!C:C)</f>
        <v>115</v>
      </c>
    </row>
    <row r="1109" spans="1:16" hidden="1" x14ac:dyDescent="0.25">
      <c r="A1109">
        <v>1108</v>
      </c>
      <c r="B1109" t="s">
        <v>11</v>
      </c>
      <c r="C1109" t="s">
        <v>1669</v>
      </c>
      <c r="D1109" t="s">
        <v>1641</v>
      </c>
      <c r="E1109" t="s">
        <v>1316</v>
      </c>
      <c r="J1109" t="s">
        <v>1549</v>
      </c>
      <c r="K1109">
        <v>0</v>
      </c>
      <c r="N1109">
        <v>1108</v>
      </c>
      <c r="O1109" t="str">
        <f>_xlfn.XLOOKUP(Table4[[#This Row],[id]],VALINA[id],VALINA[name])</f>
        <v>Gulf of the Amazon</v>
      </c>
      <c r="P1109">
        <f>_xlfn.XLOOKUP(Table4[[#This Row],[id]],prov_color!A:A,prov_color!C:C)</f>
        <v>107</v>
      </c>
    </row>
    <row r="1110" spans="1:16" hidden="1" x14ac:dyDescent="0.25">
      <c r="A1110">
        <v>1109</v>
      </c>
      <c r="B1110" t="s">
        <v>11</v>
      </c>
      <c r="C1110" t="s">
        <v>1669</v>
      </c>
      <c r="D1110" t="s">
        <v>1641</v>
      </c>
      <c r="E1110" t="s">
        <v>1316</v>
      </c>
      <c r="J1110" t="s">
        <v>1433</v>
      </c>
      <c r="N1110">
        <v>0</v>
      </c>
      <c r="O1110" t="str">
        <f>_xlfn.XLOOKUP(Table4[[#This Row],[id]],VALINA[id],VALINA[name])</f>
        <v>Central Atlantic Ocean</v>
      </c>
      <c r="P1110">
        <f>_xlfn.XLOOKUP(Table4[[#This Row],[id]],prov_color!A:A,prov_color!C:C)</f>
        <v>197</v>
      </c>
    </row>
    <row r="1111" spans="1:16" hidden="1" x14ac:dyDescent="0.25">
      <c r="A1111">
        <v>1110</v>
      </c>
      <c r="B1111" t="s">
        <v>11</v>
      </c>
      <c r="C1111" t="s">
        <v>1669</v>
      </c>
      <c r="D1111" t="s">
        <v>1641</v>
      </c>
      <c r="E1111" t="s">
        <v>1316</v>
      </c>
      <c r="J1111" t="s">
        <v>1550</v>
      </c>
      <c r="K1111">
        <v>0</v>
      </c>
      <c r="N1111">
        <v>1110</v>
      </c>
      <c r="O1111" t="str">
        <f>_xlfn.XLOOKUP(Table4[[#This Row],[id]],VALINA[id],VALINA[name])</f>
        <v>Coast of Brazil</v>
      </c>
      <c r="P1111">
        <f>_xlfn.XLOOKUP(Table4[[#This Row],[id]],prov_color!A:A,prov_color!C:C)</f>
        <v>114</v>
      </c>
    </row>
    <row r="1112" spans="1:16" hidden="1" x14ac:dyDescent="0.25">
      <c r="A1112">
        <v>1111</v>
      </c>
      <c r="B1112" t="s">
        <v>11</v>
      </c>
      <c r="C1112" t="s">
        <v>1669</v>
      </c>
      <c r="D1112" t="s">
        <v>1641</v>
      </c>
      <c r="E1112" t="s">
        <v>1316</v>
      </c>
      <c r="J1112" t="s">
        <v>1437</v>
      </c>
      <c r="N1112">
        <v>0</v>
      </c>
      <c r="O1112" t="str">
        <f>_xlfn.XLOOKUP(Table4[[#This Row],[id]],VALINA[id],VALINA[name])</f>
        <v>South Central Atlantic Ocean</v>
      </c>
      <c r="P1112">
        <f>_xlfn.XLOOKUP(Table4[[#This Row],[id]],prov_color!A:A,prov_color!C:C)</f>
        <v>249</v>
      </c>
    </row>
    <row r="1113" spans="1:16" hidden="1" x14ac:dyDescent="0.25">
      <c r="A1113">
        <v>1112</v>
      </c>
      <c r="B1113" t="s">
        <v>11</v>
      </c>
      <c r="C1113" t="s">
        <v>1669</v>
      </c>
      <c r="D1113" t="s">
        <v>1641</v>
      </c>
      <c r="E1113" t="s">
        <v>1316</v>
      </c>
      <c r="J1113" t="s">
        <v>1551</v>
      </c>
      <c r="K1113">
        <v>0</v>
      </c>
      <c r="N1113">
        <v>1112</v>
      </c>
      <c r="O1113" t="str">
        <f>_xlfn.XLOOKUP(Table4[[#This Row],[id]],VALINA[id],VALINA[name])</f>
        <v>Coast of Recife</v>
      </c>
      <c r="P1113">
        <f>_xlfn.XLOOKUP(Table4[[#This Row],[id]],prov_color!A:A,prov_color!C:C)</f>
        <v>86</v>
      </c>
    </row>
    <row r="1114" spans="1:16" hidden="1" x14ac:dyDescent="0.25">
      <c r="A1114">
        <v>1113</v>
      </c>
      <c r="B1114" t="s">
        <v>11</v>
      </c>
      <c r="C1114" t="s">
        <v>1669</v>
      </c>
      <c r="D1114" t="s">
        <v>1641</v>
      </c>
      <c r="E1114" t="s">
        <v>1316</v>
      </c>
      <c r="J1114" t="s">
        <v>1552</v>
      </c>
      <c r="K1114">
        <v>0</v>
      </c>
      <c r="N1114">
        <v>1113</v>
      </c>
      <c r="O1114" t="str">
        <f>_xlfn.XLOOKUP(Table4[[#This Row],[id]],VALINA[id],VALINA[name])</f>
        <v>Coast of Pernambuc</v>
      </c>
      <c r="P1114">
        <f>_xlfn.XLOOKUP(Table4[[#This Row],[id]],prov_color!A:A,prov_color!C:C)</f>
        <v>136</v>
      </c>
    </row>
    <row r="1115" spans="1:16" hidden="1" x14ac:dyDescent="0.25">
      <c r="A1115">
        <v>1114</v>
      </c>
      <c r="B1115" t="s">
        <v>11</v>
      </c>
      <c r="C1115" t="s">
        <v>1669</v>
      </c>
      <c r="D1115" t="s">
        <v>1641</v>
      </c>
      <c r="E1115" t="s">
        <v>1316</v>
      </c>
      <c r="J1115" t="s">
        <v>1553</v>
      </c>
      <c r="K1115">
        <v>0</v>
      </c>
      <c r="N1115">
        <v>1114</v>
      </c>
      <c r="O1115" t="str">
        <f>_xlfn.XLOOKUP(Table4[[#This Row],[id]],VALINA[id],VALINA[name])</f>
        <v>Todos Santos Bay</v>
      </c>
      <c r="P1115">
        <f>_xlfn.XLOOKUP(Table4[[#This Row],[id]],prov_color!A:A,prov_color!C:C)</f>
        <v>161</v>
      </c>
    </row>
    <row r="1116" spans="1:16" hidden="1" x14ac:dyDescent="0.25">
      <c r="A1116">
        <v>1115</v>
      </c>
      <c r="B1116" t="s">
        <v>11</v>
      </c>
      <c r="C1116" t="s">
        <v>1669</v>
      </c>
      <c r="D1116" t="s">
        <v>1641</v>
      </c>
      <c r="E1116" t="s">
        <v>1316</v>
      </c>
      <c r="J1116" t="s">
        <v>1554</v>
      </c>
      <c r="K1116">
        <v>0</v>
      </c>
      <c r="N1116">
        <v>1115</v>
      </c>
      <c r="O1116" t="str">
        <f>_xlfn.XLOOKUP(Table4[[#This Row],[id]],VALINA[id],VALINA[name])</f>
        <v>Rio de Janeiro</v>
      </c>
      <c r="P1116">
        <f>_xlfn.XLOOKUP(Table4[[#This Row],[id]],prov_color!A:A,prov_color!C:C)</f>
        <v>159</v>
      </c>
    </row>
    <row r="1117" spans="1:16" hidden="1" x14ac:dyDescent="0.25">
      <c r="A1117">
        <v>1116</v>
      </c>
      <c r="B1117" t="s">
        <v>11</v>
      </c>
      <c r="C1117" t="s">
        <v>1669</v>
      </c>
      <c r="D1117" t="s">
        <v>1641</v>
      </c>
      <c r="E1117" t="s">
        <v>1316</v>
      </c>
      <c r="J1117" t="s">
        <v>1835</v>
      </c>
      <c r="N1117">
        <v>0</v>
      </c>
      <c r="O1117" t="str">
        <f>_xlfn.XLOOKUP(Table4[[#This Row],[id]],VALINA[id],VALINA[name])</f>
        <v>Southern Atlantic Ocean</v>
      </c>
      <c r="P1117">
        <f>_xlfn.XLOOKUP(Table4[[#This Row],[id]],prov_color!A:A,prov_color!C:C)</f>
        <v>344</v>
      </c>
    </row>
    <row r="1118" spans="1:16" hidden="1" x14ac:dyDescent="0.25">
      <c r="A1118">
        <v>1117</v>
      </c>
      <c r="B1118" t="s">
        <v>11</v>
      </c>
      <c r="C1118" t="s">
        <v>1669</v>
      </c>
      <c r="D1118" t="s">
        <v>1641</v>
      </c>
      <c r="E1118" t="s">
        <v>1316</v>
      </c>
      <c r="J1118" t="s">
        <v>1835</v>
      </c>
      <c r="N1118">
        <v>0</v>
      </c>
      <c r="O1118" t="str">
        <f>_xlfn.XLOOKUP(Table4[[#This Row],[id]],VALINA[id],VALINA[name])</f>
        <v>Southern Atlantic Ocean</v>
      </c>
      <c r="P1118">
        <f>_xlfn.XLOOKUP(Table4[[#This Row],[id]],prov_color!A:A,prov_color!C:C)</f>
        <v>453</v>
      </c>
    </row>
    <row r="1119" spans="1:16" hidden="1" x14ac:dyDescent="0.25">
      <c r="A1119">
        <v>1118</v>
      </c>
      <c r="B1119" t="s">
        <v>11</v>
      </c>
      <c r="C1119" t="s">
        <v>1669</v>
      </c>
      <c r="D1119" t="s">
        <v>1641</v>
      </c>
      <c r="E1119" t="s">
        <v>1316</v>
      </c>
      <c r="J1119" t="s">
        <v>1437</v>
      </c>
      <c r="N1119">
        <v>0</v>
      </c>
      <c r="O1119" t="str">
        <f>_xlfn.XLOOKUP(Table4[[#This Row],[id]],VALINA[id],VALINA[name])</f>
        <v>South Central Atlantic Ocean</v>
      </c>
      <c r="P1119">
        <f>_xlfn.XLOOKUP(Table4[[#This Row],[id]],prov_color!A:A,prov_color!C:C)</f>
        <v>182</v>
      </c>
    </row>
    <row r="1120" spans="1:16" hidden="1" x14ac:dyDescent="0.25">
      <c r="A1120">
        <v>1119</v>
      </c>
      <c r="B1120" t="s">
        <v>11</v>
      </c>
      <c r="C1120" t="s">
        <v>1669</v>
      </c>
      <c r="D1120" t="s">
        <v>1641</v>
      </c>
      <c r="E1120" t="s">
        <v>1316</v>
      </c>
      <c r="J1120" t="s">
        <v>1437</v>
      </c>
      <c r="N1120">
        <v>0</v>
      </c>
      <c r="O1120" t="str">
        <f>_xlfn.XLOOKUP(Table4[[#This Row],[id]],VALINA[id],VALINA[name])</f>
        <v>South Central Atlantic Ocean</v>
      </c>
      <c r="P1120">
        <f>_xlfn.XLOOKUP(Table4[[#This Row],[id]],prov_color!A:A,prov_color!C:C)</f>
        <v>208</v>
      </c>
    </row>
    <row r="1121" spans="1:16" hidden="1" x14ac:dyDescent="0.25">
      <c r="A1121">
        <v>1120</v>
      </c>
      <c r="B1121" t="s">
        <v>11</v>
      </c>
      <c r="C1121" t="s">
        <v>1662</v>
      </c>
      <c r="D1121" t="s">
        <v>1641</v>
      </c>
      <c r="E1121" t="s">
        <v>1316</v>
      </c>
      <c r="J1121" t="s">
        <v>1437</v>
      </c>
      <c r="N1121">
        <v>0</v>
      </c>
      <c r="O1121" t="str">
        <f>_xlfn.XLOOKUP(Table4[[#This Row],[id]],VALINA[id],VALINA[name])</f>
        <v>South Central Atlantic Ocean</v>
      </c>
      <c r="P1121">
        <f>_xlfn.XLOOKUP(Table4[[#This Row],[id]],prov_color!A:A,prov_color!C:C)</f>
        <v>241</v>
      </c>
    </row>
    <row r="1122" spans="1:16" hidden="1" x14ac:dyDescent="0.25">
      <c r="A1122">
        <v>1121</v>
      </c>
      <c r="B1122" t="s">
        <v>1016</v>
      </c>
      <c r="C1122" t="s">
        <v>1662</v>
      </c>
      <c r="D1122" t="s">
        <v>1641</v>
      </c>
      <c r="E1122" t="s">
        <v>1316</v>
      </c>
      <c r="J1122" t="s">
        <v>1428</v>
      </c>
      <c r="K1122">
        <v>0</v>
      </c>
      <c r="N1122">
        <v>1121</v>
      </c>
      <c r="O1122" t="str">
        <f>_xlfn.XLOOKUP(Table4[[#This Row],[id]],VALINA[id],VALINA[name])</f>
        <v>Cape Verde Islands</v>
      </c>
      <c r="P1122">
        <f>_xlfn.XLOOKUP(Table4[[#This Row],[id]],prov_color!A:A,prov_color!C:C)</f>
        <v>124</v>
      </c>
    </row>
    <row r="1123" spans="1:16" hidden="1" x14ac:dyDescent="0.25">
      <c r="A1123">
        <v>1122</v>
      </c>
      <c r="B1123" t="s">
        <v>1016</v>
      </c>
      <c r="C1123" t="s">
        <v>1662</v>
      </c>
      <c r="D1123" t="s">
        <v>1641</v>
      </c>
      <c r="E1123" t="s">
        <v>1316</v>
      </c>
      <c r="J1123" t="s">
        <v>1437</v>
      </c>
      <c r="N1123">
        <v>0</v>
      </c>
      <c r="O1123" t="str">
        <f>_xlfn.XLOOKUP(Table4[[#This Row],[id]],VALINA[id],VALINA[name])</f>
        <v>South Central Atlantic Ocean</v>
      </c>
      <c r="P1123">
        <f>_xlfn.XLOOKUP(Table4[[#This Row],[id]],prov_color!A:A,prov_color!C:C)</f>
        <v>224</v>
      </c>
    </row>
    <row r="1124" spans="1:16" hidden="1" x14ac:dyDescent="0.25">
      <c r="A1124">
        <v>1123</v>
      </c>
      <c r="B1124" t="s">
        <v>1016</v>
      </c>
      <c r="C1124" t="s">
        <v>1662</v>
      </c>
      <c r="D1124" t="s">
        <v>1641</v>
      </c>
      <c r="E1124" t="s">
        <v>1316</v>
      </c>
      <c r="J1124" t="s">
        <v>1437</v>
      </c>
      <c r="N1124">
        <v>0</v>
      </c>
      <c r="O1124" t="str">
        <f>_xlfn.XLOOKUP(Table4[[#This Row],[id]],VALINA[id],VALINA[name])</f>
        <v>South Central Atlantic Ocean</v>
      </c>
      <c r="P1124">
        <f>_xlfn.XLOOKUP(Table4[[#This Row],[id]],prov_color!A:A,prov_color!C:C)</f>
        <v>347</v>
      </c>
    </row>
    <row r="1125" spans="1:16" hidden="1" x14ac:dyDescent="0.25">
      <c r="A1125">
        <v>1124</v>
      </c>
      <c r="B1125" t="s">
        <v>1016</v>
      </c>
      <c r="C1125" t="s">
        <v>1669</v>
      </c>
      <c r="D1125" t="s">
        <v>1641</v>
      </c>
      <c r="E1125" t="s">
        <v>1316</v>
      </c>
      <c r="J1125" t="s">
        <v>1835</v>
      </c>
      <c r="N1125">
        <v>0</v>
      </c>
      <c r="O1125" t="str">
        <f>_xlfn.XLOOKUP(Table4[[#This Row],[id]],VALINA[id],VALINA[name])</f>
        <v>Southern Atlantic Ocean</v>
      </c>
      <c r="P1125">
        <f>_xlfn.XLOOKUP(Table4[[#This Row],[id]],prov_color!A:A,prov_color!C:C)</f>
        <v>350</v>
      </c>
    </row>
    <row r="1126" spans="1:16" hidden="1" x14ac:dyDescent="0.25">
      <c r="A1126">
        <v>1125</v>
      </c>
      <c r="B1126" t="s">
        <v>1016</v>
      </c>
      <c r="C1126" t="s">
        <v>1662</v>
      </c>
      <c r="D1126" t="s">
        <v>1641</v>
      </c>
      <c r="E1126" t="s">
        <v>1316</v>
      </c>
      <c r="J1126" t="s">
        <v>1805</v>
      </c>
      <c r="N1126">
        <v>0</v>
      </c>
      <c r="O1126" t="str">
        <f>_xlfn.XLOOKUP(Table4[[#This Row],[id]],VALINA[id],VALINA[name])</f>
        <v>Ascension Island</v>
      </c>
      <c r="P1126">
        <f>_xlfn.XLOOKUP(Table4[[#This Row],[id]],prov_color!A:A,prov_color!C:C)</f>
        <v>316</v>
      </c>
    </row>
    <row r="1127" spans="1:16" hidden="1" x14ac:dyDescent="0.25">
      <c r="A1127">
        <v>1126</v>
      </c>
      <c r="B1127" t="s">
        <v>1016</v>
      </c>
      <c r="C1127" t="s">
        <v>1662</v>
      </c>
      <c r="D1127" t="s">
        <v>1641</v>
      </c>
      <c r="E1127" t="s">
        <v>1316</v>
      </c>
      <c r="J1127" t="s">
        <v>1437</v>
      </c>
      <c r="N1127">
        <v>0</v>
      </c>
      <c r="O1127" t="str">
        <f>_xlfn.XLOOKUP(Table4[[#This Row],[id]],VALINA[id],VALINA[name])</f>
        <v>South Central Atlantic Ocean</v>
      </c>
      <c r="P1127">
        <f>_xlfn.XLOOKUP(Table4[[#This Row],[id]],prov_color!A:A,prov_color!C:C)</f>
        <v>274</v>
      </c>
    </row>
    <row r="1128" spans="1:16" hidden="1" x14ac:dyDescent="0.25">
      <c r="A1128">
        <v>1127</v>
      </c>
      <c r="B1128" t="s">
        <v>1016</v>
      </c>
      <c r="C1128" t="s">
        <v>1662</v>
      </c>
      <c r="D1128" t="s">
        <v>1641</v>
      </c>
      <c r="E1128" t="s">
        <v>1316</v>
      </c>
      <c r="J1128" t="s">
        <v>1806</v>
      </c>
      <c r="N1128">
        <v>0</v>
      </c>
      <c r="O1128" t="str">
        <f>_xlfn.XLOOKUP(Table4[[#This Row],[id]],VALINA[id],VALINA[name])</f>
        <v>Gor�e Island</v>
      </c>
      <c r="P1128">
        <f>_xlfn.XLOOKUP(Table4[[#This Row],[id]],prov_color!A:A,prov_color!C:C)</f>
        <v>89</v>
      </c>
    </row>
    <row r="1129" spans="1:16" hidden="1" x14ac:dyDescent="0.25">
      <c r="A1129">
        <v>1128</v>
      </c>
      <c r="B1129" t="s">
        <v>1016</v>
      </c>
      <c r="C1129" t="s">
        <v>1662</v>
      </c>
      <c r="D1129" t="s">
        <v>1641</v>
      </c>
      <c r="E1129" t="s">
        <v>1316</v>
      </c>
      <c r="J1129" t="s">
        <v>1493</v>
      </c>
      <c r="K1129">
        <v>0</v>
      </c>
      <c r="N1129">
        <v>1128</v>
      </c>
      <c r="O1129" t="str">
        <f>_xlfn.XLOOKUP(Table4[[#This Row],[id]],VALINA[id],VALINA[name])</f>
        <v>Coast of Gambia</v>
      </c>
      <c r="P1129">
        <f>_xlfn.XLOOKUP(Table4[[#This Row],[id]],prov_color!A:A,prov_color!C:C)</f>
        <v>112</v>
      </c>
    </row>
    <row r="1130" spans="1:16" hidden="1" x14ac:dyDescent="0.25">
      <c r="A1130">
        <v>1129</v>
      </c>
      <c r="B1130" t="s">
        <v>1016</v>
      </c>
      <c r="C1130" t="s">
        <v>1662</v>
      </c>
      <c r="D1130" t="s">
        <v>1641</v>
      </c>
      <c r="E1130" t="s">
        <v>1316</v>
      </c>
      <c r="J1130" t="s">
        <v>1494</v>
      </c>
      <c r="K1130">
        <v>0</v>
      </c>
      <c r="N1130">
        <v>1129</v>
      </c>
      <c r="O1130" t="str">
        <f>_xlfn.XLOOKUP(Table4[[#This Row],[id]],VALINA[id],VALINA[name])</f>
        <v>Gold Coast</v>
      </c>
      <c r="P1130">
        <f>_xlfn.XLOOKUP(Table4[[#This Row],[id]],prov_color!A:A,prov_color!C:C)</f>
        <v>124</v>
      </c>
    </row>
    <row r="1131" spans="1:16" hidden="1" x14ac:dyDescent="0.25">
      <c r="A1131">
        <v>1130</v>
      </c>
      <c r="B1131" t="s">
        <v>1016</v>
      </c>
      <c r="C1131" t="s">
        <v>1670</v>
      </c>
      <c r="D1131" t="s">
        <v>1641</v>
      </c>
      <c r="E1131" t="s">
        <v>1316</v>
      </c>
      <c r="J1131" t="s">
        <v>1496</v>
      </c>
      <c r="K1131">
        <v>0</v>
      </c>
      <c r="N1131">
        <v>1130</v>
      </c>
      <c r="O1131" t="str">
        <f>_xlfn.XLOOKUP(Table4[[#This Row],[id]],VALINA[id],VALINA[name])</f>
        <v>Gulf of Nigeria</v>
      </c>
      <c r="P1131">
        <f>_xlfn.XLOOKUP(Table4[[#This Row],[id]],prov_color!A:A,prov_color!C:C)</f>
        <v>96</v>
      </c>
    </row>
    <row r="1132" spans="1:16" hidden="1" x14ac:dyDescent="0.25">
      <c r="A1132">
        <v>1131</v>
      </c>
      <c r="B1132" t="s">
        <v>1016</v>
      </c>
      <c r="C1132" t="s">
        <v>1670</v>
      </c>
      <c r="D1132" t="s">
        <v>1641</v>
      </c>
      <c r="E1132" t="s">
        <v>1316</v>
      </c>
      <c r="J1132" t="s">
        <v>1439</v>
      </c>
      <c r="K1132">
        <v>0</v>
      </c>
      <c r="N1132">
        <v>1131</v>
      </c>
      <c r="O1132" t="str">
        <f>_xlfn.XLOOKUP(Table4[[#This Row],[id]],VALINA[id],VALINA[name])</f>
        <v>Gulf of Guinea</v>
      </c>
      <c r="P1132">
        <f>_xlfn.XLOOKUP(Table4[[#This Row],[id]],prov_color!A:A,prov_color!C:C)</f>
        <v>295</v>
      </c>
    </row>
    <row r="1133" spans="1:16" hidden="1" x14ac:dyDescent="0.25">
      <c r="A1133">
        <v>1132</v>
      </c>
      <c r="B1133" t="s">
        <v>1016</v>
      </c>
      <c r="C1133" t="s">
        <v>1670</v>
      </c>
      <c r="D1133" t="s">
        <v>1641</v>
      </c>
      <c r="E1133" t="s">
        <v>1316</v>
      </c>
      <c r="J1133" t="s">
        <v>1497</v>
      </c>
      <c r="K1133">
        <v>0</v>
      </c>
      <c r="N1133">
        <v>1132</v>
      </c>
      <c r="O1133" t="str">
        <f>_xlfn.XLOOKUP(Table4[[#This Row],[id]],VALINA[id],VALINA[name])</f>
        <v>Coast of Cameroon</v>
      </c>
      <c r="P1133">
        <f>_xlfn.XLOOKUP(Table4[[#This Row],[id]],prov_color!A:A,prov_color!C:C)</f>
        <v>109</v>
      </c>
    </row>
    <row r="1134" spans="1:16" hidden="1" x14ac:dyDescent="0.25">
      <c r="A1134">
        <v>1133</v>
      </c>
      <c r="B1134" t="s">
        <v>1016</v>
      </c>
      <c r="C1134" t="s">
        <v>1671</v>
      </c>
      <c r="D1134" t="s">
        <v>1641</v>
      </c>
      <c r="E1134" t="s">
        <v>1316</v>
      </c>
      <c r="J1134" t="s">
        <v>1510</v>
      </c>
      <c r="K1134">
        <v>0</v>
      </c>
      <c r="N1134">
        <v>1133</v>
      </c>
      <c r="O1134" t="str">
        <f>_xlfn.XLOOKUP(Table4[[#This Row],[id]],VALINA[id],VALINA[name])</f>
        <v>Coast of Pepper</v>
      </c>
      <c r="P1134">
        <f>_xlfn.XLOOKUP(Table4[[#This Row],[id]],prov_color!A:A,prov_color!C:C)</f>
        <v>116</v>
      </c>
    </row>
    <row r="1135" spans="1:16" hidden="1" x14ac:dyDescent="0.25">
      <c r="A1135">
        <v>1134</v>
      </c>
      <c r="B1135" t="s">
        <v>1016</v>
      </c>
      <c r="C1135" t="s">
        <v>1671</v>
      </c>
      <c r="D1135" t="s">
        <v>1641</v>
      </c>
      <c r="E1135" t="s">
        <v>1316</v>
      </c>
      <c r="J1135" t="s">
        <v>1511</v>
      </c>
      <c r="K1135">
        <v>0</v>
      </c>
      <c r="N1135">
        <v>1134</v>
      </c>
      <c r="O1135" t="str">
        <f>_xlfn.XLOOKUP(Table4[[#This Row],[id]],VALINA[id],VALINA[name])</f>
        <v>Horn of Africa</v>
      </c>
      <c r="P1135">
        <f>_xlfn.XLOOKUP(Table4[[#This Row],[id]],prov_color!A:A,prov_color!C:C)</f>
        <v>175</v>
      </c>
    </row>
    <row r="1136" spans="1:16" hidden="1" x14ac:dyDescent="0.25">
      <c r="A1136">
        <v>1135</v>
      </c>
      <c r="B1136" t="s">
        <v>1016</v>
      </c>
      <c r="C1136" t="s">
        <v>1663</v>
      </c>
      <c r="D1136" t="s">
        <v>1641</v>
      </c>
      <c r="E1136" t="s">
        <v>1316</v>
      </c>
      <c r="J1136" t="s">
        <v>1427</v>
      </c>
      <c r="K1136">
        <v>0</v>
      </c>
      <c r="N1136">
        <v>1135</v>
      </c>
      <c r="O1136" t="str">
        <f>_xlfn.XLOOKUP(Table4[[#This Row],[id]],VALINA[id],VALINA[name])</f>
        <v>Socotra Island</v>
      </c>
      <c r="P1136">
        <f>_xlfn.XLOOKUP(Table4[[#This Row],[id]],prov_color!A:A,prov_color!C:C)</f>
        <v>238</v>
      </c>
    </row>
    <row r="1137" spans="1:16" hidden="1" x14ac:dyDescent="0.25">
      <c r="A1137">
        <v>1136</v>
      </c>
      <c r="B1137" t="s">
        <v>653</v>
      </c>
      <c r="C1137" t="s">
        <v>1671</v>
      </c>
      <c r="D1137" t="s">
        <v>1641</v>
      </c>
      <c r="E1137" t="s">
        <v>1316</v>
      </c>
      <c r="J1137" t="s">
        <v>1518</v>
      </c>
      <c r="K1137">
        <v>0</v>
      </c>
      <c r="N1137">
        <v>1136</v>
      </c>
      <c r="O1137" t="str">
        <f>_xlfn.XLOOKUP(Table4[[#This Row],[id]],VALINA[id],VALINA[name])</f>
        <v>Oman Sea</v>
      </c>
      <c r="P1137">
        <f>_xlfn.XLOOKUP(Table4[[#This Row],[id]],prov_color!A:A,prov_color!C:C)</f>
        <v>435</v>
      </c>
    </row>
    <row r="1138" spans="1:16" hidden="1" x14ac:dyDescent="0.25">
      <c r="A1138">
        <v>1137</v>
      </c>
      <c r="B1138" t="s">
        <v>653</v>
      </c>
      <c r="C1138" t="s">
        <v>1671</v>
      </c>
      <c r="D1138" t="s">
        <v>1641</v>
      </c>
      <c r="E1138" t="s">
        <v>1316</v>
      </c>
      <c r="J1138" t="s">
        <v>1593</v>
      </c>
      <c r="K1138">
        <v>0</v>
      </c>
      <c r="N1138">
        <v>1137</v>
      </c>
      <c r="O1138" t="str">
        <f>_xlfn.XLOOKUP(Table4[[#This Row],[id]],VALINA[id],VALINA[name])</f>
        <v>The Maldives</v>
      </c>
      <c r="P1138">
        <f>_xlfn.XLOOKUP(Table4[[#This Row],[id]],prov_color!A:A,prov_color!C:C)</f>
        <v>341</v>
      </c>
    </row>
    <row r="1139" spans="1:16" hidden="1" x14ac:dyDescent="0.25">
      <c r="A1139">
        <v>1138</v>
      </c>
      <c r="B1139" t="s">
        <v>653</v>
      </c>
      <c r="C1139" t="s">
        <v>1665</v>
      </c>
      <c r="D1139" t="s">
        <v>1641</v>
      </c>
      <c r="E1139" t="s">
        <v>1316</v>
      </c>
      <c r="J1139" t="s">
        <v>1339</v>
      </c>
      <c r="K1139">
        <v>0</v>
      </c>
      <c r="N1139">
        <v>1138</v>
      </c>
      <c r="O1139" t="str">
        <f>_xlfn.XLOOKUP(Table4[[#This Row],[id]],VALINA[id],VALINA[name])</f>
        <v>Comorin Cape</v>
      </c>
      <c r="P1139">
        <f>_xlfn.XLOOKUP(Table4[[#This Row],[id]],prov_color!A:A,prov_color!C:C)</f>
        <v>93</v>
      </c>
    </row>
    <row r="1140" spans="1:16" hidden="1" x14ac:dyDescent="0.25">
      <c r="A1140">
        <v>1139</v>
      </c>
      <c r="B1140" t="s">
        <v>653</v>
      </c>
      <c r="C1140" t="s">
        <v>1671</v>
      </c>
      <c r="D1140" t="s">
        <v>1641</v>
      </c>
      <c r="E1140" t="s">
        <v>1316</v>
      </c>
      <c r="J1140" t="s">
        <v>1594</v>
      </c>
      <c r="K1140">
        <v>0</v>
      </c>
      <c r="N1140">
        <v>1139</v>
      </c>
      <c r="O1140" t="str">
        <f>_xlfn.XLOOKUP(Table4[[#This Row],[id]],VALINA[id],VALINA[name])</f>
        <v>Ceylon Sea</v>
      </c>
      <c r="P1140">
        <f>_xlfn.XLOOKUP(Table4[[#This Row],[id]],prov_color!A:A,prov_color!C:C)</f>
        <v>291</v>
      </c>
    </row>
    <row r="1141" spans="1:16" hidden="1" x14ac:dyDescent="0.25">
      <c r="A1141">
        <v>1140</v>
      </c>
      <c r="B1141" t="s">
        <v>653</v>
      </c>
      <c r="C1141" t="s">
        <v>1665</v>
      </c>
      <c r="D1141" t="s">
        <v>1641</v>
      </c>
      <c r="E1141" t="s">
        <v>1316</v>
      </c>
      <c r="J1141" t="s">
        <v>1340</v>
      </c>
      <c r="K1141">
        <v>0</v>
      </c>
      <c r="N1141">
        <v>1140</v>
      </c>
      <c r="O1141" t="str">
        <f>_xlfn.XLOOKUP(Table4[[#This Row],[id]],VALINA[id],VALINA[name])</f>
        <v>Coast of Trincomalee</v>
      </c>
      <c r="P1141">
        <f>_xlfn.XLOOKUP(Table4[[#This Row],[id]],prov_color!A:A,prov_color!C:C)</f>
        <v>71</v>
      </c>
    </row>
    <row r="1142" spans="1:16" hidden="1" x14ac:dyDescent="0.25">
      <c r="A1142">
        <v>1141</v>
      </c>
      <c r="B1142" t="s">
        <v>653</v>
      </c>
      <c r="C1142" t="s">
        <v>1666</v>
      </c>
      <c r="D1142" t="s">
        <v>1641</v>
      </c>
      <c r="E1142" t="s">
        <v>1316</v>
      </c>
      <c r="J1142" t="s">
        <v>1424</v>
      </c>
      <c r="K1142">
        <v>0</v>
      </c>
      <c r="N1142">
        <v>1141</v>
      </c>
      <c r="O1142" t="str">
        <f>_xlfn.XLOOKUP(Table4[[#This Row],[id]],VALINA[id],VALINA[name])</f>
        <v>Bay of Bengale</v>
      </c>
      <c r="P1142">
        <f>_xlfn.XLOOKUP(Table4[[#This Row],[id]],prov_color!A:A,prov_color!C:C)</f>
        <v>165</v>
      </c>
    </row>
    <row r="1143" spans="1:16" hidden="1" x14ac:dyDescent="0.25">
      <c r="A1143">
        <v>1142</v>
      </c>
      <c r="B1143" t="s">
        <v>653</v>
      </c>
      <c r="C1143" t="s">
        <v>1666</v>
      </c>
      <c r="D1143" t="s">
        <v>1641</v>
      </c>
      <c r="E1143" t="s">
        <v>1316</v>
      </c>
      <c r="J1143" t="s">
        <v>1807</v>
      </c>
      <c r="N1143">
        <v>0</v>
      </c>
      <c r="O1143" t="str">
        <f>_xlfn.XLOOKUP(Table4[[#This Row],[id]],VALINA[id],VALINA[name])</f>
        <v>Central Indian Ocean</v>
      </c>
      <c r="P1143">
        <f>_xlfn.XLOOKUP(Table4[[#This Row],[id]],prov_color!A:A,prov_color!C:C)</f>
        <v>191</v>
      </c>
    </row>
    <row r="1144" spans="1:16" hidden="1" x14ac:dyDescent="0.25">
      <c r="A1144">
        <v>1143</v>
      </c>
      <c r="B1144" t="s">
        <v>653</v>
      </c>
      <c r="C1144" t="s">
        <v>1666</v>
      </c>
      <c r="D1144" t="s">
        <v>1641</v>
      </c>
      <c r="E1144" t="s">
        <v>1316</v>
      </c>
      <c r="J1144" t="s">
        <v>1347</v>
      </c>
      <c r="K1144">
        <v>0</v>
      </c>
      <c r="N1144">
        <v>1143</v>
      </c>
      <c r="O1144" t="str">
        <f>_xlfn.XLOOKUP(Table4[[#This Row],[id]],VALINA[id],VALINA[name])</f>
        <v>Straits of Malacca</v>
      </c>
      <c r="P1144">
        <f>_xlfn.XLOOKUP(Table4[[#This Row],[id]],prov_color!A:A,prov_color!C:C)</f>
        <v>100</v>
      </c>
    </row>
    <row r="1145" spans="1:16" hidden="1" x14ac:dyDescent="0.25">
      <c r="A1145">
        <v>1144</v>
      </c>
      <c r="B1145" t="s">
        <v>653</v>
      </c>
      <c r="C1145" t="s">
        <v>1666</v>
      </c>
      <c r="D1145" t="s">
        <v>1641</v>
      </c>
      <c r="E1145" t="s">
        <v>1316</v>
      </c>
      <c r="J1145" t="s">
        <v>1349</v>
      </c>
      <c r="K1145">
        <v>0</v>
      </c>
      <c r="N1145">
        <v>1144</v>
      </c>
      <c r="O1145" t="str">
        <f>_xlfn.XLOOKUP(Table4[[#This Row],[id]],VALINA[id],VALINA[name])</f>
        <v>Coast of Sumatra</v>
      </c>
      <c r="P1145">
        <f>_xlfn.XLOOKUP(Table4[[#This Row],[id]],prov_color!A:A,prov_color!C:C)</f>
        <v>125</v>
      </c>
    </row>
    <row r="1146" spans="1:16" hidden="1" x14ac:dyDescent="0.25">
      <c r="A1146">
        <v>1145</v>
      </c>
      <c r="B1146" t="s">
        <v>653</v>
      </c>
      <c r="C1146" t="s">
        <v>1666</v>
      </c>
      <c r="D1146" t="s">
        <v>1641</v>
      </c>
      <c r="E1146" t="s">
        <v>1316</v>
      </c>
      <c r="J1146" t="s">
        <v>1808</v>
      </c>
      <c r="K1146">
        <v>0</v>
      </c>
      <c r="N1146">
        <v>1145</v>
      </c>
      <c r="O1146" t="str">
        <f>_xlfn.XLOOKUP(Table4[[#This Row],[id]],VALINA[id],VALINA[name])</f>
        <v>Straits of Johore</v>
      </c>
      <c r="P1146">
        <f>_xlfn.XLOOKUP(Table4[[#This Row],[id]],prov_color!A:A,prov_color!C:C)</f>
        <v>60</v>
      </c>
    </row>
    <row r="1147" spans="1:16" hidden="1" x14ac:dyDescent="0.25">
      <c r="A1147">
        <v>1146</v>
      </c>
      <c r="B1147" t="s">
        <v>653</v>
      </c>
      <c r="C1147" t="s">
        <v>1667</v>
      </c>
      <c r="D1147" t="s">
        <v>1641</v>
      </c>
      <c r="E1147" t="s">
        <v>1316</v>
      </c>
      <c r="J1147" t="s">
        <v>1809</v>
      </c>
      <c r="N1147">
        <v>0</v>
      </c>
      <c r="O1147" t="str">
        <f>_xlfn.XLOOKUP(Table4[[#This Row],[id]],VALINA[id],VALINA[name])</f>
        <v>Malayan Sea</v>
      </c>
      <c r="P1147">
        <f>_xlfn.XLOOKUP(Table4[[#This Row],[id]],prov_color!A:A,prov_color!C:C)</f>
        <v>80</v>
      </c>
    </row>
    <row r="1148" spans="1:16" hidden="1" x14ac:dyDescent="0.25">
      <c r="A1148">
        <v>1147</v>
      </c>
      <c r="B1148" t="s">
        <v>653</v>
      </c>
      <c r="C1148" t="s">
        <v>1667</v>
      </c>
      <c r="D1148" t="s">
        <v>1641</v>
      </c>
      <c r="E1148" t="s">
        <v>1316</v>
      </c>
      <c r="J1148" t="s">
        <v>1393</v>
      </c>
      <c r="K1148">
        <v>0</v>
      </c>
      <c r="N1148">
        <v>1147</v>
      </c>
      <c r="O1148" t="str">
        <f>_xlfn.XLOOKUP(Table4[[#This Row],[id]],VALINA[id],VALINA[name])</f>
        <v>South China Sea</v>
      </c>
      <c r="P1148">
        <f>_xlfn.XLOOKUP(Table4[[#This Row],[id]],prov_color!A:A,prov_color!C:C)</f>
        <v>152</v>
      </c>
    </row>
    <row r="1149" spans="1:16" hidden="1" x14ac:dyDescent="0.25">
      <c r="A1149">
        <v>1148</v>
      </c>
      <c r="B1149" t="s">
        <v>653</v>
      </c>
      <c r="C1149" t="s">
        <v>1672</v>
      </c>
      <c r="D1149" t="s">
        <v>1641</v>
      </c>
      <c r="E1149" t="s">
        <v>1316</v>
      </c>
      <c r="J1149" t="s">
        <v>1383</v>
      </c>
      <c r="K1149">
        <v>0</v>
      </c>
      <c r="N1149">
        <v>1148</v>
      </c>
      <c r="O1149" t="str">
        <f>_xlfn.XLOOKUP(Table4[[#This Row],[id]],VALINA[id],VALINA[name])</f>
        <v>Balabac Strait</v>
      </c>
      <c r="P1149">
        <f>_xlfn.XLOOKUP(Table4[[#This Row],[id]],prov_color!A:A,prov_color!C:C)</f>
        <v>77</v>
      </c>
    </row>
    <row r="1150" spans="1:16" hidden="1" x14ac:dyDescent="0.25">
      <c r="A1150">
        <v>1149</v>
      </c>
      <c r="B1150" t="s">
        <v>653</v>
      </c>
      <c r="C1150" t="s">
        <v>1672</v>
      </c>
      <c r="D1150" t="s">
        <v>1641</v>
      </c>
      <c r="E1150" t="s">
        <v>1316</v>
      </c>
      <c r="J1150" t="s">
        <v>6462</v>
      </c>
      <c r="K1150">
        <v>0</v>
      </c>
      <c r="N1150">
        <v>1149</v>
      </c>
      <c r="O1150" t="str">
        <f>_xlfn.XLOOKUP(Table4[[#This Row],[id]],VALINA[id],VALINA[name])</f>
        <v>South China Sea 2</v>
      </c>
      <c r="P1150">
        <f>_xlfn.XLOOKUP(Table4[[#This Row],[id]],prov_color!A:A,prov_color!C:C)</f>
        <v>207</v>
      </c>
    </row>
    <row r="1151" spans="1:16" hidden="1" x14ac:dyDescent="0.25">
      <c r="A1151">
        <v>1150</v>
      </c>
      <c r="B1151" t="s">
        <v>653</v>
      </c>
      <c r="C1151" t="s">
        <v>1672</v>
      </c>
      <c r="D1151" t="s">
        <v>1641</v>
      </c>
      <c r="E1151" t="s">
        <v>1316</v>
      </c>
      <c r="J1151" t="s">
        <v>1379</v>
      </c>
      <c r="K1151">
        <v>0</v>
      </c>
      <c r="N1151">
        <v>1150</v>
      </c>
      <c r="O1151" t="str">
        <f>_xlfn.XLOOKUP(Table4[[#This Row],[id]],VALINA[id],VALINA[name])</f>
        <v>Sulu Sea</v>
      </c>
      <c r="P1151">
        <f>_xlfn.XLOOKUP(Table4[[#This Row],[id]],prov_color!A:A,prov_color!C:C)</f>
        <v>84</v>
      </c>
    </row>
    <row r="1152" spans="1:16" hidden="1" x14ac:dyDescent="0.25">
      <c r="A1152">
        <v>1151</v>
      </c>
      <c r="B1152" t="s">
        <v>653</v>
      </c>
      <c r="C1152" t="s">
        <v>1672</v>
      </c>
      <c r="D1152" t="s">
        <v>1641</v>
      </c>
      <c r="E1152" t="s">
        <v>1316</v>
      </c>
      <c r="J1152" t="s">
        <v>1378</v>
      </c>
      <c r="K1152">
        <v>0</v>
      </c>
      <c r="N1152">
        <v>1151</v>
      </c>
      <c r="O1152" t="str">
        <f>_xlfn.XLOOKUP(Table4[[#This Row],[id]],VALINA[id],VALINA[name])</f>
        <v>Gulf of Leyte</v>
      </c>
      <c r="P1152">
        <f>_xlfn.XLOOKUP(Table4[[#This Row],[id]],prov_color!A:A,prov_color!C:C)</f>
        <v>103</v>
      </c>
    </row>
    <row r="1153" spans="1:16" hidden="1" x14ac:dyDescent="0.25">
      <c r="A1153">
        <v>1152</v>
      </c>
      <c r="B1153" t="s">
        <v>653</v>
      </c>
      <c r="C1153" t="s">
        <v>1672</v>
      </c>
      <c r="D1153" t="s">
        <v>1641</v>
      </c>
      <c r="E1153" t="s">
        <v>1316</v>
      </c>
      <c r="J1153" t="s">
        <v>1377</v>
      </c>
      <c r="K1153">
        <v>0</v>
      </c>
      <c r="N1153">
        <v>1152</v>
      </c>
      <c r="O1153" t="str">
        <f>_xlfn.XLOOKUP(Table4[[#This Row],[id]],VALINA[id],VALINA[name])</f>
        <v>Coast of Luzon</v>
      </c>
      <c r="P1153">
        <f>_xlfn.XLOOKUP(Table4[[#This Row],[id]],prov_color!A:A,prov_color!C:C)</f>
        <v>81</v>
      </c>
    </row>
    <row r="1154" spans="1:16" hidden="1" x14ac:dyDescent="0.25">
      <c r="A1154">
        <v>1153</v>
      </c>
      <c r="B1154" t="s">
        <v>653</v>
      </c>
      <c r="C1154" t="s">
        <v>1655</v>
      </c>
      <c r="D1154" t="s">
        <v>1641</v>
      </c>
      <c r="E1154" t="s">
        <v>1316</v>
      </c>
      <c r="J1154" t="s">
        <v>1597</v>
      </c>
      <c r="K1154">
        <v>0</v>
      </c>
      <c r="N1154">
        <v>1153</v>
      </c>
      <c r="O1154" t="str">
        <f>_xlfn.XLOOKUP(Table4[[#This Row],[id]],VALINA[id],VALINA[name])</f>
        <v>North Philippine Sea</v>
      </c>
      <c r="P1154">
        <f>_xlfn.XLOOKUP(Table4[[#This Row],[id]],prov_color!A:A,prov_color!C:C)</f>
        <v>171</v>
      </c>
    </row>
    <row r="1155" spans="1:16" hidden="1" x14ac:dyDescent="0.25">
      <c r="A1155">
        <v>1154</v>
      </c>
      <c r="B1155" t="s">
        <v>653</v>
      </c>
      <c r="C1155" t="s">
        <v>1672</v>
      </c>
      <c r="D1155" t="s">
        <v>1641</v>
      </c>
      <c r="E1155" t="s">
        <v>1316</v>
      </c>
      <c r="J1155" t="s">
        <v>1954</v>
      </c>
      <c r="N1155">
        <v>0</v>
      </c>
      <c r="O1155" t="str">
        <f>_xlfn.XLOOKUP(Table4[[#This Row],[id]],VALINA[id],VALINA[name])</f>
        <v>Yap Island</v>
      </c>
      <c r="P1155">
        <f>_xlfn.XLOOKUP(Table4[[#This Row],[id]],prov_color!A:A,prov_color!C:C)</f>
        <v>271</v>
      </c>
    </row>
    <row r="1156" spans="1:16" hidden="1" x14ac:dyDescent="0.25">
      <c r="A1156">
        <v>1155</v>
      </c>
      <c r="B1156" t="s">
        <v>653</v>
      </c>
      <c r="C1156" t="s">
        <v>1672</v>
      </c>
      <c r="D1156" t="s">
        <v>1641</v>
      </c>
      <c r="E1156" t="s">
        <v>1316</v>
      </c>
      <c r="J1156" t="s">
        <v>1598</v>
      </c>
      <c r="K1156">
        <v>0</v>
      </c>
      <c r="N1156">
        <v>1155</v>
      </c>
      <c r="O1156" t="str">
        <f>_xlfn.XLOOKUP(Table4[[#This Row],[id]],VALINA[id],VALINA[name])</f>
        <v>Philippine Sea</v>
      </c>
      <c r="P1156">
        <f>_xlfn.XLOOKUP(Table4[[#This Row],[id]],prov_color!A:A,prov_color!C:C)</f>
        <v>67</v>
      </c>
    </row>
    <row r="1157" spans="1:16" hidden="1" x14ac:dyDescent="0.25">
      <c r="A1157">
        <v>1156</v>
      </c>
      <c r="B1157" t="s">
        <v>653</v>
      </c>
      <c r="C1157" t="s">
        <v>1672</v>
      </c>
      <c r="D1157" t="s">
        <v>1641</v>
      </c>
      <c r="E1157" t="s">
        <v>1316</v>
      </c>
      <c r="J1157" t="s">
        <v>1600</v>
      </c>
      <c r="K1157">
        <v>0</v>
      </c>
      <c r="N1157">
        <v>1156</v>
      </c>
      <c r="O1157" t="str">
        <f>_xlfn.XLOOKUP(Table4[[#This Row],[id]],VALINA[id],VALINA[name])</f>
        <v>Palau Island</v>
      </c>
      <c r="P1157">
        <f>_xlfn.XLOOKUP(Table4[[#This Row],[id]],prov_color!A:A,prov_color!C:C)</f>
        <v>270</v>
      </c>
    </row>
    <row r="1158" spans="1:16" hidden="1" x14ac:dyDescent="0.25">
      <c r="A1158">
        <v>1157</v>
      </c>
      <c r="B1158" t="s">
        <v>990</v>
      </c>
      <c r="C1158" t="s">
        <v>1656</v>
      </c>
      <c r="D1158" t="s">
        <v>1641</v>
      </c>
      <c r="E1158" t="s">
        <v>1316</v>
      </c>
      <c r="J1158" t="s">
        <v>1955</v>
      </c>
      <c r="N1158">
        <v>0</v>
      </c>
      <c r="O1158" t="str">
        <f>_xlfn.XLOOKUP(Table4[[#This Row],[id]],VALINA[id],VALINA[name])</f>
        <v>Mariana Sea</v>
      </c>
      <c r="P1158">
        <f>_xlfn.XLOOKUP(Table4[[#This Row],[id]],prov_color!A:A,prov_color!C:C)</f>
        <v>428</v>
      </c>
    </row>
    <row r="1159" spans="1:16" hidden="1" x14ac:dyDescent="0.25">
      <c r="A1159">
        <v>1158</v>
      </c>
      <c r="B1159" t="s">
        <v>990</v>
      </c>
      <c r="C1159" t="s">
        <v>1672</v>
      </c>
      <c r="D1159" t="s">
        <v>1641</v>
      </c>
      <c r="E1159" t="s">
        <v>1316</v>
      </c>
      <c r="J1159" t="s">
        <v>1810</v>
      </c>
      <c r="N1159">
        <v>0</v>
      </c>
      <c r="O1159" t="str">
        <f>_xlfn.XLOOKUP(Table4[[#This Row],[id]],VALINA[id],VALINA[name])</f>
        <v>Caroline Islands</v>
      </c>
      <c r="P1159">
        <f>_xlfn.XLOOKUP(Table4[[#This Row],[id]],prov_color!A:A,prov_color!C:C)</f>
        <v>245</v>
      </c>
    </row>
    <row r="1160" spans="1:16" hidden="1" x14ac:dyDescent="0.25">
      <c r="A1160">
        <v>1159</v>
      </c>
      <c r="B1160" t="s">
        <v>990</v>
      </c>
      <c r="C1160" t="s">
        <v>1656</v>
      </c>
      <c r="D1160" t="s">
        <v>1641</v>
      </c>
      <c r="E1160" t="s">
        <v>1316</v>
      </c>
      <c r="J1160" t="s">
        <v>1956</v>
      </c>
      <c r="N1160">
        <v>0</v>
      </c>
      <c r="O1160" t="str">
        <f>_xlfn.XLOOKUP(Table4[[#This Row],[id]],VALINA[id],VALINA[name])</f>
        <v>Micronesian Sea</v>
      </c>
      <c r="P1160">
        <f>_xlfn.XLOOKUP(Table4[[#This Row],[id]],prov_color!A:A,prov_color!C:C)</f>
        <v>592</v>
      </c>
    </row>
    <row r="1161" spans="1:16" hidden="1" x14ac:dyDescent="0.25">
      <c r="A1161">
        <v>1160</v>
      </c>
      <c r="B1161" t="s">
        <v>990</v>
      </c>
      <c r="C1161" t="s">
        <v>1656</v>
      </c>
      <c r="D1161" t="s">
        <v>1641</v>
      </c>
      <c r="E1161" t="s">
        <v>1316</v>
      </c>
      <c r="J1161" t="s">
        <v>1957</v>
      </c>
      <c r="N1161">
        <v>0</v>
      </c>
      <c r="O1161" t="str">
        <f>_xlfn.XLOOKUP(Table4[[#This Row],[id]],VALINA[id],VALINA[name])</f>
        <v>Marshall Islands</v>
      </c>
      <c r="P1161">
        <f>_xlfn.XLOOKUP(Table4[[#This Row],[id]],prov_color!A:A,prov_color!C:C)</f>
        <v>391</v>
      </c>
    </row>
    <row r="1162" spans="1:16" hidden="1" x14ac:dyDescent="0.25">
      <c r="A1162">
        <v>1161</v>
      </c>
      <c r="B1162" t="s">
        <v>990</v>
      </c>
      <c r="C1162" t="s">
        <v>1668</v>
      </c>
      <c r="D1162" t="s">
        <v>1641</v>
      </c>
      <c r="E1162" t="s">
        <v>1316</v>
      </c>
      <c r="J1162" t="s">
        <v>1958</v>
      </c>
      <c r="N1162">
        <v>0</v>
      </c>
      <c r="O1162" t="str">
        <f>_xlfn.XLOOKUP(Table4[[#This Row],[id]],VALINA[id],VALINA[name])</f>
        <v>Gilbert Islands</v>
      </c>
      <c r="P1162">
        <f>_xlfn.XLOOKUP(Table4[[#This Row],[id]],prov_color!A:A,prov_color!C:C)</f>
        <v>740</v>
      </c>
    </row>
    <row r="1163" spans="1:16" hidden="1" x14ac:dyDescent="0.25">
      <c r="A1163">
        <v>1162</v>
      </c>
      <c r="B1163" t="s">
        <v>990</v>
      </c>
      <c r="C1163" t="s">
        <v>1668</v>
      </c>
      <c r="D1163" t="s">
        <v>1641</v>
      </c>
      <c r="E1163" t="s">
        <v>1316</v>
      </c>
      <c r="J1163" t="s">
        <v>1811</v>
      </c>
      <c r="N1163">
        <v>0</v>
      </c>
      <c r="O1163" t="str">
        <f>_xlfn.XLOOKUP(Table4[[#This Row],[id]],VALINA[id],VALINA[name])</f>
        <v>Fiji Islands</v>
      </c>
      <c r="P1163">
        <f>_xlfn.XLOOKUP(Table4[[#This Row],[id]],prov_color!A:A,prov_color!C:C)</f>
        <v>552</v>
      </c>
    </row>
    <row r="1164" spans="1:16" hidden="1" x14ac:dyDescent="0.25">
      <c r="A1164">
        <v>1163</v>
      </c>
      <c r="B1164" t="s">
        <v>990</v>
      </c>
      <c r="C1164" t="s">
        <v>1668</v>
      </c>
      <c r="D1164" t="s">
        <v>1641</v>
      </c>
      <c r="E1164" t="s">
        <v>1316</v>
      </c>
      <c r="J1164" t="s">
        <v>1812</v>
      </c>
      <c r="N1164">
        <v>0</v>
      </c>
      <c r="O1164" t="str">
        <f>_xlfn.XLOOKUP(Table4[[#This Row],[id]],VALINA[id],VALINA[name])</f>
        <v>Samoan Sea</v>
      </c>
      <c r="P1164">
        <f>_xlfn.XLOOKUP(Table4[[#This Row],[id]],prov_color!A:A,prov_color!C:C)</f>
        <v>553</v>
      </c>
    </row>
    <row r="1165" spans="1:16" hidden="1" x14ac:dyDescent="0.25">
      <c r="A1165">
        <v>1164</v>
      </c>
      <c r="B1165" t="s">
        <v>990</v>
      </c>
      <c r="C1165" t="s">
        <v>1668</v>
      </c>
      <c r="D1165" t="s">
        <v>1641</v>
      </c>
      <c r="E1165" t="s">
        <v>1316</v>
      </c>
      <c r="J1165" t="s">
        <v>1813</v>
      </c>
      <c r="N1165">
        <v>0</v>
      </c>
      <c r="O1165" t="str">
        <f>_xlfn.XLOOKUP(Table4[[#This Row],[id]],VALINA[id],VALINA[name])</f>
        <v>Samoa Islands</v>
      </c>
      <c r="P1165">
        <f>_xlfn.XLOOKUP(Table4[[#This Row],[id]],prov_color!A:A,prov_color!C:C)</f>
        <v>811</v>
      </c>
    </row>
    <row r="1166" spans="1:16" hidden="1" x14ac:dyDescent="0.25">
      <c r="A1166">
        <v>1165</v>
      </c>
      <c r="B1166" t="s">
        <v>990</v>
      </c>
      <c r="C1166" t="s">
        <v>1661</v>
      </c>
      <c r="D1166" t="s">
        <v>1641</v>
      </c>
      <c r="E1166" t="s">
        <v>1316</v>
      </c>
      <c r="J1166" t="s">
        <v>1814</v>
      </c>
      <c r="N1166">
        <v>0</v>
      </c>
      <c r="O1166" t="str">
        <f>_xlfn.XLOOKUP(Table4[[#This Row],[id]],VALINA[id],VALINA[name])</f>
        <v>Society Islands</v>
      </c>
      <c r="P1166">
        <f>_xlfn.XLOOKUP(Table4[[#This Row],[id]],prov_color!A:A,prov_color!C:C)</f>
        <v>798</v>
      </c>
    </row>
    <row r="1167" spans="1:16" hidden="1" x14ac:dyDescent="0.25">
      <c r="A1167">
        <v>1166</v>
      </c>
      <c r="B1167" t="s">
        <v>990</v>
      </c>
      <c r="C1167" t="s">
        <v>1661</v>
      </c>
      <c r="D1167" t="s">
        <v>1641</v>
      </c>
      <c r="E1167" t="s">
        <v>1316</v>
      </c>
      <c r="J1167" t="s">
        <v>1815</v>
      </c>
      <c r="N1167">
        <v>0</v>
      </c>
      <c r="O1167" t="str">
        <f>_xlfn.XLOOKUP(Table4[[#This Row],[id]],VALINA[id],VALINA[name])</f>
        <v>South Pacific Ocean</v>
      </c>
      <c r="P1167">
        <f>_xlfn.XLOOKUP(Table4[[#This Row],[id]],prov_color!A:A,prov_color!C:C)</f>
        <v>623</v>
      </c>
    </row>
    <row r="1168" spans="1:16" hidden="1" x14ac:dyDescent="0.25">
      <c r="A1168">
        <v>1167</v>
      </c>
      <c r="B1168" t="s">
        <v>990</v>
      </c>
      <c r="C1168" t="s">
        <v>1661</v>
      </c>
      <c r="D1168" t="s">
        <v>1641</v>
      </c>
      <c r="E1168" t="s">
        <v>1316</v>
      </c>
      <c r="J1168" t="s">
        <v>1815</v>
      </c>
      <c r="N1168">
        <v>0</v>
      </c>
      <c r="O1168" t="str">
        <f>_xlfn.XLOOKUP(Table4[[#This Row],[id]],VALINA[id],VALINA[name])</f>
        <v>South Pacific Ocean</v>
      </c>
      <c r="P1168">
        <f>_xlfn.XLOOKUP(Table4[[#This Row],[id]],prov_color!A:A,prov_color!C:C)</f>
        <v>318</v>
      </c>
    </row>
    <row r="1169" spans="1:16" hidden="1" x14ac:dyDescent="0.25">
      <c r="A1169">
        <v>1168</v>
      </c>
      <c r="B1169" t="s">
        <v>11</v>
      </c>
      <c r="C1169" t="s">
        <v>1661</v>
      </c>
      <c r="D1169" t="s">
        <v>1641</v>
      </c>
      <c r="E1169" t="s">
        <v>1316</v>
      </c>
      <c r="J1169" t="s">
        <v>1561</v>
      </c>
      <c r="K1169">
        <v>0</v>
      </c>
      <c r="N1169">
        <v>1168</v>
      </c>
      <c r="O1169" t="str">
        <f>_xlfn.XLOOKUP(Table4[[#This Row],[id]],VALINA[id],VALINA[name])</f>
        <v>Coast of Chile</v>
      </c>
      <c r="P1169">
        <f>_xlfn.XLOOKUP(Table4[[#This Row],[id]],prov_color!A:A,prov_color!C:C)</f>
        <v>176</v>
      </c>
    </row>
    <row r="1170" spans="1:16" hidden="1" x14ac:dyDescent="0.25">
      <c r="A1170">
        <v>1169</v>
      </c>
      <c r="B1170" t="s">
        <v>11</v>
      </c>
      <c r="C1170" t="s">
        <v>1673</v>
      </c>
      <c r="D1170" t="s">
        <v>1641</v>
      </c>
      <c r="E1170" t="s">
        <v>1316</v>
      </c>
      <c r="J1170" t="s">
        <v>1557</v>
      </c>
      <c r="K1170">
        <v>0</v>
      </c>
      <c r="N1170">
        <v>1169</v>
      </c>
      <c r="O1170" t="str">
        <f>_xlfn.XLOOKUP(Table4[[#This Row],[id]],VALINA[id],VALINA[name])</f>
        <v>Coast of Patagonia</v>
      </c>
      <c r="P1170">
        <f>_xlfn.XLOOKUP(Table4[[#This Row],[id]],prov_color!A:A,prov_color!C:C)</f>
        <v>128</v>
      </c>
    </row>
    <row r="1171" spans="1:16" hidden="1" x14ac:dyDescent="0.25">
      <c r="A1171">
        <v>1170</v>
      </c>
      <c r="B1171" t="s">
        <v>11</v>
      </c>
      <c r="C1171" t="s">
        <v>1673</v>
      </c>
      <c r="D1171" t="s">
        <v>1641</v>
      </c>
      <c r="E1171" t="s">
        <v>1316</v>
      </c>
      <c r="J1171" t="s">
        <v>1835</v>
      </c>
      <c r="N1171">
        <v>0</v>
      </c>
      <c r="O1171" t="str">
        <f>_xlfn.XLOOKUP(Table4[[#This Row],[id]],VALINA[id],VALINA[name])</f>
        <v>Southern Atlantic Ocean</v>
      </c>
      <c r="P1171">
        <f>_xlfn.XLOOKUP(Table4[[#This Row],[id]],prov_color!A:A,prov_color!C:C)</f>
        <v>183</v>
      </c>
    </row>
    <row r="1172" spans="1:16" hidden="1" x14ac:dyDescent="0.25">
      <c r="A1172">
        <v>1171</v>
      </c>
      <c r="B1172" t="s">
        <v>11</v>
      </c>
      <c r="C1172" t="s">
        <v>1673</v>
      </c>
      <c r="D1172" t="s">
        <v>1641</v>
      </c>
      <c r="E1172" t="s">
        <v>1316</v>
      </c>
      <c r="J1172" t="s">
        <v>1835</v>
      </c>
      <c r="N1172">
        <v>0</v>
      </c>
      <c r="O1172" t="str">
        <f>_xlfn.XLOOKUP(Table4[[#This Row],[id]],VALINA[id],VALINA[name])</f>
        <v>Southern Atlantic Ocean</v>
      </c>
      <c r="P1172">
        <f>_xlfn.XLOOKUP(Table4[[#This Row],[id]],prov_color!A:A,prov_color!C:C)</f>
        <v>192</v>
      </c>
    </row>
    <row r="1173" spans="1:16" hidden="1" x14ac:dyDescent="0.25">
      <c r="A1173">
        <v>1172</v>
      </c>
      <c r="B1173" t="s">
        <v>11</v>
      </c>
      <c r="C1173" t="s">
        <v>1673</v>
      </c>
      <c r="D1173" t="s">
        <v>1641</v>
      </c>
      <c r="E1173" t="s">
        <v>1316</v>
      </c>
      <c r="J1173" t="s">
        <v>1835</v>
      </c>
      <c r="N1173">
        <v>0</v>
      </c>
      <c r="O1173" t="str">
        <f>_xlfn.XLOOKUP(Table4[[#This Row],[id]],VALINA[id],VALINA[name])</f>
        <v>Southern Atlantic Ocean</v>
      </c>
      <c r="P1173">
        <f>_xlfn.XLOOKUP(Table4[[#This Row],[id]],prov_color!A:A,prov_color!C:C)</f>
        <v>222</v>
      </c>
    </row>
    <row r="1174" spans="1:16" hidden="1" x14ac:dyDescent="0.25">
      <c r="A1174">
        <v>1173</v>
      </c>
      <c r="B1174" t="s">
        <v>11</v>
      </c>
      <c r="C1174" t="s">
        <v>1673</v>
      </c>
      <c r="D1174" t="s">
        <v>1641</v>
      </c>
      <c r="E1174" t="s">
        <v>1316</v>
      </c>
      <c r="J1174" t="s">
        <v>1555</v>
      </c>
      <c r="K1174">
        <v>0</v>
      </c>
      <c r="N1174">
        <v>1173</v>
      </c>
      <c r="O1174" t="str">
        <f>_xlfn.XLOOKUP(Table4[[#This Row],[id]],VALINA[id],VALINA[name])</f>
        <v>Rio de La Plata</v>
      </c>
      <c r="P1174">
        <f>_xlfn.XLOOKUP(Table4[[#This Row],[id]],prov_color!A:A,prov_color!C:C)</f>
        <v>119</v>
      </c>
    </row>
    <row r="1175" spans="1:16" hidden="1" x14ac:dyDescent="0.25">
      <c r="A1175">
        <v>1174</v>
      </c>
      <c r="B1175" t="s">
        <v>11</v>
      </c>
      <c r="C1175" t="s">
        <v>1673</v>
      </c>
      <c r="D1175" t="s">
        <v>1641</v>
      </c>
      <c r="E1175" t="s">
        <v>1316</v>
      </c>
      <c r="J1175" t="s">
        <v>1835</v>
      </c>
      <c r="N1175">
        <v>0</v>
      </c>
      <c r="O1175" t="str">
        <f>_xlfn.XLOOKUP(Table4[[#This Row],[id]],VALINA[id],VALINA[name])</f>
        <v>Southern Atlantic Ocean</v>
      </c>
      <c r="P1175">
        <f>_xlfn.XLOOKUP(Table4[[#This Row],[id]],prov_color!A:A,prov_color!C:C)</f>
        <v>231</v>
      </c>
    </row>
    <row r="1176" spans="1:16" hidden="1" x14ac:dyDescent="0.25">
      <c r="A1176">
        <v>1175</v>
      </c>
      <c r="B1176" t="s">
        <v>11</v>
      </c>
      <c r="C1176" t="s">
        <v>1669</v>
      </c>
      <c r="D1176" t="s">
        <v>1641</v>
      </c>
      <c r="E1176" t="s">
        <v>1316</v>
      </c>
      <c r="J1176" t="s">
        <v>1835</v>
      </c>
      <c r="N1176">
        <v>0</v>
      </c>
      <c r="O1176" t="str">
        <f>_xlfn.XLOOKUP(Table4[[#This Row],[id]],VALINA[id],VALINA[name])</f>
        <v>Southern Atlantic Ocean</v>
      </c>
      <c r="P1176">
        <f>_xlfn.XLOOKUP(Table4[[#This Row],[id]],prov_color!A:A,prov_color!C:C)</f>
        <v>491</v>
      </c>
    </row>
    <row r="1177" spans="1:16" hidden="1" x14ac:dyDescent="0.25">
      <c r="A1177">
        <v>1176</v>
      </c>
      <c r="B1177" t="s">
        <v>1016</v>
      </c>
      <c r="C1177" t="s">
        <v>1670</v>
      </c>
      <c r="D1177" t="s">
        <v>1641</v>
      </c>
      <c r="E1177" t="s">
        <v>1316</v>
      </c>
      <c r="J1177" t="s">
        <v>1835</v>
      </c>
      <c r="N1177">
        <v>0</v>
      </c>
      <c r="O1177" t="str">
        <f>_xlfn.XLOOKUP(Table4[[#This Row],[id]],VALINA[id],VALINA[name])</f>
        <v>Southern Atlantic Ocean</v>
      </c>
      <c r="P1177">
        <f>_xlfn.XLOOKUP(Table4[[#This Row],[id]],prov_color!A:A,prov_color!C:C)</f>
        <v>507</v>
      </c>
    </row>
    <row r="1178" spans="1:16" hidden="1" x14ac:dyDescent="0.25">
      <c r="A1178">
        <v>1177</v>
      </c>
      <c r="B1178" t="s">
        <v>1016</v>
      </c>
      <c r="C1178" t="s">
        <v>1670</v>
      </c>
      <c r="D1178" t="s">
        <v>1641</v>
      </c>
      <c r="E1178" t="s">
        <v>1316</v>
      </c>
      <c r="J1178" t="s">
        <v>1835</v>
      </c>
      <c r="N1178">
        <v>0</v>
      </c>
      <c r="O1178" t="str">
        <f>_xlfn.XLOOKUP(Table4[[#This Row],[id]],VALINA[id],VALINA[name])</f>
        <v>Southern Atlantic Ocean</v>
      </c>
      <c r="P1178">
        <f>_xlfn.XLOOKUP(Table4[[#This Row],[id]],prov_color!A:A,prov_color!C:C)</f>
        <v>402</v>
      </c>
    </row>
    <row r="1179" spans="1:16" hidden="1" x14ac:dyDescent="0.25">
      <c r="A1179">
        <v>1178</v>
      </c>
      <c r="B1179" t="s">
        <v>1016</v>
      </c>
      <c r="C1179" t="s">
        <v>1670</v>
      </c>
      <c r="D1179" t="s">
        <v>1641</v>
      </c>
      <c r="E1179" t="s">
        <v>1316</v>
      </c>
      <c r="J1179" t="s">
        <v>1817</v>
      </c>
      <c r="K1179">
        <v>0</v>
      </c>
      <c r="N1179">
        <v>1178</v>
      </c>
      <c r="O1179" t="str">
        <f>_xlfn.XLOOKUP(Table4[[#This Row],[id]],VALINA[id],VALINA[name])</f>
        <v>St. Helena Island</v>
      </c>
      <c r="P1179">
        <f>_xlfn.XLOOKUP(Table4[[#This Row],[id]],prov_color!A:A,prov_color!C:C)</f>
        <v>467</v>
      </c>
    </row>
    <row r="1180" spans="1:16" hidden="1" x14ac:dyDescent="0.25">
      <c r="A1180">
        <v>1179</v>
      </c>
      <c r="B1180" t="s">
        <v>990</v>
      </c>
      <c r="C1180" t="s">
        <v>1661</v>
      </c>
      <c r="D1180" t="s">
        <v>1641</v>
      </c>
      <c r="E1180" t="s">
        <v>1316</v>
      </c>
      <c r="J1180" t="s">
        <v>1815</v>
      </c>
      <c r="N1180">
        <v>0</v>
      </c>
      <c r="O1180" t="str">
        <f>_xlfn.XLOOKUP(Table4[[#This Row],[id]],VALINA[id],VALINA[name])</f>
        <v>South Pacific Ocean</v>
      </c>
      <c r="P1180">
        <f>_xlfn.XLOOKUP(Table4[[#This Row],[id]],prov_color!A:A,prov_color!C:C)</f>
        <v>427</v>
      </c>
    </row>
    <row r="1181" spans="1:16" hidden="1" x14ac:dyDescent="0.25">
      <c r="A1181">
        <v>1180</v>
      </c>
      <c r="B1181" t="s">
        <v>1016</v>
      </c>
      <c r="C1181" t="s">
        <v>1670</v>
      </c>
      <c r="D1181" t="s">
        <v>1641</v>
      </c>
      <c r="E1181" t="s">
        <v>1316</v>
      </c>
      <c r="J1181" t="s">
        <v>1835</v>
      </c>
      <c r="N1181">
        <v>0</v>
      </c>
      <c r="O1181" t="str">
        <f>_xlfn.XLOOKUP(Table4[[#This Row],[id]],VALINA[id],VALINA[name])</f>
        <v>Southern Atlantic Ocean</v>
      </c>
      <c r="P1181">
        <f>_xlfn.XLOOKUP(Table4[[#This Row],[id]],prov_color!A:A,prov_color!C:C)</f>
        <v>494</v>
      </c>
    </row>
    <row r="1182" spans="1:16" hidden="1" x14ac:dyDescent="0.25">
      <c r="A1182">
        <v>1181</v>
      </c>
      <c r="B1182" t="s">
        <v>1016</v>
      </c>
      <c r="C1182" t="s">
        <v>1670</v>
      </c>
      <c r="D1182" t="s">
        <v>1641</v>
      </c>
      <c r="E1182" t="s">
        <v>1316</v>
      </c>
      <c r="J1182" t="s">
        <v>1498</v>
      </c>
      <c r="K1182">
        <v>0</v>
      </c>
      <c r="N1182">
        <v>1181</v>
      </c>
      <c r="O1182" t="str">
        <f>_xlfn.XLOOKUP(Table4[[#This Row],[id]],VALINA[id],VALINA[name])</f>
        <v>Rio Muni</v>
      </c>
      <c r="P1182">
        <f>_xlfn.XLOOKUP(Table4[[#This Row],[id]],prov_color!A:A,prov_color!C:C)</f>
        <v>139</v>
      </c>
    </row>
    <row r="1183" spans="1:16" hidden="1" x14ac:dyDescent="0.25">
      <c r="A1183">
        <v>1182</v>
      </c>
      <c r="B1183" t="s">
        <v>1016</v>
      </c>
      <c r="C1183" t="s">
        <v>1670</v>
      </c>
      <c r="D1183" t="s">
        <v>1641</v>
      </c>
      <c r="E1183" t="s">
        <v>1316</v>
      </c>
      <c r="J1183" t="s">
        <v>1499</v>
      </c>
      <c r="K1183">
        <v>0</v>
      </c>
      <c r="N1183">
        <v>1182</v>
      </c>
      <c r="O1183" t="str">
        <f>_xlfn.XLOOKUP(Table4[[#This Row],[id]],VALINA[id],VALINA[name])</f>
        <v>Gulf of Congo</v>
      </c>
      <c r="P1183">
        <f>_xlfn.XLOOKUP(Table4[[#This Row],[id]],prov_color!A:A,prov_color!C:C)</f>
        <v>128</v>
      </c>
    </row>
    <row r="1184" spans="1:16" hidden="1" x14ac:dyDescent="0.25">
      <c r="A1184">
        <v>1183</v>
      </c>
      <c r="B1184" t="s">
        <v>1016</v>
      </c>
      <c r="C1184" t="s">
        <v>1670</v>
      </c>
      <c r="D1184" t="s">
        <v>1641</v>
      </c>
      <c r="E1184" t="s">
        <v>1316</v>
      </c>
      <c r="J1184" t="s">
        <v>1818</v>
      </c>
      <c r="K1184">
        <v>0</v>
      </c>
      <c r="N1184">
        <v>1183</v>
      </c>
      <c r="O1184" t="str">
        <f>_xlfn.XLOOKUP(Table4[[#This Row],[id]],VALINA[id],VALINA[name])</f>
        <v>Coast of Angola</v>
      </c>
      <c r="P1184">
        <f>_xlfn.XLOOKUP(Table4[[#This Row],[id]],prov_color!A:A,prov_color!C:C)</f>
        <v>145</v>
      </c>
    </row>
    <row r="1185" spans="1:16" hidden="1" x14ac:dyDescent="0.25">
      <c r="A1185">
        <v>1184</v>
      </c>
      <c r="B1185" t="s">
        <v>1016</v>
      </c>
      <c r="C1185" t="s">
        <v>1671</v>
      </c>
      <c r="D1185" t="s">
        <v>1641</v>
      </c>
      <c r="E1185" t="s">
        <v>1316</v>
      </c>
      <c r="J1185" t="s">
        <v>1819</v>
      </c>
      <c r="K1185">
        <v>0</v>
      </c>
      <c r="N1185">
        <v>1184</v>
      </c>
      <c r="O1185" t="str">
        <f>_xlfn.XLOOKUP(Table4[[#This Row],[id]],VALINA[id],VALINA[name])</f>
        <v>Mozambica Channel</v>
      </c>
      <c r="P1185">
        <f>_xlfn.XLOOKUP(Table4[[#This Row],[id]],prov_color!A:A,prov_color!C:C)</f>
        <v>112</v>
      </c>
    </row>
    <row r="1186" spans="1:16" hidden="1" x14ac:dyDescent="0.25">
      <c r="A1186">
        <v>1185</v>
      </c>
      <c r="B1186" t="s">
        <v>1016</v>
      </c>
      <c r="C1186" t="s">
        <v>1671</v>
      </c>
      <c r="D1186" t="s">
        <v>1641</v>
      </c>
      <c r="E1186" t="s">
        <v>1316</v>
      </c>
      <c r="J1186" t="s">
        <v>1508</v>
      </c>
      <c r="K1186">
        <v>0</v>
      </c>
      <c r="N1186">
        <v>1185</v>
      </c>
      <c r="O1186" t="str">
        <f>_xlfn.XLOOKUP(Table4[[#This Row],[id]],VALINA[id],VALINA[name])</f>
        <v>Rufiji Delta</v>
      </c>
      <c r="P1186">
        <f>_xlfn.XLOOKUP(Table4[[#This Row],[id]],prov_color!A:A,prov_color!C:C)</f>
        <v>86</v>
      </c>
    </row>
    <row r="1187" spans="1:16" hidden="1" x14ac:dyDescent="0.25">
      <c r="A1187">
        <v>1186</v>
      </c>
      <c r="B1187" t="s">
        <v>1016</v>
      </c>
      <c r="C1187" t="s">
        <v>1671</v>
      </c>
      <c r="D1187" t="s">
        <v>1641</v>
      </c>
      <c r="E1187" t="s">
        <v>1316</v>
      </c>
      <c r="J1187" t="s">
        <v>1509</v>
      </c>
      <c r="K1187">
        <v>0</v>
      </c>
      <c r="N1187">
        <v>1186</v>
      </c>
      <c r="O1187" t="str">
        <f>_xlfn.XLOOKUP(Table4[[#This Row],[id]],VALINA[id],VALINA[name])</f>
        <v>Zanzibar Strait</v>
      </c>
      <c r="P1187">
        <f>_xlfn.XLOOKUP(Table4[[#This Row],[id]],prov_color!A:A,prov_color!C:C)</f>
        <v>84</v>
      </c>
    </row>
    <row r="1188" spans="1:16" hidden="1" x14ac:dyDescent="0.25">
      <c r="A1188">
        <v>1187</v>
      </c>
      <c r="B1188" t="s">
        <v>1016</v>
      </c>
      <c r="C1188" t="s">
        <v>1671</v>
      </c>
      <c r="D1188" t="s">
        <v>1641</v>
      </c>
      <c r="E1188" t="s">
        <v>1316</v>
      </c>
      <c r="J1188" t="s">
        <v>1586</v>
      </c>
      <c r="K1188">
        <v>0</v>
      </c>
      <c r="N1188">
        <v>1187</v>
      </c>
      <c r="O1188" t="str">
        <f>_xlfn.XLOOKUP(Table4[[#This Row],[id]],VALINA[id],VALINA[name])</f>
        <v>Gulf of Zambeze</v>
      </c>
      <c r="P1188">
        <f>_xlfn.XLOOKUP(Table4[[#This Row],[id]],prov_color!A:A,prov_color!C:C)</f>
        <v>200</v>
      </c>
    </row>
    <row r="1189" spans="1:16" hidden="1" x14ac:dyDescent="0.25">
      <c r="A1189">
        <v>1188</v>
      </c>
      <c r="B1189" t="s">
        <v>1016</v>
      </c>
      <c r="C1189" t="s">
        <v>1671</v>
      </c>
      <c r="D1189" t="s">
        <v>1641</v>
      </c>
      <c r="E1189" t="s">
        <v>1316</v>
      </c>
      <c r="J1189" t="s">
        <v>1820</v>
      </c>
      <c r="K1189">
        <v>0</v>
      </c>
      <c r="N1189">
        <v>1188</v>
      </c>
      <c r="O1189" t="str">
        <f>_xlfn.XLOOKUP(Table4[[#This Row],[id]],VALINA[id],VALINA[name])</f>
        <v>The Comores</v>
      </c>
      <c r="P1189">
        <f>_xlfn.XLOOKUP(Table4[[#This Row],[id]],prov_color!A:A,prov_color!C:C)</f>
        <v>163</v>
      </c>
    </row>
    <row r="1190" spans="1:16" hidden="1" x14ac:dyDescent="0.25">
      <c r="A1190">
        <v>1189</v>
      </c>
      <c r="B1190" t="s">
        <v>1016</v>
      </c>
      <c r="C1190" t="s">
        <v>1671</v>
      </c>
      <c r="D1190" t="s">
        <v>1641</v>
      </c>
      <c r="E1190" t="s">
        <v>1316</v>
      </c>
      <c r="J1190" t="s">
        <v>1807</v>
      </c>
      <c r="N1190">
        <v>0</v>
      </c>
      <c r="O1190" t="str">
        <f>_xlfn.XLOOKUP(Table4[[#This Row],[id]],VALINA[id],VALINA[name])</f>
        <v>Central Indian Ocean</v>
      </c>
      <c r="P1190">
        <f>_xlfn.XLOOKUP(Table4[[#This Row],[id]],prov_color!A:A,prov_color!C:C)</f>
        <v>202</v>
      </c>
    </row>
    <row r="1191" spans="1:16" hidden="1" x14ac:dyDescent="0.25">
      <c r="A1191">
        <v>1190</v>
      </c>
      <c r="B1191" t="s">
        <v>1016</v>
      </c>
      <c r="C1191" t="s">
        <v>1671</v>
      </c>
      <c r="D1191" t="s">
        <v>1641</v>
      </c>
      <c r="E1191" t="s">
        <v>1316</v>
      </c>
      <c r="J1191" t="s">
        <v>1807</v>
      </c>
      <c r="N1191">
        <v>0</v>
      </c>
      <c r="O1191" t="str">
        <f>_xlfn.XLOOKUP(Table4[[#This Row],[id]],VALINA[id],VALINA[name])</f>
        <v>Central Indian Ocean</v>
      </c>
      <c r="P1191">
        <f>_xlfn.XLOOKUP(Table4[[#This Row],[id]],prov_color!A:A,prov_color!C:C)</f>
        <v>322</v>
      </c>
    </row>
    <row r="1192" spans="1:16" hidden="1" x14ac:dyDescent="0.25">
      <c r="A1192">
        <v>1191</v>
      </c>
      <c r="B1192" t="s">
        <v>1016</v>
      </c>
      <c r="C1192" t="s">
        <v>1671</v>
      </c>
      <c r="D1192" t="s">
        <v>1641</v>
      </c>
      <c r="E1192" t="s">
        <v>1316</v>
      </c>
      <c r="J1192" t="s">
        <v>1592</v>
      </c>
      <c r="K1192">
        <v>0</v>
      </c>
      <c r="N1192">
        <v>1191</v>
      </c>
      <c r="O1192" t="str">
        <f>_xlfn.XLOOKUP(Table4[[#This Row],[id]],VALINA[id],VALINA[name])</f>
        <v>The Seychelles</v>
      </c>
      <c r="P1192">
        <f>_xlfn.XLOOKUP(Table4[[#This Row],[id]],prov_color!A:A,prov_color!C:C)</f>
        <v>309</v>
      </c>
    </row>
    <row r="1193" spans="1:16" hidden="1" x14ac:dyDescent="0.25">
      <c r="A1193">
        <v>1192</v>
      </c>
      <c r="B1193" t="s">
        <v>1016</v>
      </c>
      <c r="C1193" t="s">
        <v>1674</v>
      </c>
      <c r="D1193" t="s">
        <v>1641</v>
      </c>
      <c r="E1193" t="s">
        <v>1316</v>
      </c>
      <c r="J1193" t="s">
        <v>1807</v>
      </c>
      <c r="N1193">
        <v>0</v>
      </c>
      <c r="O1193" t="str">
        <f>_xlfn.XLOOKUP(Table4[[#This Row],[id]],VALINA[id],VALINA[name])</f>
        <v>Central Indian Ocean</v>
      </c>
      <c r="P1193">
        <f>_xlfn.XLOOKUP(Table4[[#This Row],[id]],prov_color!A:A,prov_color!C:C)</f>
        <v>433</v>
      </c>
    </row>
    <row r="1194" spans="1:16" hidden="1" x14ac:dyDescent="0.25">
      <c r="A1194">
        <v>1193</v>
      </c>
      <c r="B1194" t="s">
        <v>1016</v>
      </c>
      <c r="C1194" t="s">
        <v>1671</v>
      </c>
      <c r="D1194" t="s">
        <v>1641</v>
      </c>
      <c r="E1194" t="s">
        <v>1316</v>
      </c>
      <c r="J1194" t="s">
        <v>1807</v>
      </c>
      <c r="N1194">
        <v>0</v>
      </c>
      <c r="O1194" t="str">
        <f>_xlfn.XLOOKUP(Table4[[#This Row],[id]],VALINA[id],VALINA[name])</f>
        <v>Central Indian Ocean</v>
      </c>
      <c r="P1194">
        <f>_xlfn.XLOOKUP(Table4[[#This Row],[id]],prov_color!A:A,prov_color!C:C)</f>
        <v>512</v>
      </c>
    </row>
    <row r="1195" spans="1:16" hidden="1" x14ac:dyDescent="0.25">
      <c r="A1195">
        <v>1194</v>
      </c>
      <c r="B1195" t="s">
        <v>1016</v>
      </c>
      <c r="C1195" t="s">
        <v>1671</v>
      </c>
      <c r="D1195" t="s">
        <v>1641</v>
      </c>
      <c r="E1195" t="s">
        <v>1316</v>
      </c>
      <c r="J1195" t="s">
        <v>1807</v>
      </c>
      <c r="N1195">
        <v>0</v>
      </c>
      <c r="O1195" t="str">
        <f>_xlfn.XLOOKUP(Table4[[#This Row],[id]],VALINA[id],VALINA[name])</f>
        <v>Central Indian Ocean</v>
      </c>
      <c r="P1195">
        <f>_xlfn.XLOOKUP(Table4[[#This Row],[id]],prov_color!A:A,prov_color!C:C)</f>
        <v>537</v>
      </c>
    </row>
    <row r="1196" spans="1:16" hidden="1" x14ac:dyDescent="0.25">
      <c r="A1196">
        <v>1195</v>
      </c>
      <c r="B1196" t="s">
        <v>1016</v>
      </c>
      <c r="C1196" t="s">
        <v>1671</v>
      </c>
      <c r="D1196" t="s">
        <v>1641</v>
      </c>
      <c r="E1196" t="s">
        <v>1316</v>
      </c>
      <c r="J1196" t="s">
        <v>1807</v>
      </c>
      <c r="N1196">
        <v>0</v>
      </c>
      <c r="O1196" t="str">
        <f>_xlfn.XLOOKUP(Table4[[#This Row],[id]],VALINA[id],VALINA[name])</f>
        <v>Central Indian Ocean</v>
      </c>
      <c r="P1196">
        <f>_xlfn.XLOOKUP(Table4[[#This Row],[id]],prov_color!A:A,prov_color!C:C)</f>
        <v>453</v>
      </c>
    </row>
    <row r="1197" spans="1:16" hidden="1" x14ac:dyDescent="0.25">
      <c r="A1197">
        <v>1196</v>
      </c>
      <c r="B1197" t="s">
        <v>1016</v>
      </c>
      <c r="C1197" t="s">
        <v>1671</v>
      </c>
      <c r="D1197" t="s">
        <v>1641</v>
      </c>
      <c r="E1197" t="s">
        <v>1316</v>
      </c>
      <c r="J1197" t="s">
        <v>1822</v>
      </c>
      <c r="N1197">
        <v>0</v>
      </c>
      <c r="O1197" t="str">
        <f>_xlfn.XLOOKUP(Table4[[#This Row],[id]],VALINA[id],VALINA[name])</f>
        <v>Diego Garcia Island</v>
      </c>
      <c r="P1197">
        <f>_xlfn.XLOOKUP(Table4[[#This Row],[id]],prov_color!A:A,prov_color!C:C)</f>
        <v>490</v>
      </c>
    </row>
    <row r="1198" spans="1:16" hidden="1" x14ac:dyDescent="0.25">
      <c r="A1198">
        <v>1197</v>
      </c>
      <c r="B1198" t="s">
        <v>1016</v>
      </c>
      <c r="C1198" t="s">
        <v>1674</v>
      </c>
      <c r="D1198" t="s">
        <v>1641</v>
      </c>
      <c r="E1198" t="s">
        <v>1316</v>
      </c>
      <c r="J1198" t="s">
        <v>1807</v>
      </c>
      <c r="N1198">
        <v>0</v>
      </c>
      <c r="O1198" t="str">
        <f>_xlfn.XLOOKUP(Table4[[#This Row],[id]],VALINA[id],VALINA[name])</f>
        <v>Central Indian Ocean</v>
      </c>
      <c r="P1198">
        <f>_xlfn.XLOOKUP(Table4[[#This Row],[id]],prov_color!A:A,prov_color!C:C)</f>
        <v>494</v>
      </c>
    </row>
    <row r="1199" spans="1:16" hidden="1" x14ac:dyDescent="0.25">
      <c r="A1199">
        <v>1198</v>
      </c>
      <c r="B1199" t="s">
        <v>1016</v>
      </c>
      <c r="C1199" t="s">
        <v>1674</v>
      </c>
      <c r="D1199" t="s">
        <v>1641</v>
      </c>
      <c r="E1199" t="s">
        <v>1316</v>
      </c>
      <c r="J1199" t="s">
        <v>1807</v>
      </c>
      <c r="N1199">
        <v>0</v>
      </c>
      <c r="O1199" t="str">
        <f>_xlfn.XLOOKUP(Table4[[#This Row],[id]],VALINA[id],VALINA[name])</f>
        <v>Central Indian Ocean</v>
      </c>
      <c r="P1199">
        <f>_xlfn.XLOOKUP(Table4[[#This Row],[id]],prov_color!A:A,prov_color!C:C)</f>
        <v>404</v>
      </c>
    </row>
    <row r="1200" spans="1:16" hidden="1" x14ac:dyDescent="0.25">
      <c r="A1200">
        <v>1199</v>
      </c>
      <c r="B1200" t="s">
        <v>1016</v>
      </c>
      <c r="C1200" t="s">
        <v>1674</v>
      </c>
      <c r="D1200" t="s">
        <v>1641</v>
      </c>
      <c r="E1200" t="s">
        <v>1316</v>
      </c>
      <c r="J1200" t="s">
        <v>1807</v>
      </c>
      <c r="N1200">
        <v>0</v>
      </c>
      <c r="O1200" t="str">
        <f>_xlfn.XLOOKUP(Table4[[#This Row],[id]],VALINA[id],VALINA[name])</f>
        <v>Central Indian Ocean</v>
      </c>
      <c r="P1200">
        <f>_xlfn.XLOOKUP(Table4[[#This Row],[id]],prov_color!A:A,prov_color!C:C)</f>
        <v>554</v>
      </c>
    </row>
    <row r="1201" spans="1:16" hidden="1" x14ac:dyDescent="0.25">
      <c r="A1201">
        <v>1200</v>
      </c>
      <c r="B1201" t="s">
        <v>1016</v>
      </c>
      <c r="C1201" t="s">
        <v>1674</v>
      </c>
      <c r="D1201" t="s">
        <v>1641</v>
      </c>
      <c r="E1201" t="s">
        <v>1316</v>
      </c>
      <c r="J1201" t="s">
        <v>1807</v>
      </c>
      <c r="N1201">
        <v>0</v>
      </c>
      <c r="O1201" t="str">
        <f>_xlfn.XLOOKUP(Table4[[#This Row],[id]],VALINA[id],VALINA[name])</f>
        <v>Central Indian Ocean</v>
      </c>
      <c r="P1201">
        <f>_xlfn.XLOOKUP(Table4[[#This Row],[id]],prov_color!A:A,prov_color!C:C)</f>
        <v>348</v>
      </c>
    </row>
    <row r="1202" spans="1:16" hidden="1" x14ac:dyDescent="0.25">
      <c r="A1202">
        <v>1201</v>
      </c>
      <c r="B1202" t="s">
        <v>653</v>
      </c>
      <c r="C1202" t="s">
        <v>1674</v>
      </c>
      <c r="D1202" t="s">
        <v>1641</v>
      </c>
      <c r="E1202" t="s">
        <v>1316</v>
      </c>
      <c r="J1202" t="s">
        <v>1807</v>
      </c>
      <c r="N1202">
        <v>0</v>
      </c>
      <c r="O1202" t="str">
        <f>_xlfn.XLOOKUP(Table4[[#This Row],[id]],VALINA[id],VALINA[name])</f>
        <v>Central Indian Ocean</v>
      </c>
      <c r="P1202">
        <f>_xlfn.XLOOKUP(Table4[[#This Row],[id]],prov_color!A:A,prov_color!C:C)</f>
        <v>453</v>
      </c>
    </row>
    <row r="1203" spans="1:16" hidden="1" x14ac:dyDescent="0.25">
      <c r="A1203">
        <v>1202</v>
      </c>
      <c r="B1203" t="s">
        <v>653</v>
      </c>
      <c r="C1203" t="s">
        <v>1674</v>
      </c>
      <c r="D1203" t="s">
        <v>1641</v>
      </c>
      <c r="E1203" t="s">
        <v>1316</v>
      </c>
      <c r="J1203" t="s">
        <v>1807</v>
      </c>
      <c r="N1203">
        <v>0</v>
      </c>
      <c r="O1203" t="str">
        <f>_xlfn.XLOOKUP(Table4[[#This Row],[id]],VALINA[id],VALINA[name])</f>
        <v>Central Indian Ocean</v>
      </c>
      <c r="P1203">
        <f>_xlfn.XLOOKUP(Table4[[#This Row],[id]],prov_color!A:A,prov_color!C:C)</f>
        <v>361</v>
      </c>
    </row>
    <row r="1204" spans="1:16" hidden="1" x14ac:dyDescent="0.25">
      <c r="A1204">
        <v>1203</v>
      </c>
      <c r="B1204" t="s">
        <v>653</v>
      </c>
      <c r="C1204" t="s">
        <v>1674</v>
      </c>
      <c r="D1204" t="s">
        <v>1641</v>
      </c>
      <c r="E1204" t="s">
        <v>1316</v>
      </c>
      <c r="J1204" t="s">
        <v>1807</v>
      </c>
      <c r="N1204">
        <v>0</v>
      </c>
      <c r="O1204" t="str">
        <f>_xlfn.XLOOKUP(Table4[[#This Row],[id]],VALINA[id],VALINA[name])</f>
        <v>Central Indian Ocean</v>
      </c>
      <c r="P1204">
        <f>_xlfn.XLOOKUP(Table4[[#This Row],[id]],prov_color!A:A,prov_color!C:C)</f>
        <v>399</v>
      </c>
    </row>
    <row r="1205" spans="1:16" hidden="1" x14ac:dyDescent="0.25">
      <c r="A1205">
        <v>1204</v>
      </c>
      <c r="B1205" t="s">
        <v>653</v>
      </c>
      <c r="C1205" t="s">
        <v>1674</v>
      </c>
      <c r="D1205" t="s">
        <v>1641</v>
      </c>
      <c r="E1205" t="s">
        <v>1316</v>
      </c>
      <c r="J1205" t="s">
        <v>1807</v>
      </c>
      <c r="N1205">
        <v>0</v>
      </c>
      <c r="O1205" t="str">
        <f>_xlfn.XLOOKUP(Table4[[#This Row],[id]],VALINA[id],VALINA[name])</f>
        <v>Central Indian Ocean</v>
      </c>
      <c r="P1205">
        <f>_xlfn.XLOOKUP(Table4[[#This Row],[id]],prov_color!A:A,prov_color!C:C)</f>
        <v>252</v>
      </c>
    </row>
    <row r="1206" spans="1:16" hidden="1" x14ac:dyDescent="0.25">
      <c r="A1206">
        <v>1205</v>
      </c>
      <c r="B1206" t="s">
        <v>653</v>
      </c>
      <c r="C1206" t="s">
        <v>1666</v>
      </c>
      <c r="D1206" t="s">
        <v>1641</v>
      </c>
      <c r="E1206" t="s">
        <v>1316</v>
      </c>
      <c r="J1206" t="s">
        <v>1823</v>
      </c>
      <c r="K1206">
        <v>0</v>
      </c>
      <c r="N1206">
        <v>1205</v>
      </c>
      <c r="O1206" t="str">
        <f>_xlfn.XLOOKUP(Table4[[#This Row],[id]],VALINA[id],VALINA[name])</f>
        <v>Straits of Sunda</v>
      </c>
      <c r="P1206">
        <f>_xlfn.XLOOKUP(Table4[[#This Row],[id]],prov_color!A:A,prov_color!C:C)</f>
        <v>56</v>
      </c>
    </row>
    <row r="1207" spans="1:16" hidden="1" x14ac:dyDescent="0.25">
      <c r="A1207">
        <v>1206</v>
      </c>
      <c r="B1207" t="s">
        <v>653</v>
      </c>
      <c r="C1207" t="s">
        <v>1672</v>
      </c>
      <c r="D1207" t="s">
        <v>1641</v>
      </c>
      <c r="E1207" t="s">
        <v>1316</v>
      </c>
      <c r="J1207" t="s">
        <v>1824</v>
      </c>
      <c r="K1207">
        <v>0</v>
      </c>
      <c r="N1207">
        <v>1206</v>
      </c>
      <c r="O1207" t="str">
        <f>_xlfn.XLOOKUP(Table4[[#This Row],[id]],VALINA[id],VALINA[name])</f>
        <v>Coast of Surabaja</v>
      </c>
      <c r="P1207">
        <f>_xlfn.XLOOKUP(Table4[[#This Row],[id]],prov_color!A:A,prov_color!C:C)</f>
        <v>81</v>
      </c>
    </row>
    <row r="1208" spans="1:16" hidden="1" x14ac:dyDescent="0.25">
      <c r="A1208">
        <v>1207</v>
      </c>
      <c r="B1208" t="s">
        <v>653</v>
      </c>
      <c r="C1208" t="s">
        <v>1672</v>
      </c>
      <c r="D1208" t="s">
        <v>1641</v>
      </c>
      <c r="E1208" t="s">
        <v>1316</v>
      </c>
      <c r="J1208" t="s">
        <v>1394</v>
      </c>
      <c r="K1208">
        <v>0</v>
      </c>
      <c r="N1208">
        <v>1207</v>
      </c>
      <c r="O1208" t="str">
        <f>_xlfn.XLOOKUP(Table4[[#This Row],[id]],VALINA[id],VALINA[name])</f>
        <v>Coast of Sarawak</v>
      </c>
      <c r="P1208">
        <f>_xlfn.XLOOKUP(Table4[[#This Row],[id]],prov_color!A:A,prov_color!C:C)</f>
        <v>85</v>
      </c>
    </row>
    <row r="1209" spans="1:16" hidden="1" x14ac:dyDescent="0.25">
      <c r="A1209">
        <v>1208</v>
      </c>
      <c r="B1209" t="s">
        <v>653</v>
      </c>
      <c r="C1209" t="s">
        <v>1672</v>
      </c>
      <c r="D1209" t="s">
        <v>1641</v>
      </c>
      <c r="E1209" t="s">
        <v>1316</v>
      </c>
      <c r="J1209" t="s">
        <v>1387</v>
      </c>
      <c r="K1209">
        <v>0</v>
      </c>
      <c r="N1209">
        <v>1208</v>
      </c>
      <c r="O1209" t="str">
        <f>_xlfn.XLOOKUP(Table4[[#This Row],[id]],VALINA[id],VALINA[name])</f>
        <v>Java Sea</v>
      </c>
      <c r="P1209">
        <f>_xlfn.XLOOKUP(Table4[[#This Row],[id]],prov_color!A:A,prov_color!C:C)</f>
        <v>63</v>
      </c>
    </row>
    <row r="1210" spans="1:16" hidden="1" x14ac:dyDescent="0.25">
      <c r="A1210">
        <v>1209</v>
      </c>
      <c r="B1210" t="s">
        <v>653</v>
      </c>
      <c r="C1210" t="s">
        <v>1672</v>
      </c>
      <c r="D1210" t="s">
        <v>1641</v>
      </c>
      <c r="E1210" t="s">
        <v>1316</v>
      </c>
      <c r="J1210" t="s">
        <v>6460</v>
      </c>
      <c r="K1210">
        <v>0</v>
      </c>
      <c r="N1210">
        <v>1209</v>
      </c>
      <c r="O1210" t="str">
        <f>_xlfn.XLOOKUP(Table4[[#This Row],[id]],VALINA[id],VALINA[name])</f>
        <v>South Timor Sea 2</v>
      </c>
      <c r="P1210">
        <f>_xlfn.XLOOKUP(Table4[[#This Row],[id]],prov_color!A:A,prov_color!C:C)</f>
        <v>102</v>
      </c>
    </row>
    <row r="1211" spans="1:16" hidden="1" x14ac:dyDescent="0.25">
      <c r="A1211">
        <v>1210</v>
      </c>
      <c r="B1211" t="s">
        <v>653</v>
      </c>
      <c r="C1211" t="s">
        <v>1672</v>
      </c>
      <c r="D1211" t="s">
        <v>1641</v>
      </c>
      <c r="E1211" t="s">
        <v>1316</v>
      </c>
      <c r="J1211" t="s">
        <v>1384</v>
      </c>
      <c r="K1211">
        <v>0</v>
      </c>
      <c r="N1211">
        <v>1210</v>
      </c>
      <c r="O1211" t="str">
        <f>_xlfn.XLOOKUP(Table4[[#This Row],[id]],VALINA[id],VALINA[name])</f>
        <v>Strait of Makassar</v>
      </c>
      <c r="P1211">
        <f>_xlfn.XLOOKUP(Table4[[#This Row],[id]],prov_color!A:A,prov_color!C:C)</f>
        <v>65</v>
      </c>
    </row>
    <row r="1212" spans="1:16" hidden="1" x14ac:dyDescent="0.25">
      <c r="A1212">
        <v>1211</v>
      </c>
      <c r="B1212" t="s">
        <v>653</v>
      </c>
      <c r="C1212" t="s">
        <v>1672</v>
      </c>
      <c r="D1212" t="s">
        <v>1641</v>
      </c>
      <c r="E1212" t="s">
        <v>1316</v>
      </c>
      <c r="J1212" t="s">
        <v>1382</v>
      </c>
      <c r="K1212">
        <v>0</v>
      </c>
      <c r="N1212">
        <v>1211</v>
      </c>
      <c r="O1212" t="str">
        <f>_xlfn.XLOOKUP(Table4[[#This Row],[id]],VALINA[id],VALINA[name])</f>
        <v>Sea of Celebes</v>
      </c>
      <c r="P1212">
        <f>_xlfn.XLOOKUP(Table4[[#This Row],[id]],prov_color!A:A,prov_color!C:C)</f>
        <v>105</v>
      </c>
    </row>
    <row r="1213" spans="1:16" hidden="1" x14ac:dyDescent="0.25">
      <c r="A1213">
        <v>1212</v>
      </c>
      <c r="B1213" t="s">
        <v>990</v>
      </c>
      <c r="C1213" t="s">
        <v>1674</v>
      </c>
      <c r="D1213" t="s">
        <v>1641</v>
      </c>
      <c r="E1213" t="s">
        <v>1316</v>
      </c>
      <c r="J1213" t="s">
        <v>1399</v>
      </c>
      <c r="K1213">
        <v>0</v>
      </c>
      <c r="N1213">
        <v>1212</v>
      </c>
      <c r="O1213" t="str">
        <f>_xlfn.XLOOKUP(Table4[[#This Row],[id]],VALINA[id],VALINA[name])</f>
        <v>North West Cape</v>
      </c>
      <c r="P1213">
        <f>_xlfn.XLOOKUP(Table4[[#This Row],[id]],prov_color!A:A,prov_color!C:C)</f>
        <v>91</v>
      </c>
    </row>
    <row r="1214" spans="1:16" hidden="1" x14ac:dyDescent="0.25">
      <c r="A1214">
        <v>1213</v>
      </c>
      <c r="B1214" t="s">
        <v>653</v>
      </c>
      <c r="C1214" t="s">
        <v>1672</v>
      </c>
      <c r="D1214" t="s">
        <v>1641</v>
      </c>
      <c r="E1214" t="s">
        <v>1316</v>
      </c>
      <c r="J1214" t="s">
        <v>1385</v>
      </c>
      <c r="K1214">
        <v>0</v>
      </c>
      <c r="N1214">
        <v>1213</v>
      </c>
      <c r="O1214" t="str">
        <f>_xlfn.XLOOKUP(Table4[[#This Row],[id]],VALINA[id],VALINA[name])</f>
        <v>The Moluccas</v>
      </c>
      <c r="P1214">
        <f>_xlfn.XLOOKUP(Table4[[#This Row],[id]],prov_color!A:A,prov_color!C:C)</f>
        <v>104</v>
      </c>
    </row>
    <row r="1215" spans="1:16" hidden="1" x14ac:dyDescent="0.25">
      <c r="A1215">
        <v>1214</v>
      </c>
      <c r="B1215" t="s">
        <v>653</v>
      </c>
      <c r="C1215" t="s">
        <v>1672</v>
      </c>
      <c r="D1215" t="s">
        <v>1641</v>
      </c>
      <c r="E1215" t="s">
        <v>1316</v>
      </c>
      <c r="J1215" t="s">
        <v>6459</v>
      </c>
      <c r="K1215">
        <v>0</v>
      </c>
      <c r="N1215">
        <v>1214</v>
      </c>
      <c r="O1215" t="str">
        <f>_xlfn.XLOOKUP(Table4[[#This Row],[id]],VALINA[id],VALINA[name])</f>
        <v>Java Sea 2</v>
      </c>
      <c r="P1215">
        <f>_xlfn.XLOOKUP(Table4[[#This Row],[id]],prov_color!A:A,prov_color!C:C)</f>
        <v>45</v>
      </c>
    </row>
    <row r="1216" spans="1:16" hidden="1" x14ac:dyDescent="0.25">
      <c r="A1216">
        <v>1215</v>
      </c>
      <c r="B1216" t="s">
        <v>653</v>
      </c>
      <c r="C1216" t="s">
        <v>1672</v>
      </c>
      <c r="D1216" t="s">
        <v>1641</v>
      </c>
      <c r="E1216" t="s">
        <v>1316</v>
      </c>
      <c r="J1216" t="s">
        <v>1825</v>
      </c>
      <c r="K1216">
        <v>0</v>
      </c>
      <c r="N1216">
        <v>1215</v>
      </c>
      <c r="O1216" t="str">
        <f>_xlfn.XLOOKUP(Table4[[#This Row],[id]],VALINA[id],VALINA[name])</f>
        <v>Sea of Java</v>
      </c>
      <c r="P1216">
        <f>_xlfn.XLOOKUP(Table4[[#This Row],[id]],prov_color!A:A,prov_color!C:C)</f>
        <v>59</v>
      </c>
    </row>
    <row r="1217" spans="1:16" hidden="1" x14ac:dyDescent="0.25">
      <c r="A1217">
        <v>1216</v>
      </c>
      <c r="B1217" t="s">
        <v>653</v>
      </c>
      <c r="C1217" t="s">
        <v>1672</v>
      </c>
      <c r="D1217" t="s">
        <v>1641</v>
      </c>
      <c r="E1217" t="s">
        <v>1316</v>
      </c>
      <c r="J1217" t="s">
        <v>1389</v>
      </c>
      <c r="K1217">
        <v>0</v>
      </c>
      <c r="N1217">
        <v>1216</v>
      </c>
      <c r="O1217" t="str">
        <f>_xlfn.XLOOKUP(Table4[[#This Row],[id]],VALINA[id],VALINA[name])</f>
        <v>Timor Sea</v>
      </c>
      <c r="P1217">
        <f>_xlfn.XLOOKUP(Table4[[#This Row],[id]],prov_color!A:A,prov_color!C:C)</f>
        <v>55</v>
      </c>
    </row>
    <row r="1218" spans="1:16" hidden="1" x14ac:dyDescent="0.25">
      <c r="A1218">
        <v>1217</v>
      </c>
      <c r="B1218" t="s">
        <v>653</v>
      </c>
      <c r="C1218" t="s">
        <v>1672</v>
      </c>
      <c r="D1218" t="s">
        <v>1641</v>
      </c>
      <c r="E1218" t="s">
        <v>1316</v>
      </c>
      <c r="J1218" t="s">
        <v>1390</v>
      </c>
      <c r="K1218">
        <v>0</v>
      </c>
      <c r="N1218">
        <v>1217</v>
      </c>
      <c r="O1218" t="str">
        <f>_xlfn.XLOOKUP(Table4[[#This Row],[id]],VALINA[id],VALINA[name])</f>
        <v>Tanimbar Islands</v>
      </c>
      <c r="P1218">
        <f>_xlfn.XLOOKUP(Table4[[#This Row],[id]],prov_color!A:A,prov_color!C:C)</f>
        <v>66</v>
      </c>
    </row>
    <row r="1219" spans="1:16" hidden="1" x14ac:dyDescent="0.25">
      <c r="A1219">
        <v>1218</v>
      </c>
      <c r="B1219" t="s">
        <v>653</v>
      </c>
      <c r="C1219" t="s">
        <v>1672</v>
      </c>
      <c r="D1219" t="s">
        <v>1641</v>
      </c>
      <c r="E1219" t="s">
        <v>1316</v>
      </c>
      <c r="J1219" t="s">
        <v>1826</v>
      </c>
      <c r="K1219">
        <v>0</v>
      </c>
      <c r="N1219">
        <v>1218</v>
      </c>
      <c r="O1219" t="str">
        <f>_xlfn.XLOOKUP(Table4[[#This Row],[id]],VALINA[id],VALINA[name])</f>
        <v>Sorong Strait</v>
      </c>
      <c r="P1219">
        <f>_xlfn.XLOOKUP(Table4[[#This Row],[id]],prov_color!A:A,prov_color!C:C)</f>
        <v>90</v>
      </c>
    </row>
    <row r="1220" spans="1:16" hidden="1" x14ac:dyDescent="0.25">
      <c r="A1220">
        <v>1219</v>
      </c>
      <c r="B1220" t="s">
        <v>990</v>
      </c>
      <c r="C1220" t="s">
        <v>1672</v>
      </c>
      <c r="D1220" t="s">
        <v>1641</v>
      </c>
      <c r="E1220" t="s">
        <v>1316</v>
      </c>
      <c r="J1220" t="s">
        <v>1827</v>
      </c>
      <c r="K1220">
        <v>0</v>
      </c>
      <c r="N1220">
        <v>1219</v>
      </c>
      <c r="O1220" t="str">
        <f>_xlfn.XLOOKUP(Table4[[#This Row],[id]],VALINA[id],VALINA[name])</f>
        <v>Straits of Torres</v>
      </c>
      <c r="P1220">
        <f>_xlfn.XLOOKUP(Table4[[#This Row],[id]],prov_color!A:A,prov_color!C:C)</f>
        <v>124</v>
      </c>
    </row>
    <row r="1221" spans="1:16" hidden="1" x14ac:dyDescent="0.25">
      <c r="A1221">
        <v>1220</v>
      </c>
      <c r="B1221" t="s">
        <v>653</v>
      </c>
      <c r="C1221" t="s">
        <v>1672</v>
      </c>
      <c r="D1221" t="s">
        <v>1641</v>
      </c>
      <c r="E1221" t="s">
        <v>1316</v>
      </c>
      <c r="J1221" t="s">
        <v>1413</v>
      </c>
      <c r="K1221">
        <v>0</v>
      </c>
      <c r="N1221">
        <v>1220</v>
      </c>
      <c r="O1221" t="str">
        <f>_xlfn.XLOOKUP(Table4[[#This Row],[id]],VALINA[id],VALINA[name])</f>
        <v>New Guinea Coast</v>
      </c>
      <c r="P1221">
        <f>_xlfn.XLOOKUP(Table4[[#This Row],[id]],prov_color!A:A,prov_color!C:C)</f>
        <v>89</v>
      </c>
    </row>
    <row r="1222" spans="1:16" hidden="1" x14ac:dyDescent="0.25">
      <c r="A1222">
        <v>1221</v>
      </c>
      <c r="B1222" t="s">
        <v>653</v>
      </c>
      <c r="C1222" t="s">
        <v>1672</v>
      </c>
      <c r="D1222" t="s">
        <v>1641</v>
      </c>
      <c r="E1222" t="s">
        <v>1316</v>
      </c>
      <c r="J1222" t="s">
        <v>1414</v>
      </c>
      <c r="K1222">
        <v>0</v>
      </c>
      <c r="N1222">
        <v>1221</v>
      </c>
      <c r="O1222" t="str">
        <f>_xlfn.XLOOKUP(Table4[[#This Row],[id]],VALINA[id],VALINA[name])</f>
        <v>Sea of Banda</v>
      </c>
      <c r="P1222">
        <f>_xlfn.XLOOKUP(Table4[[#This Row],[id]],prov_color!A:A,prov_color!C:C)</f>
        <v>107</v>
      </c>
    </row>
    <row r="1223" spans="1:16" hidden="1" x14ac:dyDescent="0.25">
      <c r="A1223">
        <v>1222</v>
      </c>
      <c r="B1223" t="s">
        <v>653</v>
      </c>
      <c r="C1223" t="s">
        <v>1672</v>
      </c>
      <c r="D1223" t="s">
        <v>1641</v>
      </c>
      <c r="E1223" t="s">
        <v>1316</v>
      </c>
      <c r="J1223" t="s">
        <v>1381</v>
      </c>
      <c r="K1223">
        <v>0</v>
      </c>
      <c r="N1223">
        <v>1222</v>
      </c>
      <c r="O1223" t="str">
        <f>_xlfn.XLOOKUP(Table4[[#This Row],[id]],VALINA[id],VALINA[name])</f>
        <v>Sea of Ternate</v>
      </c>
      <c r="P1223">
        <f>_xlfn.XLOOKUP(Table4[[#This Row],[id]],prov_color!A:A,prov_color!C:C)</f>
        <v>85</v>
      </c>
    </row>
    <row r="1224" spans="1:16" hidden="1" x14ac:dyDescent="0.25">
      <c r="A1224">
        <v>1223</v>
      </c>
      <c r="B1224" t="s">
        <v>990</v>
      </c>
      <c r="C1224" t="s">
        <v>1675</v>
      </c>
      <c r="D1224" t="s">
        <v>1641</v>
      </c>
      <c r="E1224" t="s">
        <v>1316</v>
      </c>
      <c r="J1224" t="s">
        <v>1828</v>
      </c>
      <c r="K1224">
        <v>0</v>
      </c>
      <c r="N1224">
        <v>1223</v>
      </c>
      <c r="O1224" t="str">
        <f>_xlfn.XLOOKUP(Table4[[#This Row],[id]],VALINA[id],VALINA[name])</f>
        <v>Coast of New Zealand</v>
      </c>
      <c r="P1224">
        <f>_xlfn.XLOOKUP(Table4[[#This Row],[id]],prov_color!A:A,prov_color!C:C)</f>
        <v>353</v>
      </c>
    </row>
    <row r="1225" spans="1:16" hidden="1" x14ac:dyDescent="0.25">
      <c r="A1225">
        <v>1224</v>
      </c>
      <c r="B1225" t="s">
        <v>990</v>
      </c>
      <c r="C1225" t="s">
        <v>1672</v>
      </c>
      <c r="D1225" t="s">
        <v>1641</v>
      </c>
      <c r="E1225" t="s">
        <v>1316</v>
      </c>
      <c r="J1225" t="s">
        <v>1829</v>
      </c>
      <c r="K1225">
        <v>0</v>
      </c>
      <c r="N1225">
        <v>1224</v>
      </c>
      <c r="O1225" t="str">
        <f>_xlfn.XLOOKUP(Table4[[#This Row],[id]],VALINA[id],VALINA[name])</f>
        <v>Biak Bay</v>
      </c>
      <c r="P1225">
        <f>_xlfn.XLOOKUP(Table4[[#This Row],[id]],prov_color!A:A,prov_color!C:C)</f>
        <v>89</v>
      </c>
    </row>
    <row r="1226" spans="1:16" hidden="1" x14ac:dyDescent="0.25">
      <c r="A1226">
        <v>1225</v>
      </c>
      <c r="B1226" t="s">
        <v>990</v>
      </c>
      <c r="C1226" t="s">
        <v>1672</v>
      </c>
      <c r="D1226" t="s">
        <v>1641</v>
      </c>
      <c r="E1226" t="s">
        <v>1316</v>
      </c>
      <c r="J1226" t="s">
        <v>1830</v>
      </c>
      <c r="K1226">
        <v>0</v>
      </c>
      <c r="N1226">
        <v>1225</v>
      </c>
      <c r="O1226" t="str">
        <f>_xlfn.XLOOKUP(Table4[[#This Row],[id]],VALINA[id],VALINA[name])</f>
        <v>Viliaz Strait</v>
      </c>
      <c r="P1226">
        <f>_xlfn.XLOOKUP(Table4[[#This Row],[id]],prov_color!A:A,prov_color!C:C)</f>
        <v>87</v>
      </c>
    </row>
    <row r="1227" spans="1:16" hidden="1" x14ac:dyDescent="0.25">
      <c r="A1227">
        <v>1226</v>
      </c>
      <c r="B1227" t="s">
        <v>990</v>
      </c>
      <c r="C1227" t="s">
        <v>1672</v>
      </c>
      <c r="D1227" t="s">
        <v>1641</v>
      </c>
      <c r="E1227" t="s">
        <v>1316</v>
      </c>
      <c r="J1227" t="s">
        <v>1831</v>
      </c>
      <c r="K1227">
        <v>0</v>
      </c>
      <c r="N1227">
        <v>1226</v>
      </c>
      <c r="O1227" t="str">
        <f>_xlfn.XLOOKUP(Table4[[#This Row],[id]],VALINA[id],VALINA[name])</f>
        <v>Melanesian Sea</v>
      </c>
      <c r="P1227">
        <f>_xlfn.XLOOKUP(Table4[[#This Row],[id]],prov_color!A:A,prov_color!C:C)</f>
        <v>184</v>
      </c>
    </row>
    <row r="1228" spans="1:16" hidden="1" x14ac:dyDescent="0.25">
      <c r="A1228">
        <v>1227</v>
      </c>
      <c r="B1228" t="s">
        <v>990</v>
      </c>
      <c r="C1228" t="s">
        <v>1672</v>
      </c>
      <c r="D1228" t="s">
        <v>1641</v>
      </c>
      <c r="E1228" t="s">
        <v>1316</v>
      </c>
      <c r="J1228" t="s">
        <v>1676</v>
      </c>
      <c r="K1228">
        <v>0</v>
      </c>
      <c r="N1228">
        <v>1227</v>
      </c>
      <c r="O1228" t="str">
        <f>_xlfn.XLOOKUP(Table4[[#This Row],[id]],VALINA[id],VALINA[name])</f>
        <v>Melanesia</v>
      </c>
      <c r="P1228">
        <f>_xlfn.XLOOKUP(Table4[[#This Row],[id]],prov_color!A:A,prov_color!C:C)</f>
        <v>95</v>
      </c>
    </row>
    <row r="1229" spans="1:16" hidden="1" x14ac:dyDescent="0.25">
      <c r="A1229">
        <v>1228</v>
      </c>
      <c r="B1229" t="s">
        <v>990</v>
      </c>
      <c r="C1229" t="s">
        <v>1672</v>
      </c>
      <c r="D1229" t="s">
        <v>1641</v>
      </c>
      <c r="E1229" t="s">
        <v>1316</v>
      </c>
      <c r="J1229" t="s">
        <v>1418</v>
      </c>
      <c r="K1229">
        <v>0</v>
      </c>
      <c r="N1229">
        <v>1228</v>
      </c>
      <c r="O1229" t="str">
        <f>_xlfn.XLOOKUP(Table4[[#This Row],[id]],VALINA[id],VALINA[name])</f>
        <v>Trobriand Islands</v>
      </c>
      <c r="P1229">
        <f>_xlfn.XLOOKUP(Table4[[#This Row],[id]],prov_color!A:A,prov_color!C:C)</f>
        <v>98</v>
      </c>
    </row>
    <row r="1230" spans="1:16" hidden="1" x14ac:dyDescent="0.25">
      <c r="A1230">
        <v>1229</v>
      </c>
      <c r="B1230" t="s">
        <v>990</v>
      </c>
      <c r="C1230" t="s">
        <v>1677</v>
      </c>
      <c r="D1230" t="s">
        <v>1641</v>
      </c>
      <c r="E1230" t="s">
        <v>1316</v>
      </c>
      <c r="J1230" t="s">
        <v>1832</v>
      </c>
      <c r="K1230">
        <v>0</v>
      </c>
      <c r="N1230">
        <v>1229</v>
      </c>
      <c r="O1230" t="str">
        <f>_xlfn.XLOOKUP(Table4[[#This Row],[id]],VALINA[id],VALINA[name])</f>
        <v>Louisiade Archipelago</v>
      </c>
      <c r="P1230">
        <f>_xlfn.XLOOKUP(Table4[[#This Row],[id]],prov_color!A:A,prov_color!C:C)</f>
        <v>179</v>
      </c>
    </row>
    <row r="1231" spans="1:16" hidden="1" x14ac:dyDescent="0.25">
      <c r="A1231">
        <v>1230</v>
      </c>
      <c r="B1231" t="s">
        <v>990</v>
      </c>
      <c r="C1231" t="s">
        <v>1668</v>
      </c>
      <c r="D1231" t="s">
        <v>1641</v>
      </c>
      <c r="E1231" t="s">
        <v>1316</v>
      </c>
      <c r="J1231" t="s">
        <v>1959</v>
      </c>
      <c r="N1231">
        <v>0</v>
      </c>
      <c r="O1231" t="str">
        <f>_xlfn.XLOOKUP(Table4[[#This Row],[id]],VALINA[id],VALINA[name])</f>
        <v>Nauru Island</v>
      </c>
      <c r="P1231">
        <f>_xlfn.XLOOKUP(Table4[[#This Row],[id]],prov_color!A:A,prov_color!C:C)</f>
        <v>348</v>
      </c>
    </row>
    <row r="1232" spans="1:16" hidden="1" x14ac:dyDescent="0.25">
      <c r="A1232">
        <v>1231</v>
      </c>
      <c r="B1232" t="s">
        <v>990</v>
      </c>
      <c r="C1232" t="s">
        <v>1677</v>
      </c>
      <c r="D1232" t="s">
        <v>1641</v>
      </c>
      <c r="E1232" t="s">
        <v>1316</v>
      </c>
      <c r="J1232" t="s">
        <v>1833</v>
      </c>
      <c r="N1232">
        <v>0</v>
      </c>
      <c r="O1232" t="str">
        <f>_xlfn.XLOOKUP(Table4[[#This Row],[id]],VALINA[id],VALINA[name])</f>
        <v>The Solomons</v>
      </c>
      <c r="P1232">
        <f>_xlfn.XLOOKUP(Table4[[#This Row],[id]],prov_color!A:A,prov_color!C:C)</f>
        <v>368</v>
      </c>
    </row>
    <row r="1233" spans="1:16" hidden="1" x14ac:dyDescent="0.25">
      <c r="A1233">
        <v>1232</v>
      </c>
      <c r="B1233" t="s">
        <v>990</v>
      </c>
      <c r="C1233" t="s">
        <v>1668</v>
      </c>
      <c r="D1233" t="s">
        <v>1641</v>
      </c>
      <c r="E1233" t="s">
        <v>1316</v>
      </c>
      <c r="J1233" t="s">
        <v>1834</v>
      </c>
      <c r="N1233">
        <v>0</v>
      </c>
      <c r="O1233" t="str">
        <f>_xlfn.XLOOKUP(Table4[[#This Row],[id]],VALINA[id],VALINA[name])</f>
        <v>Gilbert Sea</v>
      </c>
      <c r="P1233">
        <f>_xlfn.XLOOKUP(Table4[[#This Row],[id]],prov_color!A:A,prov_color!C:C)</f>
        <v>531</v>
      </c>
    </row>
    <row r="1234" spans="1:16" hidden="1" x14ac:dyDescent="0.25">
      <c r="A1234">
        <v>1233</v>
      </c>
      <c r="B1234" t="s">
        <v>990</v>
      </c>
      <c r="C1234" t="s">
        <v>1677</v>
      </c>
      <c r="D1234" t="s">
        <v>1641</v>
      </c>
      <c r="E1234" t="s">
        <v>1316</v>
      </c>
      <c r="J1234" t="s">
        <v>1815</v>
      </c>
      <c r="N1234">
        <v>0</v>
      </c>
      <c r="O1234" t="str">
        <f>_xlfn.XLOOKUP(Table4[[#This Row],[id]],VALINA[id],VALINA[name])</f>
        <v>South Pacific Ocean</v>
      </c>
      <c r="P1234">
        <f>_xlfn.XLOOKUP(Table4[[#This Row],[id]],prov_color!A:A,prov_color!C:C)</f>
        <v>664</v>
      </c>
    </row>
    <row r="1235" spans="1:16" hidden="1" x14ac:dyDescent="0.25">
      <c r="A1235">
        <v>1234</v>
      </c>
      <c r="B1235" t="s">
        <v>990</v>
      </c>
      <c r="C1235" t="s">
        <v>1668</v>
      </c>
      <c r="D1235" t="s">
        <v>1641</v>
      </c>
      <c r="E1235" t="s">
        <v>1316</v>
      </c>
      <c r="J1235" t="s">
        <v>1815</v>
      </c>
      <c r="N1235">
        <v>0</v>
      </c>
      <c r="O1235" t="str">
        <f>_xlfn.XLOOKUP(Table4[[#This Row],[id]],VALINA[id],VALINA[name])</f>
        <v>South Pacific Ocean</v>
      </c>
      <c r="P1235">
        <f>_xlfn.XLOOKUP(Table4[[#This Row],[id]],prov_color!A:A,prov_color!C:C)</f>
        <v>541</v>
      </c>
    </row>
    <row r="1236" spans="1:16" hidden="1" x14ac:dyDescent="0.25">
      <c r="A1236">
        <v>1235</v>
      </c>
      <c r="B1236" t="s">
        <v>990</v>
      </c>
      <c r="C1236" t="s">
        <v>1661</v>
      </c>
      <c r="D1236" t="s">
        <v>1641</v>
      </c>
      <c r="E1236" t="s">
        <v>1316</v>
      </c>
      <c r="J1236" t="s">
        <v>1815</v>
      </c>
      <c r="N1236">
        <v>0</v>
      </c>
      <c r="O1236" t="str">
        <f>_xlfn.XLOOKUP(Table4[[#This Row],[id]],VALINA[id],VALINA[name])</f>
        <v>South Pacific Ocean</v>
      </c>
      <c r="P1236">
        <f>_xlfn.XLOOKUP(Table4[[#This Row],[id]],prov_color!A:A,prov_color!C:C)</f>
        <v>897</v>
      </c>
    </row>
    <row r="1237" spans="1:16" hidden="1" x14ac:dyDescent="0.25">
      <c r="A1237">
        <v>1236</v>
      </c>
      <c r="B1237" t="s">
        <v>990</v>
      </c>
      <c r="C1237" t="s">
        <v>1661</v>
      </c>
      <c r="D1237" t="s">
        <v>1641</v>
      </c>
      <c r="E1237" t="s">
        <v>1316</v>
      </c>
      <c r="J1237" t="s">
        <v>1815</v>
      </c>
      <c r="N1237">
        <v>0</v>
      </c>
      <c r="O1237" t="str">
        <f>_xlfn.XLOOKUP(Table4[[#This Row],[id]],VALINA[id],VALINA[name])</f>
        <v>South Pacific Ocean</v>
      </c>
      <c r="P1237">
        <f>_xlfn.XLOOKUP(Table4[[#This Row],[id]],prov_color!A:A,prov_color!C:C)</f>
        <v>903</v>
      </c>
    </row>
    <row r="1238" spans="1:16" hidden="1" x14ac:dyDescent="0.25">
      <c r="A1238">
        <v>1237</v>
      </c>
      <c r="B1238" t="s">
        <v>990</v>
      </c>
      <c r="C1238" t="s">
        <v>1661</v>
      </c>
      <c r="D1238" t="s">
        <v>1641</v>
      </c>
      <c r="E1238" t="s">
        <v>1316</v>
      </c>
      <c r="J1238" t="s">
        <v>1815</v>
      </c>
      <c r="N1238">
        <v>0</v>
      </c>
      <c r="O1238" t="str">
        <f>_xlfn.XLOOKUP(Table4[[#This Row],[id]],VALINA[id],VALINA[name])</f>
        <v>South Pacific Ocean</v>
      </c>
      <c r="P1238">
        <f>_xlfn.XLOOKUP(Table4[[#This Row],[id]],prov_color!A:A,prov_color!C:C)</f>
        <v>371</v>
      </c>
    </row>
    <row r="1239" spans="1:16" hidden="1" x14ac:dyDescent="0.25">
      <c r="A1239">
        <v>1238</v>
      </c>
      <c r="B1239" t="s">
        <v>990</v>
      </c>
      <c r="C1239" t="s">
        <v>1661</v>
      </c>
      <c r="D1239" t="s">
        <v>1641</v>
      </c>
      <c r="E1239" t="s">
        <v>1316</v>
      </c>
      <c r="J1239" t="s">
        <v>1815</v>
      </c>
      <c r="N1239">
        <v>0</v>
      </c>
      <c r="O1239" t="str">
        <f>_xlfn.XLOOKUP(Table4[[#This Row],[id]],VALINA[id],VALINA[name])</f>
        <v>South Pacific Ocean</v>
      </c>
      <c r="P1239">
        <f>_xlfn.XLOOKUP(Table4[[#This Row],[id]],prov_color!A:A,prov_color!C:C)</f>
        <v>334</v>
      </c>
    </row>
    <row r="1240" spans="1:16" hidden="1" x14ac:dyDescent="0.25">
      <c r="A1240">
        <v>1239</v>
      </c>
      <c r="B1240" t="s">
        <v>11</v>
      </c>
      <c r="C1240" t="s">
        <v>1661</v>
      </c>
      <c r="D1240" t="s">
        <v>1641</v>
      </c>
      <c r="E1240" t="s">
        <v>1316</v>
      </c>
      <c r="J1240" t="s">
        <v>1559</v>
      </c>
      <c r="K1240">
        <v>0</v>
      </c>
      <c r="N1240">
        <v>1239</v>
      </c>
      <c r="O1240" t="str">
        <f>_xlfn.XLOOKUP(Table4[[#This Row],[id]],VALINA[id],VALINA[name])</f>
        <v>Magellan Strait</v>
      </c>
      <c r="P1240">
        <f>_xlfn.XLOOKUP(Table4[[#This Row],[id]],prov_color!A:A,prov_color!C:C)</f>
        <v>105</v>
      </c>
    </row>
    <row r="1241" spans="1:16" hidden="1" x14ac:dyDescent="0.25">
      <c r="A1241">
        <v>1240</v>
      </c>
      <c r="B1241" t="s">
        <v>11</v>
      </c>
      <c r="C1241" t="s">
        <v>1673</v>
      </c>
      <c r="D1241" t="s">
        <v>1678</v>
      </c>
      <c r="E1241" t="s">
        <v>1316</v>
      </c>
      <c r="J1241" t="s">
        <v>1585</v>
      </c>
      <c r="K1241">
        <v>0</v>
      </c>
      <c r="N1241">
        <v>1240</v>
      </c>
      <c r="O1241" t="str">
        <f>_xlfn.XLOOKUP(Table4[[#This Row],[id]],VALINA[id],VALINA[name])</f>
        <v>Cape Horn</v>
      </c>
      <c r="P1241">
        <f>_xlfn.XLOOKUP(Table4[[#This Row],[id]],prov_color!A:A,prov_color!C:C)</f>
        <v>85</v>
      </c>
    </row>
    <row r="1242" spans="1:16" hidden="1" x14ac:dyDescent="0.25">
      <c r="A1242">
        <v>1241</v>
      </c>
      <c r="B1242" t="s">
        <v>11</v>
      </c>
      <c r="C1242" t="s">
        <v>1673</v>
      </c>
      <c r="D1242" t="s">
        <v>1641</v>
      </c>
      <c r="E1242" t="s">
        <v>1316</v>
      </c>
      <c r="J1242" t="s">
        <v>1558</v>
      </c>
      <c r="K1242">
        <v>0</v>
      </c>
      <c r="N1242">
        <v>1241</v>
      </c>
      <c r="O1242" t="str">
        <f>_xlfn.XLOOKUP(Table4[[#This Row],[id]],VALINA[id],VALINA[name])</f>
        <v>Patagonian Sea</v>
      </c>
      <c r="P1242">
        <f>_xlfn.XLOOKUP(Table4[[#This Row],[id]],prov_color!A:A,prov_color!C:C)</f>
        <v>90</v>
      </c>
    </row>
    <row r="1243" spans="1:16" hidden="1" x14ac:dyDescent="0.25">
      <c r="A1243">
        <v>1242</v>
      </c>
      <c r="B1243" t="s">
        <v>11</v>
      </c>
      <c r="C1243" t="s">
        <v>1673</v>
      </c>
      <c r="D1243" t="s">
        <v>1641</v>
      </c>
      <c r="E1243" t="s">
        <v>1316</v>
      </c>
      <c r="J1243" t="s">
        <v>1835</v>
      </c>
      <c r="N1243">
        <v>0</v>
      </c>
      <c r="O1243" t="str">
        <f>_xlfn.XLOOKUP(Table4[[#This Row],[id]],VALINA[id],VALINA[name])</f>
        <v>Southern Atlantic Ocean</v>
      </c>
      <c r="P1243">
        <f>_xlfn.XLOOKUP(Table4[[#This Row],[id]],prov_color!A:A,prov_color!C:C)</f>
        <v>219</v>
      </c>
    </row>
    <row r="1244" spans="1:16" hidden="1" x14ac:dyDescent="0.25">
      <c r="A1244">
        <v>1243</v>
      </c>
      <c r="B1244" t="s">
        <v>11</v>
      </c>
      <c r="C1244" t="s">
        <v>1673</v>
      </c>
      <c r="D1244" t="s">
        <v>1641</v>
      </c>
      <c r="E1244" t="s">
        <v>1316</v>
      </c>
      <c r="J1244" t="s">
        <v>1584</v>
      </c>
      <c r="K1244">
        <v>0</v>
      </c>
      <c r="N1244">
        <v>1243</v>
      </c>
      <c r="O1244" t="str">
        <f>_xlfn.XLOOKUP(Table4[[#This Row],[id]],VALINA[id],VALINA[name])</f>
        <v>Falkland Islands</v>
      </c>
      <c r="P1244">
        <f>_xlfn.XLOOKUP(Table4[[#This Row],[id]],prov_color!A:A,prov_color!C:C)</f>
        <v>210</v>
      </c>
    </row>
    <row r="1245" spans="1:16" hidden="1" x14ac:dyDescent="0.25">
      <c r="A1245">
        <v>1244</v>
      </c>
      <c r="B1245" t="s">
        <v>11</v>
      </c>
      <c r="C1245" t="s">
        <v>1673</v>
      </c>
      <c r="D1245" t="s">
        <v>1641</v>
      </c>
      <c r="E1245" t="s">
        <v>1316</v>
      </c>
      <c r="J1245" t="s">
        <v>1836</v>
      </c>
      <c r="N1245">
        <v>0</v>
      </c>
      <c r="O1245" t="str">
        <f>_xlfn.XLOOKUP(Table4[[#This Row],[id]],VALINA[id],VALINA[name])</f>
        <v>New Georgia Island</v>
      </c>
      <c r="P1245">
        <f>_xlfn.XLOOKUP(Table4[[#This Row],[id]],prov_color!A:A,prov_color!C:C)</f>
        <v>331</v>
      </c>
    </row>
    <row r="1246" spans="1:16" hidden="1" x14ac:dyDescent="0.25">
      <c r="A1246">
        <v>1245</v>
      </c>
      <c r="B1246" t="s">
        <v>11</v>
      </c>
      <c r="C1246" t="s">
        <v>1673</v>
      </c>
      <c r="D1246" t="s">
        <v>1641</v>
      </c>
      <c r="E1246" t="s">
        <v>1316</v>
      </c>
      <c r="J1246" t="s">
        <v>1804</v>
      </c>
      <c r="N1246">
        <v>0</v>
      </c>
      <c r="O1246" t="str">
        <f>_xlfn.XLOOKUP(Table4[[#This Row],[id]],VALINA[id],VALINA[name])</f>
        <v>South Atlantic Ocean</v>
      </c>
      <c r="P1246">
        <f>_xlfn.XLOOKUP(Table4[[#This Row],[id]],prov_color!A:A,prov_color!C:C)</f>
        <v>622</v>
      </c>
    </row>
    <row r="1247" spans="1:16" hidden="1" x14ac:dyDescent="0.25">
      <c r="A1247">
        <v>1246</v>
      </c>
      <c r="B1247" t="s">
        <v>11</v>
      </c>
      <c r="C1247" t="s">
        <v>1673</v>
      </c>
      <c r="D1247" t="s">
        <v>1641</v>
      </c>
      <c r="E1247" t="s">
        <v>1316</v>
      </c>
      <c r="J1247" t="s">
        <v>1835</v>
      </c>
      <c r="N1247">
        <v>0</v>
      </c>
      <c r="O1247" t="str">
        <f>_xlfn.XLOOKUP(Table4[[#This Row],[id]],VALINA[id],VALINA[name])</f>
        <v>Southern Atlantic Ocean</v>
      </c>
      <c r="P1247">
        <f>_xlfn.XLOOKUP(Table4[[#This Row],[id]],prov_color!A:A,prov_color!C:C)</f>
        <v>768</v>
      </c>
    </row>
    <row r="1248" spans="1:16" hidden="1" x14ac:dyDescent="0.25">
      <c r="A1248">
        <v>1247</v>
      </c>
      <c r="B1248" t="s">
        <v>1016</v>
      </c>
      <c r="C1248" t="s">
        <v>1670</v>
      </c>
      <c r="D1248" t="s">
        <v>1641</v>
      </c>
      <c r="E1248" t="s">
        <v>1316</v>
      </c>
      <c r="J1248" t="s">
        <v>1837</v>
      </c>
      <c r="N1248">
        <v>0</v>
      </c>
      <c r="O1248" t="str">
        <f>_xlfn.XLOOKUP(Table4[[#This Row],[id]],VALINA[id],VALINA[name])</f>
        <v>Tristan da Cunha Island</v>
      </c>
      <c r="P1248">
        <f>_xlfn.XLOOKUP(Table4[[#This Row],[id]],prov_color!A:A,prov_color!C:C)</f>
        <v>853</v>
      </c>
    </row>
    <row r="1249" spans="1:16" hidden="1" x14ac:dyDescent="0.25">
      <c r="A1249">
        <v>1248</v>
      </c>
      <c r="B1249" t="s">
        <v>1016</v>
      </c>
      <c r="C1249" t="s">
        <v>1670</v>
      </c>
      <c r="D1249" t="s">
        <v>1641</v>
      </c>
      <c r="E1249" t="s">
        <v>1316</v>
      </c>
      <c r="J1249" t="s">
        <v>1835</v>
      </c>
      <c r="N1249">
        <v>0</v>
      </c>
      <c r="O1249" t="str">
        <f>_xlfn.XLOOKUP(Table4[[#This Row],[id]],VALINA[id],VALINA[name])</f>
        <v>Southern Atlantic Ocean</v>
      </c>
      <c r="P1249">
        <f>_xlfn.XLOOKUP(Table4[[#This Row],[id]],prov_color!A:A,prov_color!C:C)</f>
        <v>626</v>
      </c>
    </row>
    <row r="1250" spans="1:16" hidden="1" x14ac:dyDescent="0.25">
      <c r="A1250">
        <v>1249</v>
      </c>
      <c r="B1250" t="s">
        <v>1016</v>
      </c>
      <c r="C1250" t="s">
        <v>1670</v>
      </c>
      <c r="D1250" t="s">
        <v>1641</v>
      </c>
      <c r="E1250" t="s">
        <v>1316</v>
      </c>
      <c r="J1250" t="s">
        <v>1835</v>
      </c>
      <c r="N1250">
        <v>0</v>
      </c>
      <c r="O1250" t="str">
        <f>_xlfn.XLOOKUP(Table4[[#This Row],[id]],VALINA[id],VALINA[name])</f>
        <v>Southern Atlantic Ocean</v>
      </c>
      <c r="P1250">
        <f>_xlfn.XLOOKUP(Table4[[#This Row],[id]],prov_color!A:A,prov_color!C:C)</f>
        <v>543</v>
      </c>
    </row>
    <row r="1251" spans="1:16" hidden="1" x14ac:dyDescent="0.25">
      <c r="A1251">
        <v>1250</v>
      </c>
      <c r="B1251" t="s">
        <v>1016</v>
      </c>
      <c r="C1251" t="s">
        <v>1670</v>
      </c>
      <c r="D1251" t="s">
        <v>1641</v>
      </c>
      <c r="E1251" t="s">
        <v>1316</v>
      </c>
      <c r="J1251" t="s">
        <v>1500</v>
      </c>
      <c r="K1251">
        <v>0</v>
      </c>
      <c r="N1251">
        <v>1250</v>
      </c>
      <c r="O1251" t="str">
        <f>_xlfn.XLOOKUP(Table4[[#This Row],[id]],VALINA[id],VALINA[name])</f>
        <v>Walvis Bay</v>
      </c>
      <c r="P1251">
        <f>_xlfn.XLOOKUP(Table4[[#This Row],[id]],prov_color!A:A,prov_color!C:C)</f>
        <v>126</v>
      </c>
    </row>
    <row r="1252" spans="1:16" hidden="1" x14ac:dyDescent="0.25">
      <c r="A1252">
        <v>1251</v>
      </c>
      <c r="B1252" t="s">
        <v>1016</v>
      </c>
      <c r="C1252" t="s">
        <v>1670</v>
      </c>
      <c r="D1252" t="s">
        <v>1641</v>
      </c>
      <c r="E1252" t="s">
        <v>1316</v>
      </c>
      <c r="J1252" t="s">
        <v>1501</v>
      </c>
      <c r="K1252">
        <v>0</v>
      </c>
      <c r="N1252">
        <v>1251</v>
      </c>
      <c r="O1252" t="str">
        <f>_xlfn.XLOOKUP(Table4[[#This Row],[id]],VALINA[id],VALINA[name])</f>
        <v>Coast of Namibia</v>
      </c>
      <c r="P1252">
        <f>_xlfn.XLOOKUP(Table4[[#This Row],[id]],prov_color!A:A,prov_color!C:C)</f>
        <v>78</v>
      </c>
    </row>
    <row r="1253" spans="1:16" hidden="1" x14ac:dyDescent="0.25">
      <c r="A1253">
        <v>1252</v>
      </c>
      <c r="B1253" t="s">
        <v>1016</v>
      </c>
      <c r="C1253" t="s">
        <v>1671</v>
      </c>
      <c r="D1253" t="s">
        <v>1679</v>
      </c>
      <c r="E1253" t="s">
        <v>1316</v>
      </c>
      <c r="J1253" t="s">
        <v>1503</v>
      </c>
      <c r="K1253">
        <v>0</v>
      </c>
      <c r="N1253">
        <v>1252</v>
      </c>
      <c r="O1253" t="str">
        <f>_xlfn.XLOOKUP(Table4[[#This Row],[id]],VALINA[id],VALINA[name])</f>
        <v>Cape of Good Hope</v>
      </c>
      <c r="P1253">
        <f>_xlfn.XLOOKUP(Table4[[#This Row],[id]],prov_color!A:A,prov_color!C:C)</f>
        <v>39</v>
      </c>
    </row>
    <row r="1254" spans="1:16" hidden="1" x14ac:dyDescent="0.25">
      <c r="A1254">
        <v>1253</v>
      </c>
      <c r="B1254" t="s">
        <v>1016</v>
      </c>
      <c r="C1254" t="s">
        <v>1671</v>
      </c>
      <c r="D1254" t="s">
        <v>1641</v>
      </c>
      <c r="E1254" t="s">
        <v>1316</v>
      </c>
      <c r="J1254" t="s">
        <v>1506</v>
      </c>
      <c r="K1254">
        <v>0</v>
      </c>
      <c r="N1254">
        <v>1253</v>
      </c>
      <c r="O1254" t="str">
        <f>_xlfn.XLOOKUP(Table4[[#This Row],[id]],VALINA[id],VALINA[name])</f>
        <v>Coast of Natal</v>
      </c>
      <c r="P1254">
        <f>_xlfn.XLOOKUP(Table4[[#This Row],[id]],prov_color!A:A,prov_color!C:C)</f>
        <v>133</v>
      </c>
    </row>
    <row r="1255" spans="1:16" hidden="1" x14ac:dyDescent="0.25">
      <c r="A1255">
        <v>1254</v>
      </c>
      <c r="B1255" t="s">
        <v>1016</v>
      </c>
      <c r="C1255" t="s">
        <v>1671</v>
      </c>
      <c r="D1255" t="s">
        <v>1641</v>
      </c>
      <c r="E1255" t="s">
        <v>1316</v>
      </c>
      <c r="J1255" t="s">
        <v>1960</v>
      </c>
      <c r="N1255">
        <v>0</v>
      </c>
      <c r="O1255" t="str">
        <f>_xlfn.XLOOKUP(Table4[[#This Row],[id]],VALINA[id],VALINA[name])</f>
        <v>Southern Indian Ocean</v>
      </c>
      <c r="P1255">
        <f>_xlfn.XLOOKUP(Table4[[#This Row],[id]],prov_color!A:A,prov_color!C:C)</f>
        <v>465</v>
      </c>
    </row>
    <row r="1256" spans="1:16" hidden="1" x14ac:dyDescent="0.25">
      <c r="A1256">
        <v>1255</v>
      </c>
      <c r="B1256" t="s">
        <v>1016</v>
      </c>
      <c r="C1256" t="s">
        <v>1671</v>
      </c>
      <c r="D1256" t="s">
        <v>1641</v>
      </c>
      <c r="E1256" t="s">
        <v>1316</v>
      </c>
      <c r="J1256" t="s">
        <v>1590</v>
      </c>
      <c r="K1256">
        <v>0</v>
      </c>
      <c r="N1256">
        <v>1255</v>
      </c>
      <c r="O1256" t="str">
        <f>_xlfn.XLOOKUP(Table4[[#This Row],[id]],VALINA[id],VALINA[name])</f>
        <v>Cape Romain</v>
      </c>
      <c r="P1256">
        <f>_xlfn.XLOOKUP(Table4[[#This Row],[id]],prov_color!A:A,prov_color!C:C)</f>
        <v>199</v>
      </c>
    </row>
    <row r="1257" spans="1:16" hidden="1" x14ac:dyDescent="0.25">
      <c r="A1257">
        <v>1256</v>
      </c>
      <c r="B1257" t="s">
        <v>1016</v>
      </c>
      <c r="C1257" t="s">
        <v>1671</v>
      </c>
      <c r="D1257" t="s">
        <v>1641</v>
      </c>
      <c r="E1257" t="s">
        <v>1316</v>
      </c>
      <c r="J1257" t="s">
        <v>1960</v>
      </c>
      <c r="N1257">
        <v>0</v>
      </c>
      <c r="O1257" t="str">
        <f>_xlfn.XLOOKUP(Table4[[#This Row],[id]],VALINA[id],VALINA[name])</f>
        <v>Southern Indian Ocean</v>
      </c>
      <c r="P1257">
        <f>_xlfn.XLOOKUP(Table4[[#This Row],[id]],prov_color!A:A,prov_color!C:C)</f>
        <v>366</v>
      </c>
    </row>
    <row r="1258" spans="1:16" hidden="1" x14ac:dyDescent="0.25">
      <c r="A1258">
        <v>1257</v>
      </c>
      <c r="B1258" t="s">
        <v>1016</v>
      </c>
      <c r="C1258" t="s">
        <v>1671</v>
      </c>
      <c r="D1258" t="s">
        <v>1641</v>
      </c>
      <c r="E1258" t="s">
        <v>1316</v>
      </c>
      <c r="J1258" t="s">
        <v>1960</v>
      </c>
      <c r="N1258">
        <v>0</v>
      </c>
      <c r="O1258" t="str">
        <f>_xlfn.XLOOKUP(Table4[[#This Row],[id]],VALINA[id],VALINA[name])</f>
        <v>Southern Indian Ocean</v>
      </c>
      <c r="P1258">
        <f>_xlfn.XLOOKUP(Table4[[#This Row],[id]],prov_color!A:A,prov_color!C:C)</f>
        <v>339</v>
      </c>
    </row>
    <row r="1259" spans="1:16" hidden="1" x14ac:dyDescent="0.25">
      <c r="A1259">
        <v>1258</v>
      </c>
      <c r="B1259" t="s">
        <v>1016</v>
      </c>
      <c r="C1259" t="s">
        <v>1671</v>
      </c>
      <c r="D1259" t="s">
        <v>1641</v>
      </c>
      <c r="E1259" t="s">
        <v>1316</v>
      </c>
      <c r="J1259" t="s">
        <v>1960</v>
      </c>
      <c r="N1259">
        <v>0</v>
      </c>
      <c r="O1259" t="str">
        <f>_xlfn.XLOOKUP(Table4[[#This Row],[id]],VALINA[id],VALINA[name])</f>
        <v>Southern Indian Ocean</v>
      </c>
      <c r="P1259">
        <f>_xlfn.XLOOKUP(Table4[[#This Row],[id]],prov_color!A:A,prov_color!C:C)</f>
        <v>491</v>
      </c>
    </row>
    <row r="1260" spans="1:16" hidden="1" x14ac:dyDescent="0.25">
      <c r="A1260">
        <v>1259</v>
      </c>
      <c r="B1260" t="s">
        <v>1016</v>
      </c>
      <c r="C1260" t="s">
        <v>1674</v>
      </c>
      <c r="D1260" t="s">
        <v>1641</v>
      </c>
      <c r="E1260" t="s">
        <v>1316</v>
      </c>
      <c r="J1260" t="s">
        <v>1960</v>
      </c>
      <c r="N1260">
        <v>0</v>
      </c>
      <c r="O1260" t="str">
        <f>_xlfn.XLOOKUP(Table4[[#This Row],[id]],VALINA[id],VALINA[name])</f>
        <v>Southern Indian Ocean</v>
      </c>
      <c r="P1260">
        <f>_xlfn.XLOOKUP(Table4[[#This Row],[id]],prov_color!A:A,prov_color!C:C)</f>
        <v>493</v>
      </c>
    </row>
    <row r="1261" spans="1:16" hidden="1" x14ac:dyDescent="0.25">
      <c r="A1261">
        <v>1260</v>
      </c>
      <c r="B1261" t="s">
        <v>990</v>
      </c>
      <c r="C1261" t="s">
        <v>1674</v>
      </c>
      <c r="D1261" t="s">
        <v>1641</v>
      </c>
      <c r="E1261" t="s">
        <v>1316</v>
      </c>
      <c r="J1261" t="s">
        <v>1807</v>
      </c>
      <c r="N1261">
        <v>0</v>
      </c>
      <c r="O1261" t="str">
        <f>_xlfn.XLOOKUP(Table4[[#This Row],[id]],VALINA[id],VALINA[name])</f>
        <v>Central Indian Ocean</v>
      </c>
      <c r="P1261">
        <f>_xlfn.XLOOKUP(Table4[[#This Row],[id]],prov_color!A:A,prov_color!C:C)</f>
        <v>418</v>
      </c>
    </row>
    <row r="1262" spans="1:16" hidden="1" x14ac:dyDescent="0.25">
      <c r="A1262">
        <v>1261</v>
      </c>
      <c r="B1262" t="s">
        <v>990</v>
      </c>
      <c r="C1262" t="s">
        <v>1674</v>
      </c>
      <c r="D1262" t="s">
        <v>1641</v>
      </c>
      <c r="E1262" t="s">
        <v>1316</v>
      </c>
      <c r="J1262" t="s">
        <v>1807</v>
      </c>
      <c r="N1262">
        <v>0</v>
      </c>
      <c r="O1262" t="str">
        <f>_xlfn.XLOOKUP(Table4[[#This Row],[id]],VALINA[id],VALINA[name])</f>
        <v>Central Indian Ocean</v>
      </c>
      <c r="P1262">
        <f>_xlfn.XLOOKUP(Table4[[#This Row],[id]],prov_color!A:A,prov_color!C:C)</f>
        <v>352</v>
      </c>
    </row>
    <row r="1263" spans="1:16" hidden="1" x14ac:dyDescent="0.25">
      <c r="A1263">
        <v>1262</v>
      </c>
      <c r="B1263" t="s">
        <v>990</v>
      </c>
      <c r="C1263" t="s">
        <v>1674</v>
      </c>
      <c r="D1263" t="s">
        <v>1641</v>
      </c>
      <c r="E1263" t="s">
        <v>1316</v>
      </c>
      <c r="J1263" t="s">
        <v>1807</v>
      </c>
      <c r="N1263">
        <v>0</v>
      </c>
      <c r="O1263" t="str">
        <f>_xlfn.XLOOKUP(Table4[[#This Row],[id]],VALINA[id],VALINA[name])</f>
        <v>Central Indian Ocean</v>
      </c>
      <c r="P1263">
        <f>_xlfn.XLOOKUP(Table4[[#This Row],[id]],prov_color!A:A,prov_color!C:C)</f>
        <v>303</v>
      </c>
    </row>
    <row r="1264" spans="1:16" hidden="1" x14ac:dyDescent="0.25">
      <c r="A1264">
        <v>1263</v>
      </c>
      <c r="B1264" t="s">
        <v>990</v>
      </c>
      <c r="C1264" t="s">
        <v>1674</v>
      </c>
      <c r="D1264" t="s">
        <v>1641</v>
      </c>
      <c r="E1264" t="s">
        <v>1316</v>
      </c>
      <c r="J1264" t="s">
        <v>1386</v>
      </c>
      <c r="K1264">
        <v>0</v>
      </c>
      <c r="N1264">
        <v>1263</v>
      </c>
      <c r="O1264" t="str">
        <f>_xlfn.XLOOKUP(Table4[[#This Row],[id]],VALINA[id],VALINA[name])</f>
        <v>Australian Sea</v>
      </c>
      <c r="P1264">
        <f>_xlfn.XLOOKUP(Table4[[#This Row],[id]],prov_color!A:A,prov_color!C:C)</f>
        <v>132</v>
      </c>
    </row>
    <row r="1265" spans="1:16" hidden="1" x14ac:dyDescent="0.25">
      <c r="A1265">
        <v>1264</v>
      </c>
      <c r="B1265" t="s">
        <v>990</v>
      </c>
      <c r="C1265" t="s">
        <v>1672</v>
      </c>
      <c r="D1265" t="s">
        <v>1641</v>
      </c>
      <c r="E1265" t="s">
        <v>1316</v>
      </c>
      <c r="J1265" t="s">
        <v>6458</v>
      </c>
      <c r="K1265">
        <v>0</v>
      </c>
      <c r="N1265">
        <v>1264</v>
      </c>
      <c r="O1265" t="str">
        <f>_xlfn.XLOOKUP(Table4[[#This Row],[id]],VALINA[id],VALINA[name])</f>
        <v>Australian Sea 2</v>
      </c>
      <c r="P1265">
        <f>_xlfn.XLOOKUP(Table4[[#This Row],[id]],prov_color!A:A,prov_color!C:C)</f>
        <v>284</v>
      </c>
    </row>
    <row r="1266" spans="1:16" hidden="1" x14ac:dyDescent="0.25">
      <c r="A1266">
        <v>1265</v>
      </c>
      <c r="B1266" t="s">
        <v>990</v>
      </c>
      <c r="C1266" t="s">
        <v>1674</v>
      </c>
      <c r="D1266" t="s">
        <v>1641</v>
      </c>
      <c r="E1266" t="s">
        <v>1316</v>
      </c>
      <c r="J1266" t="s">
        <v>1839</v>
      </c>
      <c r="K1266">
        <v>0</v>
      </c>
      <c r="N1266">
        <v>1265</v>
      </c>
      <c r="O1266" t="str">
        <f>_xlfn.XLOOKUP(Table4[[#This Row],[id]],VALINA[id],VALINA[name])</f>
        <v>Western Australian Coast</v>
      </c>
      <c r="P1266">
        <f>_xlfn.XLOOKUP(Table4[[#This Row],[id]],prov_color!A:A,prov_color!C:C)</f>
        <v>99</v>
      </c>
    </row>
    <row r="1267" spans="1:16" hidden="1" x14ac:dyDescent="0.25">
      <c r="A1267">
        <v>1266</v>
      </c>
      <c r="B1267" t="s">
        <v>990</v>
      </c>
      <c r="C1267" t="s">
        <v>1674</v>
      </c>
      <c r="D1267" t="s">
        <v>1641</v>
      </c>
      <c r="E1267" t="s">
        <v>1316</v>
      </c>
      <c r="J1267" t="s">
        <v>1400</v>
      </c>
      <c r="K1267">
        <v>0</v>
      </c>
      <c r="N1267">
        <v>1266</v>
      </c>
      <c r="O1267" t="str">
        <f>_xlfn.XLOOKUP(Table4[[#This Row],[id]],VALINA[id],VALINA[name])</f>
        <v>Shark Bay</v>
      </c>
      <c r="P1267">
        <f>_xlfn.XLOOKUP(Table4[[#This Row],[id]],prov_color!A:A,prov_color!C:C)</f>
        <v>68</v>
      </c>
    </row>
    <row r="1268" spans="1:16" hidden="1" x14ac:dyDescent="0.25">
      <c r="A1268">
        <v>1267</v>
      </c>
      <c r="B1268" t="s">
        <v>990</v>
      </c>
      <c r="C1268" t="s">
        <v>1674</v>
      </c>
      <c r="D1268" t="s">
        <v>1641</v>
      </c>
      <c r="E1268" t="s">
        <v>1316</v>
      </c>
      <c r="J1268" t="s">
        <v>1401</v>
      </c>
      <c r="K1268">
        <v>0</v>
      </c>
      <c r="N1268">
        <v>1267</v>
      </c>
      <c r="O1268" t="str">
        <f>_xlfn.XLOOKUP(Table4[[#This Row],[id]],VALINA[id],VALINA[name])</f>
        <v>Coast of New Holland</v>
      </c>
      <c r="P1268">
        <f>_xlfn.XLOOKUP(Table4[[#This Row],[id]],prov_color!A:A,prov_color!C:C)</f>
        <v>66</v>
      </c>
    </row>
    <row r="1269" spans="1:16" hidden="1" x14ac:dyDescent="0.25">
      <c r="A1269">
        <v>1268</v>
      </c>
      <c r="B1269" t="s">
        <v>990</v>
      </c>
      <c r="C1269" t="s">
        <v>1674</v>
      </c>
      <c r="D1269" t="s">
        <v>1641</v>
      </c>
      <c r="E1269" t="s">
        <v>1316</v>
      </c>
      <c r="J1269" t="s">
        <v>1402</v>
      </c>
      <c r="K1269">
        <v>0</v>
      </c>
      <c r="N1269">
        <v>1268</v>
      </c>
      <c r="O1269" t="str">
        <f>_xlfn.XLOOKUP(Table4[[#This Row],[id]],VALINA[id],VALINA[name])</f>
        <v>Cape Leeuwin</v>
      </c>
      <c r="P1269">
        <f>_xlfn.XLOOKUP(Table4[[#This Row],[id]],prov_color!A:A,prov_color!C:C)</f>
        <v>75</v>
      </c>
    </row>
    <row r="1270" spans="1:16" hidden="1" x14ac:dyDescent="0.25">
      <c r="A1270">
        <v>1269</v>
      </c>
      <c r="B1270" t="s">
        <v>990</v>
      </c>
      <c r="C1270" t="s">
        <v>1674</v>
      </c>
      <c r="D1270" t="s">
        <v>1641</v>
      </c>
      <c r="E1270" t="s">
        <v>1316</v>
      </c>
      <c r="J1270" t="s">
        <v>1840</v>
      </c>
      <c r="K1270">
        <v>0</v>
      </c>
      <c r="N1270">
        <v>1269</v>
      </c>
      <c r="O1270" t="str">
        <f>_xlfn.XLOOKUP(Table4[[#This Row],[id]],VALINA[id],VALINA[name])</f>
        <v>Recherche Archipelago</v>
      </c>
      <c r="P1270">
        <f>_xlfn.XLOOKUP(Table4[[#This Row],[id]],prov_color!A:A,prov_color!C:C)</f>
        <v>89</v>
      </c>
    </row>
    <row r="1271" spans="1:16" hidden="1" x14ac:dyDescent="0.25">
      <c r="A1271">
        <v>1270</v>
      </c>
      <c r="B1271" t="s">
        <v>990</v>
      </c>
      <c r="C1271" t="s">
        <v>1674</v>
      </c>
      <c r="D1271" t="s">
        <v>1641</v>
      </c>
      <c r="E1271" t="s">
        <v>1316</v>
      </c>
      <c r="J1271" t="s">
        <v>1403</v>
      </c>
      <c r="K1271">
        <v>0</v>
      </c>
      <c r="N1271">
        <v>1270</v>
      </c>
      <c r="O1271" t="str">
        <f>_xlfn.XLOOKUP(Table4[[#This Row],[id]],VALINA[id],VALINA[name])</f>
        <v>Great Australian Bight</v>
      </c>
      <c r="P1271">
        <f>_xlfn.XLOOKUP(Table4[[#This Row],[id]],prov_color!A:A,prov_color!C:C)</f>
        <v>114</v>
      </c>
    </row>
    <row r="1272" spans="1:16" hidden="1" x14ac:dyDescent="0.25">
      <c r="A1272">
        <v>1271</v>
      </c>
      <c r="B1272" t="s">
        <v>990</v>
      </c>
      <c r="C1272" t="s">
        <v>1674</v>
      </c>
      <c r="D1272" t="s">
        <v>1641</v>
      </c>
      <c r="E1272" t="s">
        <v>1316</v>
      </c>
      <c r="J1272" t="s">
        <v>1404</v>
      </c>
      <c r="K1272">
        <v>0</v>
      </c>
      <c r="N1272">
        <v>1271</v>
      </c>
      <c r="O1272" t="str">
        <f>_xlfn.XLOOKUP(Table4[[#This Row],[id]],VALINA[id],VALINA[name])</f>
        <v>Kangaroo Island</v>
      </c>
      <c r="P1272">
        <f>_xlfn.XLOOKUP(Table4[[#This Row],[id]],prov_color!A:A,prov_color!C:C)</f>
        <v>127</v>
      </c>
    </row>
    <row r="1273" spans="1:16" hidden="1" x14ac:dyDescent="0.25">
      <c r="A1273">
        <v>1272</v>
      </c>
      <c r="B1273" t="s">
        <v>990</v>
      </c>
      <c r="C1273" t="s">
        <v>1677</v>
      </c>
      <c r="D1273" t="s">
        <v>1641</v>
      </c>
      <c r="E1273" t="s">
        <v>1316</v>
      </c>
      <c r="J1273" t="s">
        <v>1407</v>
      </c>
      <c r="K1273">
        <v>0</v>
      </c>
      <c r="N1273">
        <v>1272</v>
      </c>
      <c r="O1273" t="str">
        <f>_xlfn.XLOOKUP(Table4[[#This Row],[id]],VALINA[id],VALINA[name])</f>
        <v>Eastern Australia</v>
      </c>
      <c r="P1273">
        <f>_xlfn.XLOOKUP(Table4[[#This Row],[id]],prov_color!A:A,prov_color!C:C)</f>
        <v>170</v>
      </c>
    </row>
    <row r="1274" spans="1:16" hidden="1" x14ac:dyDescent="0.25">
      <c r="A1274">
        <v>1273</v>
      </c>
      <c r="B1274" t="s">
        <v>990</v>
      </c>
      <c r="C1274" t="s">
        <v>1677</v>
      </c>
      <c r="D1274" t="s">
        <v>1641</v>
      </c>
      <c r="E1274" t="s">
        <v>1316</v>
      </c>
      <c r="J1274" t="s">
        <v>1408</v>
      </c>
      <c r="K1274">
        <v>0</v>
      </c>
      <c r="N1274">
        <v>1273</v>
      </c>
      <c r="O1274" t="str">
        <f>_xlfn.XLOOKUP(Table4[[#This Row],[id]],VALINA[id],VALINA[name])</f>
        <v>Sandy Cape</v>
      </c>
      <c r="P1274">
        <f>_xlfn.XLOOKUP(Table4[[#This Row],[id]],prov_color!A:A,prov_color!C:C)</f>
        <v>76</v>
      </c>
    </row>
    <row r="1275" spans="1:16" hidden="1" x14ac:dyDescent="0.25">
      <c r="A1275">
        <v>1274</v>
      </c>
      <c r="B1275" t="s">
        <v>990</v>
      </c>
      <c r="C1275" t="s">
        <v>1677</v>
      </c>
      <c r="D1275" t="s">
        <v>1641</v>
      </c>
      <c r="E1275" t="s">
        <v>1316</v>
      </c>
      <c r="J1275" t="s">
        <v>1409</v>
      </c>
      <c r="K1275">
        <v>0</v>
      </c>
      <c r="N1275">
        <v>1274</v>
      </c>
      <c r="O1275" t="str">
        <f>_xlfn.XLOOKUP(Table4[[#This Row],[id]],VALINA[id],VALINA[name])</f>
        <v>Capricorn Channel</v>
      </c>
      <c r="P1275">
        <f>_xlfn.XLOOKUP(Table4[[#This Row],[id]],prov_color!A:A,prov_color!C:C)</f>
        <v>110</v>
      </c>
    </row>
    <row r="1276" spans="1:16" hidden="1" x14ac:dyDescent="0.25">
      <c r="A1276">
        <v>1275</v>
      </c>
      <c r="B1276" t="s">
        <v>990</v>
      </c>
      <c r="C1276" t="s">
        <v>1677</v>
      </c>
      <c r="D1276" t="s">
        <v>1641</v>
      </c>
      <c r="E1276" t="s">
        <v>1316</v>
      </c>
      <c r="J1276" t="s">
        <v>1601</v>
      </c>
      <c r="K1276">
        <v>0</v>
      </c>
      <c r="N1276">
        <v>1275</v>
      </c>
      <c r="O1276" t="str">
        <f>_xlfn.XLOOKUP(Table4[[#This Row],[id]],VALINA[id],VALINA[name])</f>
        <v>Coral Sea</v>
      </c>
      <c r="P1276">
        <f>_xlfn.XLOOKUP(Table4[[#This Row],[id]],prov_color!A:A,prov_color!C:C)</f>
        <v>191</v>
      </c>
    </row>
    <row r="1277" spans="1:16" hidden="1" x14ac:dyDescent="0.25">
      <c r="A1277">
        <v>1276</v>
      </c>
      <c r="B1277" t="s">
        <v>990</v>
      </c>
      <c r="C1277" t="s">
        <v>1677</v>
      </c>
      <c r="D1277" t="s">
        <v>1641</v>
      </c>
      <c r="E1277" t="s">
        <v>1316</v>
      </c>
      <c r="J1277" t="s">
        <v>6464</v>
      </c>
      <c r="K1277">
        <v>0</v>
      </c>
      <c r="N1277">
        <v>1276</v>
      </c>
      <c r="O1277" t="str">
        <f>_xlfn.XLOOKUP(Table4[[#This Row],[id]],VALINA[id],VALINA[name])</f>
        <v>Coral Sea 2</v>
      </c>
      <c r="P1277">
        <f>_xlfn.XLOOKUP(Table4[[#This Row],[id]],prov_color!A:A,prov_color!C:C)</f>
        <v>261</v>
      </c>
    </row>
    <row r="1278" spans="1:16" hidden="1" x14ac:dyDescent="0.25">
      <c r="A1278">
        <v>1277</v>
      </c>
      <c r="B1278" t="s">
        <v>990</v>
      </c>
      <c r="C1278" t="s">
        <v>1677</v>
      </c>
      <c r="D1278" t="s">
        <v>1641</v>
      </c>
      <c r="E1278" t="s">
        <v>1316</v>
      </c>
      <c r="J1278" t="s">
        <v>1602</v>
      </c>
      <c r="K1278">
        <v>0</v>
      </c>
      <c r="N1278">
        <v>1277</v>
      </c>
      <c r="O1278" t="str">
        <f>_xlfn.XLOOKUP(Table4[[#This Row],[id]],VALINA[id],VALINA[name])</f>
        <v>South Coral Sea</v>
      </c>
      <c r="P1278">
        <f>_xlfn.XLOOKUP(Table4[[#This Row],[id]],prov_color!A:A,prov_color!C:C)</f>
        <v>167</v>
      </c>
    </row>
    <row r="1279" spans="1:16" hidden="1" x14ac:dyDescent="0.25">
      <c r="A1279">
        <v>1278</v>
      </c>
      <c r="B1279" t="s">
        <v>990</v>
      </c>
      <c r="C1279" t="s">
        <v>1677</v>
      </c>
      <c r="D1279" t="s">
        <v>1641</v>
      </c>
      <c r="E1279" t="s">
        <v>1316</v>
      </c>
      <c r="J1279" t="s">
        <v>1841</v>
      </c>
      <c r="N1279">
        <v>0</v>
      </c>
      <c r="O1279" t="str">
        <f>_xlfn.XLOOKUP(Table4[[#This Row],[id]],VALINA[id],VALINA[name])</f>
        <v>New Caledonian Sea</v>
      </c>
      <c r="P1279">
        <f>_xlfn.XLOOKUP(Table4[[#This Row],[id]],prov_color!A:A,prov_color!C:C)</f>
        <v>217</v>
      </c>
    </row>
    <row r="1280" spans="1:16" hidden="1" x14ac:dyDescent="0.25">
      <c r="A1280">
        <v>1279</v>
      </c>
      <c r="B1280" t="s">
        <v>990</v>
      </c>
      <c r="C1280" t="s">
        <v>1677</v>
      </c>
      <c r="D1280" t="s">
        <v>1641</v>
      </c>
      <c r="E1280" t="s">
        <v>1316</v>
      </c>
      <c r="J1280" t="s">
        <v>6465</v>
      </c>
      <c r="K1280">
        <v>0</v>
      </c>
      <c r="N1280">
        <v>1279</v>
      </c>
      <c r="O1280" t="str">
        <f>_xlfn.XLOOKUP(Table4[[#This Row],[id]],VALINA[id],VALINA[name])</f>
        <v>South Coral Sea 2</v>
      </c>
      <c r="P1280">
        <f>_xlfn.XLOOKUP(Table4[[#This Row],[id]],prov_color!A:A,prov_color!C:C)</f>
        <v>199</v>
      </c>
    </row>
    <row r="1281" spans="1:16" hidden="1" x14ac:dyDescent="0.25">
      <c r="A1281">
        <v>1280</v>
      </c>
      <c r="B1281" t="s">
        <v>990</v>
      </c>
      <c r="C1281" t="s">
        <v>1677</v>
      </c>
      <c r="D1281" t="s">
        <v>1641</v>
      </c>
      <c r="E1281" t="s">
        <v>1316</v>
      </c>
      <c r="J1281" t="s">
        <v>1604</v>
      </c>
      <c r="K1281">
        <v>0</v>
      </c>
      <c r="N1281">
        <v>1280</v>
      </c>
      <c r="O1281" t="str">
        <f>_xlfn.XLOOKUP(Table4[[#This Row],[id]],VALINA[id],VALINA[name])</f>
        <v>Cape Farewell</v>
      </c>
      <c r="P1281">
        <f>_xlfn.XLOOKUP(Table4[[#This Row],[id]],prov_color!A:A,prov_color!C:C)</f>
        <v>137</v>
      </c>
    </row>
    <row r="1282" spans="1:16" hidden="1" x14ac:dyDescent="0.25">
      <c r="A1282">
        <v>1281</v>
      </c>
      <c r="B1282" t="s">
        <v>990</v>
      </c>
      <c r="C1282" t="s">
        <v>1677</v>
      </c>
      <c r="D1282" t="s">
        <v>1641</v>
      </c>
      <c r="E1282" t="s">
        <v>1316</v>
      </c>
      <c r="J1282" t="s">
        <v>6466</v>
      </c>
      <c r="K1282">
        <v>0</v>
      </c>
      <c r="N1282">
        <v>1281</v>
      </c>
      <c r="O1282" t="str">
        <f>_xlfn.XLOOKUP(Table4[[#This Row],[id]],VALINA[id],VALINA[name])</f>
        <v>South Coral Sea 3</v>
      </c>
      <c r="P1282">
        <f>_xlfn.XLOOKUP(Table4[[#This Row],[id]],prov_color!A:A,prov_color!C:C)</f>
        <v>466</v>
      </c>
    </row>
    <row r="1283" spans="1:16" hidden="1" x14ac:dyDescent="0.25">
      <c r="A1283">
        <v>1282</v>
      </c>
      <c r="B1283" t="s">
        <v>990</v>
      </c>
      <c r="C1283" t="s">
        <v>1677</v>
      </c>
      <c r="D1283" t="s">
        <v>1641</v>
      </c>
      <c r="E1283" t="s">
        <v>1316</v>
      </c>
      <c r="J1283" t="s">
        <v>1815</v>
      </c>
      <c r="N1283">
        <v>0</v>
      </c>
      <c r="O1283" t="str">
        <f>_xlfn.XLOOKUP(Table4[[#This Row],[id]],VALINA[id],VALINA[name])</f>
        <v>South Pacific Ocean</v>
      </c>
      <c r="P1283">
        <f>_xlfn.XLOOKUP(Table4[[#This Row],[id]],prov_color!A:A,prov_color!C:C)</f>
        <v>603</v>
      </c>
    </row>
    <row r="1284" spans="1:16" hidden="1" x14ac:dyDescent="0.25">
      <c r="A1284">
        <v>1283</v>
      </c>
      <c r="B1284" t="s">
        <v>990</v>
      </c>
      <c r="C1284" t="s">
        <v>1661</v>
      </c>
      <c r="D1284" t="s">
        <v>1641</v>
      </c>
      <c r="E1284" t="s">
        <v>1316</v>
      </c>
      <c r="J1284" t="s">
        <v>1815</v>
      </c>
      <c r="N1284">
        <v>0</v>
      </c>
      <c r="O1284" t="str">
        <f>_xlfn.XLOOKUP(Table4[[#This Row],[id]],VALINA[id],VALINA[name])</f>
        <v>South Pacific Ocean</v>
      </c>
      <c r="P1284">
        <f>_xlfn.XLOOKUP(Table4[[#This Row],[id]],prov_color!A:A,prov_color!C:C)</f>
        <v>956</v>
      </c>
    </row>
    <row r="1285" spans="1:16" hidden="1" x14ac:dyDescent="0.25">
      <c r="A1285">
        <v>1284</v>
      </c>
      <c r="B1285" t="s">
        <v>990</v>
      </c>
      <c r="C1285" t="s">
        <v>1661</v>
      </c>
      <c r="D1285" t="s">
        <v>1641</v>
      </c>
      <c r="E1285" t="s">
        <v>1316</v>
      </c>
      <c r="J1285" t="s">
        <v>1815</v>
      </c>
      <c r="N1285">
        <v>0</v>
      </c>
      <c r="O1285" t="str">
        <f>_xlfn.XLOOKUP(Table4[[#This Row],[id]],VALINA[id],VALINA[name])</f>
        <v>South Pacific Ocean</v>
      </c>
      <c r="P1285">
        <f>_xlfn.XLOOKUP(Table4[[#This Row],[id]],prov_color!A:A,prov_color!C:C)</f>
        <v>465</v>
      </c>
    </row>
    <row r="1286" spans="1:16" hidden="1" x14ac:dyDescent="0.25">
      <c r="A1286">
        <v>1285</v>
      </c>
      <c r="B1286" t="s">
        <v>990</v>
      </c>
      <c r="C1286" t="s">
        <v>1661</v>
      </c>
      <c r="D1286" t="s">
        <v>1641</v>
      </c>
      <c r="E1286" t="s">
        <v>1316</v>
      </c>
      <c r="J1286" t="s">
        <v>1815</v>
      </c>
      <c r="N1286">
        <v>0</v>
      </c>
      <c r="O1286" t="str">
        <f>_xlfn.XLOOKUP(Table4[[#This Row],[id]],VALINA[id],VALINA[name])</f>
        <v>South Pacific Ocean</v>
      </c>
      <c r="P1286">
        <f>_xlfn.XLOOKUP(Table4[[#This Row],[id]],prov_color!A:A,prov_color!C:C)</f>
        <v>457</v>
      </c>
    </row>
    <row r="1287" spans="1:16" hidden="1" x14ac:dyDescent="0.25">
      <c r="A1287">
        <v>1286</v>
      </c>
      <c r="B1287" t="s">
        <v>990</v>
      </c>
      <c r="C1287" t="s">
        <v>1661</v>
      </c>
      <c r="D1287" t="s">
        <v>1641</v>
      </c>
      <c r="E1287" t="s">
        <v>1316</v>
      </c>
      <c r="J1287" t="s">
        <v>1815</v>
      </c>
      <c r="N1287">
        <v>0</v>
      </c>
      <c r="O1287" t="str">
        <f>_xlfn.XLOOKUP(Table4[[#This Row],[id]],VALINA[id],VALINA[name])</f>
        <v>South Pacific Ocean</v>
      </c>
      <c r="P1287">
        <f>_xlfn.XLOOKUP(Table4[[#This Row],[id]],prov_color!A:A,prov_color!C:C)</f>
        <v>467</v>
      </c>
    </row>
    <row r="1288" spans="1:16" hidden="1" x14ac:dyDescent="0.25">
      <c r="A1288">
        <v>1287</v>
      </c>
      <c r="B1288" t="s">
        <v>990</v>
      </c>
      <c r="C1288" t="s">
        <v>1661</v>
      </c>
      <c r="D1288" t="s">
        <v>1641</v>
      </c>
      <c r="E1288" t="s">
        <v>1316</v>
      </c>
      <c r="J1288" t="s">
        <v>1815</v>
      </c>
      <c r="N1288">
        <v>0</v>
      </c>
      <c r="O1288" t="str">
        <f>_xlfn.XLOOKUP(Table4[[#This Row],[id]],VALINA[id],VALINA[name])</f>
        <v>South Pacific Ocean</v>
      </c>
      <c r="P1288">
        <f>_xlfn.XLOOKUP(Table4[[#This Row],[id]],prov_color!A:A,prov_color!C:C)</f>
        <v>324</v>
      </c>
    </row>
    <row r="1289" spans="1:16" hidden="1" x14ac:dyDescent="0.25">
      <c r="A1289">
        <v>1288</v>
      </c>
      <c r="B1289" t="s">
        <v>11</v>
      </c>
      <c r="C1289" t="s">
        <v>1661</v>
      </c>
      <c r="D1289" t="s">
        <v>1641</v>
      </c>
      <c r="E1289" t="s">
        <v>1316</v>
      </c>
      <c r="J1289" t="s">
        <v>1815</v>
      </c>
      <c r="N1289">
        <v>0</v>
      </c>
      <c r="O1289" t="str">
        <f>_xlfn.XLOOKUP(Table4[[#This Row],[id]],VALINA[id],VALINA[name])</f>
        <v>South Pacific Ocean</v>
      </c>
      <c r="P1289">
        <f>_xlfn.XLOOKUP(Table4[[#This Row],[id]],prov_color!A:A,prov_color!C:C)</f>
        <v>122</v>
      </c>
    </row>
    <row r="1290" spans="1:16" hidden="1" x14ac:dyDescent="0.25">
      <c r="A1290">
        <v>1289</v>
      </c>
      <c r="B1290" t="s">
        <v>11</v>
      </c>
      <c r="C1290" t="s">
        <v>1673</v>
      </c>
      <c r="D1290" t="s">
        <v>1641</v>
      </c>
      <c r="E1290" t="s">
        <v>1316</v>
      </c>
      <c r="J1290" t="s">
        <v>1835</v>
      </c>
      <c r="N1290">
        <v>0</v>
      </c>
      <c r="O1290" t="str">
        <f>_xlfn.XLOOKUP(Table4[[#This Row],[id]],VALINA[id],VALINA[name])</f>
        <v>Southern Atlantic Ocean</v>
      </c>
      <c r="P1290">
        <f>_xlfn.XLOOKUP(Table4[[#This Row],[id]],prov_color!A:A,prov_color!C:C)</f>
        <v>84</v>
      </c>
    </row>
    <row r="1291" spans="1:16" hidden="1" x14ac:dyDescent="0.25">
      <c r="A1291">
        <v>1290</v>
      </c>
      <c r="B1291" t="s">
        <v>11</v>
      </c>
      <c r="C1291" t="s">
        <v>1673</v>
      </c>
      <c r="D1291" t="s">
        <v>1641</v>
      </c>
      <c r="E1291" t="s">
        <v>1316</v>
      </c>
      <c r="J1291" t="s">
        <v>1835</v>
      </c>
      <c r="N1291">
        <v>0</v>
      </c>
      <c r="O1291" t="str">
        <f>_xlfn.XLOOKUP(Table4[[#This Row],[id]],VALINA[id],VALINA[name])</f>
        <v>Southern Atlantic Ocean</v>
      </c>
      <c r="P1291">
        <f>_xlfn.XLOOKUP(Table4[[#This Row],[id]],prov_color!A:A,prov_color!C:C)</f>
        <v>188</v>
      </c>
    </row>
    <row r="1292" spans="1:16" hidden="1" x14ac:dyDescent="0.25">
      <c r="A1292">
        <v>1291</v>
      </c>
      <c r="B1292" t="s">
        <v>11</v>
      </c>
      <c r="C1292" t="s">
        <v>1673</v>
      </c>
      <c r="D1292" t="s">
        <v>1641</v>
      </c>
      <c r="E1292" t="s">
        <v>1316</v>
      </c>
      <c r="J1292" t="s">
        <v>1835</v>
      </c>
      <c r="N1292">
        <v>0</v>
      </c>
      <c r="O1292" t="str">
        <f>_xlfn.XLOOKUP(Table4[[#This Row],[id]],VALINA[id],VALINA[name])</f>
        <v>Southern Atlantic Ocean</v>
      </c>
      <c r="P1292">
        <f>_xlfn.XLOOKUP(Table4[[#This Row],[id]],prov_color!A:A,prov_color!C:C)</f>
        <v>291</v>
      </c>
    </row>
    <row r="1293" spans="1:16" hidden="1" x14ac:dyDescent="0.25">
      <c r="A1293">
        <v>1292</v>
      </c>
      <c r="B1293" t="s">
        <v>1016</v>
      </c>
      <c r="C1293" t="s">
        <v>1670</v>
      </c>
      <c r="D1293" t="s">
        <v>1641</v>
      </c>
      <c r="E1293" t="s">
        <v>1316</v>
      </c>
      <c r="J1293" t="s">
        <v>1835</v>
      </c>
      <c r="N1293">
        <v>0</v>
      </c>
      <c r="O1293" t="str">
        <f>_xlfn.XLOOKUP(Table4[[#This Row],[id]],VALINA[id],VALINA[name])</f>
        <v>Southern Atlantic Ocean</v>
      </c>
      <c r="P1293">
        <f>_xlfn.XLOOKUP(Table4[[#This Row],[id]],prov_color!A:A,prov_color!C:C)</f>
        <v>858</v>
      </c>
    </row>
    <row r="1294" spans="1:16" hidden="1" x14ac:dyDescent="0.25">
      <c r="A1294">
        <v>1293</v>
      </c>
      <c r="B1294" t="s">
        <v>1016</v>
      </c>
      <c r="C1294" t="s">
        <v>1670</v>
      </c>
      <c r="D1294" t="s">
        <v>1641</v>
      </c>
      <c r="E1294" t="s">
        <v>1316</v>
      </c>
      <c r="J1294" t="s">
        <v>1835</v>
      </c>
      <c r="N1294">
        <v>0</v>
      </c>
      <c r="O1294" t="str">
        <f>_xlfn.XLOOKUP(Table4[[#This Row],[id]],VALINA[id],VALINA[name])</f>
        <v>Southern Atlantic Ocean</v>
      </c>
      <c r="P1294">
        <f>_xlfn.XLOOKUP(Table4[[#This Row],[id]],prov_color!A:A,prov_color!C:C)</f>
        <v>426</v>
      </c>
    </row>
    <row r="1295" spans="1:16" hidden="1" x14ac:dyDescent="0.25">
      <c r="A1295">
        <v>1294</v>
      </c>
      <c r="B1295" t="s">
        <v>1016</v>
      </c>
      <c r="C1295" t="s">
        <v>1670</v>
      </c>
      <c r="D1295" t="s">
        <v>1641</v>
      </c>
      <c r="E1295" t="s">
        <v>1316</v>
      </c>
      <c r="J1295" t="s">
        <v>1842</v>
      </c>
      <c r="N1295">
        <v>0</v>
      </c>
      <c r="O1295" t="str">
        <f>_xlfn.XLOOKUP(Table4[[#This Row],[id]],VALINA[id],VALINA[name])</f>
        <v>Cape of Storms</v>
      </c>
      <c r="P1295">
        <f>_xlfn.XLOOKUP(Table4[[#This Row],[id]],prov_color!A:A,prov_color!C:C)</f>
        <v>119</v>
      </c>
    </row>
    <row r="1296" spans="1:16" hidden="1" x14ac:dyDescent="0.25">
      <c r="A1296">
        <v>1295</v>
      </c>
      <c r="B1296" t="s">
        <v>1016</v>
      </c>
      <c r="C1296" t="s">
        <v>1671</v>
      </c>
      <c r="D1296" t="s">
        <v>1641</v>
      </c>
      <c r="E1296" t="s">
        <v>1316</v>
      </c>
      <c r="J1296" t="s">
        <v>1843</v>
      </c>
      <c r="N1296">
        <v>0</v>
      </c>
      <c r="O1296" t="str">
        <f>_xlfn.XLOOKUP(Table4[[#This Row],[id]],VALINA[id],VALINA[name])</f>
        <v>South Indian Ocean</v>
      </c>
      <c r="P1296">
        <f>_xlfn.XLOOKUP(Table4[[#This Row],[id]],prov_color!A:A,prov_color!C:C)</f>
        <v>124</v>
      </c>
    </row>
    <row r="1297" spans="1:16" hidden="1" x14ac:dyDescent="0.25">
      <c r="A1297">
        <v>1296</v>
      </c>
      <c r="B1297" t="s">
        <v>1016</v>
      </c>
      <c r="C1297" t="s">
        <v>1671</v>
      </c>
      <c r="D1297" t="s">
        <v>1641</v>
      </c>
      <c r="E1297" t="s">
        <v>1316</v>
      </c>
      <c r="J1297" t="s">
        <v>1960</v>
      </c>
      <c r="N1297">
        <v>0</v>
      </c>
      <c r="O1297" t="str">
        <f>_xlfn.XLOOKUP(Table4[[#This Row],[id]],VALINA[id],VALINA[name])</f>
        <v>Southern Indian Ocean</v>
      </c>
      <c r="P1297">
        <f>_xlfn.XLOOKUP(Table4[[#This Row],[id]],prov_color!A:A,prov_color!C:C)</f>
        <v>202</v>
      </c>
    </row>
    <row r="1298" spans="1:16" hidden="1" x14ac:dyDescent="0.25">
      <c r="A1298">
        <v>1297</v>
      </c>
      <c r="B1298" t="s">
        <v>1016</v>
      </c>
      <c r="C1298" t="s">
        <v>1671</v>
      </c>
      <c r="D1298" t="s">
        <v>1641</v>
      </c>
      <c r="E1298" t="s">
        <v>1316</v>
      </c>
      <c r="J1298" t="s">
        <v>1960</v>
      </c>
      <c r="N1298">
        <v>0</v>
      </c>
      <c r="O1298" t="str">
        <f>_xlfn.XLOOKUP(Table4[[#This Row],[id]],VALINA[id],VALINA[name])</f>
        <v>Southern Indian Ocean</v>
      </c>
      <c r="P1298">
        <f>_xlfn.XLOOKUP(Table4[[#This Row],[id]],prov_color!A:A,prov_color!C:C)</f>
        <v>328</v>
      </c>
    </row>
    <row r="1299" spans="1:16" hidden="1" x14ac:dyDescent="0.25">
      <c r="A1299">
        <v>1298</v>
      </c>
      <c r="B1299" t="s">
        <v>1016</v>
      </c>
      <c r="C1299" t="s">
        <v>1671</v>
      </c>
      <c r="D1299" t="s">
        <v>1641</v>
      </c>
      <c r="E1299" t="s">
        <v>1316</v>
      </c>
      <c r="J1299" t="s">
        <v>1960</v>
      </c>
      <c r="N1299">
        <v>0</v>
      </c>
      <c r="O1299" t="str">
        <f>_xlfn.XLOOKUP(Table4[[#This Row],[id]],VALINA[id],VALINA[name])</f>
        <v>Southern Indian Ocean</v>
      </c>
      <c r="P1299">
        <f>_xlfn.XLOOKUP(Table4[[#This Row],[id]],prov_color!A:A,prov_color!C:C)</f>
        <v>271</v>
      </c>
    </row>
    <row r="1300" spans="1:16" hidden="1" x14ac:dyDescent="0.25">
      <c r="A1300">
        <v>1299</v>
      </c>
      <c r="B1300" t="s">
        <v>1016</v>
      </c>
      <c r="C1300" t="s">
        <v>1671</v>
      </c>
      <c r="D1300" t="s">
        <v>1641</v>
      </c>
      <c r="E1300" t="s">
        <v>1316</v>
      </c>
      <c r="J1300" t="s">
        <v>1844</v>
      </c>
      <c r="N1300">
        <v>0</v>
      </c>
      <c r="O1300" t="str">
        <f>_xlfn.XLOOKUP(Table4[[#This Row],[id]],VALINA[id],VALINA[name])</f>
        <v>The Roaring Forties</v>
      </c>
      <c r="P1300">
        <f>_xlfn.XLOOKUP(Table4[[#This Row],[id]],prov_color!A:A,prov_color!C:C)</f>
        <v>448</v>
      </c>
    </row>
    <row r="1301" spans="1:16" hidden="1" x14ac:dyDescent="0.25">
      <c r="A1301">
        <v>1300</v>
      </c>
      <c r="B1301" t="s">
        <v>1016</v>
      </c>
      <c r="C1301" t="s">
        <v>1674</v>
      </c>
      <c r="D1301" t="s">
        <v>1641</v>
      </c>
      <c r="E1301" t="s">
        <v>1316</v>
      </c>
      <c r="J1301" t="s">
        <v>1960</v>
      </c>
      <c r="N1301">
        <v>0</v>
      </c>
      <c r="O1301" t="str">
        <f>_xlfn.XLOOKUP(Table4[[#This Row],[id]],VALINA[id],VALINA[name])</f>
        <v>Southern Indian Ocean</v>
      </c>
      <c r="P1301">
        <f>_xlfn.XLOOKUP(Table4[[#This Row],[id]],prov_color!A:A,prov_color!C:C)</f>
        <v>286</v>
      </c>
    </row>
    <row r="1302" spans="1:16" hidden="1" x14ac:dyDescent="0.25">
      <c r="A1302">
        <v>1301</v>
      </c>
      <c r="B1302" t="s">
        <v>1016</v>
      </c>
      <c r="C1302" t="s">
        <v>1674</v>
      </c>
      <c r="D1302" t="s">
        <v>1641</v>
      </c>
      <c r="E1302" t="s">
        <v>1316</v>
      </c>
      <c r="J1302" t="s">
        <v>1960</v>
      </c>
      <c r="N1302">
        <v>0</v>
      </c>
      <c r="O1302" t="str">
        <f>_xlfn.XLOOKUP(Table4[[#This Row],[id]],VALINA[id],VALINA[name])</f>
        <v>Southern Indian Ocean</v>
      </c>
      <c r="P1302">
        <f>_xlfn.XLOOKUP(Table4[[#This Row],[id]],prov_color!A:A,prov_color!C:C)</f>
        <v>332</v>
      </c>
    </row>
    <row r="1303" spans="1:16" hidden="1" x14ac:dyDescent="0.25">
      <c r="A1303">
        <v>1302</v>
      </c>
      <c r="B1303" t="s">
        <v>990</v>
      </c>
      <c r="C1303" t="s">
        <v>1674</v>
      </c>
      <c r="D1303" t="s">
        <v>1641</v>
      </c>
      <c r="E1303" t="s">
        <v>1316</v>
      </c>
      <c r="J1303" t="s">
        <v>1960</v>
      </c>
      <c r="N1303">
        <v>0</v>
      </c>
      <c r="O1303" t="str">
        <f>_xlfn.XLOOKUP(Table4[[#This Row],[id]],VALINA[id],VALINA[name])</f>
        <v>Southern Indian Ocean</v>
      </c>
      <c r="P1303">
        <f>_xlfn.XLOOKUP(Table4[[#This Row],[id]],prov_color!A:A,prov_color!C:C)</f>
        <v>205</v>
      </c>
    </row>
    <row r="1304" spans="1:16" hidden="1" x14ac:dyDescent="0.25">
      <c r="A1304">
        <v>1303</v>
      </c>
      <c r="B1304" t="s">
        <v>990</v>
      </c>
      <c r="C1304" t="s">
        <v>1674</v>
      </c>
      <c r="D1304" t="s">
        <v>1641</v>
      </c>
      <c r="E1304" t="s">
        <v>1316</v>
      </c>
      <c r="J1304" t="s">
        <v>1960</v>
      </c>
      <c r="N1304">
        <v>0</v>
      </c>
      <c r="O1304" t="str">
        <f>_xlfn.XLOOKUP(Table4[[#This Row],[id]],VALINA[id],VALINA[name])</f>
        <v>Southern Indian Ocean</v>
      </c>
      <c r="P1304">
        <f>_xlfn.XLOOKUP(Table4[[#This Row],[id]],prov_color!A:A,prov_color!C:C)</f>
        <v>375</v>
      </c>
    </row>
    <row r="1305" spans="1:16" hidden="1" x14ac:dyDescent="0.25">
      <c r="A1305">
        <v>1304</v>
      </c>
      <c r="B1305" t="s">
        <v>990</v>
      </c>
      <c r="C1305" t="s">
        <v>1674</v>
      </c>
      <c r="D1305" t="s">
        <v>1641</v>
      </c>
      <c r="E1305" t="s">
        <v>1316</v>
      </c>
      <c r="J1305" t="s">
        <v>1960</v>
      </c>
      <c r="N1305">
        <v>0</v>
      </c>
      <c r="O1305" t="str">
        <f>_xlfn.XLOOKUP(Table4[[#This Row],[id]],VALINA[id],VALINA[name])</f>
        <v>Southern Indian Ocean</v>
      </c>
      <c r="P1305">
        <f>_xlfn.XLOOKUP(Table4[[#This Row],[id]],prov_color!A:A,prov_color!C:C)</f>
        <v>319</v>
      </c>
    </row>
    <row r="1306" spans="1:16" hidden="1" x14ac:dyDescent="0.25">
      <c r="A1306">
        <v>1305</v>
      </c>
      <c r="B1306" t="s">
        <v>990</v>
      </c>
      <c r="C1306" t="s">
        <v>1674</v>
      </c>
      <c r="D1306" t="s">
        <v>1641</v>
      </c>
      <c r="E1306" t="s">
        <v>1316</v>
      </c>
      <c r="J1306" t="s">
        <v>1960</v>
      </c>
      <c r="N1306">
        <v>0</v>
      </c>
      <c r="O1306" t="str">
        <f>_xlfn.XLOOKUP(Table4[[#This Row],[id]],VALINA[id],VALINA[name])</f>
        <v>Southern Indian Ocean</v>
      </c>
      <c r="P1306">
        <f>_xlfn.XLOOKUP(Table4[[#This Row],[id]],prov_color!A:A,prov_color!C:C)</f>
        <v>188</v>
      </c>
    </row>
    <row r="1307" spans="1:16" hidden="1" x14ac:dyDescent="0.25">
      <c r="A1307">
        <v>1306</v>
      </c>
      <c r="B1307" t="s">
        <v>990</v>
      </c>
      <c r="C1307" t="s">
        <v>1674</v>
      </c>
      <c r="D1307" t="s">
        <v>1641</v>
      </c>
      <c r="E1307" t="s">
        <v>1316</v>
      </c>
      <c r="J1307" t="s">
        <v>1960</v>
      </c>
      <c r="N1307">
        <v>0</v>
      </c>
      <c r="O1307" t="str">
        <f>_xlfn.XLOOKUP(Table4[[#This Row],[id]],VALINA[id],VALINA[name])</f>
        <v>Southern Indian Ocean</v>
      </c>
      <c r="P1307">
        <f>_xlfn.XLOOKUP(Table4[[#This Row],[id]],prov_color!A:A,prov_color!C:C)</f>
        <v>297</v>
      </c>
    </row>
    <row r="1308" spans="1:16" hidden="1" x14ac:dyDescent="0.25">
      <c r="A1308">
        <v>1307</v>
      </c>
      <c r="B1308" t="s">
        <v>990</v>
      </c>
      <c r="C1308" t="s">
        <v>1674</v>
      </c>
      <c r="D1308" t="s">
        <v>1641</v>
      </c>
      <c r="E1308" t="s">
        <v>1316</v>
      </c>
      <c r="J1308" t="s">
        <v>1960</v>
      </c>
      <c r="N1308">
        <v>0</v>
      </c>
      <c r="O1308" t="str">
        <f>_xlfn.XLOOKUP(Table4[[#This Row],[id]],VALINA[id],VALINA[name])</f>
        <v>Southern Indian Ocean</v>
      </c>
      <c r="P1308">
        <f>_xlfn.XLOOKUP(Table4[[#This Row],[id]],prov_color!A:A,prov_color!C:C)</f>
        <v>184</v>
      </c>
    </row>
    <row r="1309" spans="1:16" hidden="1" x14ac:dyDescent="0.25">
      <c r="A1309">
        <v>1308</v>
      </c>
      <c r="B1309" t="s">
        <v>990</v>
      </c>
      <c r="C1309" t="s">
        <v>1674</v>
      </c>
      <c r="D1309" t="s">
        <v>1641</v>
      </c>
      <c r="E1309" t="s">
        <v>1316</v>
      </c>
      <c r="J1309" t="s">
        <v>1960</v>
      </c>
      <c r="N1309">
        <v>0</v>
      </c>
      <c r="O1309" t="str">
        <f>_xlfn.XLOOKUP(Table4[[#This Row],[id]],VALINA[id],VALINA[name])</f>
        <v>Southern Indian Ocean</v>
      </c>
      <c r="P1309">
        <f>_xlfn.XLOOKUP(Table4[[#This Row],[id]],prov_color!A:A,prov_color!C:C)</f>
        <v>153</v>
      </c>
    </row>
    <row r="1310" spans="1:16" hidden="1" x14ac:dyDescent="0.25">
      <c r="A1310">
        <v>1309</v>
      </c>
      <c r="B1310" t="s">
        <v>990</v>
      </c>
      <c r="C1310" t="s">
        <v>1674</v>
      </c>
      <c r="D1310" t="s">
        <v>1641</v>
      </c>
      <c r="E1310" t="s">
        <v>1316</v>
      </c>
      <c r="J1310" t="s">
        <v>1960</v>
      </c>
      <c r="N1310">
        <v>0</v>
      </c>
      <c r="O1310" t="str">
        <f>_xlfn.XLOOKUP(Table4[[#This Row],[id]],VALINA[id],VALINA[name])</f>
        <v>Southern Indian Ocean</v>
      </c>
      <c r="P1310">
        <f>_xlfn.XLOOKUP(Table4[[#This Row],[id]],prov_color!A:A,prov_color!C:C)</f>
        <v>120</v>
      </c>
    </row>
    <row r="1311" spans="1:16" hidden="1" x14ac:dyDescent="0.25">
      <c r="A1311">
        <v>1310</v>
      </c>
      <c r="B1311" t="s">
        <v>990</v>
      </c>
      <c r="C1311" t="s">
        <v>1674</v>
      </c>
      <c r="D1311" t="s">
        <v>1641</v>
      </c>
      <c r="E1311" t="s">
        <v>1316</v>
      </c>
      <c r="J1311" t="s">
        <v>1960</v>
      </c>
      <c r="N1311">
        <v>0</v>
      </c>
      <c r="O1311" t="str">
        <f>_xlfn.XLOOKUP(Table4[[#This Row],[id]],VALINA[id],VALINA[name])</f>
        <v>Southern Indian Ocean</v>
      </c>
      <c r="P1311">
        <f>_xlfn.XLOOKUP(Table4[[#This Row],[id]],prov_color!A:A,prov_color!C:C)</f>
        <v>216</v>
      </c>
    </row>
    <row r="1312" spans="1:16" hidden="1" x14ac:dyDescent="0.25">
      <c r="A1312">
        <v>1311</v>
      </c>
      <c r="B1312" t="s">
        <v>990</v>
      </c>
      <c r="C1312" t="s">
        <v>1674</v>
      </c>
      <c r="D1312" t="s">
        <v>1641</v>
      </c>
      <c r="E1312" t="s">
        <v>1316</v>
      </c>
      <c r="J1312" t="s">
        <v>1960</v>
      </c>
      <c r="N1312">
        <v>0</v>
      </c>
      <c r="O1312" t="str">
        <f>_xlfn.XLOOKUP(Table4[[#This Row],[id]],VALINA[id],VALINA[name])</f>
        <v>Southern Indian Ocean</v>
      </c>
      <c r="P1312">
        <f>_xlfn.XLOOKUP(Table4[[#This Row],[id]],prov_color!A:A,prov_color!C:C)</f>
        <v>175</v>
      </c>
    </row>
    <row r="1313" spans="1:16" hidden="1" x14ac:dyDescent="0.25">
      <c r="A1313">
        <v>1312</v>
      </c>
      <c r="B1313" t="s">
        <v>990</v>
      </c>
      <c r="C1313" t="s">
        <v>1677</v>
      </c>
      <c r="D1313" t="s">
        <v>1641</v>
      </c>
      <c r="E1313" t="s">
        <v>1316</v>
      </c>
      <c r="J1313" t="s">
        <v>1845</v>
      </c>
      <c r="K1313">
        <v>0</v>
      </c>
      <c r="N1313">
        <v>1312</v>
      </c>
      <c r="O1313" t="str">
        <f>_xlfn.XLOOKUP(Table4[[#This Row],[id]],VALINA[id],VALINA[name])</f>
        <v>Bass Strait</v>
      </c>
      <c r="P1313">
        <f>_xlfn.XLOOKUP(Table4[[#This Row],[id]],prov_color!A:A,prov_color!C:C)</f>
        <v>131</v>
      </c>
    </row>
    <row r="1314" spans="1:16" hidden="1" x14ac:dyDescent="0.25">
      <c r="A1314">
        <v>1313</v>
      </c>
      <c r="B1314" t="s">
        <v>990</v>
      </c>
      <c r="C1314" t="s">
        <v>1677</v>
      </c>
      <c r="D1314" t="s">
        <v>1641</v>
      </c>
      <c r="E1314" t="s">
        <v>1316</v>
      </c>
      <c r="J1314" t="s">
        <v>1406</v>
      </c>
      <c r="K1314">
        <v>0</v>
      </c>
      <c r="N1314">
        <v>1313</v>
      </c>
      <c r="O1314" t="str">
        <f>_xlfn.XLOOKUP(Table4[[#This Row],[id]],VALINA[id],VALINA[name])</f>
        <v>Cape Howe</v>
      </c>
      <c r="P1314">
        <f>_xlfn.XLOOKUP(Table4[[#This Row],[id]],prov_color!A:A,prov_color!C:C)</f>
        <v>123</v>
      </c>
    </row>
    <row r="1315" spans="1:16" hidden="1" x14ac:dyDescent="0.25">
      <c r="A1315">
        <v>1314</v>
      </c>
      <c r="B1315" t="s">
        <v>990</v>
      </c>
      <c r="C1315" t="s">
        <v>1677</v>
      </c>
      <c r="D1315" t="s">
        <v>1641</v>
      </c>
      <c r="E1315" t="s">
        <v>1316</v>
      </c>
      <c r="J1315" t="s">
        <v>1405</v>
      </c>
      <c r="K1315">
        <v>0</v>
      </c>
      <c r="N1315">
        <v>1314</v>
      </c>
      <c r="O1315" t="str">
        <f>_xlfn.XLOOKUP(Table4[[#This Row],[id]],VALINA[id],VALINA[name])</f>
        <v>Tasman Sea</v>
      </c>
      <c r="P1315">
        <f>_xlfn.XLOOKUP(Table4[[#This Row],[id]],prov_color!A:A,prov_color!C:C)</f>
        <v>196</v>
      </c>
    </row>
    <row r="1316" spans="1:16" hidden="1" x14ac:dyDescent="0.25">
      <c r="A1316">
        <v>1315</v>
      </c>
      <c r="B1316" t="s">
        <v>990</v>
      </c>
      <c r="C1316" t="s">
        <v>1677</v>
      </c>
      <c r="D1316" t="s">
        <v>1641</v>
      </c>
      <c r="E1316" t="s">
        <v>1316</v>
      </c>
      <c r="J1316" t="s">
        <v>6467</v>
      </c>
      <c r="K1316">
        <v>0</v>
      </c>
      <c r="N1316">
        <v>1315</v>
      </c>
      <c r="O1316" t="str">
        <f>_xlfn.XLOOKUP(Table4[[#This Row],[id]],VALINA[id],VALINA[name])</f>
        <v>Tasman Sea 2</v>
      </c>
      <c r="P1316">
        <f>_xlfn.XLOOKUP(Table4[[#This Row],[id]],prov_color!A:A,prov_color!C:C)</f>
        <v>163</v>
      </c>
    </row>
    <row r="1317" spans="1:16" hidden="1" x14ac:dyDescent="0.25">
      <c r="A1317">
        <v>1316</v>
      </c>
      <c r="B1317" t="s">
        <v>990</v>
      </c>
      <c r="C1317" t="s">
        <v>1677</v>
      </c>
      <c r="D1317" t="s">
        <v>1641</v>
      </c>
      <c r="E1317" t="s">
        <v>1316</v>
      </c>
      <c r="J1317" t="s">
        <v>6468</v>
      </c>
      <c r="K1317">
        <v>0</v>
      </c>
      <c r="N1317">
        <v>1316</v>
      </c>
      <c r="O1317" t="str">
        <f>_xlfn.XLOOKUP(Table4[[#This Row],[id]],VALINA[id],VALINA[name])</f>
        <v>Tasman Sea 3</v>
      </c>
      <c r="P1317">
        <f>_xlfn.XLOOKUP(Table4[[#This Row],[id]],prov_color!A:A,prov_color!C:C)</f>
        <v>164</v>
      </c>
    </row>
    <row r="1318" spans="1:16" hidden="1" x14ac:dyDescent="0.25">
      <c r="A1318">
        <v>1317</v>
      </c>
      <c r="B1318" t="s">
        <v>990</v>
      </c>
      <c r="C1318" t="s">
        <v>1677</v>
      </c>
      <c r="D1318" t="s">
        <v>1641</v>
      </c>
      <c r="E1318" t="s">
        <v>1316</v>
      </c>
      <c r="J1318" t="s">
        <v>6469</v>
      </c>
      <c r="K1318">
        <v>0</v>
      </c>
      <c r="N1318">
        <v>1317</v>
      </c>
      <c r="O1318" t="str">
        <f>_xlfn.XLOOKUP(Table4[[#This Row],[id]],VALINA[id],VALINA[name])</f>
        <v>Tasman Sea 4</v>
      </c>
      <c r="P1318">
        <f>_xlfn.XLOOKUP(Table4[[#This Row],[id]],prov_color!A:A,prov_color!C:C)</f>
        <v>126</v>
      </c>
    </row>
    <row r="1319" spans="1:16" hidden="1" x14ac:dyDescent="0.25">
      <c r="A1319">
        <v>1318</v>
      </c>
      <c r="B1319" t="s">
        <v>990</v>
      </c>
      <c r="C1319" t="s">
        <v>1677</v>
      </c>
      <c r="D1319" t="s">
        <v>1641</v>
      </c>
      <c r="E1319" t="s">
        <v>1316</v>
      </c>
      <c r="J1319" t="s">
        <v>1603</v>
      </c>
      <c r="K1319">
        <v>0</v>
      </c>
      <c r="N1319">
        <v>1318</v>
      </c>
      <c r="O1319" t="str">
        <f>_xlfn.XLOOKUP(Table4[[#This Row],[id]],VALINA[id],VALINA[name])</f>
        <v>Cook Strait</v>
      </c>
      <c r="P1319">
        <f>_xlfn.XLOOKUP(Table4[[#This Row],[id]],prov_color!A:A,prov_color!C:C)</f>
        <v>97</v>
      </c>
    </row>
    <row r="1320" spans="1:16" hidden="1" x14ac:dyDescent="0.25">
      <c r="A1320">
        <v>1319</v>
      </c>
      <c r="B1320" t="s">
        <v>990</v>
      </c>
      <c r="C1320" t="s">
        <v>1677</v>
      </c>
      <c r="D1320" t="s">
        <v>1641</v>
      </c>
      <c r="E1320" t="s">
        <v>1316</v>
      </c>
      <c r="J1320" t="s">
        <v>1815</v>
      </c>
      <c r="N1320">
        <v>0</v>
      </c>
      <c r="O1320" t="str">
        <f>_xlfn.XLOOKUP(Table4[[#This Row],[id]],VALINA[id],VALINA[name])</f>
        <v>South Pacific Ocean</v>
      </c>
      <c r="P1320">
        <f>_xlfn.XLOOKUP(Table4[[#This Row],[id]],prov_color!A:A,prov_color!C:C)</f>
        <v>120</v>
      </c>
    </row>
    <row r="1321" spans="1:16" hidden="1" x14ac:dyDescent="0.25">
      <c r="A1321">
        <v>1320</v>
      </c>
      <c r="B1321" t="s">
        <v>990</v>
      </c>
      <c r="C1321" t="s">
        <v>1677</v>
      </c>
      <c r="D1321" t="s">
        <v>1641</v>
      </c>
      <c r="E1321" t="s">
        <v>1316</v>
      </c>
      <c r="J1321" t="s">
        <v>1815</v>
      </c>
      <c r="N1321">
        <v>0</v>
      </c>
      <c r="O1321" t="str">
        <f>_xlfn.XLOOKUP(Table4[[#This Row],[id]],VALINA[id],VALINA[name])</f>
        <v>South Pacific Ocean</v>
      </c>
      <c r="P1321">
        <f>_xlfn.XLOOKUP(Table4[[#This Row],[id]],prov_color!A:A,prov_color!C:C)</f>
        <v>289</v>
      </c>
    </row>
    <row r="1322" spans="1:16" hidden="1" x14ac:dyDescent="0.25">
      <c r="A1322">
        <v>1321</v>
      </c>
      <c r="B1322" t="s">
        <v>653</v>
      </c>
      <c r="C1322" t="s">
        <v>1640</v>
      </c>
      <c r="D1322" t="s">
        <v>1641</v>
      </c>
      <c r="E1322" t="s">
        <v>1316</v>
      </c>
      <c r="J1322" t="s">
        <v>1746</v>
      </c>
      <c r="N1322">
        <v>0</v>
      </c>
      <c r="O1322" t="str">
        <f>_xlfn.XLOOKUP(Table4[[#This Row],[id]],VALINA[id],VALINA[name])</f>
        <v>Northern Pacific Ocean</v>
      </c>
      <c r="P1322">
        <f>_xlfn.XLOOKUP(Table4[[#This Row],[id]],prov_color!A:A,prov_color!C:C)</f>
        <v>597</v>
      </c>
    </row>
    <row r="1323" spans="1:16" hidden="1" x14ac:dyDescent="0.25">
      <c r="A1323">
        <v>1322</v>
      </c>
      <c r="B1323" t="s">
        <v>990</v>
      </c>
      <c r="C1323" t="s">
        <v>1661</v>
      </c>
      <c r="D1323" t="s">
        <v>1641</v>
      </c>
      <c r="E1323" t="s">
        <v>1316</v>
      </c>
      <c r="J1323" t="s">
        <v>1815</v>
      </c>
      <c r="N1323">
        <v>0</v>
      </c>
      <c r="O1323" t="str">
        <f>_xlfn.XLOOKUP(Table4[[#This Row],[id]],VALINA[id],VALINA[name])</f>
        <v>South Pacific Ocean</v>
      </c>
      <c r="P1323">
        <f>_xlfn.XLOOKUP(Table4[[#This Row],[id]],prov_color!A:A,prov_color!C:C)</f>
        <v>1306</v>
      </c>
    </row>
    <row r="1324" spans="1:16" hidden="1" x14ac:dyDescent="0.25">
      <c r="A1324">
        <v>1323</v>
      </c>
      <c r="B1324" t="s">
        <v>1016</v>
      </c>
      <c r="C1324" t="s">
        <v>1671</v>
      </c>
      <c r="D1324" t="s">
        <v>1641</v>
      </c>
      <c r="E1324" t="s">
        <v>1316</v>
      </c>
      <c r="J1324" t="s">
        <v>1591</v>
      </c>
      <c r="K1324">
        <v>0</v>
      </c>
      <c r="N1324">
        <v>1323</v>
      </c>
      <c r="O1324" t="str">
        <f>_xlfn.XLOOKUP(Table4[[#This Row],[id]],VALINA[id],VALINA[name])</f>
        <v>The Mascareignes</v>
      </c>
      <c r="P1324">
        <f>_xlfn.XLOOKUP(Table4[[#This Row],[id]],prov_color!A:A,prov_color!C:C)</f>
        <v>260</v>
      </c>
    </row>
    <row r="1325" spans="1:16" hidden="1" x14ac:dyDescent="0.25">
      <c r="A1325">
        <v>1324</v>
      </c>
      <c r="B1325" t="s">
        <v>1016</v>
      </c>
      <c r="C1325" t="s">
        <v>1671</v>
      </c>
      <c r="D1325" t="s">
        <v>1641</v>
      </c>
      <c r="E1325" t="s">
        <v>1316</v>
      </c>
      <c r="J1325" t="s">
        <v>1589</v>
      </c>
      <c r="K1325">
        <v>0</v>
      </c>
      <c r="N1325">
        <v>1324</v>
      </c>
      <c r="O1325" t="str">
        <f>_xlfn.XLOOKUP(Table4[[#This Row],[id]],VALINA[id],VALINA[name])</f>
        <v>Coast of Tamatave</v>
      </c>
      <c r="P1325">
        <f>_xlfn.XLOOKUP(Table4[[#This Row],[id]],prov_color!A:A,prov_color!C:C)</f>
        <v>177</v>
      </c>
    </row>
    <row r="1326" spans="1:16" hidden="1" x14ac:dyDescent="0.25">
      <c r="A1326">
        <v>1325</v>
      </c>
      <c r="B1326" t="s">
        <v>1016</v>
      </c>
      <c r="C1326" t="s">
        <v>1671</v>
      </c>
      <c r="D1326" t="s">
        <v>1641</v>
      </c>
      <c r="E1326" t="s">
        <v>1316</v>
      </c>
      <c r="J1326" t="s">
        <v>1588</v>
      </c>
      <c r="K1326">
        <v>0</v>
      </c>
      <c r="N1326">
        <v>1325</v>
      </c>
      <c r="O1326" t="str">
        <f>_xlfn.XLOOKUP(Table4[[#This Row],[id]],VALINA[id],VALINA[name])</f>
        <v>Diego Suarez Bay</v>
      </c>
      <c r="P1326">
        <f>_xlfn.XLOOKUP(Table4[[#This Row],[id]],prov_color!A:A,prov_color!C:C)</f>
        <v>185</v>
      </c>
    </row>
    <row r="1327" spans="1:16" hidden="1" x14ac:dyDescent="0.25">
      <c r="A1327">
        <v>1326</v>
      </c>
      <c r="B1327" t="s">
        <v>653</v>
      </c>
      <c r="C1327" t="s">
        <v>1680</v>
      </c>
      <c r="D1327" t="s">
        <v>1641</v>
      </c>
      <c r="E1327" t="s">
        <v>1316</v>
      </c>
      <c r="J1327" t="s">
        <v>1846</v>
      </c>
      <c r="K1327">
        <v>0</v>
      </c>
      <c r="N1327">
        <v>1326</v>
      </c>
      <c r="O1327" t="str">
        <f>_xlfn.XLOOKUP(Table4[[#This Row],[id]],VALINA[id],VALINA[name])</f>
        <v>Northern Caspian Sea</v>
      </c>
      <c r="P1327">
        <f>_xlfn.XLOOKUP(Table4[[#This Row],[id]],prov_color!A:A,prov_color!C:C)</f>
        <v>153</v>
      </c>
    </row>
    <row r="1328" spans="1:16" hidden="1" x14ac:dyDescent="0.25">
      <c r="A1328">
        <v>1327</v>
      </c>
      <c r="B1328" t="s">
        <v>653</v>
      </c>
      <c r="C1328" t="s">
        <v>1680</v>
      </c>
      <c r="D1328" t="s">
        <v>1641</v>
      </c>
      <c r="E1328" t="s">
        <v>1316</v>
      </c>
      <c r="J1328" t="s">
        <v>1847</v>
      </c>
      <c r="K1328">
        <v>0</v>
      </c>
      <c r="N1328">
        <v>1327</v>
      </c>
      <c r="O1328" t="str">
        <f>_xlfn.XLOOKUP(Table4[[#This Row],[id]],VALINA[id],VALINA[name])</f>
        <v>Southern Caspian Sea</v>
      </c>
      <c r="P1328">
        <f>_xlfn.XLOOKUP(Table4[[#This Row],[id]],prov_color!A:A,prov_color!C:C)</f>
        <v>121</v>
      </c>
    </row>
    <row r="1329" spans="1:16" hidden="1" x14ac:dyDescent="0.25">
      <c r="A1329">
        <v>1328</v>
      </c>
      <c r="B1329" t="s">
        <v>1016</v>
      </c>
      <c r="C1329" t="s">
        <v>1671</v>
      </c>
      <c r="D1329" t="s">
        <v>1641</v>
      </c>
      <c r="E1329" t="s">
        <v>1316</v>
      </c>
      <c r="J1329" t="s">
        <v>1504</v>
      </c>
      <c r="K1329">
        <v>0</v>
      </c>
      <c r="N1329">
        <v>1328</v>
      </c>
      <c r="O1329" t="str">
        <f>_xlfn.XLOOKUP(Table4[[#This Row],[id]],VALINA[id],VALINA[name])</f>
        <v>Coast of Ciskei</v>
      </c>
      <c r="P1329">
        <f>_xlfn.XLOOKUP(Table4[[#This Row],[id]],prov_color!A:A,prov_color!C:C)</f>
        <v>55</v>
      </c>
    </row>
    <row r="1330" spans="1:16" hidden="1" x14ac:dyDescent="0.25">
      <c r="A1330">
        <v>1329</v>
      </c>
      <c r="B1330" t="s">
        <v>1016</v>
      </c>
      <c r="C1330" t="s">
        <v>1670</v>
      </c>
      <c r="D1330" t="s">
        <v>1641</v>
      </c>
      <c r="E1330" t="s">
        <v>1316</v>
      </c>
      <c r="J1330" t="s">
        <v>1502</v>
      </c>
      <c r="K1330">
        <v>0</v>
      </c>
      <c r="N1330">
        <v>1329</v>
      </c>
      <c r="O1330" t="str">
        <f>_xlfn.XLOOKUP(Table4[[#This Row],[id]],VALINA[id],VALINA[name])</f>
        <v>Table Bay</v>
      </c>
      <c r="P1330">
        <f>_xlfn.XLOOKUP(Table4[[#This Row],[id]],prov_color!A:A,prov_color!C:C)</f>
        <v>55</v>
      </c>
    </row>
    <row r="1331" spans="1:16" hidden="1" x14ac:dyDescent="0.25">
      <c r="A1331">
        <v>1330</v>
      </c>
      <c r="B1331" t="s">
        <v>1016</v>
      </c>
      <c r="C1331" t="s">
        <v>1670</v>
      </c>
      <c r="D1331" t="s">
        <v>1641</v>
      </c>
      <c r="E1331" t="s">
        <v>1316</v>
      </c>
      <c r="J1331" t="s">
        <v>1835</v>
      </c>
      <c r="N1331">
        <v>0</v>
      </c>
      <c r="O1331" t="str">
        <f>_xlfn.XLOOKUP(Table4[[#This Row],[id]],VALINA[id],VALINA[name])</f>
        <v>Southern Atlantic Ocean</v>
      </c>
      <c r="P1331">
        <f>_xlfn.XLOOKUP(Table4[[#This Row],[id]],prov_color!A:A,prov_color!C:C)</f>
        <v>306</v>
      </c>
    </row>
    <row r="1332" spans="1:16" hidden="1" x14ac:dyDescent="0.25">
      <c r="A1332">
        <v>1331</v>
      </c>
      <c r="B1332" t="s">
        <v>346</v>
      </c>
      <c r="C1332" t="s">
        <v>1649</v>
      </c>
      <c r="D1332" t="s">
        <v>1641</v>
      </c>
      <c r="E1332" t="s">
        <v>1316</v>
      </c>
      <c r="J1332" t="s">
        <v>1848</v>
      </c>
      <c r="N1332">
        <v>0</v>
      </c>
      <c r="O1332" t="str">
        <f>_xlfn.XLOOKUP(Table4[[#This Row],[id]],VALINA[id],VALINA[name])</f>
        <v>Saint George's Channel</v>
      </c>
      <c r="P1332">
        <f>_xlfn.XLOOKUP(Table4[[#This Row],[id]],prov_color!A:A,prov_color!C:C)</f>
        <v>38</v>
      </c>
    </row>
    <row r="1333" spans="1:16" hidden="1" x14ac:dyDescent="0.25">
      <c r="A1333">
        <v>1332</v>
      </c>
      <c r="B1333" t="s">
        <v>990</v>
      </c>
      <c r="C1333" t="s">
        <v>1661</v>
      </c>
      <c r="D1333" t="s">
        <v>1641</v>
      </c>
      <c r="E1333" t="s">
        <v>1316</v>
      </c>
      <c r="J1333" t="s">
        <v>1790</v>
      </c>
      <c r="N1333">
        <v>0</v>
      </c>
      <c r="O1333" t="str">
        <f>_xlfn.XLOOKUP(Table4[[#This Row],[id]],VALINA[id],VALINA[name])</f>
        <v>Central Pacific Ocean</v>
      </c>
      <c r="P1333">
        <f>_xlfn.XLOOKUP(Table4[[#This Row],[id]],prov_color!A:A,prov_color!C:C)</f>
        <v>1295</v>
      </c>
    </row>
    <row r="1334" spans="1:16" hidden="1" x14ac:dyDescent="0.25">
      <c r="A1334">
        <v>1333</v>
      </c>
      <c r="B1334" t="s">
        <v>990</v>
      </c>
      <c r="C1334" t="s">
        <v>1661</v>
      </c>
      <c r="D1334" t="s">
        <v>1641</v>
      </c>
      <c r="E1334" t="s">
        <v>1316</v>
      </c>
      <c r="J1334" t="s">
        <v>1815</v>
      </c>
      <c r="N1334">
        <v>0</v>
      </c>
      <c r="O1334" t="str">
        <f>_xlfn.XLOOKUP(Table4[[#This Row],[id]],VALINA[id],VALINA[name])</f>
        <v>South Pacific Ocean</v>
      </c>
      <c r="P1334">
        <f>_xlfn.XLOOKUP(Table4[[#This Row],[id]],prov_color!A:A,prov_color!C:C)</f>
        <v>956</v>
      </c>
    </row>
    <row r="1335" spans="1:16" hidden="1" x14ac:dyDescent="0.25">
      <c r="A1335">
        <v>1334</v>
      </c>
      <c r="B1335" t="s">
        <v>11</v>
      </c>
      <c r="C1335" t="s">
        <v>1673</v>
      </c>
      <c r="D1335" t="s">
        <v>1641</v>
      </c>
      <c r="E1335" t="s">
        <v>1316</v>
      </c>
      <c r="J1335" t="s">
        <v>1835</v>
      </c>
      <c r="N1335">
        <v>0</v>
      </c>
      <c r="O1335" t="str">
        <f>_xlfn.XLOOKUP(Table4[[#This Row],[id]],VALINA[id],VALINA[name])</f>
        <v>Southern Atlantic Ocean</v>
      </c>
      <c r="P1335">
        <f>_xlfn.XLOOKUP(Table4[[#This Row],[id]],prov_color!A:A,prov_color!C:C)</f>
        <v>510</v>
      </c>
    </row>
    <row r="1336" spans="1:16" hidden="1" x14ac:dyDescent="0.25">
      <c r="A1336">
        <v>1335</v>
      </c>
      <c r="B1336" t="s">
        <v>11</v>
      </c>
      <c r="C1336" t="s">
        <v>1673</v>
      </c>
      <c r="D1336" t="s">
        <v>1641</v>
      </c>
      <c r="E1336" t="s">
        <v>1316</v>
      </c>
      <c r="J1336" t="s">
        <v>1556</v>
      </c>
      <c r="K1336">
        <v>0</v>
      </c>
      <c r="N1336">
        <v>1335</v>
      </c>
      <c r="O1336" t="str">
        <f>_xlfn.XLOOKUP(Table4[[#This Row],[id]],VALINA[id],VALINA[name])</f>
        <v>Bahia Blanca</v>
      </c>
      <c r="P1336">
        <f>_xlfn.XLOOKUP(Table4[[#This Row],[id]],prov_color!A:A,prov_color!C:C)</f>
        <v>135</v>
      </c>
    </row>
    <row r="1337" spans="1:16" hidden="1" x14ac:dyDescent="0.25">
      <c r="A1337">
        <v>1336</v>
      </c>
      <c r="B1337" t="s">
        <v>11</v>
      </c>
      <c r="C1337" t="s">
        <v>1661</v>
      </c>
      <c r="D1337" t="s">
        <v>1641</v>
      </c>
      <c r="E1337" t="s">
        <v>1316</v>
      </c>
      <c r="J1337" t="s">
        <v>1849</v>
      </c>
      <c r="N1337">
        <v>0</v>
      </c>
      <c r="O1337" t="str">
        <f>_xlfn.XLOOKUP(Table4[[#This Row],[id]],VALINA[id],VALINA[name])</f>
        <v>Easter Island</v>
      </c>
      <c r="P1337">
        <f>_xlfn.XLOOKUP(Table4[[#This Row],[id]],prov_color!A:A,prov_color!C:C)</f>
        <v>387</v>
      </c>
    </row>
    <row r="1338" spans="1:16" hidden="1" x14ac:dyDescent="0.25">
      <c r="A1338">
        <v>1337</v>
      </c>
      <c r="B1338" t="s">
        <v>990</v>
      </c>
      <c r="C1338" t="s">
        <v>1672</v>
      </c>
      <c r="D1338" t="s">
        <v>1641</v>
      </c>
      <c r="E1338" t="s">
        <v>1316</v>
      </c>
      <c r="J1338" t="s">
        <v>1419</v>
      </c>
      <c r="K1338">
        <v>0</v>
      </c>
      <c r="N1338">
        <v>1337</v>
      </c>
      <c r="O1338" t="str">
        <f>_xlfn.XLOOKUP(Table4[[#This Row],[id]],VALINA[id],VALINA[name])</f>
        <v>Milne Bay</v>
      </c>
      <c r="P1338">
        <f>_xlfn.XLOOKUP(Table4[[#This Row],[id]],prov_color!A:A,prov_color!C:C)</f>
        <v>106</v>
      </c>
    </row>
    <row r="1339" spans="1:16" hidden="1" x14ac:dyDescent="0.25">
      <c r="A1339">
        <v>1338</v>
      </c>
      <c r="B1339" t="s">
        <v>990</v>
      </c>
      <c r="C1339" t="s">
        <v>1672</v>
      </c>
      <c r="D1339" t="s">
        <v>1641</v>
      </c>
      <c r="E1339" t="s">
        <v>1316</v>
      </c>
      <c r="J1339" t="s">
        <v>1410</v>
      </c>
      <c r="K1339">
        <v>0</v>
      </c>
      <c r="N1339">
        <v>1338</v>
      </c>
      <c r="O1339" t="str">
        <f>_xlfn.XLOOKUP(Table4[[#This Row],[id]],VALINA[id],VALINA[name])</f>
        <v>Great Barrier Reef</v>
      </c>
      <c r="P1339">
        <f>_xlfn.XLOOKUP(Table4[[#This Row],[id]],prov_color!A:A,prov_color!C:C)</f>
        <v>155</v>
      </c>
    </row>
    <row r="1340" spans="1:16" hidden="1" x14ac:dyDescent="0.25">
      <c r="A1340">
        <v>1339</v>
      </c>
      <c r="B1340" t="s">
        <v>990</v>
      </c>
      <c r="C1340" t="s">
        <v>1672</v>
      </c>
      <c r="D1340" t="s">
        <v>1641</v>
      </c>
      <c r="E1340" t="s">
        <v>1316</v>
      </c>
      <c r="J1340" t="s">
        <v>1416</v>
      </c>
      <c r="K1340">
        <v>0</v>
      </c>
      <c r="N1340">
        <v>1339</v>
      </c>
      <c r="O1340" t="str">
        <f>_xlfn.XLOOKUP(Table4[[#This Row],[id]],VALINA[id],VALINA[name])</f>
        <v>Papuan Coast</v>
      </c>
      <c r="P1340">
        <f>_xlfn.XLOOKUP(Table4[[#This Row],[id]],prov_color!A:A,prov_color!C:C)</f>
        <v>80</v>
      </c>
    </row>
    <row r="1341" spans="1:16" hidden="1" x14ac:dyDescent="0.25">
      <c r="A1341">
        <v>1340</v>
      </c>
      <c r="B1341" t="s">
        <v>990</v>
      </c>
      <c r="C1341" t="s">
        <v>1672</v>
      </c>
      <c r="D1341" t="s">
        <v>1641</v>
      </c>
      <c r="E1341" t="s">
        <v>1316</v>
      </c>
      <c r="J1341" t="s">
        <v>1411</v>
      </c>
      <c r="K1341">
        <v>0</v>
      </c>
      <c r="N1341">
        <v>1340</v>
      </c>
      <c r="O1341" t="str">
        <f>_xlfn.XLOOKUP(Table4[[#This Row],[id]],VALINA[id],VALINA[name])</f>
        <v>Kolepom Bay</v>
      </c>
      <c r="P1341">
        <f>_xlfn.XLOOKUP(Table4[[#This Row],[id]],prov_color!A:A,prov_color!C:C)</f>
        <v>77</v>
      </c>
    </row>
    <row r="1342" spans="1:16" hidden="1" x14ac:dyDescent="0.25">
      <c r="A1342">
        <v>1341</v>
      </c>
      <c r="B1342" t="s">
        <v>990</v>
      </c>
      <c r="C1342" t="s">
        <v>1672</v>
      </c>
      <c r="D1342" t="s">
        <v>1641</v>
      </c>
      <c r="E1342" t="s">
        <v>1316</v>
      </c>
      <c r="J1342" t="s">
        <v>1850</v>
      </c>
      <c r="K1342">
        <v>0</v>
      </c>
      <c r="N1342">
        <v>1341</v>
      </c>
      <c r="O1342" t="str">
        <f>_xlfn.XLOOKUP(Table4[[#This Row],[id]],VALINA[id],VALINA[name])</f>
        <v>Arafuan Sea</v>
      </c>
      <c r="P1342">
        <f>_xlfn.XLOOKUP(Table4[[#This Row],[id]],prov_color!A:A,prov_color!C:C)</f>
        <v>65</v>
      </c>
    </row>
    <row r="1343" spans="1:16" hidden="1" x14ac:dyDescent="0.25">
      <c r="A1343">
        <v>1342</v>
      </c>
      <c r="B1343" t="s">
        <v>990</v>
      </c>
      <c r="C1343" t="s">
        <v>1672</v>
      </c>
      <c r="D1343" t="s">
        <v>1641</v>
      </c>
      <c r="E1343" t="s">
        <v>1316</v>
      </c>
      <c r="J1343" t="s">
        <v>1851</v>
      </c>
      <c r="K1343">
        <v>0</v>
      </c>
      <c r="N1343">
        <v>1342</v>
      </c>
      <c r="O1343" t="str">
        <f>_xlfn.XLOOKUP(Table4[[#This Row],[id]],VALINA[id],VALINA[name])</f>
        <v>Gulf of Carpentaria</v>
      </c>
      <c r="P1343">
        <f>_xlfn.XLOOKUP(Table4[[#This Row],[id]],prov_color!A:A,prov_color!C:C)</f>
        <v>110</v>
      </c>
    </row>
    <row r="1344" spans="1:16" hidden="1" x14ac:dyDescent="0.25">
      <c r="A1344">
        <v>1343</v>
      </c>
      <c r="B1344" t="s">
        <v>990</v>
      </c>
      <c r="C1344" t="s">
        <v>1672</v>
      </c>
      <c r="D1344" t="s">
        <v>1641</v>
      </c>
      <c r="E1344" t="s">
        <v>1316</v>
      </c>
      <c r="J1344" t="s">
        <v>1398</v>
      </c>
      <c r="K1344">
        <v>0</v>
      </c>
      <c r="N1344">
        <v>1343</v>
      </c>
      <c r="O1344" t="str">
        <f>_xlfn.XLOOKUP(Table4[[#This Row],[id]],VALINA[id],VALINA[name])</f>
        <v>King Sound</v>
      </c>
      <c r="P1344">
        <f>_xlfn.XLOOKUP(Table4[[#This Row],[id]],prov_color!A:A,prov_color!C:C)</f>
        <v>80</v>
      </c>
    </row>
    <row r="1345" spans="1:16" hidden="1" x14ac:dyDescent="0.25">
      <c r="A1345">
        <v>1344</v>
      </c>
      <c r="B1345" t="s">
        <v>990</v>
      </c>
      <c r="C1345" t="s">
        <v>1672</v>
      </c>
      <c r="D1345" t="s">
        <v>1641</v>
      </c>
      <c r="E1345" t="s">
        <v>1316</v>
      </c>
      <c r="J1345" t="s">
        <v>1397</v>
      </c>
      <c r="K1345">
        <v>0</v>
      </c>
      <c r="N1345">
        <v>1344</v>
      </c>
      <c r="O1345" t="str">
        <f>_xlfn.XLOOKUP(Table4[[#This Row],[id]],VALINA[id],VALINA[name])</f>
        <v>South Timor Sea</v>
      </c>
      <c r="P1345">
        <f>_xlfn.XLOOKUP(Table4[[#This Row],[id]],prov_color!A:A,prov_color!C:C)</f>
        <v>61</v>
      </c>
    </row>
    <row r="1346" spans="1:16" hidden="1" x14ac:dyDescent="0.25">
      <c r="A1346">
        <v>1345</v>
      </c>
      <c r="B1346" t="s">
        <v>653</v>
      </c>
      <c r="C1346" t="s">
        <v>1672</v>
      </c>
      <c r="D1346" t="s">
        <v>1641</v>
      </c>
      <c r="E1346" t="s">
        <v>1316</v>
      </c>
      <c r="J1346" t="s">
        <v>6461</v>
      </c>
      <c r="K1346">
        <v>0</v>
      </c>
      <c r="N1346">
        <v>1345</v>
      </c>
      <c r="O1346" t="str">
        <f>_xlfn.XLOOKUP(Table4[[#This Row],[id]],VALINA[id],VALINA[name])</f>
        <v>Timor Sea 2</v>
      </c>
      <c r="P1346">
        <f>_xlfn.XLOOKUP(Table4[[#This Row],[id]],prov_color!A:A,prov_color!C:C)</f>
        <v>89</v>
      </c>
    </row>
    <row r="1347" spans="1:16" hidden="1" x14ac:dyDescent="0.25">
      <c r="A1347">
        <v>1346</v>
      </c>
      <c r="B1347" t="s">
        <v>653</v>
      </c>
      <c r="C1347" t="s">
        <v>1672</v>
      </c>
      <c r="D1347" t="s">
        <v>1641</v>
      </c>
      <c r="E1347" t="s">
        <v>1316</v>
      </c>
      <c r="J1347" t="s">
        <v>1852</v>
      </c>
      <c r="K1347">
        <v>0</v>
      </c>
      <c r="N1347">
        <v>1346</v>
      </c>
      <c r="O1347" t="str">
        <f>_xlfn.XLOOKUP(Table4[[#This Row],[id]],VALINA[id],VALINA[name])</f>
        <v>Sea of Timor</v>
      </c>
      <c r="P1347">
        <f>_xlfn.XLOOKUP(Table4[[#This Row],[id]],prov_color!A:A,prov_color!C:C)</f>
        <v>72</v>
      </c>
    </row>
    <row r="1348" spans="1:16" hidden="1" x14ac:dyDescent="0.25">
      <c r="A1348">
        <v>1347</v>
      </c>
      <c r="B1348" t="s">
        <v>653</v>
      </c>
      <c r="C1348" t="s">
        <v>1672</v>
      </c>
      <c r="D1348" t="s">
        <v>1641</v>
      </c>
      <c r="E1348" t="s">
        <v>1316</v>
      </c>
      <c r="J1348" t="s">
        <v>1388</v>
      </c>
      <c r="K1348">
        <v>0</v>
      </c>
      <c r="N1348">
        <v>1347</v>
      </c>
      <c r="O1348" t="str">
        <f>_xlfn.XLOOKUP(Table4[[#This Row],[id]],VALINA[id],VALINA[name])</f>
        <v>Straits of Lombok</v>
      </c>
      <c r="P1348">
        <f>_xlfn.XLOOKUP(Table4[[#This Row],[id]],prov_color!A:A,prov_color!C:C)</f>
        <v>54</v>
      </c>
    </row>
    <row r="1349" spans="1:16" hidden="1" x14ac:dyDescent="0.25">
      <c r="A1349">
        <v>1348</v>
      </c>
      <c r="B1349" t="s">
        <v>653</v>
      </c>
      <c r="C1349" t="s">
        <v>1672</v>
      </c>
      <c r="D1349" t="s">
        <v>1641</v>
      </c>
      <c r="E1349" t="s">
        <v>1316</v>
      </c>
      <c r="J1349" t="s">
        <v>1380</v>
      </c>
      <c r="K1349">
        <v>0</v>
      </c>
      <c r="N1349">
        <v>1348</v>
      </c>
      <c r="O1349" t="str">
        <f>_xlfn.XLOOKUP(Table4[[#This Row],[id]],VALINA[id],VALINA[name])</f>
        <v>Moro Gulf</v>
      </c>
      <c r="P1349">
        <f>_xlfn.XLOOKUP(Table4[[#This Row],[id]],prov_color!A:A,prov_color!C:C)</f>
        <v>114</v>
      </c>
    </row>
    <row r="1350" spans="1:16" hidden="1" x14ac:dyDescent="0.25">
      <c r="A1350">
        <v>1349</v>
      </c>
      <c r="B1350" t="s">
        <v>653</v>
      </c>
      <c r="C1350" t="s">
        <v>1672</v>
      </c>
      <c r="D1350" t="s">
        <v>1641</v>
      </c>
      <c r="E1350" t="s">
        <v>1316</v>
      </c>
      <c r="J1350" t="s">
        <v>1391</v>
      </c>
      <c r="K1350">
        <v>0</v>
      </c>
      <c r="N1350">
        <v>1349</v>
      </c>
      <c r="O1350" t="str">
        <f>_xlfn.XLOOKUP(Table4[[#This Row],[id]],VALINA[id],VALINA[name])</f>
        <v>Sea of Palawan</v>
      </c>
      <c r="P1350">
        <f>_xlfn.XLOOKUP(Table4[[#This Row],[id]],prov_color!A:A,prov_color!C:C)</f>
        <v>96</v>
      </c>
    </row>
    <row r="1351" spans="1:16" hidden="1" x14ac:dyDescent="0.25">
      <c r="A1351">
        <v>1350</v>
      </c>
      <c r="B1351" t="s">
        <v>653</v>
      </c>
      <c r="C1351" t="s">
        <v>1672</v>
      </c>
      <c r="D1351" t="s">
        <v>1641</v>
      </c>
      <c r="E1351" t="s">
        <v>1316</v>
      </c>
      <c r="J1351" t="s">
        <v>1392</v>
      </c>
      <c r="K1351">
        <v>0</v>
      </c>
      <c r="N1351">
        <v>1350</v>
      </c>
      <c r="O1351" t="str">
        <f>_xlfn.XLOOKUP(Table4[[#This Row],[id]],VALINA[id],VALINA[name])</f>
        <v>Coast of Brunei</v>
      </c>
      <c r="P1351">
        <f>_xlfn.XLOOKUP(Table4[[#This Row],[id]],prov_color!A:A,prov_color!C:C)</f>
        <v>94</v>
      </c>
    </row>
    <row r="1352" spans="1:16" hidden="1" x14ac:dyDescent="0.25">
      <c r="A1352">
        <v>1351</v>
      </c>
      <c r="B1352" t="s">
        <v>653</v>
      </c>
      <c r="C1352" t="s">
        <v>1667</v>
      </c>
      <c r="D1352" t="s">
        <v>1641</v>
      </c>
      <c r="E1352" t="s">
        <v>1316</v>
      </c>
      <c r="J1352" t="s">
        <v>1352</v>
      </c>
      <c r="K1352">
        <v>0</v>
      </c>
      <c r="N1352">
        <v>1351</v>
      </c>
      <c r="O1352" t="str">
        <f>_xlfn.XLOOKUP(Table4[[#This Row],[id]],VALINA[id],VALINA[name])</f>
        <v>Cam Rah Bay</v>
      </c>
      <c r="P1352">
        <f>_xlfn.XLOOKUP(Table4[[#This Row],[id]],prov_color!A:A,prov_color!C:C)</f>
        <v>70</v>
      </c>
    </row>
    <row r="1353" spans="1:16" hidden="1" x14ac:dyDescent="0.25">
      <c r="A1353">
        <v>1352</v>
      </c>
      <c r="B1353" t="s">
        <v>653</v>
      </c>
      <c r="C1353" t="s">
        <v>1672</v>
      </c>
      <c r="D1353" t="s">
        <v>1641</v>
      </c>
      <c r="E1353" t="s">
        <v>1316</v>
      </c>
      <c r="J1353" t="s">
        <v>1853</v>
      </c>
      <c r="K1353">
        <v>0</v>
      </c>
      <c r="N1353">
        <v>1352</v>
      </c>
      <c r="O1353" t="str">
        <f>_xlfn.XLOOKUP(Table4[[#This Row],[id]],VALINA[id],VALINA[name])</f>
        <v>Manilla Bay</v>
      </c>
      <c r="P1353">
        <f>_xlfn.XLOOKUP(Table4[[#This Row],[id]],prov_color!A:A,prov_color!C:C)</f>
        <v>86</v>
      </c>
    </row>
    <row r="1354" spans="1:16" hidden="1" x14ac:dyDescent="0.25">
      <c r="A1354">
        <v>1353</v>
      </c>
      <c r="B1354" t="s">
        <v>653</v>
      </c>
      <c r="C1354" t="s">
        <v>1672</v>
      </c>
      <c r="D1354" t="s">
        <v>1641</v>
      </c>
      <c r="E1354" t="s">
        <v>1316</v>
      </c>
      <c r="J1354" t="s">
        <v>1395</v>
      </c>
      <c r="K1354">
        <v>0</v>
      </c>
      <c r="N1354">
        <v>1353</v>
      </c>
      <c r="O1354" t="str">
        <f>_xlfn.XLOOKUP(Table4[[#This Row],[id]],VALINA[id],VALINA[name])</f>
        <v>Karimata Strait</v>
      </c>
      <c r="P1354">
        <f>_xlfn.XLOOKUP(Table4[[#This Row],[id]],prov_color!A:A,prov_color!C:C)</f>
        <v>67</v>
      </c>
    </row>
    <row r="1355" spans="1:16" hidden="1" x14ac:dyDescent="0.25">
      <c r="A1355">
        <v>1354</v>
      </c>
      <c r="B1355" t="s">
        <v>653</v>
      </c>
      <c r="C1355" t="s">
        <v>1672</v>
      </c>
      <c r="D1355" t="s">
        <v>1641</v>
      </c>
      <c r="E1355" t="s">
        <v>1316</v>
      </c>
      <c r="J1355" t="s">
        <v>1396</v>
      </c>
      <c r="K1355">
        <v>0</v>
      </c>
      <c r="N1355">
        <v>1354</v>
      </c>
      <c r="O1355" t="str">
        <f>_xlfn.XLOOKUP(Table4[[#This Row],[id]],VALINA[id],VALINA[name])</f>
        <v>Coast of Java</v>
      </c>
      <c r="P1355">
        <f>_xlfn.XLOOKUP(Table4[[#This Row],[id]],prov_color!A:A,prov_color!C:C)</f>
        <v>84</v>
      </c>
    </row>
    <row r="1356" spans="1:16" hidden="1" x14ac:dyDescent="0.25">
      <c r="A1356">
        <v>1355</v>
      </c>
      <c r="B1356" t="s">
        <v>653</v>
      </c>
      <c r="C1356" t="s">
        <v>1666</v>
      </c>
      <c r="D1356" t="s">
        <v>1641</v>
      </c>
      <c r="E1356" t="s">
        <v>1316</v>
      </c>
      <c r="J1356" t="s">
        <v>1854</v>
      </c>
      <c r="K1356">
        <v>0</v>
      </c>
      <c r="N1356">
        <v>1355</v>
      </c>
      <c r="O1356" t="str">
        <f>_xlfn.XLOOKUP(Table4[[#This Row],[id]],VALINA[id],VALINA[name])</f>
        <v>Christmas Island</v>
      </c>
      <c r="P1356">
        <f>_xlfn.XLOOKUP(Table4[[#This Row],[id]],prov_color!A:A,prov_color!C:C)</f>
        <v>111</v>
      </c>
    </row>
    <row r="1357" spans="1:16" hidden="1" x14ac:dyDescent="0.25">
      <c r="A1357">
        <v>1356</v>
      </c>
      <c r="B1357" t="s">
        <v>653</v>
      </c>
      <c r="C1357" t="s">
        <v>1667</v>
      </c>
      <c r="D1357" t="s">
        <v>1641</v>
      </c>
      <c r="E1357" t="s">
        <v>1316</v>
      </c>
      <c r="J1357" t="s">
        <v>6457</v>
      </c>
      <c r="K1357">
        <v>0</v>
      </c>
      <c r="N1357">
        <v>1356</v>
      </c>
      <c r="O1357" t="str">
        <f>_xlfn.XLOOKUP(Table4[[#This Row],[id]],VALINA[id],VALINA[name])</f>
        <v>Mekong Delta 2</v>
      </c>
      <c r="P1357">
        <f>_xlfn.XLOOKUP(Table4[[#This Row],[id]],prov_color!A:A,prov_color!C:C)</f>
        <v>121</v>
      </c>
    </row>
    <row r="1358" spans="1:16" hidden="1" x14ac:dyDescent="0.25">
      <c r="A1358">
        <v>1357</v>
      </c>
      <c r="B1358" t="s">
        <v>653</v>
      </c>
      <c r="C1358" t="s">
        <v>1666</v>
      </c>
      <c r="D1358" t="s">
        <v>1641</v>
      </c>
      <c r="E1358" t="s">
        <v>1316</v>
      </c>
      <c r="J1358" t="s">
        <v>1420</v>
      </c>
      <c r="K1358">
        <v>0</v>
      </c>
      <c r="N1358">
        <v>1357</v>
      </c>
      <c r="O1358" t="str">
        <f>_xlfn.XLOOKUP(Table4[[#This Row],[id]],VALINA[id],VALINA[name])</f>
        <v>Nicobar Islands</v>
      </c>
      <c r="P1358">
        <f>_xlfn.XLOOKUP(Table4[[#This Row],[id]],prov_color!A:A,prov_color!C:C)</f>
        <v>119</v>
      </c>
    </row>
    <row r="1359" spans="1:16" hidden="1" x14ac:dyDescent="0.25">
      <c r="A1359">
        <v>1358</v>
      </c>
      <c r="B1359" t="s">
        <v>653</v>
      </c>
      <c r="C1359" t="s">
        <v>1666</v>
      </c>
      <c r="D1359" t="s">
        <v>1641</v>
      </c>
      <c r="E1359" t="s">
        <v>1316</v>
      </c>
      <c r="J1359" t="s">
        <v>1350</v>
      </c>
      <c r="K1359">
        <v>0</v>
      </c>
      <c r="N1359">
        <v>1358</v>
      </c>
      <c r="O1359" t="str">
        <f>_xlfn.XLOOKUP(Table4[[#This Row],[id]],VALINA[id],VALINA[name])</f>
        <v>Coast of Ajeh</v>
      </c>
      <c r="P1359">
        <f>_xlfn.XLOOKUP(Table4[[#This Row],[id]],prov_color!A:A,prov_color!C:C)</f>
        <v>99</v>
      </c>
    </row>
    <row r="1360" spans="1:16" hidden="1" x14ac:dyDescent="0.25">
      <c r="A1360">
        <v>1359</v>
      </c>
      <c r="B1360" t="s">
        <v>653</v>
      </c>
      <c r="C1360" t="s">
        <v>1671</v>
      </c>
      <c r="D1360" t="s">
        <v>1641</v>
      </c>
      <c r="E1360" t="s">
        <v>1316</v>
      </c>
      <c r="J1360" t="s">
        <v>1855</v>
      </c>
      <c r="K1360">
        <v>0</v>
      </c>
      <c r="N1360">
        <v>1359</v>
      </c>
      <c r="O1360" t="str">
        <f>_xlfn.XLOOKUP(Table4[[#This Row],[id]],VALINA[id],VALINA[name])</f>
        <v>Western Oman Sea</v>
      </c>
      <c r="P1360">
        <f>_xlfn.XLOOKUP(Table4[[#This Row],[id]],prov_color!A:A,prov_color!C:C)</f>
        <v>242</v>
      </c>
    </row>
    <row r="1361" spans="1:16" hidden="1" x14ac:dyDescent="0.25">
      <c r="A1361">
        <v>1360</v>
      </c>
      <c r="B1361" t="s">
        <v>1016</v>
      </c>
      <c r="C1361" t="s">
        <v>1671</v>
      </c>
      <c r="D1361" t="s">
        <v>1641</v>
      </c>
      <c r="E1361" t="s">
        <v>1316</v>
      </c>
      <c r="J1361" t="s">
        <v>1505</v>
      </c>
      <c r="K1361">
        <v>0</v>
      </c>
      <c r="N1361">
        <v>1360</v>
      </c>
      <c r="O1361" t="str">
        <f>_xlfn.XLOOKUP(Table4[[#This Row],[id]],VALINA[id],VALINA[name])</f>
        <v>Coast of Transkei</v>
      </c>
      <c r="P1361">
        <f>_xlfn.XLOOKUP(Table4[[#This Row],[id]],prov_color!A:A,prov_color!C:C)</f>
        <v>137</v>
      </c>
    </row>
    <row r="1362" spans="1:16" hidden="1" x14ac:dyDescent="0.25">
      <c r="A1362">
        <v>1361</v>
      </c>
      <c r="B1362" t="s">
        <v>346</v>
      </c>
      <c r="C1362" t="s">
        <v>1632</v>
      </c>
      <c r="D1362" t="s">
        <v>1632</v>
      </c>
      <c r="E1362" t="s">
        <v>1316</v>
      </c>
      <c r="G1362" t="s">
        <v>122</v>
      </c>
      <c r="J1362" t="s">
        <v>1321</v>
      </c>
      <c r="K1362">
        <v>0</v>
      </c>
      <c r="N1362">
        <v>1361</v>
      </c>
      <c r="O1362" t="str">
        <f>_xlfn.XLOOKUP(Table4[[#This Row],[id]],VALINA[id],VALINA[name])</f>
        <v>Lake Ladoga</v>
      </c>
      <c r="P1362">
        <f>_xlfn.XLOOKUP(Table4[[#This Row],[id]],prov_color!A:A,prov_color!C:C)</f>
        <v>16</v>
      </c>
    </row>
    <row r="1363" spans="1:16" hidden="1" x14ac:dyDescent="0.25">
      <c r="A1363">
        <v>1362</v>
      </c>
      <c r="B1363" t="s">
        <v>346</v>
      </c>
      <c r="C1363" t="s">
        <v>1650</v>
      </c>
      <c r="D1363" t="s">
        <v>1641</v>
      </c>
      <c r="E1363" t="s">
        <v>1316</v>
      </c>
      <c r="G1363" t="s">
        <v>16</v>
      </c>
      <c r="J1363" t="s">
        <v>1325</v>
      </c>
      <c r="K1363">
        <v>0</v>
      </c>
      <c r="N1363">
        <v>1362</v>
      </c>
      <c r="O1363" t="str">
        <f>_xlfn.XLOOKUP(Table4[[#This Row],[id]],VALINA[id],VALINA[name])</f>
        <v>The Skagerack</v>
      </c>
      <c r="P1363">
        <f>_xlfn.XLOOKUP(Table4[[#This Row],[id]],prov_color!A:A,prov_color!C:C)</f>
        <v>30</v>
      </c>
    </row>
    <row r="1364" spans="1:16" hidden="1" x14ac:dyDescent="0.25">
      <c r="A1364">
        <v>1363</v>
      </c>
      <c r="B1364" t="s">
        <v>653</v>
      </c>
      <c r="C1364" t="s">
        <v>1664</v>
      </c>
      <c r="D1364" t="s">
        <v>1641</v>
      </c>
      <c r="E1364" t="s">
        <v>1316</v>
      </c>
      <c r="J1364" t="s">
        <v>1514</v>
      </c>
      <c r="K1364">
        <v>0</v>
      </c>
      <c r="N1364">
        <v>1363</v>
      </c>
      <c r="O1364" t="str">
        <f>_xlfn.XLOOKUP(Table4[[#This Row],[id]],VALINA[id],VALINA[name])</f>
        <v>Persian Gulf</v>
      </c>
      <c r="P1364">
        <f>_xlfn.XLOOKUP(Table4[[#This Row],[id]],prov_color!A:A,prov_color!C:C)</f>
        <v>58</v>
      </c>
    </row>
    <row r="1365" spans="1:16" hidden="1" x14ac:dyDescent="0.25">
      <c r="A1365">
        <v>1364</v>
      </c>
      <c r="B1365" t="s">
        <v>11</v>
      </c>
      <c r="C1365" t="s">
        <v>1661</v>
      </c>
      <c r="D1365" t="s">
        <v>1641</v>
      </c>
      <c r="E1365" t="s">
        <v>1316</v>
      </c>
      <c r="J1365" t="s">
        <v>1562</v>
      </c>
      <c r="K1365">
        <v>0</v>
      </c>
      <c r="N1365">
        <v>1364</v>
      </c>
      <c r="O1365" t="str">
        <f>_xlfn.XLOOKUP(Table4[[#This Row],[id]],VALINA[id],VALINA[name])</f>
        <v>Atacama Coast</v>
      </c>
      <c r="P1365">
        <f>_xlfn.XLOOKUP(Table4[[#This Row],[id]],prov_color!A:A,prov_color!C:C)</f>
        <v>163</v>
      </c>
    </row>
    <row r="1366" spans="1:16" hidden="1" x14ac:dyDescent="0.25">
      <c r="A1366">
        <v>1365</v>
      </c>
      <c r="B1366" t="s">
        <v>1016</v>
      </c>
      <c r="C1366" t="s">
        <v>1670</v>
      </c>
      <c r="D1366" t="s">
        <v>1641</v>
      </c>
      <c r="E1366" t="s">
        <v>1316</v>
      </c>
      <c r="J1366" t="s">
        <v>1495</v>
      </c>
      <c r="K1366">
        <v>0</v>
      </c>
      <c r="N1366">
        <v>1365</v>
      </c>
      <c r="O1366" t="str">
        <f>_xlfn.XLOOKUP(Table4[[#This Row],[id]],VALINA[id],VALINA[name])</f>
        <v>Ivory Coast</v>
      </c>
      <c r="P1366">
        <f>_xlfn.XLOOKUP(Table4[[#This Row],[id]],prov_color!A:A,prov_color!C:C)</f>
        <v>125</v>
      </c>
    </row>
    <row r="1367" spans="1:16" hidden="1" x14ac:dyDescent="0.25">
      <c r="A1367">
        <v>1366</v>
      </c>
      <c r="B1367" t="s">
        <v>1016</v>
      </c>
      <c r="C1367" t="s">
        <v>1670</v>
      </c>
      <c r="D1367" t="s">
        <v>1641</v>
      </c>
      <c r="E1367" t="s">
        <v>1316</v>
      </c>
      <c r="J1367" t="s">
        <v>1835</v>
      </c>
      <c r="N1367">
        <v>0</v>
      </c>
      <c r="O1367" t="str">
        <f>_xlfn.XLOOKUP(Table4[[#This Row],[id]],VALINA[id],VALINA[name])</f>
        <v>Southern Atlantic Ocean</v>
      </c>
      <c r="P1367">
        <f>_xlfn.XLOOKUP(Table4[[#This Row],[id]],prov_color!A:A,prov_color!C:C)</f>
        <v>347</v>
      </c>
    </row>
    <row r="1368" spans="1:16" hidden="1" x14ac:dyDescent="0.25">
      <c r="A1368">
        <v>1367</v>
      </c>
      <c r="B1368" t="s">
        <v>11</v>
      </c>
      <c r="C1368" t="s">
        <v>1673</v>
      </c>
      <c r="D1368" t="s">
        <v>1641</v>
      </c>
      <c r="E1368" t="s">
        <v>1316</v>
      </c>
      <c r="J1368" t="s">
        <v>1835</v>
      </c>
      <c r="N1368">
        <v>0</v>
      </c>
      <c r="O1368" t="str">
        <f>_xlfn.XLOOKUP(Table4[[#This Row],[id]],VALINA[id],VALINA[name])</f>
        <v>Southern Atlantic Ocean</v>
      </c>
      <c r="P1368">
        <f>_xlfn.XLOOKUP(Table4[[#This Row],[id]],prov_color!A:A,prov_color!C:C)</f>
        <v>374</v>
      </c>
    </row>
    <row r="1369" spans="1:16" hidden="1" x14ac:dyDescent="0.25">
      <c r="A1369">
        <v>1368</v>
      </c>
      <c r="B1369" t="s">
        <v>1016</v>
      </c>
      <c r="C1369" t="s">
        <v>1657</v>
      </c>
      <c r="D1369" t="s">
        <v>1641</v>
      </c>
      <c r="E1369" t="s">
        <v>1316</v>
      </c>
      <c r="J1369" t="s">
        <v>1433</v>
      </c>
      <c r="N1369">
        <v>0</v>
      </c>
      <c r="O1369" t="str">
        <f>_xlfn.XLOOKUP(Table4[[#This Row],[id]],VALINA[id],VALINA[name])</f>
        <v>Central Atlantic Ocean</v>
      </c>
      <c r="P1369">
        <f>_xlfn.XLOOKUP(Table4[[#This Row],[id]],prov_color!A:A,prov_color!C:C)</f>
        <v>274</v>
      </c>
    </row>
    <row r="1370" spans="1:16" hidden="1" x14ac:dyDescent="0.25">
      <c r="A1370">
        <v>1369</v>
      </c>
      <c r="B1370" t="s">
        <v>11</v>
      </c>
      <c r="C1370" t="s">
        <v>1632</v>
      </c>
      <c r="D1370" t="s">
        <v>1632</v>
      </c>
      <c r="E1370" t="s">
        <v>1316</v>
      </c>
      <c r="J1370" t="s">
        <v>1522</v>
      </c>
      <c r="K1370">
        <v>0</v>
      </c>
      <c r="N1370">
        <v>1369</v>
      </c>
      <c r="O1370" t="str">
        <f>_xlfn.XLOOKUP(Table4[[#This Row],[id]],VALINA[id],VALINA[name])</f>
        <v>Lake Ontario</v>
      </c>
      <c r="P1370">
        <f>_xlfn.XLOOKUP(Table4[[#This Row],[id]],prov_color!A:A,prov_color!C:C)</f>
        <v>17</v>
      </c>
    </row>
    <row r="1371" spans="1:16" hidden="1" x14ac:dyDescent="0.25">
      <c r="A1371">
        <v>1370</v>
      </c>
      <c r="B1371" t="s">
        <v>11</v>
      </c>
      <c r="C1371" t="s">
        <v>1632</v>
      </c>
      <c r="D1371" t="s">
        <v>1632</v>
      </c>
      <c r="E1371" t="s">
        <v>1316</v>
      </c>
      <c r="J1371" t="s">
        <v>1523</v>
      </c>
      <c r="K1371">
        <v>0</v>
      </c>
      <c r="N1371">
        <v>1370</v>
      </c>
      <c r="O1371" t="str">
        <f>_xlfn.XLOOKUP(Table4[[#This Row],[id]],VALINA[id],VALINA[name])</f>
        <v>Lake Erie</v>
      </c>
      <c r="P1371">
        <f>_xlfn.XLOOKUP(Table4[[#This Row],[id]],prov_color!A:A,prov_color!C:C)</f>
        <v>20</v>
      </c>
    </row>
    <row r="1372" spans="1:16" hidden="1" x14ac:dyDescent="0.25">
      <c r="A1372">
        <v>1371</v>
      </c>
      <c r="B1372" t="s">
        <v>11</v>
      </c>
      <c r="C1372" t="s">
        <v>1632</v>
      </c>
      <c r="D1372" t="s">
        <v>1632</v>
      </c>
      <c r="E1372" t="s">
        <v>1316</v>
      </c>
      <c r="J1372" t="s">
        <v>1524</v>
      </c>
      <c r="K1372">
        <v>0</v>
      </c>
      <c r="N1372">
        <v>1371</v>
      </c>
      <c r="O1372" t="str">
        <f>_xlfn.XLOOKUP(Table4[[#This Row],[id]],VALINA[id],VALINA[name])</f>
        <v>Lake Michigan</v>
      </c>
      <c r="P1372">
        <f>_xlfn.XLOOKUP(Table4[[#This Row],[id]],prov_color!A:A,prov_color!C:C)</f>
        <v>54</v>
      </c>
    </row>
    <row r="1373" spans="1:16" hidden="1" x14ac:dyDescent="0.25">
      <c r="A1373">
        <v>1372</v>
      </c>
      <c r="B1373" t="s">
        <v>11</v>
      </c>
      <c r="C1373" t="s">
        <v>1632</v>
      </c>
      <c r="D1373" t="s">
        <v>1632</v>
      </c>
      <c r="E1373" t="s">
        <v>1316</v>
      </c>
      <c r="J1373" t="s">
        <v>1526</v>
      </c>
      <c r="K1373">
        <v>0</v>
      </c>
      <c r="N1373">
        <v>1372</v>
      </c>
      <c r="O1373" t="str">
        <f>_xlfn.XLOOKUP(Table4[[#This Row],[id]],VALINA[id],VALINA[name])</f>
        <v>Lake Superior</v>
      </c>
      <c r="P1373">
        <f>_xlfn.XLOOKUP(Table4[[#This Row],[id]],prov_color!A:A,prov_color!C:C)</f>
        <v>71</v>
      </c>
    </row>
    <row r="1374" spans="1:16" hidden="1" x14ac:dyDescent="0.25">
      <c r="A1374">
        <v>1373</v>
      </c>
      <c r="B1374" t="s">
        <v>11</v>
      </c>
      <c r="C1374" t="s">
        <v>1653</v>
      </c>
      <c r="D1374" t="s">
        <v>1641</v>
      </c>
      <c r="E1374" t="s">
        <v>1316</v>
      </c>
      <c r="J1374" t="s">
        <v>1530</v>
      </c>
      <c r="K1374">
        <v>0</v>
      </c>
      <c r="N1374">
        <v>1373</v>
      </c>
      <c r="O1374" t="str">
        <f>_xlfn.XLOOKUP(Table4[[#This Row],[id]],VALINA[id],VALINA[name])</f>
        <v>Tampa Bay</v>
      </c>
      <c r="P1374">
        <f>_xlfn.XLOOKUP(Table4[[#This Row],[id]],prov_color!A:A,prov_color!C:C)</f>
        <v>78</v>
      </c>
    </row>
    <row r="1375" spans="1:16" hidden="1" x14ac:dyDescent="0.25">
      <c r="A1375">
        <v>1374</v>
      </c>
      <c r="B1375" t="s">
        <v>11</v>
      </c>
      <c r="C1375" t="s">
        <v>1661</v>
      </c>
      <c r="D1375" t="s">
        <v>1641</v>
      </c>
      <c r="E1375" t="s">
        <v>1316</v>
      </c>
      <c r="J1375" t="s">
        <v>1560</v>
      </c>
      <c r="K1375">
        <v>0</v>
      </c>
      <c r="N1375">
        <v>1374</v>
      </c>
      <c r="O1375" t="str">
        <f>_xlfn.XLOOKUP(Table4[[#This Row],[id]],VALINA[id],VALINA[name])</f>
        <v>South Chilean Coast</v>
      </c>
      <c r="P1375">
        <f>_xlfn.XLOOKUP(Table4[[#This Row],[id]],prov_color!A:A,prov_color!C:C)</f>
        <v>157</v>
      </c>
    </row>
    <row r="1376" spans="1:16" hidden="1" x14ac:dyDescent="0.25">
      <c r="A1376">
        <v>1375</v>
      </c>
      <c r="B1376" t="s">
        <v>11</v>
      </c>
      <c r="C1376" t="s">
        <v>1653</v>
      </c>
      <c r="D1376" t="s">
        <v>1641</v>
      </c>
      <c r="E1376" t="s">
        <v>1316</v>
      </c>
      <c r="J1376" t="s">
        <v>1856</v>
      </c>
      <c r="K1376">
        <v>0</v>
      </c>
      <c r="N1376">
        <v>1375</v>
      </c>
      <c r="O1376" t="str">
        <f>_xlfn.XLOOKUP(Table4[[#This Row],[id]],VALINA[id],VALINA[name])</f>
        <v>Greater Antillas</v>
      </c>
      <c r="P1376">
        <f>_xlfn.XLOOKUP(Table4[[#This Row],[id]],prov_color!A:A,prov_color!C:C)</f>
        <v>78</v>
      </c>
    </row>
    <row r="1377" spans="1:16" hidden="1" x14ac:dyDescent="0.25">
      <c r="A1377">
        <v>1376</v>
      </c>
      <c r="B1377" t="s">
        <v>11</v>
      </c>
      <c r="C1377" t="s">
        <v>1673</v>
      </c>
      <c r="D1377" t="s">
        <v>1641</v>
      </c>
      <c r="E1377" t="s">
        <v>1316</v>
      </c>
      <c r="J1377" t="s">
        <v>1835</v>
      </c>
      <c r="N1377">
        <v>0</v>
      </c>
      <c r="O1377" t="str">
        <f>_xlfn.XLOOKUP(Table4[[#This Row],[id]],VALINA[id],VALINA[name])</f>
        <v>Southern Atlantic Ocean</v>
      </c>
      <c r="P1377">
        <f>_xlfn.XLOOKUP(Table4[[#This Row],[id]],prov_color!A:A,prov_color!C:C)</f>
        <v>477</v>
      </c>
    </row>
    <row r="1378" spans="1:16" hidden="1" x14ac:dyDescent="0.25">
      <c r="A1378">
        <v>1377</v>
      </c>
      <c r="B1378" t="s">
        <v>11</v>
      </c>
      <c r="C1378" t="s">
        <v>1673</v>
      </c>
      <c r="D1378" t="s">
        <v>1641</v>
      </c>
      <c r="E1378" t="s">
        <v>1316</v>
      </c>
      <c r="J1378" t="s">
        <v>1835</v>
      </c>
      <c r="N1378">
        <v>0</v>
      </c>
      <c r="O1378" t="str">
        <f>_xlfn.XLOOKUP(Table4[[#This Row],[id]],VALINA[id],VALINA[name])</f>
        <v>Southern Atlantic Ocean</v>
      </c>
      <c r="P1378">
        <f>_xlfn.XLOOKUP(Table4[[#This Row],[id]],prov_color!A:A,prov_color!C:C)</f>
        <v>574</v>
      </c>
    </row>
    <row r="1379" spans="1:16" hidden="1" x14ac:dyDescent="0.25">
      <c r="A1379">
        <v>1378</v>
      </c>
      <c r="B1379" t="s">
        <v>11</v>
      </c>
      <c r="C1379" t="s">
        <v>1653</v>
      </c>
      <c r="D1379" t="s">
        <v>1641</v>
      </c>
      <c r="E1379" t="s">
        <v>1316</v>
      </c>
      <c r="J1379" t="s">
        <v>1857</v>
      </c>
      <c r="K1379">
        <v>0</v>
      </c>
      <c r="N1379">
        <v>1378</v>
      </c>
      <c r="O1379" t="str">
        <f>_xlfn.XLOOKUP(Table4[[#This Row],[id]],VALINA[id],VALINA[name])</f>
        <v>Lesser Antillas</v>
      </c>
      <c r="P1379">
        <f>_xlfn.XLOOKUP(Table4[[#This Row],[id]],prov_color!A:A,prov_color!C:C)</f>
        <v>59</v>
      </c>
    </row>
    <row r="1380" spans="1:16" hidden="1" x14ac:dyDescent="0.25">
      <c r="A1380">
        <v>1442</v>
      </c>
      <c r="E1380" t="s">
        <v>1633</v>
      </c>
      <c r="J1380" t="s">
        <v>6477</v>
      </c>
      <c r="O1380" s="2" t="str">
        <f>_xlfn.XLOOKUP(Table4[[#This Row],[id]],VALINA[id],VALINA[name])</f>
        <v>Lake Baikal &amp; Selenga River</v>
      </c>
      <c r="P1380" s="2">
        <f>_xlfn.XLOOKUP(Table4[[#This Row],[id]],prov_color!A:A,prov_color!C:C)</f>
        <v>56</v>
      </c>
    </row>
    <row r="1381" spans="1:16" hidden="1" x14ac:dyDescent="0.25">
      <c r="A1381">
        <v>1453</v>
      </c>
      <c r="B1381" t="s">
        <v>1151</v>
      </c>
      <c r="C1381" t="s">
        <v>1151</v>
      </c>
      <c r="D1381" t="s">
        <v>1151</v>
      </c>
      <c r="E1381" t="s">
        <v>1316</v>
      </c>
      <c r="J1381" t="s">
        <v>1450</v>
      </c>
      <c r="K1381">
        <v>0</v>
      </c>
      <c r="N1381">
        <v>1453</v>
      </c>
      <c r="O1381" t="str">
        <f>_xlfn.XLOOKUP(Table4[[#This Row],[id]],VALINA[id],VALINA[name])</f>
        <v>Lake Tiberiade</v>
      </c>
      <c r="P1381">
        <f>_xlfn.XLOOKUP(Table4[[#This Row],[id]],prov_color!A:A,prov_color!C:C)</f>
        <v>8</v>
      </c>
    </row>
    <row r="1382" spans="1:16" hidden="1" x14ac:dyDescent="0.25">
      <c r="A1382">
        <v>1461</v>
      </c>
      <c r="E1382" t="s">
        <v>1633</v>
      </c>
      <c r="J1382" t="s">
        <v>6476</v>
      </c>
      <c r="O1382" s="2" t="str">
        <f>_xlfn.XLOOKUP(Table4[[#This Row],[id]],VALINA[id],VALINA[name])</f>
        <v>Lake V�ttern</v>
      </c>
      <c r="P1382" s="2">
        <f>_xlfn.XLOOKUP(Table4[[#This Row],[id]],prov_color!A:A,prov_color!C:C)</f>
        <v>11</v>
      </c>
    </row>
    <row r="1383" spans="1:16" hidden="1" x14ac:dyDescent="0.25">
      <c r="A1383">
        <v>1466</v>
      </c>
      <c r="B1383" t="s">
        <v>346</v>
      </c>
      <c r="C1383" t="s">
        <v>375</v>
      </c>
      <c r="D1383" t="s">
        <v>376</v>
      </c>
      <c r="E1383" t="s">
        <v>14</v>
      </c>
      <c r="F1383" t="s">
        <v>349</v>
      </c>
      <c r="G1383" t="s">
        <v>122</v>
      </c>
      <c r="H1383" t="s">
        <v>377</v>
      </c>
      <c r="I1383" t="s">
        <v>27</v>
      </c>
      <c r="J1383" t="s">
        <v>1163</v>
      </c>
      <c r="K1383">
        <v>0</v>
      </c>
      <c r="L1383">
        <v>1</v>
      </c>
      <c r="M1383">
        <v>1</v>
      </c>
      <c r="N1383">
        <v>1466</v>
      </c>
      <c r="O1383" t="str">
        <f>_xlfn.XLOOKUP(Table4[[#This Row],[id]],VALINA[id],VALINA[name])</f>
        <v>Iceland</v>
      </c>
      <c r="P1383">
        <f>_xlfn.XLOOKUP(Table4[[#This Row],[id]],prov_color!A:A,prov_color!C:C)</f>
        <v>72</v>
      </c>
    </row>
    <row r="1384" spans="1:16" hidden="1" x14ac:dyDescent="0.25">
      <c r="A1384">
        <v>1467</v>
      </c>
      <c r="B1384" t="s">
        <v>653</v>
      </c>
      <c r="C1384" t="s">
        <v>701</v>
      </c>
      <c r="D1384" t="s">
        <v>841</v>
      </c>
      <c r="E1384" t="s">
        <v>14</v>
      </c>
      <c r="F1384" t="s">
        <v>15</v>
      </c>
      <c r="G1384" t="s">
        <v>122</v>
      </c>
      <c r="H1384" t="s">
        <v>703</v>
      </c>
      <c r="I1384" t="s">
        <v>20</v>
      </c>
      <c r="J1384" t="s">
        <v>1164</v>
      </c>
      <c r="K1384">
        <v>2</v>
      </c>
      <c r="L1384">
        <v>1</v>
      </c>
      <c r="M1384">
        <v>2</v>
      </c>
      <c r="N1384">
        <v>1467</v>
      </c>
      <c r="O1384" t="str">
        <f>_xlfn.XLOOKUP(Table4[[#This Row],[id]],VALINA[id],VALINA[name])</f>
        <v>Nagorje</v>
      </c>
      <c r="P1384">
        <f>_xlfn.XLOOKUP(Table4[[#This Row],[id]],prov_color!A:A,prov_color!C:C)</f>
        <v>34</v>
      </c>
    </row>
    <row r="1385" spans="1:16" hidden="1" x14ac:dyDescent="0.25">
      <c r="A1385">
        <v>1468</v>
      </c>
      <c r="B1385" t="s">
        <v>653</v>
      </c>
      <c r="C1385" t="s">
        <v>701</v>
      </c>
      <c r="D1385" t="s">
        <v>841</v>
      </c>
      <c r="E1385" t="s">
        <v>14</v>
      </c>
      <c r="F1385" t="s">
        <v>15</v>
      </c>
      <c r="G1385" t="s">
        <v>122</v>
      </c>
      <c r="H1385" t="s">
        <v>703</v>
      </c>
      <c r="I1385" t="s">
        <v>20</v>
      </c>
      <c r="J1385" t="s">
        <v>1165</v>
      </c>
      <c r="K1385">
        <v>2</v>
      </c>
      <c r="L1385">
        <v>1</v>
      </c>
      <c r="M1385">
        <v>2</v>
      </c>
      <c r="N1385">
        <v>1468</v>
      </c>
      <c r="O1385" t="str">
        <f>_xlfn.XLOOKUP(Table4[[#This Row],[id]],VALINA[id],VALINA[name])</f>
        <v>Khretset</v>
      </c>
      <c r="P1385">
        <f>_xlfn.XLOOKUP(Table4[[#This Row],[id]],prov_color!A:A,prov_color!C:C)</f>
        <v>32</v>
      </c>
    </row>
    <row r="1386" spans="1:16" hidden="1" x14ac:dyDescent="0.25">
      <c r="A1386">
        <v>1469</v>
      </c>
      <c r="B1386" t="s">
        <v>346</v>
      </c>
      <c r="C1386" t="s">
        <v>375</v>
      </c>
      <c r="D1386" t="s">
        <v>379</v>
      </c>
      <c r="E1386" t="s">
        <v>22</v>
      </c>
      <c r="F1386" t="s">
        <v>349</v>
      </c>
      <c r="G1386" t="s">
        <v>26</v>
      </c>
      <c r="H1386" t="s">
        <v>377</v>
      </c>
      <c r="I1386" t="s">
        <v>29</v>
      </c>
      <c r="J1386" t="s">
        <v>1166</v>
      </c>
      <c r="K1386">
        <v>0</v>
      </c>
      <c r="L1386">
        <v>1</v>
      </c>
      <c r="M1386">
        <v>3</v>
      </c>
      <c r="N1386">
        <v>1469</v>
      </c>
      <c r="O1386" t="str">
        <f>_xlfn.XLOOKUP(Table4[[#This Row],[id]],VALINA[id],VALINA[name])</f>
        <v>G�strikland</v>
      </c>
      <c r="P1386">
        <f>_xlfn.XLOOKUP(Table4[[#This Row],[id]],prov_color!A:A,prov_color!C:C)</f>
        <v>32</v>
      </c>
    </row>
    <row r="1387" spans="1:16" hidden="1" x14ac:dyDescent="0.25">
      <c r="A1387">
        <v>1470</v>
      </c>
      <c r="B1387" t="s">
        <v>346</v>
      </c>
      <c r="C1387" t="s">
        <v>392</v>
      </c>
      <c r="D1387" t="s">
        <v>393</v>
      </c>
      <c r="E1387" t="s">
        <v>80</v>
      </c>
      <c r="F1387" t="s">
        <v>394</v>
      </c>
      <c r="G1387" t="s">
        <v>122</v>
      </c>
      <c r="H1387" t="s">
        <v>388</v>
      </c>
      <c r="I1387" t="s">
        <v>20</v>
      </c>
      <c r="J1387" t="s">
        <v>1167</v>
      </c>
      <c r="K1387">
        <v>0</v>
      </c>
      <c r="L1387">
        <v>1</v>
      </c>
      <c r="M1387">
        <v>1</v>
      </c>
      <c r="N1387">
        <v>1470</v>
      </c>
      <c r="O1387" t="str">
        <f>_xlfn.XLOOKUP(Table4[[#This Row],[id]],VALINA[id],VALINA[name])</f>
        <v>Karelia</v>
      </c>
      <c r="P1387">
        <f>_xlfn.XLOOKUP(Table4[[#This Row],[id]],prov_color!A:A,prov_color!C:C)</f>
        <v>41</v>
      </c>
    </row>
    <row r="1388" spans="1:16" hidden="1" x14ac:dyDescent="0.25">
      <c r="A1388">
        <v>1473</v>
      </c>
      <c r="B1388" t="s">
        <v>11</v>
      </c>
      <c r="C1388" t="s">
        <v>12</v>
      </c>
      <c r="D1388" t="s">
        <v>25</v>
      </c>
      <c r="E1388" t="s">
        <v>22</v>
      </c>
      <c r="F1388" t="s">
        <v>15</v>
      </c>
      <c r="G1388" t="s">
        <v>35</v>
      </c>
      <c r="H1388" t="s">
        <v>36</v>
      </c>
      <c r="I1388" t="s">
        <v>20</v>
      </c>
      <c r="J1388" t="s">
        <v>25</v>
      </c>
      <c r="K1388">
        <v>5</v>
      </c>
      <c r="L1388">
        <v>2</v>
      </c>
      <c r="M1388">
        <v>5</v>
      </c>
      <c r="N1388">
        <v>1473</v>
      </c>
      <c r="O1388" t="str">
        <f>_xlfn.XLOOKUP(Table4[[#This Row],[id]],VALINA[id],VALINA[name])</f>
        <v>Oregon</v>
      </c>
      <c r="P1388">
        <f>_xlfn.XLOOKUP(Table4[[#This Row],[id]],prov_color!A:A,prov_color!C:C)</f>
        <v>43</v>
      </c>
    </row>
    <row r="1389" spans="1:16" hidden="1" x14ac:dyDescent="0.25">
      <c r="A1389">
        <v>1474</v>
      </c>
      <c r="B1389" t="s">
        <v>11</v>
      </c>
      <c r="C1389" t="s">
        <v>12</v>
      </c>
      <c r="D1389" t="s">
        <v>25</v>
      </c>
      <c r="E1389" t="s">
        <v>14</v>
      </c>
      <c r="F1389" t="s">
        <v>15</v>
      </c>
      <c r="G1389" t="s">
        <v>35</v>
      </c>
      <c r="H1389" t="s">
        <v>36</v>
      </c>
      <c r="I1389" t="s">
        <v>43</v>
      </c>
      <c r="J1389" t="s">
        <v>1168</v>
      </c>
      <c r="K1389">
        <v>5</v>
      </c>
      <c r="L1389">
        <v>1</v>
      </c>
      <c r="M1389">
        <v>2</v>
      </c>
      <c r="N1389">
        <v>1474</v>
      </c>
      <c r="O1389" t="str">
        <f>_xlfn.XLOOKUP(Table4[[#This Row],[id]],VALINA[id],VALINA[name])</f>
        <v>Sierra Nevada</v>
      </c>
      <c r="P1389">
        <f>_xlfn.XLOOKUP(Table4[[#This Row],[id]],prov_color!A:A,prov_color!C:C)</f>
        <v>35</v>
      </c>
    </row>
    <row r="1390" spans="1:16" hidden="1" x14ac:dyDescent="0.25">
      <c r="A1390">
        <v>1475</v>
      </c>
      <c r="B1390" t="s">
        <v>11</v>
      </c>
      <c r="C1390" t="s">
        <v>12</v>
      </c>
      <c r="D1390" t="s">
        <v>33</v>
      </c>
      <c r="E1390" t="s">
        <v>14</v>
      </c>
      <c r="F1390" t="s">
        <v>15</v>
      </c>
      <c r="G1390" t="s">
        <v>35</v>
      </c>
      <c r="H1390" t="s">
        <v>36</v>
      </c>
      <c r="I1390" t="s">
        <v>43</v>
      </c>
      <c r="J1390" t="s">
        <v>1169</v>
      </c>
      <c r="K1390">
        <v>5</v>
      </c>
      <c r="L1390">
        <v>1</v>
      </c>
      <c r="M1390">
        <v>2</v>
      </c>
      <c r="N1390">
        <v>1475</v>
      </c>
      <c r="O1390" t="str">
        <f>_xlfn.XLOOKUP(Table4[[#This Row],[id]],VALINA[id],VALINA[name])</f>
        <v>Tonopah</v>
      </c>
      <c r="P1390">
        <f>_xlfn.XLOOKUP(Table4[[#This Row],[id]],prov_color!A:A,prov_color!C:C)</f>
        <v>36</v>
      </c>
    </row>
    <row r="1391" spans="1:16" hidden="1" x14ac:dyDescent="0.25">
      <c r="A1391">
        <v>1476</v>
      </c>
      <c r="B1391" t="s">
        <v>11</v>
      </c>
      <c r="C1391" t="s">
        <v>12</v>
      </c>
      <c r="D1391" t="s">
        <v>33</v>
      </c>
      <c r="E1391" t="s">
        <v>14</v>
      </c>
      <c r="F1391" t="s">
        <v>15</v>
      </c>
      <c r="G1391" t="s">
        <v>35</v>
      </c>
      <c r="H1391" t="s">
        <v>40</v>
      </c>
      <c r="I1391" t="s">
        <v>43</v>
      </c>
      <c r="J1391" t="s">
        <v>1170</v>
      </c>
      <c r="K1391">
        <v>5</v>
      </c>
      <c r="L1391">
        <v>1</v>
      </c>
      <c r="M1391">
        <v>2</v>
      </c>
      <c r="N1391">
        <v>1476</v>
      </c>
      <c r="O1391" t="str">
        <f>_xlfn.XLOOKUP(Table4[[#This Row],[id]],VALINA[id],VALINA[name])</f>
        <v>Inyo</v>
      </c>
      <c r="P1391">
        <f>_xlfn.XLOOKUP(Table4[[#This Row],[id]],prov_color!A:A,prov_color!C:C)</f>
        <v>41</v>
      </c>
    </row>
    <row r="1392" spans="1:16" hidden="1" x14ac:dyDescent="0.25">
      <c r="A1392">
        <v>1477</v>
      </c>
      <c r="B1392" t="s">
        <v>11</v>
      </c>
      <c r="C1392" t="s">
        <v>12</v>
      </c>
      <c r="D1392" t="s">
        <v>51</v>
      </c>
      <c r="E1392" t="s">
        <v>52</v>
      </c>
      <c r="F1392" t="s">
        <v>15</v>
      </c>
      <c r="G1392" t="s">
        <v>47</v>
      </c>
      <c r="H1392" t="s">
        <v>48</v>
      </c>
      <c r="I1392" t="s">
        <v>53</v>
      </c>
      <c r="J1392" t="s">
        <v>1171</v>
      </c>
      <c r="K1392">
        <v>5</v>
      </c>
      <c r="L1392">
        <v>1</v>
      </c>
      <c r="M1392">
        <v>2</v>
      </c>
      <c r="N1392">
        <v>1477</v>
      </c>
      <c r="O1392" t="str">
        <f>_xlfn.XLOOKUP(Table4[[#This Row],[id]],VALINA[id],VALINA[name])</f>
        <v>Utah</v>
      </c>
      <c r="P1392">
        <f>_xlfn.XLOOKUP(Table4[[#This Row],[id]],prov_color!A:A,prov_color!C:C)</f>
        <v>52</v>
      </c>
    </row>
    <row r="1393" spans="1:16" hidden="1" x14ac:dyDescent="0.25">
      <c r="A1393">
        <v>1478</v>
      </c>
      <c r="B1393" t="s">
        <v>11</v>
      </c>
      <c r="C1393" t="s">
        <v>12</v>
      </c>
      <c r="D1393" t="s">
        <v>51</v>
      </c>
      <c r="E1393" t="s">
        <v>52</v>
      </c>
      <c r="F1393" t="s">
        <v>15</v>
      </c>
      <c r="G1393" t="s">
        <v>47</v>
      </c>
      <c r="H1393" t="s">
        <v>48</v>
      </c>
      <c r="I1393" t="s">
        <v>53</v>
      </c>
      <c r="J1393" t="s">
        <v>1172</v>
      </c>
      <c r="K1393">
        <v>5</v>
      </c>
      <c r="L1393">
        <v>1</v>
      </c>
      <c r="M1393">
        <v>1</v>
      </c>
      <c r="N1393">
        <v>1478</v>
      </c>
      <c r="O1393" t="str">
        <f>_xlfn.XLOOKUP(Table4[[#This Row],[id]],VALINA[id],VALINA[name])</f>
        <v>Moab</v>
      </c>
      <c r="P1393">
        <f>_xlfn.XLOOKUP(Table4[[#This Row],[id]],prov_color!A:A,prov_color!C:C)</f>
        <v>47</v>
      </c>
    </row>
    <row r="1394" spans="1:16" hidden="1" x14ac:dyDescent="0.25">
      <c r="A1394">
        <v>1479</v>
      </c>
      <c r="B1394" t="s">
        <v>11</v>
      </c>
      <c r="C1394" t="s">
        <v>12</v>
      </c>
      <c r="D1394" t="s">
        <v>64</v>
      </c>
      <c r="E1394" t="s">
        <v>34</v>
      </c>
      <c r="F1394" t="s">
        <v>15</v>
      </c>
      <c r="G1394" t="s">
        <v>35</v>
      </c>
      <c r="H1394" t="s">
        <v>59</v>
      </c>
      <c r="I1394" t="s">
        <v>20</v>
      </c>
      <c r="J1394" t="s">
        <v>1173</v>
      </c>
      <c r="K1394">
        <v>5</v>
      </c>
      <c r="L1394">
        <v>1</v>
      </c>
      <c r="M1394">
        <v>3</v>
      </c>
      <c r="N1394">
        <v>1479</v>
      </c>
      <c r="O1394" t="str">
        <f>_xlfn.XLOOKUP(Table4[[#This Row],[id]],VALINA[id],VALINA[name])</f>
        <v>Colorado</v>
      </c>
      <c r="P1394">
        <f>_xlfn.XLOOKUP(Table4[[#This Row],[id]],prov_color!A:A,prov_color!C:C)</f>
        <v>65</v>
      </c>
    </row>
    <row r="1395" spans="1:16" hidden="1" x14ac:dyDescent="0.25">
      <c r="A1395">
        <v>1480</v>
      </c>
      <c r="B1395" t="s">
        <v>11</v>
      </c>
      <c r="C1395" t="s">
        <v>12</v>
      </c>
      <c r="D1395" t="s">
        <v>64</v>
      </c>
      <c r="E1395" t="s">
        <v>34</v>
      </c>
      <c r="F1395" t="s">
        <v>15</v>
      </c>
      <c r="G1395" t="s">
        <v>35</v>
      </c>
      <c r="H1395" t="s">
        <v>59</v>
      </c>
      <c r="I1395" t="s">
        <v>20</v>
      </c>
      <c r="J1395" t="s">
        <v>1174</v>
      </c>
      <c r="K1395">
        <v>5</v>
      </c>
      <c r="L1395">
        <v>2</v>
      </c>
      <c r="M1395">
        <v>2</v>
      </c>
      <c r="N1395">
        <v>1480</v>
      </c>
      <c r="O1395" t="str">
        <f>_xlfn.XLOOKUP(Table4[[#This Row],[id]],VALINA[id],VALINA[name])</f>
        <v>Llano Estacado</v>
      </c>
      <c r="P1395">
        <f>_xlfn.XLOOKUP(Table4[[#This Row],[id]],prov_color!A:A,prov_color!C:C)</f>
        <v>52</v>
      </c>
    </row>
    <row r="1396" spans="1:16" hidden="1" x14ac:dyDescent="0.25">
      <c r="A1396">
        <v>1481</v>
      </c>
      <c r="B1396" t="s">
        <v>11</v>
      </c>
      <c r="C1396" t="s">
        <v>12</v>
      </c>
      <c r="D1396" t="s">
        <v>100</v>
      </c>
      <c r="E1396" t="s">
        <v>34</v>
      </c>
      <c r="F1396" t="s">
        <v>15</v>
      </c>
      <c r="G1396" t="s">
        <v>26</v>
      </c>
      <c r="H1396" t="s">
        <v>111</v>
      </c>
      <c r="I1396" t="s">
        <v>20</v>
      </c>
      <c r="J1396" t="s">
        <v>1175</v>
      </c>
      <c r="K1396">
        <v>5</v>
      </c>
      <c r="L1396">
        <v>1</v>
      </c>
      <c r="M1396">
        <v>2</v>
      </c>
      <c r="N1396">
        <v>1481</v>
      </c>
      <c r="O1396" t="str">
        <f>_xlfn.XLOOKUP(Table4[[#This Row],[id]],VALINA[id],VALINA[name])</f>
        <v>Oklahoma</v>
      </c>
      <c r="P1396">
        <f>_xlfn.XLOOKUP(Table4[[#This Row],[id]],prov_color!A:A,prov_color!C:C)</f>
        <v>75</v>
      </c>
    </row>
    <row r="1397" spans="1:16" hidden="1" x14ac:dyDescent="0.25">
      <c r="A1397">
        <v>1482</v>
      </c>
      <c r="B1397" t="s">
        <v>11</v>
      </c>
      <c r="C1397" t="s">
        <v>244</v>
      </c>
      <c r="D1397" t="s">
        <v>260</v>
      </c>
      <c r="E1397" t="s">
        <v>14</v>
      </c>
      <c r="F1397" t="s">
        <v>15</v>
      </c>
      <c r="G1397" t="s">
        <v>75</v>
      </c>
      <c r="H1397" t="s">
        <v>256</v>
      </c>
      <c r="I1397" t="s">
        <v>27</v>
      </c>
      <c r="J1397" t="s">
        <v>1176</v>
      </c>
      <c r="K1397">
        <v>5</v>
      </c>
      <c r="L1397">
        <v>2</v>
      </c>
      <c r="M1397">
        <v>2</v>
      </c>
      <c r="N1397">
        <v>1482</v>
      </c>
      <c r="O1397" t="str">
        <f>_xlfn.XLOOKUP(Table4[[#This Row],[id]],VALINA[id],VALINA[name])</f>
        <v>Monta�a</v>
      </c>
      <c r="P1397">
        <f>_xlfn.XLOOKUP(Table4[[#This Row],[id]],prov_color!A:A,prov_color!C:C)</f>
        <v>34</v>
      </c>
    </row>
    <row r="1398" spans="1:16" hidden="1" x14ac:dyDescent="0.25">
      <c r="A1398">
        <v>1483</v>
      </c>
      <c r="B1398" t="s">
        <v>11</v>
      </c>
      <c r="C1398" t="s">
        <v>244</v>
      </c>
      <c r="D1398" t="s">
        <v>260</v>
      </c>
      <c r="E1398" t="s">
        <v>14</v>
      </c>
      <c r="F1398" t="s">
        <v>15</v>
      </c>
      <c r="G1398" t="s">
        <v>75</v>
      </c>
      <c r="H1398" t="s">
        <v>256</v>
      </c>
      <c r="I1398" t="s">
        <v>212</v>
      </c>
      <c r="J1398" t="s">
        <v>1177</v>
      </c>
      <c r="K1398">
        <v>5</v>
      </c>
      <c r="L1398">
        <v>1</v>
      </c>
      <c r="M1398">
        <v>2</v>
      </c>
      <c r="N1398">
        <v>1483</v>
      </c>
      <c r="O1398" t="str">
        <f>_xlfn.XLOOKUP(Table4[[#This Row],[id]],VALINA[id],VALINA[name])</f>
        <v>Atalaya</v>
      </c>
      <c r="P1398">
        <f>_xlfn.XLOOKUP(Table4[[#This Row],[id]],prov_color!A:A,prov_color!C:C)</f>
        <v>30</v>
      </c>
    </row>
    <row r="1399" spans="1:16" hidden="1" x14ac:dyDescent="0.25">
      <c r="A1399">
        <v>1484</v>
      </c>
      <c r="B1399" t="s">
        <v>11</v>
      </c>
      <c r="C1399" t="s">
        <v>244</v>
      </c>
      <c r="D1399" t="s">
        <v>260</v>
      </c>
      <c r="E1399" t="s">
        <v>14</v>
      </c>
      <c r="F1399" t="s">
        <v>15</v>
      </c>
      <c r="G1399" t="s">
        <v>75</v>
      </c>
      <c r="H1399" t="s">
        <v>256</v>
      </c>
      <c r="I1399" t="s">
        <v>141</v>
      </c>
      <c r="J1399" t="s">
        <v>1178</v>
      </c>
      <c r="K1399">
        <v>5</v>
      </c>
      <c r="L1399">
        <v>1</v>
      </c>
      <c r="M1399">
        <v>2</v>
      </c>
      <c r="N1399">
        <v>1484</v>
      </c>
      <c r="O1399" t="str">
        <f>_xlfn.XLOOKUP(Table4[[#This Row],[id]],VALINA[id],VALINA[name])</f>
        <v>Manu</v>
      </c>
      <c r="P1399">
        <f>_xlfn.XLOOKUP(Table4[[#This Row],[id]],prov_color!A:A,prov_color!C:C)</f>
        <v>30</v>
      </c>
    </row>
    <row r="1400" spans="1:16" hidden="1" x14ac:dyDescent="0.25">
      <c r="A1400">
        <v>1485</v>
      </c>
      <c r="B1400" t="s">
        <v>11</v>
      </c>
      <c r="C1400" t="s">
        <v>244</v>
      </c>
      <c r="D1400" t="s">
        <v>323</v>
      </c>
      <c r="E1400" t="s">
        <v>34</v>
      </c>
      <c r="F1400" t="s">
        <v>15</v>
      </c>
      <c r="G1400" t="s">
        <v>35</v>
      </c>
      <c r="H1400" t="s">
        <v>326</v>
      </c>
      <c r="I1400" t="s">
        <v>43</v>
      </c>
      <c r="J1400" t="s">
        <v>1179</v>
      </c>
      <c r="K1400">
        <v>5</v>
      </c>
      <c r="L1400">
        <v>1</v>
      </c>
      <c r="M1400">
        <v>8</v>
      </c>
      <c r="N1400">
        <v>1485</v>
      </c>
      <c r="O1400" t="str">
        <f>_xlfn.XLOOKUP(Table4[[#This Row],[id]],VALINA[id],VALINA[name])</f>
        <v>Pampas del Norte</v>
      </c>
      <c r="P1400">
        <f>_xlfn.XLOOKUP(Table4[[#This Row],[id]],prov_color!A:A,prov_color!C:C)</f>
        <v>40</v>
      </c>
    </row>
    <row r="1401" spans="1:16" hidden="1" x14ac:dyDescent="0.25">
      <c r="A1401">
        <v>1486</v>
      </c>
      <c r="B1401" t="s">
        <v>11</v>
      </c>
      <c r="C1401" t="s">
        <v>244</v>
      </c>
      <c r="D1401" t="s">
        <v>323</v>
      </c>
      <c r="E1401" t="s">
        <v>34</v>
      </c>
      <c r="F1401" t="s">
        <v>15</v>
      </c>
      <c r="G1401" t="s">
        <v>35</v>
      </c>
      <c r="H1401" t="s">
        <v>326</v>
      </c>
      <c r="I1401" t="s">
        <v>43</v>
      </c>
      <c r="J1401" t="s">
        <v>1180</v>
      </c>
      <c r="K1401">
        <v>5</v>
      </c>
      <c r="L1401">
        <v>3</v>
      </c>
      <c r="M1401">
        <v>8</v>
      </c>
      <c r="N1401">
        <v>1486</v>
      </c>
      <c r="O1401" t="str">
        <f>_xlfn.XLOOKUP(Table4[[#This Row],[id]],VALINA[id],VALINA[name])</f>
        <v>Pampas del Sur</v>
      </c>
      <c r="P1401">
        <f>_xlfn.XLOOKUP(Table4[[#This Row],[id]],prov_color!A:A,prov_color!C:C)</f>
        <v>35</v>
      </c>
    </row>
    <row r="1402" spans="1:16" hidden="1" x14ac:dyDescent="0.25">
      <c r="A1402">
        <v>1487</v>
      </c>
      <c r="B1402" t="s">
        <v>1016</v>
      </c>
      <c r="C1402" t="s">
        <v>1093</v>
      </c>
      <c r="D1402" t="s">
        <v>1121</v>
      </c>
      <c r="E1402" t="s">
        <v>52</v>
      </c>
      <c r="F1402" t="s">
        <v>15</v>
      </c>
      <c r="G1402" t="s">
        <v>47</v>
      </c>
      <c r="H1402" t="s">
        <v>616</v>
      </c>
      <c r="I1402" t="s">
        <v>1039</v>
      </c>
      <c r="J1402" t="s">
        <v>1181</v>
      </c>
      <c r="K1402">
        <v>9</v>
      </c>
      <c r="L1402">
        <v>3</v>
      </c>
      <c r="M1402">
        <v>2</v>
      </c>
      <c r="N1402">
        <v>1487</v>
      </c>
      <c r="O1402" t="str">
        <f>_xlfn.XLOOKUP(Table4[[#This Row],[id]],VALINA[id],VALINA[name])</f>
        <v>Awdaghost</v>
      </c>
      <c r="P1402">
        <f>_xlfn.XLOOKUP(Table4[[#This Row],[id]],prov_color!A:A,prov_color!C:C)</f>
        <v>48</v>
      </c>
    </row>
    <row r="1403" spans="1:16" hidden="1" x14ac:dyDescent="0.25">
      <c r="A1403">
        <v>1488</v>
      </c>
      <c r="B1403" t="s">
        <v>1016</v>
      </c>
      <c r="C1403" t="s">
        <v>1093</v>
      </c>
      <c r="D1403" t="s">
        <v>1115</v>
      </c>
      <c r="E1403" t="s">
        <v>34</v>
      </c>
      <c r="F1403" t="s">
        <v>15</v>
      </c>
      <c r="G1403" t="s">
        <v>26</v>
      </c>
      <c r="H1403" t="s">
        <v>1182</v>
      </c>
      <c r="I1403" t="s">
        <v>1039</v>
      </c>
      <c r="J1403" t="s">
        <v>1183</v>
      </c>
      <c r="K1403">
        <v>9</v>
      </c>
      <c r="L1403">
        <v>3</v>
      </c>
      <c r="M1403">
        <v>2</v>
      </c>
      <c r="N1403">
        <v>1488</v>
      </c>
      <c r="O1403" t="str">
        <f>_xlfn.XLOOKUP(Table4[[#This Row],[id]],VALINA[id],VALINA[name])</f>
        <v>Walata</v>
      </c>
      <c r="P1403">
        <f>_xlfn.XLOOKUP(Table4[[#This Row],[id]],prov_color!A:A,prov_color!C:C)</f>
        <v>37</v>
      </c>
    </row>
    <row r="1404" spans="1:16" hidden="1" x14ac:dyDescent="0.25">
      <c r="A1404">
        <v>1489</v>
      </c>
      <c r="B1404" t="s">
        <v>1016</v>
      </c>
      <c r="C1404" t="s">
        <v>1093</v>
      </c>
      <c r="D1404" t="s">
        <v>1115</v>
      </c>
      <c r="E1404" t="s">
        <v>22</v>
      </c>
      <c r="F1404" t="s">
        <v>609</v>
      </c>
      <c r="G1404" t="s">
        <v>75</v>
      </c>
      <c r="H1404" t="s">
        <v>1182</v>
      </c>
      <c r="I1404" t="s">
        <v>915</v>
      </c>
      <c r="J1404" t="s">
        <v>1184</v>
      </c>
      <c r="K1404">
        <v>9</v>
      </c>
      <c r="L1404">
        <v>5</v>
      </c>
      <c r="M1404">
        <v>5</v>
      </c>
      <c r="N1404">
        <v>1489</v>
      </c>
      <c r="O1404" t="str">
        <f>_xlfn.XLOOKUP(Table4[[#This Row],[id]],VALINA[id],VALINA[name])</f>
        <v>Jenn�</v>
      </c>
      <c r="P1404">
        <f>_xlfn.XLOOKUP(Table4[[#This Row],[id]],prov_color!A:A,prov_color!C:C)</f>
        <v>51</v>
      </c>
    </row>
    <row r="1405" spans="1:16" hidden="1" x14ac:dyDescent="0.25">
      <c r="A1405">
        <v>1490</v>
      </c>
      <c r="B1405" t="s">
        <v>1016</v>
      </c>
      <c r="C1405" t="s">
        <v>1093</v>
      </c>
      <c r="D1405" t="s">
        <v>1185</v>
      </c>
      <c r="E1405" t="s">
        <v>22</v>
      </c>
      <c r="F1405" t="s">
        <v>609</v>
      </c>
      <c r="G1405" t="s">
        <v>75</v>
      </c>
      <c r="H1405" t="s">
        <v>1182</v>
      </c>
      <c r="I1405" t="s">
        <v>18</v>
      </c>
      <c r="J1405" t="s">
        <v>1186</v>
      </c>
      <c r="K1405">
        <v>9</v>
      </c>
      <c r="L1405">
        <v>5</v>
      </c>
      <c r="M1405">
        <v>8</v>
      </c>
      <c r="N1405">
        <v>1490</v>
      </c>
      <c r="O1405" t="str">
        <f>_xlfn.XLOOKUP(Table4[[#This Row],[id]],VALINA[id],VALINA[name])</f>
        <v>Bambuk</v>
      </c>
      <c r="P1405">
        <f>_xlfn.XLOOKUP(Table4[[#This Row],[id]],prov_color!A:A,prov_color!C:C)</f>
        <v>56</v>
      </c>
    </row>
    <row r="1406" spans="1:16" hidden="1" x14ac:dyDescent="0.25">
      <c r="A1406">
        <v>1491</v>
      </c>
      <c r="B1406" t="s">
        <v>1016</v>
      </c>
      <c r="C1406" t="s">
        <v>1093</v>
      </c>
      <c r="D1406" t="s">
        <v>1115</v>
      </c>
      <c r="E1406" t="s">
        <v>22</v>
      </c>
      <c r="F1406" t="s">
        <v>609</v>
      </c>
      <c r="G1406" t="s">
        <v>75</v>
      </c>
      <c r="H1406" t="s">
        <v>1182</v>
      </c>
      <c r="I1406" t="s">
        <v>1039</v>
      </c>
      <c r="J1406" t="s">
        <v>1187</v>
      </c>
      <c r="K1406">
        <v>9</v>
      </c>
      <c r="L1406">
        <v>4</v>
      </c>
      <c r="M1406">
        <v>2</v>
      </c>
      <c r="N1406">
        <v>1491</v>
      </c>
      <c r="O1406" t="str">
        <f>_xlfn.XLOOKUP(Table4[[#This Row],[id]],VALINA[id],VALINA[name])</f>
        <v>Segu</v>
      </c>
      <c r="P1406">
        <f>_xlfn.XLOOKUP(Table4[[#This Row],[id]],prov_color!A:A,prov_color!C:C)</f>
        <v>49</v>
      </c>
    </row>
    <row r="1407" spans="1:16" hidden="1" x14ac:dyDescent="0.25">
      <c r="A1407">
        <v>1492</v>
      </c>
      <c r="B1407" t="s">
        <v>1016</v>
      </c>
      <c r="C1407" t="s">
        <v>1093</v>
      </c>
      <c r="D1407" t="s">
        <v>1110</v>
      </c>
      <c r="E1407" t="s">
        <v>22</v>
      </c>
      <c r="F1407" t="s">
        <v>609</v>
      </c>
      <c r="G1407" t="s">
        <v>75</v>
      </c>
      <c r="H1407" t="s">
        <v>1182</v>
      </c>
      <c r="I1407" t="s">
        <v>1039</v>
      </c>
      <c r="J1407" t="s">
        <v>1188</v>
      </c>
      <c r="K1407">
        <v>9</v>
      </c>
      <c r="L1407">
        <v>4</v>
      </c>
      <c r="M1407">
        <v>2</v>
      </c>
      <c r="N1407">
        <v>1492</v>
      </c>
      <c r="O1407" t="str">
        <f>_xlfn.XLOOKUP(Table4[[#This Row],[id]],VALINA[id],VALINA[name])</f>
        <v>Niani</v>
      </c>
      <c r="P1407">
        <f>_xlfn.XLOOKUP(Table4[[#This Row],[id]],prov_color!A:A,prov_color!C:C)</f>
        <v>45</v>
      </c>
    </row>
    <row r="1408" spans="1:16" hidden="1" x14ac:dyDescent="0.25">
      <c r="A1408">
        <v>1493</v>
      </c>
      <c r="B1408" t="s">
        <v>1016</v>
      </c>
      <c r="C1408" t="s">
        <v>1093</v>
      </c>
      <c r="D1408" t="s">
        <v>1110</v>
      </c>
      <c r="E1408" t="s">
        <v>22</v>
      </c>
      <c r="F1408" t="s">
        <v>15</v>
      </c>
      <c r="G1408" t="s">
        <v>75</v>
      </c>
      <c r="H1408" t="s">
        <v>1111</v>
      </c>
      <c r="I1408" t="s">
        <v>915</v>
      </c>
      <c r="J1408" t="s">
        <v>1189</v>
      </c>
      <c r="K1408">
        <v>9</v>
      </c>
      <c r="L1408">
        <v>4</v>
      </c>
      <c r="M1408">
        <v>2</v>
      </c>
      <c r="N1408">
        <v>1493</v>
      </c>
      <c r="O1408" t="str">
        <f>_xlfn.XLOOKUP(Table4[[#This Row],[id]],VALINA[id],VALINA[name])</f>
        <v>Mossi</v>
      </c>
      <c r="P1408">
        <f>_xlfn.XLOOKUP(Table4[[#This Row],[id]],prov_color!A:A,prov_color!C:C)</f>
        <v>70</v>
      </c>
    </row>
    <row r="1409" spans="1:16" hidden="1" x14ac:dyDescent="0.25">
      <c r="A1409">
        <v>1494</v>
      </c>
      <c r="B1409" t="s">
        <v>1016</v>
      </c>
      <c r="C1409" t="s">
        <v>1093</v>
      </c>
      <c r="D1409" t="s">
        <v>1185</v>
      </c>
      <c r="E1409" t="s">
        <v>34</v>
      </c>
      <c r="F1409" t="s">
        <v>609</v>
      </c>
      <c r="G1409" t="s">
        <v>75</v>
      </c>
      <c r="H1409" t="s">
        <v>1182</v>
      </c>
      <c r="I1409" t="s">
        <v>18</v>
      </c>
      <c r="J1409" t="s">
        <v>1190</v>
      </c>
      <c r="K1409">
        <v>9</v>
      </c>
      <c r="L1409">
        <v>6</v>
      </c>
      <c r="M1409">
        <v>8</v>
      </c>
      <c r="N1409">
        <v>1494</v>
      </c>
      <c r="O1409" t="str">
        <f>_xlfn.XLOOKUP(Table4[[#This Row],[id]],VALINA[id],VALINA[name])</f>
        <v>Bur�</v>
      </c>
      <c r="P1409">
        <f>_xlfn.XLOOKUP(Table4[[#This Row],[id]],prov_color!A:A,prov_color!C:C)</f>
        <v>57</v>
      </c>
    </row>
    <row r="1410" spans="1:16" hidden="1" x14ac:dyDescent="0.25">
      <c r="A1410">
        <v>1495</v>
      </c>
      <c r="B1410" t="s">
        <v>1016</v>
      </c>
      <c r="C1410" t="s">
        <v>1093</v>
      </c>
      <c r="D1410" t="s">
        <v>1185</v>
      </c>
      <c r="E1410" t="s">
        <v>52</v>
      </c>
      <c r="F1410" t="s">
        <v>609</v>
      </c>
      <c r="G1410" t="s">
        <v>47</v>
      </c>
      <c r="H1410" t="s">
        <v>1182</v>
      </c>
      <c r="I1410" t="s">
        <v>685</v>
      </c>
      <c r="J1410" t="s">
        <v>1185</v>
      </c>
      <c r="K1410">
        <v>9</v>
      </c>
      <c r="L1410">
        <v>4</v>
      </c>
      <c r="M1410">
        <v>14</v>
      </c>
      <c r="N1410">
        <v>1495</v>
      </c>
      <c r="O1410" t="str">
        <f>_xlfn.XLOOKUP(Table4[[#This Row],[id]],VALINA[id],VALINA[name])</f>
        <v>Timbuktu</v>
      </c>
      <c r="P1410">
        <f>_xlfn.XLOOKUP(Table4[[#This Row],[id]],prov_color!A:A,prov_color!C:C)</f>
        <v>46</v>
      </c>
    </row>
    <row r="1411" spans="1:16" hidden="1" x14ac:dyDescent="0.25">
      <c r="A1411">
        <v>1496</v>
      </c>
      <c r="B1411" t="s">
        <v>1016</v>
      </c>
      <c r="C1411" t="s">
        <v>1093</v>
      </c>
      <c r="D1411" t="s">
        <v>1185</v>
      </c>
      <c r="E1411" t="s">
        <v>34</v>
      </c>
      <c r="F1411" t="s">
        <v>609</v>
      </c>
      <c r="G1411" t="s">
        <v>75</v>
      </c>
      <c r="H1411" t="s">
        <v>1191</v>
      </c>
      <c r="I1411" t="s">
        <v>53</v>
      </c>
      <c r="J1411" t="s">
        <v>1192</v>
      </c>
      <c r="K1411">
        <v>9</v>
      </c>
      <c r="L1411">
        <v>2</v>
      </c>
      <c r="M1411">
        <v>4</v>
      </c>
      <c r="N1411">
        <v>1496</v>
      </c>
      <c r="O1411" t="str">
        <f>_xlfn.XLOOKUP(Table4[[#This Row],[id]],VALINA[id],VALINA[name])</f>
        <v>Gao</v>
      </c>
      <c r="P1411">
        <f>_xlfn.XLOOKUP(Table4[[#This Row],[id]],prov_color!A:A,prov_color!C:C)</f>
        <v>55</v>
      </c>
    </row>
    <row r="1412" spans="1:16" hidden="1" x14ac:dyDescent="0.25">
      <c r="A1412">
        <v>1497</v>
      </c>
      <c r="B1412" t="s">
        <v>1016</v>
      </c>
      <c r="C1412" t="s">
        <v>1093</v>
      </c>
      <c r="D1412" t="s">
        <v>1185</v>
      </c>
      <c r="E1412" t="s">
        <v>34</v>
      </c>
      <c r="F1412" t="s">
        <v>609</v>
      </c>
      <c r="G1412" t="s">
        <v>75</v>
      </c>
      <c r="H1412" t="s">
        <v>1191</v>
      </c>
      <c r="I1412" t="s">
        <v>43</v>
      </c>
      <c r="J1412" t="s">
        <v>1193</v>
      </c>
      <c r="K1412">
        <v>9</v>
      </c>
      <c r="L1412">
        <v>6</v>
      </c>
      <c r="M1412">
        <v>3</v>
      </c>
      <c r="N1412">
        <v>1497</v>
      </c>
      <c r="O1412" t="str">
        <f>_xlfn.XLOOKUP(Table4[[#This Row],[id]],VALINA[id],VALINA[name])</f>
        <v>Say</v>
      </c>
      <c r="P1412">
        <f>_xlfn.XLOOKUP(Table4[[#This Row],[id]],prov_color!A:A,prov_color!C:C)</f>
        <v>39</v>
      </c>
    </row>
    <row r="1413" spans="1:16" hidden="1" x14ac:dyDescent="0.25">
      <c r="A1413">
        <v>1498</v>
      </c>
      <c r="B1413" t="s">
        <v>1016</v>
      </c>
      <c r="C1413" t="s">
        <v>1093</v>
      </c>
      <c r="D1413" t="s">
        <v>1103</v>
      </c>
      <c r="E1413" t="s">
        <v>22</v>
      </c>
      <c r="F1413" t="s">
        <v>15</v>
      </c>
      <c r="G1413" t="s">
        <v>75</v>
      </c>
      <c r="H1413" t="s">
        <v>1108</v>
      </c>
      <c r="I1413" t="s">
        <v>915</v>
      </c>
      <c r="J1413" t="s">
        <v>1194</v>
      </c>
      <c r="K1413">
        <v>9</v>
      </c>
      <c r="L1413">
        <v>2</v>
      </c>
      <c r="M1413">
        <v>3</v>
      </c>
      <c r="N1413">
        <v>1498</v>
      </c>
      <c r="O1413" t="str">
        <f>_xlfn.XLOOKUP(Table4[[#This Row],[id]],VALINA[id],VALINA[name])</f>
        <v>Begho</v>
      </c>
      <c r="P1413">
        <f>_xlfn.XLOOKUP(Table4[[#This Row],[id]],prov_color!A:A,prov_color!C:C)</f>
        <v>61</v>
      </c>
    </row>
    <row r="1414" spans="1:16" hidden="1" x14ac:dyDescent="0.25">
      <c r="A1414">
        <v>1499</v>
      </c>
      <c r="B1414" t="s">
        <v>1016</v>
      </c>
      <c r="C1414" t="s">
        <v>1093</v>
      </c>
      <c r="D1414" t="s">
        <v>1103</v>
      </c>
      <c r="E1414" t="s">
        <v>22</v>
      </c>
      <c r="F1414" t="s">
        <v>15</v>
      </c>
      <c r="G1414" t="s">
        <v>75</v>
      </c>
      <c r="H1414" t="s">
        <v>1104</v>
      </c>
      <c r="I1414" t="s">
        <v>1039</v>
      </c>
      <c r="J1414" t="s">
        <v>1195</v>
      </c>
      <c r="K1414">
        <v>9</v>
      </c>
      <c r="L1414">
        <v>2</v>
      </c>
      <c r="M1414">
        <v>3</v>
      </c>
      <c r="N1414">
        <v>1499</v>
      </c>
      <c r="O1414" t="str">
        <f>_xlfn.XLOOKUP(Table4[[#This Row],[id]],VALINA[id],VALINA[name])</f>
        <v>Zaria</v>
      </c>
      <c r="P1414">
        <f>_xlfn.XLOOKUP(Table4[[#This Row],[id]],prov_color!A:A,prov_color!C:C)</f>
        <v>56</v>
      </c>
    </row>
    <row r="1415" spans="1:16" hidden="1" x14ac:dyDescent="0.25">
      <c r="A1415">
        <v>1500</v>
      </c>
      <c r="B1415" t="s">
        <v>1016</v>
      </c>
      <c r="C1415" t="s">
        <v>1093</v>
      </c>
      <c r="D1415" t="s">
        <v>1103</v>
      </c>
      <c r="E1415" t="s">
        <v>22</v>
      </c>
      <c r="F1415" t="s">
        <v>15</v>
      </c>
      <c r="G1415" t="s">
        <v>75</v>
      </c>
      <c r="H1415" t="s">
        <v>1104</v>
      </c>
      <c r="I1415" t="s">
        <v>43</v>
      </c>
      <c r="J1415" t="s">
        <v>1196</v>
      </c>
      <c r="K1415">
        <v>9</v>
      </c>
      <c r="L1415">
        <v>4</v>
      </c>
      <c r="M1415">
        <v>7</v>
      </c>
      <c r="N1415">
        <v>1500</v>
      </c>
      <c r="O1415" t="str">
        <f>_xlfn.XLOOKUP(Table4[[#This Row],[id]],VALINA[id],VALINA[name])</f>
        <v>Oye</v>
      </c>
      <c r="P1415">
        <f>_xlfn.XLOOKUP(Table4[[#This Row],[id]],prov_color!A:A,prov_color!C:C)</f>
        <v>31</v>
      </c>
    </row>
    <row r="1416" spans="1:16" hidden="1" x14ac:dyDescent="0.25">
      <c r="A1416">
        <v>1501</v>
      </c>
      <c r="B1416" t="s">
        <v>1016</v>
      </c>
      <c r="C1416" t="s">
        <v>1093</v>
      </c>
      <c r="D1416" t="s">
        <v>1103</v>
      </c>
      <c r="E1416" t="s">
        <v>34</v>
      </c>
      <c r="F1416" t="s">
        <v>15</v>
      </c>
      <c r="G1416" t="s">
        <v>75</v>
      </c>
      <c r="H1416" t="s">
        <v>1104</v>
      </c>
      <c r="I1416" t="s">
        <v>43</v>
      </c>
      <c r="J1416" t="s">
        <v>1197</v>
      </c>
      <c r="K1416">
        <v>9</v>
      </c>
      <c r="L1416">
        <v>6</v>
      </c>
      <c r="M1416">
        <v>3</v>
      </c>
      <c r="N1416">
        <v>1501</v>
      </c>
      <c r="O1416" t="str">
        <f>_xlfn.XLOOKUP(Table4[[#This Row],[id]],VALINA[id],VALINA[name])</f>
        <v>Kano</v>
      </c>
      <c r="P1416">
        <f>_xlfn.XLOOKUP(Table4[[#This Row],[id]],prov_color!A:A,prov_color!C:C)</f>
        <v>43</v>
      </c>
    </row>
    <row r="1417" spans="1:16" hidden="1" x14ac:dyDescent="0.25">
      <c r="A1417">
        <v>1502</v>
      </c>
      <c r="B1417" t="s">
        <v>1016</v>
      </c>
      <c r="C1417" t="s">
        <v>1093</v>
      </c>
      <c r="D1417" t="s">
        <v>1103</v>
      </c>
      <c r="E1417" t="s">
        <v>22</v>
      </c>
      <c r="F1417" t="s">
        <v>15</v>
      </c>
      <c r="G1417" t="s">
        <v>75</v>
      </c>
      <c r="H1417" t="s">
        <v>1104</v>
      </c>
      <c r="I1417" t="s">
        <v>43</v>
      </c>
      <c r="J1417" t="s">
        <v>1198</v>
      </c>
      <c r="K1417">
        <v>9</v>
      </c>
      <c r="L1417">
        <v>2</v>
      </c>
      <c r="M1417">
        <v>3</v>
      </c>
      <c r="N1417">
        <v>1502</v>
      </c>
      <c r="O1417" t="str">
        <f>_xlfn.XLOOKUP(Table4[[#This Row],[id]],VALINA[id],VALINA[name])</f>
        <v>Nupa</v>
      </c>
      <c r="P1417">
        <f>_xlfn.XLOOKUP(Table4[[#This Row],[id]],prov_color!A:A,prov_color!C:C)</f>
        <v>52</v>
      </c>
    </row>
    <row r="1418" spans="1:16" hidden="1" x14ac:dyDescent="0.25">
      <c r="A1418">
        <v>1503</v>
      </c>
      <c r="B1418" t="s">
        <v>1016</v>
      </c>
      <c r="C1418" t="s">
        <v>1093</v>
      </c>
      <c r="D1418" t="s">
        <v>1098</v>
      </c>
      <c r="E1418" t="s">
        <v>22</v>
      </c>
      <c r="F1418" t="s">
        <v>15</v>
      </c>
      <c r="G1418" t="s">
        <v>75</v>
      </c>
      <c r="H1418" t="s">
        <v>1095</v>
      </c>
      <c r="I1418" t="s">
        <v>1039</v>
      </c>
      <c r="J1418" t="s">
        <v>1199</v>
      </c>
      <c r="K1418">
        <v>9</v>
      </c>
      <c r="L1418">
        <v>4</v>
      </c>
      <c r="M1418">
        <v>3</v>
      </c>
      <c r="N1418">
        <v>1503</v>
      </c>
      <c r="O1418" t="str">
        <f>_xlfn.XLOOKUP(Table4[[#This Row],[id]],VALINA[id],VALINA[name])</f>
        <v>Teke</v>
      </c>
      <c r="P1418">
        <f>_xlfn.XLOOKUP(Table4[[#This Row],[id]],prov_color!A:A,prov_color!C:C)</f>
        <v>48</v>
      </c>
    </row>
    <row r="1419" spans="1:16" hidden="1" x14ac:dyDescent="0.25">
      <c r="A1419">
        <v>1504</v>
      </c>
      <c r="B1419" t="s">
        <v>1016</v>
      </c>
      <c r="C1419" t="s">
        <v>1093</v>
      </c>
      <c r="D1419" t="s">
        <v>1098</v>
      </c>
      <c r="E1419" t="s">
        <v>80</v>
      </c>
      <c r="F1419" t="s">
        <v>15</v>
      </c>
      <c r="G1419" t="s">
        <v>75</v>
      </c>
      <c r="H1419" t="s">
        <v>1095</v>
      </c>
      <c r="I1419" t="s">
        <v>1039</v>
      </c>
      <c r="J1419" t="s">
        <v>1200</v>
      </c>
      <c r="K1419">
        <v>9</v>
      </c>
      <c r="L1419">
        <v>5</v>
      </c>
      <c r="M1419">
        <v>3</v>
      </c>
      <c r="N1419">
        <v>1504</v>
      </c>
      <c r="O1419" t="str">
        <f>_xlfn.XLOOKUP(Table4[[#This Row],[id]],VALINA[id],VALINA[name])</f>
        <v>Ngoyo</v>
      </c>
      <c r="P1419">
        <f>_xlfn.XLOOKUP(Table4[[#This Row],[id]],prov_color!A:A,prov_color!C:C)</f>
        <v>68</v>
      </c>
    </row>
    <row r="1420" spans="1:16" hidden="1" x14ac:dyDescent="0.25">
      <c r="A1420">
        <v>1505</v>
      </c>
      <c r="B1420" t="s">
        <v>1016</v>
      </c>
      <c r="C1420" t="s">
        <v>1093</v>
      </c>
      <c r="D1420" t="s">
        <v>1094</v>
      </c>
      <c r="E1420" t="s">
        <v>80</v>
      </c>
      <c r="F1420" t="s">
        <v>15</v>
      </c>
      <c r="G1420" t="s">
        <v>75</v>
      </c>
      <c r="H1420" t="s">
        <v>1095</v>
      </c>
      <c r="I1420" t="s">
        <v>1039</v>
      </c>
      <c r="J1420" t="s">
        <v>1201</v>
      </c>
      <c r="K1420">
        <v>9</v>
      </c>
      <c r="L1420">
        <v>5</v>
      </c>
      <c r="M1420">
        <v>4</v>
      </c>
      <c r="N1420">
        <v>1505</v>
      </c>
      <c r="O1420" t="str">
        <f>_xlfn.XLOOKUP(Table4[[#This Row],[id]],VALINA[id],VALINA[name])</f>
        <v>Ndongo</v>
      </c>
      <c r="P1420">
        <f>_xlfn.XLOOKUP(Table4[[#This Row],[id]],prov_color!A:A,prov_color!C:C)</f>
        <v>60</v>
      </c>
    </row>
    <row r="1421" spans="1:16" hidden="1" x14ac:dyDescent="0.25">
      <c r="A1421">
        <v>1506</v>
      </c>
      <c r="B1421" t="s">
        <v>1016</v>
      </c>
      <c r="C1421" t="s">
        <v>1093</v>
      </c>
      <c r="D1421" t="s">
        <v>1094</v>
      </c>
      <c r="E1421" t="s">
        <v>22</v>
      </c>
      <c r="F1421" t="s">
        <v>15</v>
      </c>
      <c r="G1421" t="s">
        <v>75</v>
      </c>
      <c r="H1421" t="s">
        <v>1095</v>
      </c>
      <c r="I1421" t="s">
        <v>685</v>
      </c>
      <c r="J1421" t="s">
        <v>1094</v>
      </c>
      <c r="K1421">
        <v>9</v>
      </c>
      <c r="L1421">
        <v>6</v>
      </c>
      <c r="M1421">
        <v>10</v>
      </c>
      <c r="N1421">
        <v>1506</v>
      </c>
      <c r="O1421" t="str">
        <f>_xlfn.XLOOKUP(Table4[[#This Row],[id]],VALINA[id],VALINA[name])</f>
        <v>Congo</v>
      </c>
      <c r="P1421">
        <f>_xlfn.XLOOKUP(Table4[[#This Row],[id]],prov_color!A:A,prov_color!C:C)</f>
        <v>59</v>
      </c>
    </row>
    <row r="1422" spans="1:16" hidden="1" x14ac:dyDescent="0.25">
      <c r="A1422">
        <v>1507</v>
      </c>
      <c r="B1422" t="s">
        <v>1016</v>
      </c>
      <c r="C1422" t="s">
        <v>1066</v>
      </c>
      <c r="D1422" t="s">
        <v>1202</v>
      </c>
      <c r="E1422" t="s">
        <v>34</v>
      </c>
      <c r="F1422" t="s">
        <v>15</v>
      </c>
      <c r="G1422" t="s">
        <v>75</v>
      </c>
      <c r="H1422" t="s">
        <v>1071</v>
      </c>
      <c r="I1422" t="s">
        <v>43</v>
      </c>
      <c r="J1422" t="s">
        <v>1203</v>
      </c>
      <c r="K1422">
        <v>9</v>
      </c>
      <c r="L1422">
        <v>4</v>
      </c>
      <c r="M1422">
        <v>1</v>
      </c>
      <c r="N1422">
        <v>1507</v>
      </c>
      <c r="O1422" t="str">
        <f>_xlfn.XLOOKUP(Table4[[#This Row],[id]],VALINA[id],VALINA[name])</f>
        <v>Chibuene</v>
      </c>
      <c r="P1422">
        <f>_xlfn.XLOOKUP(Table4[[#This Row],[id]],prov_color!A:A,prov_color!C:C)</f>
        <v>45</v>
      </c>
    </row>
    <row r="1423" spans="1:16" hidden="1" x14ac:dyDescent="0.25">
      <c r="A1423">
        <v>1508</v>
      </c>
      <c r="B1423" t="s">
        <v>1016</v>
      </c>
      <c r="C1423" t="s">
        <v>1066</v>
      </c>
      <c r="D1423" t="s">
        <v>1202</v>
      </c>
      <c r="E1423" t="s">
        <v>14</v>
      </c>
      <c r="F1423" t="s">
        <v>15</v>
      </c>
      <c r="G1423" t="s">
        <v>75</v>
      </c>
      <c r="H1423" t="s">
        <v>1068</v>
      </c>
      <c r="I1423" t="s">
        <v>27</v>
      </c>
      <c r="J1423" t="s">
        <v>1202</v>
      </c>
      <c r="K1423">
        <v>9</v>
      </c>
      <c r="L1423">
        <v>4</v>
      </c>
      <c r="M1423">
        <v>4</v>
      </c>
      <c r="N1423">
        <v>1508</v>
      </c>
      <c r="O1423" t="str">
        <f>_xlfn.XLOOKUP(Table4[[#This Row],[id]],VALINA[id],VALINA[name])</f>
        <v>Sofala</v>
      </c>
      <c r="P1423">
        <f>_xlfn.XLOOKUP(Table4[[#This Row],[id]],prov_color!A:A,prov_color!C:C)</f>
        <v>47</v>
      </c>
    </row>
    <row r="1424" spans="1:16" hidden="1" x14ac:dyDescent="0.25">
      <c r="A1424">
        <v>1509</v>
      </c>
      <c r="B1424" t="s">
        <v>1016</v>
      </c>
      <c r="C1424" t="s">
        <v>1066</v>
      </c>
      <c r="D1424" t="s">
        <v>1202</v>
      </c>
      <c r="E1424" t="s">
        <v>80</v>
      </c>
      <c r="F1424" t="s">
        <v>15</v>
      </c>
      <c r="G1424" t="s">
        <v>75</v>
      </c>
      <c r="H1424" t="s">
        <v>1068</v>
      </c>
      <c r="I1424" t="s">
        <v>18</v>
      </c>
      <c r="J1424" t="s">
        <v>1204</v>
      </c>
      <c r="K1424">
        <v>9</v>
      </c>
      <c r="L1424">
        <v>6</v>
      </c>
      <c r="M1424">
        <v>6</v>
      </c>
      <c r="N1424">
        <v>1509</v>
      </c>
      <c r="O1424" t="str">
        <f>_xlfn.XLOOKUP(Table4[[#This Row],[id]],VALINA[id],VALINA[name])</f>
        <v>Zimbabwe</v>
      </c>
      <c r="P1424">
        <f>_xlfn.XLOOKUP(Table4[[#This Row],[id]],prov_color!A:A,prov_color!C:C)</f>
        <v>56</v>
      </c>
    </row>
    <row r="1425" spans="1:16" hidden="1" x14ac:dyDescent="0.25">
      <c r="A1425">
        <v>1510</v>
      </c>
      <c r="B1425" t="s">
        <v>1016</v>
      </c>
      <c r="C1425" t="s">
        <v>1066</v>
      </c>
      <c r="D1425" t="s">
        <v>1202</v>
      </c>
      <c r="E1425" t="s">
        <v>14</v>
      </c>
      <c r="F1425" t="s">
        <v>15</v>
      </c>
      <c r="G1425" t="s">
        <v>75</v>
      </c>
      <c r="H1425" t="s">
        <v>1068</v>
      </c>
      <c r="I1425" t="s">
        <v>141</v>
      </c>
      <c r="J1425" t="s">
        <v>1205</v>
      </c>
      <c r="K1425">
        <v>9</v>
      </c>
      <c r="L1425">
        <v>6</v>
      </c>
      <c r="M1425">
        <v>3</v>
      </c>
      <c r="N1425">
        <v>1510</v>
      </c>
      <c r="O1425" t="str">
        <f>_xlfn.XLOOKUP(Table4[[#This Row],[id]],VALINA[id],VALINA[name])</f>
        <v>Rozwi</v>
      </c>
      <c r="P1425">
        <f>_xlfn.XLOOKUP(Table4[[#This Row],[id]],prov_color!A:A,prov_color!C:C)</f>
        <v>61</v>
      </c>
    </row>
    <row r="1426" spans="1:16" hidden="1" x14ac:dyDescent="0.25">
      <c r="A1426">
        <v>1511</v>
      </c>
      <c r="B1426" t="s">
        <v>1016</v>
      </c>
      <c r="C1426" t="s">
        <v>1066</v>
      </c>
      <c r="D1426" t="s">
        <v>1202</v>
      </c>
      <c r="E1426" t="s">
        <v>14</v>
      </c>
      <c r="F1426" t="s">
        <v>15</v>
      </c>
      <c r="G1426" t="s">
        <v>75</v>
      </c>
      <c r="H1426" t="s">
        <v>1068</v>
      </c>
      <c r="I1426" t="s">
        <v>1039</v>
      </c>
      <c r="J1426" t="s">
        <v>1206</v>
      </c>
      <c r="K1426">
        <v>9</v>
      </c>
      <c r="L1426">
        <v>6</v>
      </c>
      <c r="M1426">
        <v>3</v>
      </c>
      <c r="N1426">
        <v>1511</v>
      </c>
      <c r="O1426" t="str">
        <f>_xlfn.XLOOKUP(Table4[[#This Row],[id]],VALINA[id],VALINA[name])</f>
        <v>Nembire</v>
      </c>
      <c r="P1426">
        <f>_xlfn.XLOOKUP(Table4[[#This Row],[id]],prov_color!A:A,prov_color!C:C)</f>
        <v>66</v>
      </c>
    </row>
    <row r="1427" spans="1:16" hidden="1" x14ac:dyDescent="0.25">
      <c r="A1427">
        <v>1512</v>
      </c>
      <c r="B1427" t="s">
        <v>1016</v>
      </c>
      <c r="C1427" t="s">
        <v>1035</v>
      </c>
      <c r="D1427" t="s">
        <v>1055</v>
      </c>
      <c r="E1427" t="s">
        <v>34</v>
      </c>
      <c r="F1427" t="s">
        <v>15</v>
      </c>
      <c r="G1427" t="s">
        <v>75</v>
      </c>
      <c r="H1427" t="s">
        <v>1056</v>
      </c>
      <c r="I1427" t="s">
        <v>141</v>
      </c>
      <c r="J1427" t="s">
        <v>1207</v>
      </c>
      <c r="K1427">
        <v>9</v>
      </c>
      <c r="L1427">
        <v>4</v>
      </c>
      <c r="M1427">
        <v>2</v>
      </c>
      <c r="N1427">
        <v>1512</v>
      </c>
      <c r="O1427" t="str">
        <f>_xlfn.XLOOKUP(Table4[[#This Row],[id]],VALINA[id],VALINA[name])</f>
        <v>Morogoro</v>
      </c>
      <c r="P1427">
        <f>_xlfn.XLOOKUP(Table4[[#This Row],[id]],prov_color!A:A,prov_color!C:C)</f>
        <v>48</v>
      </c>
    </row>
    <row r="1428" spans="1:16" hidden="1" x14ac:dyDescent="0.25">
      <c r="A1428">
        <v>1513</v>
      </c>
      <c r="B1428" t="s">
        <v>1016</v>
      </c>
      <c r="C1428" t="s">
        <v>1035</v>
      </c>
      <c r="D1428" t="s">
        <v>1055</v>
      </c>
      <c r="E1428" t="s">
        <v>34</v>
      </c>
      <c r="F1428" t="s">
        <v>15</v>
      </c>
      <c r="G1428" t="s">
        <v>75</v>
      </c>
      <c r="H1428" t="s">
        <v>1056</v>
      </c>
      <c r="I1428" t="s">
        <v>1039</v>
      </c>
      <c r="J1428" t="s">
        <v>1208</v>
      </c>
      <c r="K1428">
        <v>9</v>
      </c>
      <c r="L1428">
        <v>4</v>
      </c>
      <c r="M1428">
        <v>1</v>
      </c>
      <c r="N1428">
        <v>1513</v>
      </c>
      <c r="O1428" t="str">
        <f>_xlfn.XLOOKUP(Table4[[#This Row],[id]],VALINA[id],VALINA[name])</f>
        <v>Arusha</v>
      </c>
      <c r="P1428">
        <f>_xlfn.XLOOKUP(Table4[[#This Row],[id]],prov_color!A:A,prov_color!C:C)</f>
        <v>63</v>
      </c>
    </row>
    <row r="1429" spans="1:16" hidden="1" x14ac:dyDescent="0.25">
      <c r="A1429">
        <v>1514</v>
      </c>
      <c r="B1429" t="s">
        <v>1016</v>
      </c>
      <c r="C1429" t="s">
        <v>1035</v>
      </c>
      <c r="D1429" t="s">
        <v>1055</v>
      </c>
      <c r="E1429" t="s">
        <v>14</v>
      </c>
      <c r="F1429" t="s">
        <v>15</v>
      </c>
      <c r="G1429" t="s">
        <v>75</v>
      </c>
      <c r="H1429" t="s">
        <v>1056</v>
      </c>
      <c r="I1429" t="s">
        <v>212</v>
      </c>
      <c r="J1429" t="s">
        <v>1209</v>
      </c>
      <c r="K1429">
        <v>9</v>
      </c>
      <c r="L1429">
        <v>4</v>
      </c>
      <c r="M1429">
        <v>1</v>
      </c>
      <c r="N1429">
        <v>1514</v>
      </c>
      <c r="O1429" t="str">
        <f>_xlfn.XLOOKUP(Table4[[#This Row],[id]],VALINA[id],VALINA[name])</f>
        <v>Galana</v>
      </c>
      <c r="P1429">
        <f>_xlfn.XLOOKUP(Table4[[#This Row],[id]],prov_color!A:A,prov_color!C:C)</f>
        <v>40</v>
      </c>
    </row>
    <row r="1430" spans="1:16" hidden="1" x14ac:dyDescent="0.25">
      <c r="A1430">
        <v>1515</v>
      </c>
      <c r="B1430" t="s">
        <v>1016</v>
      </c>
      <c r="C1430" t="s">
        <v>1035</v>
      </c>
      <c r="D1430" t="s">
        <v>1055</v>
      </c>
      <c r="E1430" t="s">
        <v>34</v>
      </c>
      <c r="F1430" t="s">
        <v>15</v>
      </c>
      <c r="G1430" t="s">
        <v>75</v>
      </c>
      <c r="H1430" t="s">
        <v>1056</v>
      </c>
      <c r="I1430" t="s">
        <v>1039</v>
      </c>
      <c r="J1430" t="s">
        <v>1210</v>
      </c>
      <c r="K1430">
        <v>9</v>
      </c>
      <c r="L1430">
        <v>4</v>
      </c>
      <c r="M1430">
        <v>1</v>
      </c>
      <c r="N1430">
        <v>1515</v>
      </c>
      <c r="O1430" t="str">
        <f>_xlfn.XLOOKUP(Table4[[#This Row],[id]],VALINA[id],VALINA[name])</f>
        <v>Tana</v>
      </c>
      <c r="P1430">
        <f>_xlfn.XLOOKUP(Table4[[#This Row],[id]],prov_color!A:A,prov_color!C:C)</f>
        <v>45</v>
      </c>
    </row>
    <row r="1431" spans="1:16" hidden="1" x14ac:dyDescent="0.25">
      <c r="A1431">
        <v>1516</v>
      </c>
      <c r="B1431" t="s">
        <v>1016</v>
      </c>
      <c r="C1431" t="s">
        <v>1035</v>
      </c>
      <c r="D1431" t="s">
        <v>1042</v>
      </c>
      <c r="E1431" t="s">
        <v>14</v>
      </c>
      <c r="F1431" t="s">
        <v>650</v>
      </c>
      <c r="G1431" t="s">
        <v>47</v>
      </c>
      <c r="H1431" t="s">
        <v>1043</v>
      </c>
      <c r="I1431" t="s">
        <v>43</v>
      </c>
      <c r="J1431" t="s">
        <v>1211</v>
      </c>
      <c r="K1431">
        <v>5</v>
      </c>
      <c r="L1431">
        <v>1</v>
      </c>
      <c r="M1431">
        <v>1</v>
      </c>
      <c r="N1431">
        <v>1516</v>
      </c>
      <c r="O1431" t="str">
        <f>_xlfn.XLOOKUP(Table4[[#This Row],[id]],VALINA[id],VALINA[name])</f>
        <v>Welo</v>
      </c>
      <c r="P1431">
        <f>_xlfn.XLOOKUP(Table4[[#This Row],[id]],prov_color!A:A,prov_color!C:C)</f>
        <v>65</v>
      </c>
    </row>
    <row r="1432" spans="1:16" hidden="1" x14ac:dyDescent="0.25">
      <c r="A1432">
        <v>1517</v>
      </c>
      <c r="B1432" t="s">
        <v>1016</v>
      </c>
      <c r="C1432" t="s">
        <v>1035</v>
      </c>
      <c r="D1432" t="s">
        <v>1042</v>
      </c>
      <c r="E1432" t="s">
        <v>14</v>
      </c>
      <c r="F1432" t="s">
        <v>650</v>
      </c>
      <c r="G1432" t="s">
        <v>35</v>
      </c>
      <c r="H1432" t="s">
        <v>1043</v>
      </c>
      <c r="I1432" t="s">
        <v>685</v>
      </c>
      <c r="J1432" t="s">
        <v>1212</v>
      </c>
      <c r="K1432">
        <v>5</v>
      </c>
      <c r="L1432">
        <v>6</v>
      </c>
      <c r="M1432">
        <v>10</v>
      </c>
      <c r="N1432">
        <v>1517</v>
      </c>
      <c r="O1432" t="str">
        <f>_xlfn.XLOOKUP(Table4[[#This Row],[id]],VALINA[id],VALINA[name])</f>
        <v>Shewa</v>
      </c>
      <c r="P1432">
        <f>_xlfn.XLOOKUP(Table4[[#This Row],[id]],prov_color!A:A,prov_color!C:C)</f>
        <v>59</v>
      </c>
    </row>
    <row r="1433" spans="1:16" hidden="1" x14ac:dyDescent="0.25">
      <c r="A1433">
        <v>1518</v>
      </c>
      <c r="B1433" t="s">
        <v>1016</v>
      </c>
      <c r="C1433" t="s">
        <v>1035</v>
      </c>
      <c r="D1433" t="s">
        <v>1046</v>
      </c>
      <c r="E1433" t="s">
        <v>52</v>
      </c>
      <c r="F1433" t="s">
        <v>609</v>
      </c>
      <c r="G1433" t="s">
        <v>47</v>
      </c>
      <c r="H1433" t="s">
        <v>1047</v>
      </c>
      <c r="I1433" t="s">
        <v>43</v>
      </c>
      <c r="J1433" t="s">
        <v>1213</v>
      </c>
      <c r="K1433">
        <v>5</v>
      </c>
      <c r="L1433">
        <v>1</v>
      </c>
      <c r="M1433">
        <v>1</v>
      </c>
      <c r="N1433">
        <v>1518</v>
      </c>
      <c r="O1433" t="str">
        <f>_xlfn.XLOOKUP(Table4[[#This Row],[id]],VALINA[id],VALINA[name])</f>
        <v>Arsi</v>
      </c>
      <c r="P1433">
        <f>_xlfn.XLOOKUP(Table4[[#This Row],[id]],prov_color!A:A,prov_color!C:C)</f>
        <v>52</v>
      </c>
    </row>
    <row r="1434" spans="1:16" hidden="1" x14ac:dyDescent="0.25">
      <c r="A1434">
        <v>1519</v>
      </c>
      <c r="B1434" t="s">
        <v>1016</v>
      </c>
      <c r="C1434" t="s">
        <v>1035</v>
      </c>
      <c r="D1434" t="s">
        <v>1046</v>
      </c>
      <c r="E1434" t="s">
        <v>52</v>
      </c>
      <c r="F1434" t="s">
        <v>609</v>
      </c>
      <c r="G1434" t="s">
        <v>47</v>
      </c>
      <c r="H1434" t="s">
        <v>1047</v>
      </c>
      <c r="I1434" t="s">
        <v>43</v>
      </c>
      <c r="J1434" t="s">
        <v>1214</v>
      </c>
      <c r="K1434">
        <v>5</v>
      </c>
      <c r="L1434">
        <v>1</v>
      </c>
      <c r="M1434">
        <v>0</v>
      </c>
      <c r="N1434">
        <v>1519</v>
      </c>
      <c r="O1434" t="str">
        <f>_xlfn.XLOOKUP(Table4[[#This Row],[id]],VALINA[id],VALINA[name])</f>
        <v>Harerge</v>
      </c>
      <c r="P1434">
        <f>_xlfn.XLOOKUP(Table4[[#This Row],[id]],prov_color!A:A,prov_color!C:C)</f>
        <v>36</v>
      </c>
    </row>
    <row r="1435" spans="1:16" hidden="1" x14ac:dyDescent="0.25">
      <c r="A1435">
        <v>1520</v>
      </c>
      <c r="B1435" t="s">
        <v>653</v>
      </c>
      <c r="C1435" t="s">
        <v>740</v>
      </c>
      <c r="D1435" t="s">
        <v>747</v>
      </c>
      <c r="E1435" t="s">
        <v>14</v>
      </c>
      <c r="F1435" t="s">
        <v>748</v>
      </c>
      <c r="G1435" t="s">
        <v>75</v>
      </c>
      <c r="H1435" t="s">
        <v>1215</v>
      </c>
      <c r="I1435" t="s">
        <v>352</v>
      </c>
      <c r="J1435" t="s">
        <v>1216</v>
      </c>
      <c r="K1435">
        <v>5</v>
      </c>
      <c r="L1435">
        <v>3</v>
      </c>
      <c r="M1435">
        <v>1</v>
      </c>
      <c r="N1435">
        <v>1520</v>
      </c>
      <c r="O1435" t="str">
        <f>_xlfn.XLOOKUP(Table4[[#This Row],[id]],VALINA[id],VALINA[name])</f>
        <v>Chandigarh</v>
      </c>
      <c r="P1435">
        <f>_xlfn.XLOOKUP(Table4[[#This Row],[id]],prov_color!A:A,prov_color!C:C)</f>
        <v>52</v>
      </c>
    </row>
    <row r="1436" spans="1:16" hidden="1" x14ac:dyDescent="0.25">
      <c r="A1436">
        <v>1521</v>
      </c>
      <c r="B1436" t="s">
        <v>653</v>
      </c>
      <c r="C1436" t="s">
        <v>740</v>
      </c>
      <c r="D1436" t="s">
        <v>747</v>
      </c>
      <c r="E1436" t="s">
        <v>34</v>
      </c>
      <c r="F1436" t="s">
        <v>748</v>
      </c>
      <c r="G1436" t="s">
        <v>276</v>
      </c>
      <c r="H1436" t="s">
        <v>1215</v>
      </c>
      <c r="I1436" t="s">
        <v>352</v>
      </c>
      <c r="J1436" t="s">
        <v>1217</v>
      </c>
      <c r="K1436">
        <v>5</v>
      </c>
      <c r="L1436">
        <v>4</v>
      </c>
      <c r="M1436">
        <v>2</v>
      </c>
      <c r="N1436">
        <v>1521</v>
      </c>
      <c r="O1436" t="str">
        <f>_xlfn.XLOOKUP(Table4[[#This Row],[id]],VALINA[id],VALINA[name])</f>
        <v>Panjab</v>
      </c>
      <c r="P1436">
        <f>_xlfn.XLOOKUP(Table4[[#This Row],[id]],prov_color!A:A,prov_color!C:C)</f>
        <v>45</v>
      </c>
    </row>
    <row r="1437" spans="1:16" hidden="1" x14ac:dyDescent="0.25">
      <c r="A1437">
        <v>1522</v>
      </c>
      <c r="B1437" t="s">
        <v>653</v>
      </c>
      <c r="C1437" t="s">
        <v>740</v>
      </c>
      <c r="D1437" t="s">
        <v>747</v>
      </c>
      <c r="E1437" t="s">
        <v>34</v>
      </c>
      <c r="F1437" t="s">
        <v>609</v>
      </c>
      <c r="G1437" t="s">
        <v>75</v>
      </c>
      <c r="H1437" t="s">
        <v>749</v>
      </c>
      <c r="I1437" t="s">
        <v>352</v>
      </c>
      <c r="J1437" t="s">
        <v>1218</v>
      </c>
      <c r="K1437">
        <v>5</v>
      </c>
      <c r="L1437">
        <v>6</v>
      </c>
      <c r="M1437">
        <v>2</v>
      </c>
      <c r="N1437">
        <v>1522</v>
      </c>
      <c r="O1437" t="str">
        <f>_xlfn.XLOOKUP(Table4[[#This Row],[id]],VALINA[id],VALINA[name])</f>
        <v>Bikaner</v>
      </c>
      <c r="P1437">
        <f>_xlfn.XLOOKUP(Table4[[#This Row],[id]],prov_color!A:A,prov_color!C:C)</f>
        <v>42</v>
      </c>
    </row>
    <row r="1438" spans="1:16" hidden="1" x14ac:dyDescent="0.25">
      <c r="A1438">
        <v>1523</v>
      </c>
      <c r="B1438" t="s">
        <v>653</v>
      </c>
      <c r="C1438" t="s">
        <v>740</v>
      </c>
      <c r="D1438" t="s">
        <v>741</v>
      </c>
      <c r="E1438" t="s">
        <v>34</v>
      </c>
      <c r="F1438" t="s">
        <v>609</v>
      </c>
      <c r="G1438" t="s">
        <v>75</v>
      </c>
      <c r="H1438" t="s">
        <v>1219</v>
      </c>
      <c r="I1438" t="s">
        <v>43</v>
      </c>
      <c r="J1438" t="s">
        <v>1220</v>
      </c>
      <c r="K1438">
        <v>5</v>
      </c>
      <c r="L1438">
        <v>3</v>
      </c>
      <c r="M1438">
        <v>4</v>
      </c>
      <c r="N1438">
        <v>1523</v>
      </c>
      <c r="O1438" t="str">
        <f>_xlfn.XLOOKUP(Table4[[#This Row],[id]],VALINA[id],VALINA[name])</f>
        <v>Thar</v>
      </c>
      <c r="P1438">
        <f>_xlfn.XLOOKUP(Table4[[#This Row],[id]],prov_color!A:A,prov_color!C:C)</f>
        <v>83</v>
      </c>
    </row>
    <row r="1439" spans="1:16" hidden="1" x14ac:dyDescent="0.25">
      <c r="A1439">
        <v>1524</v>
      </c>
      <c r="B1439" t="s">
        <v>653</v>
      </c>
      <c r="C1439" t="s">
        <v>672</v>
      </c>
      <c r="D1439" t="s">
        <v>1221</v>
      </c>
      <c r="E1439" t="s">
        <v>14</v>
      </c>
      <c r="F1439" t="s">
        <v>609</v>
      </c>
      <c r="G1439" t="s">
        <v>75</v>
      </c>
      <c r="H1439" t="s">
        <v>1219</v>
      </c>
      <c r="I1439" t="s">
        <v>43</v>
      </c>
      <c r="J1439" t="s">
        <v>1222</v>
      </c>
      <c r="K1439">
        <v>5</v>
      </c>
      <c r="L1439">
        <v>4</v>
      </c>
      <c r="M1439">
        <v>3</v>
      </c>
      <c r="N1439">
        <v>1524</v>
      </c>
      <c r="O1439" t="str">
        <f>_xlfn.XLOOKUP(Table4[[#This Row],[id]],VALINA[id],VALINA[name])</f>
        <v>Quetta</v>
      </c>
      <c r="P1439">
        <f>_xlfn.XLOOKUP(Table4[[#This Row],[id]],prov_color!A:A,prov_color!C:C)</f>
        <v>68</v>
      </c>
    </row>
    <row r="1440" spans="1:16" hidden="1" x14ac:dyDescent="0.25">
      <c r="A1440">
        <v>1525</v>
      </c>
      <c r="B1440" t="s">
        <v>653</v>
      </c>
      <c r="C1440" t="s">
        <v>672</v>
      </c>
      <c r="D1440" t="s">
        <v>1221</v>
      </c>
      <c r="E1440" t="s">
        <v>14</v>
      </c>
      <c r="F1440" t="s">
        <v>609</v>
      </c>
      <c r="G1440" t="s">
        <v>75</v>
      </c>
      <c r="H1440" t="s">
        <v>1219</v>
      </c>
      <c r="I1440" t="s">
        <v>41</v>
      </c>
      <c r="J1440" t="s">
        <v>1223</v>
      </c>
      <c r="K1440">
        <v>5</v>
      </c>
      <c r="L1440">
        <v>5</v>
      </c>
      <c r="M1440">
        <v>3</v>
      </c>
      <c r="N1440">
        <v>1525</v>
      </c>
      <c r="O1440" t="str">
        <f>_xlfn.XLOOKUP(Table4[[#This Row],[id]],VALINA[id],VALINA[name])</f>
        <v>Qandahar</v>
      </c>
      <c r="P1440">
        <f>_xlfn.XLOOKUP(Table4[[#This Row],[id]],prov_color!A:A,prov_color!C:C)</f>
        <v>45</v>
      </c>
    </row>
    <row r="1441" spans="1:16" hidden="1" x14ac:dyDescent="0.25">
      <c r="A1441">
        <v>1526</v>
      </c>
      <c r="B1441" t="s">
        <v>653</v>
      </c>
      <c r="C1441" t="s">
        <v>672</v>
      </c>
      <c r="D1441" t="s">
        <v>735</v>
      </c>
      <c r="E1441" t="s">
        <v>14</v>
      </c>
      <c r="F1441" t="s">
        <v>609</v>
      </c>
      <c r="G1441" t="s">
        <v>75</v>
      </c>
      <c r="H1441" t="s">
        <v>736</v>
      </c>
      <c r="I1441" t="s">
        <v>41</v>
      </c>
      <c r="J1441" t="s">
        <v>1224</v>
      </c>
      <c r="K1441">
        <v>5</v>
      </c>
      <c r="L1441">
        <v>3</v>
      </c>
      <c r="M1441">
        <v>2</v>
      </c>
      <c r="N1441">
        <v>1526</v>
      </c>
      <c r="O1441" t="str">
        <f>_xlfn.XLOOKUP(Table4[[#This Row],[id]],VALINA[id],VALINA[name])</f>
        <v>Zahedan</v>
      </c>
      <c r="P1441">
        <f>_xlfn.XLOOKUP(Table4[[#This Row],[id]],prov_color!A:A,prov_color!C:C)</f>
        <v>42</v>
      </c>
    </row>
    <row r="1442" spans="1:16" hidden="1" x14ac:dyDescent="0.25">
      <c r="A1442">
        <v>1527</v>
      </c>
      <c r="B1442" t="s">
        <v>653</v>
      </c>
      <c r="C1442" t="s">
        <v>672</v>
      </c>
      <c r="D1442" t="s">
        <v>1221</v>
      </c>
      <c r="E1442" t="s">
        <v>14</v>
      </c>
      <c r="F1442" t="s">
        <v>609</v>
      </c>
      <c r="G1442" t="s">
        <v>276</v>
      </c>
      <c r="H1442" t="s">
        <v>1219</v>
      </c>
      <c r="I1442" t="s">
        <v>41</v>
      </c>
      <c r="J1442" t="s">
        <v>1225</v>
      </c>
      <c r="K1442">
        <v>5</v>
      </c>
      <c r="L1442">
        <v>8</v>
      </c>
      <c r="M1442">
        <v>2</v>
      </c>
      <c r="N1442">
        <v>1527</v>
      </c>
      <c r="O1442" t="str">
        <f>_xlfn.XLOOKUP(Table4[[#This Row],[id]],VALINA[id],VALINA[name])</f>
        <v>Kabul</v>
      </c>
      <c r="P1442">
        <f>_xlfn.XLOOKUP(Table4[[#This Row],[id]],prov_color!A:A,prov_color!C:C)</f>
        <v>67</v>
      </c>
    </row>
    <row r="1443" spans="1:16" hidden="1" x14ac:dyDescent="0.25">
      <c r="A1443">
        <v>1528</v>
      </c>
      <c r="B1443" t="s">
        <v>653</v>
      </c>
      <c r="C1443" t="s">
        <v>672</v>
      </c>
      <c r="D1443" t="s">
        <v>1221</v>
      </c>
      <c r="E1443" t="s">
        <v>80</v>
      </c>
      <c r="F1443" t="s">
        <v>609</v>
      </c>
      <c r="G1443" t="s">
        <v>35</v>
      </c>
      <c r="H1443" t="s">
        <v>719</v>
      </c>
      <c r="I1443" t="s">
        <v>53</v>
      </c>
      <c r="J1443" t="s">
        <v>1226</v>
      </c>
      <c r="K1443">
        <v>5</v>
      </c>
      <c r="L1443">
        <v>4</v>
      </c>
      <c r="M1443">
        <v>2</v>
      </c>
      <c r="N1443">
        <v>1528</v>
      </c>
      <c r="O1443" t="str">
        <f>_xlfn.XLOOKUP(Table4[[#This Row],[id]],VALINA[id],VALINA[name])</f>
        <v>Kushka</v>
      </c>
      <c r="P1443">
        <f>_xlfn.XLOOKUP(Table4[[#This Row],[id]],prov_color!A:A,prov_color!C:C)</f>
        <v>72</v>
      </c>
    </row>
    <row r="1444" spans="1:16" hidden="1" x14ac:dyDescent="0.25">
      <c r="A1444">
        <v>1529</v>
      </c>
      <c r="B1444" t="s">
        <v>653</v>
      </c>
      <c r="C1444" t="s">
        <v>672</v>
      </c>
      <c r="D1444" t="s">
        <v>673</v>
      </c>
      <c r="E1444" t="s">
        <v>14</v>
      </c>
      <c r="F1444" t="s">
        <v>609</v>
      </c>
      <c r="G1444" t="s">
        <v>35</v>
      </c>
      <c r="H1444" t="s">
        <v>719</v>
      </c>
      <c r="I1444" t="s">
        <v>41</v>
      </c>
      <c r="J1444" t="s">
        <v>1227</v>
      </c>
      <c r="K1444">
        <v>5</v>
      </c>
      <c r="L1444">
        <v>2</v>
      </c>
      <c r="M1444">
        <v>3</v>
      </c>
      <c r="N1444">
        <v>1529</v>
      </c>
      <c r="O1444" t="str">
        <f>_xlfn.XLOOKUP(Table4[[#This Row],[id]],VALINA[id],VALINA[name])</f>
        <v>Birjand</v>
      </c>
      <c r="P1444">
        <f>_xlfn.XLOOKUP(Table4[[#This Row],[id]],prov_color!A:A,prov_color!C:C)</f>
        <v>45</v>
      </c>
    </row>
    <row r="1445" spans="1:16" hidden="1" x14ac:dyDescent="0.25">
      <c r="A1445">
        <v>1530</v>
      </c>
      <c r="B1445" t="s">
        <v>653</v>
      </c>
      <c r="C1445" t="s">
        <v>672</v>
      </c>
      <c r="D1445" t="s">
        <v>673</v>
      </c>
      <c r="E1445" t="s">
        <v>14</v>
      </c>
      <c r="F1445" t="s">
        <v>609</v>
      </c>
      <c r="G1445" t="s">
        <v>35</v>
      </c>
      <c r="H1445" t="s">
        <v>719</v>
      </c>
      <c r="I1445" t="s">
        <v>43</v>
      </c>
      <c r="J1445" t="s">
        <v>1228</v>
      </c>
      <c r="K1445">
        <v>5</v>
      </c>
      <c r="L1445">
        <v>2</v>
      </c>
      <c r="M1445">
        <v>4</v>
      </c>
      <c r="N1445">
        <v>1530</v>
      </c>
      <c r="O1445" t="str">
        <f>_xlfn.XLOOKUP(Table4[[#This Row],[id]],VALINA[id],VALINA[name])</f>
        <v>Khorasan</v>
      </c>
      <c r="P1445">
        <f>_xlfn.XLOOKUP(Table4[[#This Row],[id]],prov_color!A:A,prov_color!C:C)</f>
        <v>74</v>
      </c>
    </row>
    <row r="1446" spans="1:16" hidden="1" x14ac:dyDescent="0.25">
      <c r="A1446">
        <v>1531</v>
      </c>
      <c r="B1446" t="s">
        <v>653</v>
      </c>
      <c r="C1446" t="s">
        <v>672</v>
      </c>
      <c r="D1446" t="s">
        <v>1221</v>
      </c>
      <c r="E1446" t="s">
        <v>34</v>
      </c>
      <c r="F1446" t="s">
        <v>609</v>
      </c>
      <c r="G1446" t="s">
        <v>35</v>
      </c>
      <c r="H1446" t="s">
        <v>719</v>
      </c>
      <c r="I1446" t="s">
        <v>685</v>
      </c>
      <c r="J1446" t="s">
        <v>1229</v>
      </c>
      <c r="K1446">
        <v>5</v>
      </c>
      <c r="L1446">
        <v>6</v>
      </c>
      <c r="M1446">
        <v>5</v>
      </c>
      <c r="N1446">
        <v>1531</v>
      </c>
      <c r="O1446" t="str">
        <f>_xlfn.XLOOKUP(Table4[[#This Row],[id]],VALINA[id],VALINA[name])</f>
        <v>Herat</v>
      </c>
      <c r="P1446">
        <f>_xlfn.XLOOKUP(Table4[[#This Row],[id]],prov_color!A:A,prov_color!C:C)</f>
        <v>72</v>
      </c>
    </row>
    <row r="1447" spans="1:16" hidden="1" x14ac:dyDescent="0.25">
      <c r="A1447">
        <v>1532</v>
      </c>
      <c r="B1447" t="s">
        <v>653</v>
      </c>
      <c r="C1447" t="s">
        <v>672</v>
      </c>
      <c r="D1447" t="s">
        <v>711</v>
      </c>
      <c r="E1447" t="s">
        <v>52</v>
      </c>
      <c r="F1447" t="s">
        <v>609</v>
      </c>
      <c r="G1447" t="s">
        <v>35</v>
      </c>
      <c r="H1447" t="s">
        <v>719</v>
      </c>
      <c r="I1447" t="s">
        <v>53</v>
      </c>
      <c r="J1447" t="s">
        <v>1230</v>
      </c>
      <c r="K1447">
        <v>5</v>
      </c>
      <c r="L1447">
        <v>5</v>
      </c>
      <c r="M1447">
        <v>5</v>
      </c>
      <c r="N1447">
        <v>1532</v>
      </c>
      <c r="O1447" t="str">
        <f>_xlfn.XLOOKUP(Table4[[#This Row],[id]],VALINA[id],VALINA[name])</f>
        <v>Bukhara</v>
      </c>
      <c r="P1447">
        <f>_xlfn.XLOOKUP(Table4[[#This Row],[id]],prov_color!A:A,prov_color!C:C)</f>
        <v>57</v>
      </c>
    </row>
    <row r="1448" spans="1:16" hidden="1" x14ac:dyDescent="0.25">
      <c r="A1448">
        <v>1533</v>
      </c>
      <c r="B1448" t="s">
        <v>653</v>
      </c>
      <c r="C1448" t="s">
        <v>672</v>
      </c>
      <c r="D1448" t="s">
        <v>711</v>
      </c>
      <c r="E1448" t="s">
        <v>34</v>
      </c>
      <c r="F1448" t="s">
        <v>609</v>
      </c>
      <c r="G1448" t="s">
        <v>35</v>
      </c>
      <c r="H1448" t="s">
        <v>719</v>
      </c>
      <c r="I1448" t="s">
        <v>41</v>
      </c>
      <c r="J1448" t="s">
        <v>1231</v>
      </c>
      <c r="K1448">
        <v>5</v>
      </c>
      <c r="L1448">
        <v>3</v>
      </c>
      <c r="M1448">
        <v>2</v>
      </c>
      <c r="N1448">
        <v>1533</v>
      </c>
      <c r="O1448" t="str">
        <f>_xlfn.XLOOKUP(Table4[[#This Row],[id]],VALINA[id],VALINA[name])</f>
        <v>Khiva</v>
      </c>
      <c r="P1448">
        <f>_xlfn.XLOOKUP(Table4[[#This Row],[id]],prov_color!A:A,prov_color!C:C)</f>
        <v>56</v>
      </c>
    </row>
    <row r="1449" spans="1:16" hidden="1" x14ac:dyDescent="0.25">
      <c r="A1449">
        <v>1534</v>
      </c>
      <c r="B1449" t="s">
        <v>653</v>
      </c>
      <c r="C1449" t="s">
        <v>672</v>
      </c>
      <c r="D1449" t="s">
        <v>711</v>
      </c>
      <c r="E1449" t="s">
        <v>34</v>
      </c>
      <c r="F1449" t="s">
        <v>609</v>
      </c>
      <c r="G1449" t="s">
        <v>47</v>
      </c>
      <c r="H1449" t="s">
        <v>712</v>
      </c>
      <c r="I1449" t="s">
        <v>53</v>
      </c>
      <c r="J1449" t="s">
        <v>1232</v>
      </c>
      <c r="K1449">
        <v>5</v>
      </c>
      <c r="L1449">
        <v>2</v>
      </c>
      <c r="M1449">
        <v>1</v>
      </c>
      <c r="N1449">
        <v>1534</v>
      </c>
      <c r="O1449" t="str">
        <f>_xlfn.XLOOKUP(Table4[[#This Row],[id]],VALINA[id],VALINA[name])</f>
        <v>Kyzylkum</v>
      </c>
      <c r="P1449">
        <f>_xlfn.XLOOKUP(Table4[[#This Row],[id]],prov_color!A:A,prov_color!C:C)</f>
        <v>63</v>
      </c>
    </row>
    <row r="1450" spans="1:16" hidden="1" x14ac:dyDescent="0.25">
      <c r="A1450">
        <v>1535</v>
      </c>
      <c r="B1450" t="s">
        <v>653</v>
      </c>
      <c r="C1450" t="s">
        <v>672</v>
      </c>
      <c r="D1450" t="s">
        <v>711</v>
      </c>
      <c r="E1450" t="s">
        <v>34</v>
      </c>
      <c r="F1450" t="s">
        <v>609</v>
      </c>
      <c r="G1450" t="s">
        <v>47</v>
      </c>
      <c r="H1450" t="s">
        <v>712</v>
      </c>
      <c r="I1450" t="s">
        <v>41</v>
      </c>
      <c r="J1450" t="s">
        <v>1233</v>
      </c>
      <c r="K1450">
        <v>5</v>
      </c>
      <c r="L1450">
        <v>4</v>
      </c>
      <c r="M1450">
        <v>1</v>
      </c>
      <c r="N1450">
        <v>1535</v>
      </c>
      <c r="O1450" t="str">
        <f>_xlfn.XLOOKUP(Table4[[#This Row],[id]],VALINA[id],VALINA[name])</f>
        <v>Karsak</v>
      </c>
      <c r="P1450">
        <f>_xlfn.XLOOKUP(Table4[[#This Row],[id]],prov_color!A:A,prov_color!C:C)</f>
        <v>89</v>
      </c>
    </row>
    <row r="1451" spans="1:16" hidden="1" x14ac:dyDescent="0.25">
      <c r="A1451">
        <v>1536</v>
      </c>
      <c r="B1451" t="s">
        <v>653</v>
      </c>
      <c r="C1451" t="s">
        <v>701</v>
      </c>
      <c r="D1451" t="s">
        <v>803</v>
      </c>
      <c r="E1451" t="s">
        <v>34</v>
      </c>
      <c r="F1451" t="s">
        <v>609</v>
      </c>
      <c r="G1451" t="s">
        <v>35</v>
      </c>
      <c r="H1451" t="s">
        <v>714</v>
      </c>
      <c r="I1451" t="s">
        <v>41</v>
      </c>
      <c r="J1451" t="s">
        <v>1234</v>
      </c>
      <c r="K1451">
        <v>5</v>
      </c>
      <c r="L1451">
        <v>3</v>
      </c>
      <c r="M1451">
        <v>1</v>
      </c>
      <c r="N1451">
        <v>1536</v>
      </c>
      <c r="O1451" t="str">
        <f>_xlfn.XLOOKUP(Table4[[#This Row],[id]],VALINA[id],VALINA[name])</f>
        <v>Nura</v>
      </c>
      <c r="P1451">
        <f>_xlfn.XLOOKUP(Table4[[#This Row],[id]],prov_color!A:A,prov_color!C:C)</f>
        <v>85</v>
      </c>
    </row>
    <row r="1452" spans="1:16" hidden="1" x14ac:dyDescent="0.25">
      <c r="A1452">
        <v>1537</v>
      </c>
      <c r="B1452" t="s">
        <v>11</v>
      </c>
      <c r="C1452" t="s">
        <v>12</v>
      </c>
      <c r="D1452" t="s">
        <v>1235</v>
      </c>
      <c r="E1452" t="s">
        <v>34</v>
      </c>
      <c r="F1452" t="s">
        <v>15</v>
      </c>
      <c r="G1452" t="s">
        <v>16</v>
      </c>
      <c r="H1452" t="s">
        <v>377</v>
      </c>
      <c r="I1452" t="s">
        <v>20</v>
      </c>
      <c r="J1452" t="s">
        <v>1236</v>
      </c>
      <c r="K1452">
        <v>3</v>
      </c>
      <c r="L1452">
        <v>1</v>
      </c>
      <c r="M1452">
        <v>1</v>
      </c>
      <c r="N1452">
        <v>1537</v>
      </c>
      <c r="O1452" t="str">
        <f>_xlfn.XLOOKUP(Table4[[#This Row],[id]],VALINA[id],VALINA[name])</f>
        <v>Vestbygden</v>
      </c>
      <c r="P1452">
        <f>_xlfn.XLOOKUP(Table4[[#This Row],[id]],prov_color!A:A,prov_color!C:C)</f>
        <v>45</v>
      </c>
    </row>
    <row r="1453" spans="1:16" hidden="1" x14ac:dyDescent="0.25">
      <c r="A1453">
        <v>1538</v>
      </c>
      <c r="B1453" t="s">
        <v>11</v>
      </c>
      <c r="C1453" t="s">
        <v>12</v>
      </c>
      <c r="D1453" t="s">
        <v>1235</v>
      </c>
      <c r="E1453" t="s">
        <v>34</v>
      </c>
      <c r="F1453" t="s">
        <v>15</v>
      </c>
      <c r="G1453" t="s">
        <v>16</v>
      </c>
      <c r="H1453" t="s">
        <v>377</v>
      </c>
      <c r="I1453" t="s">
        <v>27</v>
      </c>
      <c r="J1453" t="s">
        <v>1237</v>
      </c>
      <c r="K1453">
        <v>3</v>
      </c>
      <c r="L1453">
        <v>1</v>
      </c>
      <c r="M1453">
        <v>1</v>
      </c>
      <c r="N1453">
        <v>1538</v>
      </c>
      <c r="O1453" t="str">
        <f>_xlfn.XLOOKUP(Table4[[#This Row],[id]],VALINA[id],VALINA[name])</f>
        <v>Eiriksfjord</v>
      </c>
      <c r="P1453">
        <f>_xlfn.XLOOKUP(Table4[[#This Row],[id]],prov_color!A:A,prov_color!C:C)</f>
        <v>40</v>
      </c>
    </row>
    <row r="1454" spans="1:16" hidden="1" x14ac:dyDescent="0.25">
      <c r="A1454">
        <v>1539</v>
      </c>
      <c r="B1454" t="s">
        <v>653</v>
      </c>
      <c r="C1454" t="s">
        <v>868</v>
      </c>
      <c r="D1454" t="s">
        <v>1238</v>
      </c>
      <c r="E1454" t="s">
        <v>14</v>
      </c>
      <c r="F1454" t="s">
        <v>748</v>
      </c>
      <c r="G1454" t="s">
        <v>16</v>
      </c>
      <c r="H1454" t="s">
        <v>768</v>
      </c>
      <c r="I1454" t="s">
        <v>41</v>
      </c>
      <c r="J1454" t="s">
        <v>1239</v>
      </c>
      <c r="K1454">
        <v>5</v>
      </c>
      <c r="L1454">
        <v>1</v>
      </c>
      <c r="M1454">
        <v>2</v>
      </c>
      <c r="N1454">
        <v>1539</v>
      </c>
      <c r="O1454" t="str">
        <f>_xlfn.XLOOKUP(Table4[[#This Row],[id]],VALINA[id],VALINA[name])</f>
        <v>Nepal</v>
      </c>
      <c r="P1454">
        <f>_xlfn.XLOOKUP(Table4[[#This Row],[id]],prov_color!A:A,prov_color!C:C)</f>
        <v>60</v>
      </c>
    </row>
    <row r="1455" spans="1:16" hidden="1" x14ac:dyDescent="0.25">
      <c r="A1455">
        <v>1540</v>
      </c>
      <c r="B1455" t="s">
        <v>653</v>
      </c>
      <c r="C1455" t="s">
        <v>868</v>
      </c>
      <c r="D1455" t="s">
        <v>1238</v>
      </c>
      <c r="E1455" t="s">
        <v>14</v>
      </c>
      <c r="F1455" t="s">
        <v>799</v>
      </c>
      <c r="G1455" t="s">
        <v>16</v>
      </c>
      <c r="H1455" t="s">
        <v>1240</v>
      </c>
      <c r="I1455" t="s">
        <v>41</v>
      </c>
      <c r="J1455" t="s">
        <v>1241</v>
      </c>
      <c r="K1455">
        <v>5</v>
      </c>
      <c r="L1455">
        <v>1</v>
      </c>
      <c r="M1455">
        <v>1</v>
      </c>
      <c r="N1455">
        <v>1540</v>
      </c>
      <c r="O1455" t="str">
        <f>_xlfn.XLOOKUP(Table4[[#This Row],[id]],VALINA[id],VALINA[name])</f>
        <v>Gangdise</v>
      </c>
      <c r="P1455">
        <f>_xlfn.XLOOKUP(Table4[[#This Row],[id]],prov_color!A:A,prov_color!C:C)</f>
        <v>73</v>
      </c>
    </row>
    <row r="1456" spans="1:16" hidden="1" x14ac:dyDescent="0.25">
      <c r="A1456">
        <v>1541</v>
      </c>
      <c r="B1456" t="s">
        <v>653</v>
      </c>
      <c r="C1456" t="s">
        <v>868</v>
      </c>
      <c r="D1456" t="s">
        <v>1238</v>
      </c>
      <c r="E1456" t="s">
        <v>14</v>
      </c>
      <c r="F1456" t="s">
        <v>799</v>
      </c>
      <c r="G1456" t="s">
        <v>16</v>
      </c>
      <c r="H1456" t="s">
        <v>1240</v>
      </c>
      <c r="I1456" t="s">
        <v>41</v>
      </c>
      <c r="J1456" t="s">
        <v>1242</v>
      </c>
      <c r="K1456">
        <v>5</v>
      </c>
      <c r="L1456">
        <v>1</v>
      </c>
      <c r="M1456">
        <v>1</v>
      </c>
      <c r="N1456">
        <v>1541</v>
      </c>
      <c r="O1456" t="str">
        <f>_xlfn.XLOOKUP(Table4[[#This Row],[id]],VALINA[id],VALINA[name])</f>
        <v>Kunlun</v>
      </c>
      <c r="P1456">
        <f>_xlfn.XLOOKUP(Table4[[#This Row],[id]],prov_color!A:A,prov_color!C:C)</f>
        <v>89</v>
      </c>
    </row>
    <row r="1457" spans="1:16" hidden="1" x14ac:dyDescent="0.25">
      <c r="A1457">
        <v>1542</v>
      </c>
      <c r="B1457" t="s">
        <v>653</v>
      </c>
      <c r="C1457" t="s">
        <v>868</v>
      </c>
      <c r="D1457" t="s">
        <v>1238</v>
      </c>
      <c r="E1457" t="s">
        <v>14</v>
      </c>
      <c r="F1457" t="s">
        <v>799</v>
      </c>
      <c r="G1457" t="s">
        <v>16</v>
      </c>
      <c r="H1457" t="s">
        <v>1240</v>
      </c>
      <c r="I1457" t="s">
        <v>41</v>
      </c>
      <c r="J1457" t="s">
        <v>1243</v>
      </c>
      <c r="K1457">
        <v>5</v>
      </c>
      <c r="L1457">
        <v>1</v>
      </c>
      <c r="M1457">
        <v>1</v>
      </c>
      <c r="N1457">
        <v>1542</v>
      </c>
      <c r="O1457" t="str">
        <f>_xlfn.XLOOKUP(Table4[[#This Row],[id]],VALINA[id],VALINA[name])</f>
        <v>Dangla</v>
      </c>
      <c r="P1457">
        <f>_xlfn.XLOOKUP(Table4[[#This Row],[id]],prov_color!A:A,prov_color!C:C)</f>
        <v>97</v>
      </c>
    </row>
    <row r="1458" spans="1:16" hidden="1" x14ac:dyDescent="0.25">
      <c r="A1458">
        <v>1543</v>
      </c>
      <c r="B1458" t="s">
        <v>653</v>
      </c>
      <c r="C1458" t="s">
        <v>868</v>
      </c>
      <c r="D1458" t="s">
        <v>1238</v>
      </c>
      <c r="E1458" t="s">
        <v>14</v>
      </c>
      <c r="F1458" t="s">
        <v>799</v>
      </c>
      <c r="G1458" t="s">
        <v>16</v>
      </c>
      <c r="H1458" t="s">
        <v>1240</v>
      </c>
      <c r="I1458" t="s">
        <v>41</v>
      </c>
      <c r="J1458" t="s">
        <v>1244</v>
      </c>
      <c r="K1458">
        <v>5</v>
      </c>
      <c r="L1458">
        <v>2</v>
      </c>
      <c r="M1458">
        <v>2</v>
      </c>
      <c r="N1458">
        <v>1543</v>
      </c>
      <c r="O1458" t="str">
        <f>_xlfn.XLOOKUP(Table4[[#This Row],[id]],VALINA[id],VALINA[name])</f>
        <v>Lhasa</v>
      </c>
      <c r="P1458">
        <f>_xlfn.XLOOKUP(Table4[[#This Row],[id]],prov_color!A:A,prov_color!C:C)</f>
        <v>105</v>
      </c>
    </row>
    <row r="1459" spans="1:16" hidden="1" x14ac:dyDescent="0.25">
      <c r="A1459">
        <v>1544</v>
      </c>
      <c r="B1459" t="s">
        <v>653</v>
      </c>
      <c r="C1459" t="s">
        <v>868</v>
      </c>
      <c r="D1459" t="s">
        <v>1245</v>
      </c>
      <c r="E1459" t="s">
        <v>14</v>
      </c>
      <c r="F1459" t="s">
        <v>799</v>
      </c>
      <c r="G1459" t="s">
        <v>75</v>
      </c>
      <c r="H1459" t="s">
        <v>886</v>
      </c>
      <c r="I1459" t="s">
        <v>41</v>
      </c>
      <c r="J1459" t="s">
        <v>1246</v>
      </c>
      <c r="K1459">
        <v>5</v>
      </c>
      <c r="L1459">
        <v>1</v>
      </c>
      <c r="M1459">
        <v>1</v>
      </c>
      <c r="N1459">
        <v>1544</v>
      </c>
      <c r="O1459" t="str">
        <f>_xlfn.XLOOKUP(Table4[[#This Row],[id]],VALINA[id],VALINA[name])</f>
        <v>Xinjiang</v>
      </c>
      <c r="P1459">
        <f>_xlfn.XLOOKUP(Table4[[#This Row],[id]],prov_color!A:A,prov_color!C:C)</f>
        <v>65</v>
      </c>
    </row>
    <row r="1460" spans="1:16" hidden="1" x14ac:dyDescent="0.25">
      <c r="A1460">
        <v>1545</v>
      </c>
      <c r="B1460" t="s">
        <v>653</v>
      </c>
      <c r="C1460" t="s">
        <v>868</v>
      </c>
      <c r="D1460" t="s">
        <v>1245</v>
      </c>
      <c r="E1460" t="s">
        <v>14</v>
      </c>
      <c r="F1460" t="s">
        <v>799</v>
      </c>
      <c r="G1460" t="s">
        <v>75</v>
      </c>
      <c r="H1460" t="s">
        <v>922</v>
      </c>
      <c r="I1460" t="s">
        <v>141</v>
      </c>
      <c r="J1460" t="s">
        <v>1247</v>
      </c>
      <c r="K1460">
        <v>5</v>
      </c>
      <c r="L1460">
        <v>2</v>
      </c>
      <c r="M1460">
        <v>2</v>
      </c>
      <c r="N1460">
        <v>1545</v>
      </c>
      <c r="O1460" t="str">
        <f>_xlfn.XLOOKUP(Table4[[#This Row],[id]],VALINA[id],VALINA[name])</f>
        <v>Kachin</v>
      </c>
      <c r="P1460">
        <f>_xlfn.XLOOKUP(Table4[[#This Row],[id]],prov_color!A:A,prov_color!C:C)</f>
        <v>47</v>
      </c>
    </row>
    <row r="1461" spans="1:16" hidden="1" x14ac:dyDescent="0.25">
      <c r="A1461">
        <v>1546</v>
      </c>
      <c r="B1461" t="s">
        <v>653</v>
      </c>
      <c r="C1461" t="s">
        <v>904</v>
      </c>
      <c r="D1461" t="s">
        <v>921</v>
      </c>
      <c r="E1461" t="s">
        <v>14</v>
      </c>
      <c r="F1461" t="s">
        <v>748</v>
      </c>
      <c r="G1461" t="s">
        <v>75</v>
      </c>
      <c r="H1461" t="s">
        <v>922</v>
      </c>
      <c r="I1461" t="s">
        <v>352</v>
      </c>
      <c r="J1461" t="s">
        <v>921</v>
      </c>
      <c r="K1461">
        <v>5</v>
      </c>
      <c r="L1461">
        <v>5</v>
      </c>
      <c r="M1461">
        <v>2</v>
      </c>
      <c r="N1461">
        <v>1546</v>
      </c>
      <c r="O1461" t="str">
        <f>_xlfn.XLOOKUP(Table4[[#This Row],[id]],VALINA[id],VALINA[name])</f>
        <v>Assam</v>
      </c>
      <c r="P1461">
        <f>_xlfn.XLOOKUP(Table4[[#This Row],[id]],prov_color!A:A,prov_color!C:C)</f>
        <v>46</v>
      </c>
    </row>
    <row r="1462" spans="1:16" hidden="1" x14ac:dyDescent="0.25">
      <c r="A1462">
        <v>1547</v>
      </c>
      <c r="B1462" t="s">
        <v>653</v>
      </c>
      <c r="C1462" t="s">
        <v>904</v>
      </c>
      <c r="D1462" t="s">
        <v>924</v>
      </c>
      <c r="E1462" t="s">
        <v>14</v>
      </c>
      <c r="F1462" t="s">
        <v>799</v>
      </c>
      <c r="G1462" t="s">
        <v>75</v>
      </c>
      <c r="H1462" t="s">
        <v>922</v>
      </c>
      <c r="I1462" t="s">
        <v>43</v>
      </c>
      <c r="J1462" t="s">
        <v>1248</v>
      </c>
      <c r="K1462">
        <v>5</v>
      </c>
      <c r="L1462">
        <v>6</v>
      </c>
      <c r="M1462">
        <v>2</v>
      </c>
      <c r="N1462">
        <v>1547</v>
      </c>
      <c r="O1462" t="str">
        <f>_xlfn.XLOOKUP(Table4[[#This Row],[id]],VALINA[id],VALINA[name])</f>
        <v>Mandalay</v>
      </c>
      <c r="P1462">
        <f>_xlfn.XLOOKUP(Table4[[#This Row],[id]],prov_color!A:A,prov_color!C:C)</f>
        <v>44</v>
      </c>
    </row>
    <row r="1463" spans="1:16" hidden="1" x14ac:dyDescent="0.25">
      <c r="A1463">
        <v>1548</v>
      </c>
      <c r="B1463" t="s">
        <v>653</v>
      </c>
      <c r="C1463" t="s">
        <v>904</v>
      </c>
      <c r="D1463" t="s">
        <v>924</v>
      </c>
      <c r="E1463" t="s">
        <v>14</v>
      </c>
      <c r="F1463" t="s">
        <v>799</v>
      </c>
      <c r="G1463" t="s">
        <v>75</v>
      </c>
      <c r="H1463" t="s">
        <v>922</v>
      </c>
      <c r="I1463" t="s">
        <v>18</v>
      </c>
      <c r="J1463" t="s">
        <v>1249</v>
      </c>
      <c r="K1463">
        <v>5</v>
      </c>
      <c r="L1463">
        <v>3</v>
      </c>
      <c r="M1463">
        <v>5</v>
      </c>
      <c r="N1463">
        <v>1548</v>
      </c>
      <c r="O1463" t="str">
        <f>_xlfn.XLOOKUP(Table4[[#This Row],[id]],VALINA[id],VALINA[name])</f>
        <v>Shan</v>
      </c>
      <c r="P1463">
        <f>_xlfn.XLOOKUP(Table4[[#This Row],[id]],prov_color!A:A,prov_color!C:C)</f>
        <v>40</v>
      </c>
    </row>
    <row r="1464" spans="1:16" hidden="1" x14ac:dyDescent="0.25">
      <c r="A1464">
        <v>1549</v>
      </c>
      <c r="B1464" t="s">
        <v>653</v>
      </c>
      <c r="C1464" t="s">
        <v>904</v>
      </c>
      <c r="D1464" t="s">
        <v>924</v>
      </c>
      <c r="E1464" t="s">
        <v>14</v>
      </c>
      <c r="F1464" t="s">
        <v>799</v>
      </c>
      <c r="G1464" t="s">
        <v>75</v>
      </c>
      <c r="H1464" t="s">
        <v>922</v>
      </c>
      <c r="I1464" t="s">
        <v>43</v>
      </c>
      <c r="J1464" t="s">
        <v>1250</v>
      </c>
      <c r="K1464">
        <v>5</v>
      </c>
      <c r="L1464">
        <v>3</v>
      </c>
      <c r="M1464">
        <v>6</v>
      </c>
      <c r="N1464">
        <v>1549</v>
      </c>
      <c r="O1464" t="str">
        <f>_xlfn.XLOOKUP(Table4[[#This Row],[id]],VALINA[id],VALINA[name])</f>
        <v>Bago</v>
      </c>
      <c r="P1464">
        <f>_xlfn.XLOOKUP(Table4[[#This Row],[id]],prov_color!A:A,prov_color!C:C)</f>
        <v>38</v>
      </c>
    </row>
    <row r="1465" spans="1:16" hidden="1" x14ac:dyDescent="0.25">
      <c r="A1465">
        <v>1550</v>
      </c>
      <c r="B1465" t="s">
        <v>653</v>
      </c>
      <c r="C1465" t="s">
        <v>904</v>
      </c>
      <c r="D1465" t="s">
        <v>914</v>
      </c>
      <c r="E1465" t="s">
        <v>14</v>
      </c>
      <c r="F1465" t="s">
        <v>799</v>
      </c>
      <c r="G1465" t="s">
        <v>75</v>
      </c>
      <c r="H1465" t="s">
        <v>918</v>
      </c>
      <c r="I1465" t="s">
        <v>43</v>
      </c>
      <c r="J1465" t="s">
        <v>1251</v>
      </c>
      <c r="K1465">
        <v>5</v>
      </c>
      <c r="L1465">
        <v>2</v>
      </c>
      <c r="M1465">
        <v>5</v>
      </c>
      <c r="N1465">
        <v>1550</v>
      </c>
      <c r="O1465" t="str">
        <f>_xlfn.XLOOKUP(Table4[[#This Row],[id]],VALINA[id],VALINA[name])</f>
        <v>Lampang</v>
      </c>
      <c r="P1465">
        <f>_xlfn.XLOOKUP(Table4[[#This Row],[id]],prov_color!A:A,prov_color!C:C)</f>
        <v>29</v>
      </c>
    </row>
    <row r="1466" spans="1:16" hidden="1" x14ac:dyDescent="0.25">
      <c r="A1466">
        <v>1551</v>
      </c>
      <c r="B1466" t="s">
        <v>653</v>
      </c>
      <c r="C1466" t="s">
        <v>904</v>
      </c>
      <c r="D1466" t="s">
        <v>914</v>
      </c>
      <c r="E1466" t="s">
        <v>22</v>
      </c>
      <c r="F1466" t="s">
        <v>799</v>
      </c>
      <c r="G1466" t="s">
        <v>75</v>
      </c>
      <c r="H1466" t="s">
        <v>918</v>
      </c>
      <c r="I1466" t="s">
        <v>43</v>
      </c>
      <c r="J1466" t="s">
        <v>1252</v>
      </c>
      <c r="K1466">
        <v>5</v>
      </c>
      <c r="L1466">
        <v>2</v>
      </c>
      <c r="M1466">
        <v>5</v>
      </c>
      <c r="N1466">
        <v>1551</v>
      </c>
      <c r="O1466" t="str">
        <f>_xlfn.XLOOKUP(Table4[[#This Row],[id]],VALINA[id],VALINA[name])</f>
        <v>Sarakham</v>
      </c>
      <c r="P1466">
        <f>_xlfn.XLOOKUP(Table4[[#This Row],[id]],prov_color!A:A,prov_color!C:C)</f>
        <v>40</v>
      </c>
    </row>
    <row r="1467" spans="1:16" hidden="1" x14ac:dyDescent="0.25">
      <c r="A1467">
        <v>1552</v>
      </c>
      <c r="B1467" t="s">
        <v>653</v>
      </c>
      <c r="C1467" t="s">
        <v>904</v>
      </c>
      <c r="D1467" t="s">
        <v>905</v>
      </c>
      <c r="E1467" t="s">
        <v>14</v>
      </c>
      <c r="F1467" t="s">
        <v>799</v>
      </c>
      <c r="G1467" t="s">
        <v>75</v>
      </c>
      <c r="H1467" t="s">
        <v>918</v>
      </c>
      <c r="I1467" t="s">
        <v>43</v>
      </c>
      <c r="J1467" t="s">
        <v>1253</v>
      </c>
      <c r="K1467">
        <v>5</v>
      </c>
      <c r="L1467">
        <v>3</v>
      </c>
      <c r="M1467">
        <v>5</v>
      </c>
      <c r="N1467">
        <v>1552</v>
      </c>
      <c r="O1467" t="str">
        <f>_xlfn.XLOOKUP(Table4[[#This Row],[id]],VALINA[id],VALINA[name])</f>
        <v>Mekong</v>
      </c>
      <c r="P1467">
        <f>_xlfn.XLOOKUP(Table4[[#This Row],[id]],prov_color!A:A,prov_color!C:C)</f>
        <v>46</v>
      </c>
    </row>
    <row r="1468" spans="1:16" hidden="1" x14ac:dyDescent="0.25">
      <c r="A1468">
        <v>1553</v>
      </c>
      <c r="B1468" t="s">
        <v>653</v>
      </c>
      <c r="C1468" t="s">
        <v>868</v>
      </c>
      <c r="D1468" t="s">
        <v>1254</v>
      </c>
      <c r="E1468" t="s">
        <v>14</v>
      </c>
      <c r="F1468" t="s">
        <v>799</v>
      </c>
      <c r="G1468" t="s">
        <v>75</v>
      </c>
      <c r="H1468" t="s">
        <v>922</v>
      </c>
      <c r="I1468" t="s">
        <v>41</v>
      </c>
      <c r="J1468" t="s">
        <v>1254</v>
      </c>
      <c r="K1468">
        <v>5</v>
      </c>
      <c r="L1468">
        <v>3</v>
      </c>
      <c r="M1468">
        <v>9</v>
      </c>
      <c r="N1468">
        <v>1553</v>
      </c>
      <c r="O1468" t="str">
        <f>_xlfn.XLOOKUP(Table4[[#This Row],[id]],VALINA[id],VALINA[name])</f>
        <v>Yunnan</v>
      </c>
      <c r="P1468">
        <f>_xlfn.XLOOKUP(Table4[[#This Row],[id]],prov_color!A:A,prov_color!C:C)</f>
        <v>43</v>
      </c>
    </row>
    <row r="1469" spans="1:16" hidden="1" x14ac:dyDescent="0.25">
      <c r="A1469">
        <v>1554</v>
      </c>
      <c r="B1469" t="s">
        <v>653</v>
      </c>
      <c r="C1469" t="s">
        <v>904</v>
      </c>
      <c r="D1469" t="s">
        <v>905</v>
      </c>
      <c r="E1469" t="s">
        <v>14</v>
      </c>
      <c r="F1469" t="s">
        <v>799</v>
      </c>
      <c r="G1469" t="s">
        <v>75</v>
      </c>
      <c r="H1469" t="s">
        <v>906</v>
      </c>
      <c r="I1469" t="s">
        <v>776</v>
      </c>
      <c r="J1469" t="s">
        <v>1255</v>
      </c>
      <c r="K1469">
        <v>5</v>
      </c>
      <c r="L1469">
        <v>4</v>
      </c>
      <c r="M1469">
        <v>6</v>
      </c>
      <c r="N1469">
        <v>1554</v>
      </c>
      <c r="O1469" t="str">
        <f>_xlfn.XLOOKUP(Table4[[#This Row],[id]],VALINA[id],VALINA[name])</f>
        <v>Lao Cai</v>
      </c>
      <c r="P1469">
        <f>_xlfn.XLOOKUP(Table4[[#This Row],[id]],prov_color!A:A,prov_color!C:C)</f>
        <v>46</v>
      </c>
    </row>
    <row r="1470" spans="1:16" hidden="1" x14ac:dyDescent="0.25">
      <c r="A1470">
        <v>1555</v>
      </c>
      <c r="B1470" t="s">
        <v>653</v>
      </c>
      <c r="C1470" t="s">
        <v>868</v>
      </c>
      <c r="D1470" t="s">
        <v>896</v>
      </c>
      <c r="E1470" t="s">
        <v>14</v>
      </c>
      <c r="F1470" t="s">
        <v>858</v>
      </c>
      <c r="G1470" t="s">
        <v>75</v>
      </c>
      <c r="H1470" t="s">
        <v>898</v>
      </c>
      <c r="I1470" t="s">
        <v>776</v>
      </c>
      <c r="J1470" t="s">
        <v>1256</v>
      </c>
      <c r="K1470">
        <v>5</v>
      </c>
      <c r="L1470">
        <v>3</v>
      </c>
      <c r="M1470">
        <v>8</v>
      </c>
      <c r="N1470">
        <v>1555</v>
      </c>
      <c r="O1470" t="str">
        <f>_xlfn.XLOOKUP(Table4[[#This Row],[id]],VALINA[id],VALINA[name])</f>
        <v>Wenshan</v>
      </c>
      <c r="P1470">
        <f>_xlfn.XLOOKUP(Table4[[#This Row],[id]],prov_color!A:A,prov_color!C:C)</f>
        <v>41</v>
      </c>
    </row>
    <row r="1471" spans="1:16" hidden="1" x14ac:dyDescent="0.25">
      <c r="A1471">
        <v>1556</v>
      </c>
      <c r="B1471" t="s">
        <v>653</v>
      </c>
      <c r="C1471" t="s">
        <v>868</v>
      </c>
      <c r="D1471" t="s">
        <v>1254</v>
      </c>
      <c r="E1471" t="s">
        <v>14</v>
      </c>
      <c r="F1471" t="s">
        <v>858</v>
      </c>
      <c r="G1471" t="s">
        <v>35</v>
      </c>
      <c r="H1471" t="s">
        <v>898</v>
      </c>
      <c r="I1471" t="s">
        <v>43</v>
      </c>
      <c r="J1471" t="s">
        <v>1257</v>
      </c>
      <c r="K1471">
        <v>5</v>
      </c>
      <c r="L1471">
        <v>4</v>
      </c>
      <c r="M1471">
        <v>12</v>
      </c>
      <c r="N1471">
        <v>1556</v>
      </c>
      <c r="O1471" t="str">
        <f>_xlfn.XLOOKUP(Table4[[#This Row],[id]],VALINA[id],VALINA[name])</f>
        <v>Guizhou</v>
      </c>
      <c r="P1471">
        <f>_xlfn.XLOOKUP(Table4[[#This Row],[id]],prov_color!A:A,prov_color!C:C)</f>
        <v>82</v>
      </c>
    </row>
    <row r="1472" spans="1:16" hidden="1" x14ac:dyDescent="0.25">
      <c r="A1472">
        <v>1557</v>
      </c>
      <c r="B1472" t="s">
        <v>653</v>
      </c>
      <c r="C1472" t="s">
        <v>868</v>
      </c>
      <c r="D1472" t="s">
        <v>1245</v>
      </c>
      <c r="E1472" t="s">
        <v>34</v>
      </c>
      <c r="F1472" t="s">
        <v>858</v>
      </c>
      <c r="G1472" t="s">
        <v>75</v>
      </c>
      <c r="H1472" t="s">
        <v>922</v>
      </c>
      <c r="I1472" t="s">
        <v>776</v>
      </c>
      <c r="J1472" t="s">
        <v>1258</v>
      </c>
      <c r="K1472">
        <v>5</v>
      </c>
      <c r="L1472">
        <v>3</v>
      </c>
      <c r="M1472">
        <v>10</v>
      </c>
      <c r="N1472">
        <v>1557</v>
      </c>
      <c r="O1472" t="str">
        <f>_xlfn.XLOOKUP(Table4[[#This Row],[id]],VALINA[id],VALINA[name])</f>
        <v>Sichuan Pendi</v>
      </c>
      <c r="P1472">
        <f>_xlfn.XLOOKUP(Table4[[#This Row],[id]],prov_color!A:A,prov_color!C:C)</f>
        <v>100</v>
      </c>
    </row>
    <row r="1473" spans="1:16" hidden="1" x14ac:dyDescent="0.25">
      <c r="A1473">
        <v>1558</v>
      </c>
      <c r="B1473" t="s">
        <v>653</v>
      </c>
      <c r="C1473" t="s">
        <v>868</v>
      </c>
      <c r="D1473" t="s">
        <v>1259</v>
      </c>
      <c r="E1473" t="s">
        <v>14</v>
      </c>
      <c r="F1473" t="s">
        <v>858</v>
      </c>
      <c r="G1473" t="s">
        <v>35</v>
      </c>
      <c r="H1473" t="s">
        <v>886</v>
      </c>
      <c r="I1473" t="s">
        <v>18</v>
      </c>
      <c r="J1473" t="s">
        <v>1260</v>
      </c>
      <c r="K1473">
        <v>5</v>
      </c>
      <c r="L1473">
        <v>3</v>
      </c>
      <c r="M1473">
        <v>4</v>
      </c>
      <c r="N1473">
        <v>1558</v>
      </c>
      <c r="O1473" t="str">
        <f>_xlfn.XLOOKUP(Table4[[#This Row],[id]],VALINA[id],VALINA[name])</f>
        <v>Lanzhou</v>
      </c>
      <c r="P1473">
        <f>_xlfn.XLOOKUP(Table4[[#This Row],[id]],prov_color!A:A,prov_color!C:C)</f>
        <v>78</v>
      </c>
    </row>
    <row r="1474" spans="1:16" hidden="1" x14ac:dyDescent="0.25">
      <c r="A1474">
        <v>1559</v>
      </c>
      <c r="B1474" t="s">
        <v>653</v>
      </c>
      <c r="C1474" t="s">
        <v>868</v>
      </c>
      <c r="D1474" t="s">
        <v>1259</v>
      </c>
      <c r="E1474" t="s">
        <v>14</v>
      </c>
      <c r="F1474" t="s">
        <v>858</v>
      </c>
      <c r="G1474" t="s">
        <v>35</v>
      </c>
      <c r="H1474" t="s">
        <v>886</v>
      </c>
      <c r="I1474" t="s">
        <v>53</v>
      </c>
      <c r="J1474" t="s">
        <v>1261</v>
      </c>
      <c r="K1474">
        <v>5</v>
      </c>
      <c r="L1474">
        <v>4</v>
      </c>
      <c r="M1474">
        <v>4</v>
      </c>
      <c r="N1474">
        <v>1559</v>
      </c>
      <c r="O1474" t="str">
        <f>_xlfn.XLOOKUP(Table4[[#This Row],[id]],VALINA[id],VALINA[name])</f>
        <v>Xining</v>
      </c>
      <c r="P1474">
        <f>_xlfn.XLOOKUP(Table4[[#This Row],[id]],prov_color!A:A,prov_color!C:C)</f>
        <v>63</v>
      </c>
    </row>
    <row r="1475" spans="1:16" hidden="1" x14ac:dyDescent="0.25">
      <c r="A1475">
        <v>1560</v>
      </c>
      <c r="B1475" t="s">
        <v>653</v>
      </c>
      <c r="C1475" t="s">
        <v>868</v>
      </c>
      <c r="D1475" t="s">
        <v>1259</v>
      </c>
      <c r="E1475" t="s">
        <v>14</v>
      </c>
      <c r="F1475" t="s">
        <v>858</v>
      </c>
      <c r="G1475" t="s">
        <v>35</v>
      </c>
      <c r="H1475" t="s">
        <v>886</v>
      </c>
      <c r="I1475" t="s">
        <v>212</v>
      </c>
      <c r="J1475" t="s">
        <v>1262</v>
      </c>
      <c r="K1475">
        <v>5</v>
      </c>
      <c r="L1475">
        <v>4</v>
      </c>
      <c r="M1475">
        <v>4</v>
      </c>
      <c r="N1475">
        <v>1560</v>
      </c>
      <c r="O1475" t="str">
        <f>_xlfn.XLOOKUP(Table4[[#This Row],[id]],VALINA[id],VALINA[name])</f>
        <v>Ningxia</v>
      </c>
      <c r="P1475">
        <f>_xlfn.XLOOKUP(Table4[[#This Row],[id]],prov_color!A:A,prov_color!C:C)</f>
        <v>109</v>
      </c>
    </row>
    <row r="1476" spans="1:16" hidden="1" x14ac:dyDescent="0.25">
      <c r="A1476">
        <v>1561</v>
      </c>
      <c r="B1476" t="s">
        <v>653</v>
      </c>
      <c r="C1476" t="s">
        <v>868</v>
      </c>
      <c r="D1476" t="s">
        <v>885</v>
      </c>
      <c r="E1476" t="s">
        <v>14</v>
      </c>
      <c r="F1476" t="s">
        <v>858</v>
      </c>
      <c r="G1476" t="s">
        <v>35</v>
      </c>
      <c r="H1476" t="s">
        <v>886</v>
      </c>
      <c r="I1476" t="s">
        <v>41</v>
      </c>
      <c r="J1476" t="s">
        <v>1263</v>
      </c>
      <c r="K1476">
        <v>5</v>
      </c>
      <c r="L1476">
        <v>3</v>
      </c>
      <c r="M1476">
        <v>2</v>
      </c>
      <c r="N1476">
        <v>1561</v>
      </c>
      <c r="O1476" t="str">
        <f>_xlfn.XLOOKUP(Table4[[#This Row],[id]],VALINA[id],VALINA[name])</f>
        <v>Hohhot</v>
      </c>
      <c r="P1476">
        <f>_xlfn.XLOOKUP(Table4[[#This Row],[id]],prov_color!A:A,prov_color!C:C)</f>
        <v>46</v>
      </c>
    </row>
    <row r="1477" spans="1:16" hidden="1" x14ac:dyDescent="0.25">
      <c r="A1477">
        <v>1562</v>
      </c>
      <c r="B1477" t="s">
        <v>653</v>
      </c>
      <c r="C1477" t="s">
        <v>868</v>
      </c>
      <c r="D1477" t="s">
        <v>885</v>
      </c>
      <c r="E1477" t="s">
        <v>34</v>
      </c>
      <c r="F1477" t="s">
        <v>858</v>
      </c>
      <c r="G1477" t="s">
        <v>35</v>
      </c>
      <c r="H1477" t="s">
        <v>886</v>
      </c>
      <c r="I1477" t="s">
        <v>43</v>
      </c>
      <c r="J1477" t="s">
        <v>1264</v>
      </c>
      <c r="K1477">
        <v>5</v>
      </c>
      <c r="L1477">
        <v>7</v>
      </c>
      <c r="M1477">
        <v>10</v>
      </c>
      <c r="N1477">
        <v>1562</v>
      </c>
      <c r="O1477" t="str">
        <f>_xlfn.XLOOKUP(Table4[[#This Row],[id]],VALINA[id],VALINA[name])</f>
        <v>Shanxi</v>
      </c>
      <c r="P1477">
        <f>_xlfn.XLOOKUP(Table4[[#This Row],[id]],prov_color!A:A,prov_color!C:C)</f>
        <v>80</v>
      </c>
    </row>
    <row r="1478" spans="1:16" hidden="1" x14ac:dyDescent="0.25">
      <c r="A1478">
        <v>1563</v>
      </c>
      <c r="B1478" t="s">
        <v>653</v>
      </c>
      <c r="C1478" t="s">
        <v>868</v>
      </c>
      <c r="D1478" t="s">
        <v>1259</v>
      </c>
      <c r="E1478" t="s">
        <v>34</v>
      </c>
      <c r="F1478" t="s">
        <v>858</v>
      </c>
      <c r="G1478" t="s">
        <v>35</v>
      </c>
      <c r="H1478" t="s">
        <v>886</v>
      </c>
      <c r="I1478" t="s">
        <v>29</v>
      </c>
      <c r="J1478" t="s">
        <v>1265</v>
      </c>
      <c r="K1478">
        <v>5</v>
      </c>
      <c r="L1478">
        <v>10</v>
      </c>
      <c r="M1478">
        <v>11</v>
      </c>
      <c r="N1478">
        <v>1563</v>
      </c>
      <c r="O1478" t="str">
        <f>_xlfn.XLOOKUP(Table4[[#This Row],[id]],VALINA[id],VALINA[name])</f>
        <v>Shaanxi</v>
      </c>
      <c r="P1478">
        <f>_xlfn.XLOOKUP(Table4[[#This Row],[id]],prov_color!A:A,prov_color!C:C)</f>
        <v>94</v>
      </c>
    </row>
    <row r="1479" spans="1:16" hidden="1" x14ac:dyDescent="0.25">
      <c r="A1479">
        <v>1564</v>
      </c>
      <c r="B1479" t="s">
        <v>653</v>
      </c>
      <c r="C1479" t="s">
        <v>868</v>
      </c>
      <c r="D1479" t="s">
        <v>885</v>
      </c>
      <c r="E1479" t="s">
        <v>14</v>
      </c>
      <c r="F1479" t="s">
        <v>858</v>
      </c>
      <c r="G1479" t="s">
        <v>35</v>
      </c>
      <c r="H1479" t="s">
        <v>886</v>
      </c>
      <c r="I1479" t="s">
        <v>352</v>
      </c>
      <c r="J1479" t="s">
        <v>1266</v>
      </c>
      <c r="K1479">
        <v>5</v>
      </c>
      <c r="L1479">
        <v>10</v>
      </c>
      <c r="M1479">
        <v>9</v>
      </c>
      <c r="N1479">
        <v>1564</v>
      </c>
      <c r="O1479" t="str">
        <f>_xlfn.XLOOKUP(Table4[[#This Row],[id]],VALINA[id],VALINA[name])</f>
        <v>Henan</v>
      </c>
      <c r="P1479">
        <f>_xlfn.XLOOKUP(Table4[[#This Row],[id]],prov_color!A:A,prov_color!C:C)</f>
        <v>52</v>
      </c>
    </row>
    <row r="1480" spans="1:16" hidden="1" x14ac:dyDescent="0.25">
      <c r="A1480">
        <v>1565</v>
      </c>
      <c r="B1480" t="s">
        <v>653</v>
      </c>
      <c r="C1480" t="s">
        <v>868</v>
      </c>
      <c r="D1480" t="s">
        <v>892</v>
      </c>
      <c r="E1480" t="s">
        <v>34</v>
      </c>
      <c r="F1480" t="s">
        <v>858</v>
      </c>
      <c r="G1480" t="s">
        <v>35</v>
      </c>
      <c r="H1480" t="s">
        <v>886</v>
      </c>
      <c r="I1480" t="s">
        <v>352</v>
      </c>
      <c r="J1480" t="s">
        <v>1267</v>
      </c>
      <c r="K1480">
        <v>5</v>
      </c>
      <c r="L1480">
        <v>6</v>
      </c>
      <c r="M1480">
        <v>15</v>
      </c>
      <c r="N1480">
        <v>1565</v>
      </c>
      <c r="O1480" t="str">
        <f>_xlfn.XLOOKUP(Table4[[#This Row],[id]],VALINA[id],VALINA[name])</f>
        <v>Hubei</v>
      </c>
      <c r="P1480">
        <f>_xlfn.XLOOKUP(Table4[[#This Row],[id]],prov_color!A:A,prov_color!C:C)</f>
        <v>70</v>
      </c>
    </row>
    <row r="1481" spans="1:16" hidden="1" x14ac:dyDescent="0.25">
      <c r="A1481">
        <v>1566</v>
      </c>
      <c r="B1481" t="s">
        <v>653</v>
      </c>
      <c r="C1481" t="s">
        <v>868</v>
      </c>
      <c r="D1481" t="s">
        <v>896</v>
      </c>
      <c r="E1481" t="s">
        <v>34</v>
      </c>
      <c r="F1481" t="s">
        <v>858</v>
      </c>
      <c r="G1481" t="s">
        <v>35</v>
      </c>
      <c r="H1481" t="s">
        <v>898</v>
      </c>
      <c r="I1481" t="s">
        <v>141</v>
      </c>
      <c r="J1481" t="s">
        <v>1268</v>
      </c>
      <c r="K1481">
        <v>5</v>
      </c>
      <c r="L1481">
        <v>4</v>
      </c>
      <c r="M1481">
        <v>13</v>
      </c>
      <c r="N1481">
        <v>1566</v>
      </c>
      <c r="O1481" t="str">
        <f>_xlfn.XLOOKUP(Table4[[#This Row],[id]],VALINA[id],VALINA[name])</f>
        <v>Hunan</v>
      </c>
      <c r="P1481">
        <f>_xlfn.XLOOKUP(Table4[[#This Row],[id]],prov_color!A:A,prov_color!C:C)</f>
        <v>91</v>
      </c>
    </row>
    <row r="1482" spans="1:16" hidden="1" x14ac:dyDescent="0.25">
      <c r="A1482">
        <v>1567</v>
      </c>
      <c r="B1482" t="s">
        <v>653</v>
      </c>
      <c r="C1482" t="s">
        <v>868</v>
      </c>
      <c r="D1482" t="s">
        <v>892</v>
      </c>
      <c r="E1482" t="s">
        <v>34</v>
      </c>
      <c r="F1482" t="s">
        <v>858</v>
      </c>
      <c r="G1482" t="s">
        <v>35</v>
      </c>
      <c r="H1482" t="s">
        <v>886</v>
      </c>
      <c r="I1482" t="s">
        <v>776</v>
      </c>
      <c r="J1482" t="s">
        <v>1269</v>
      </c>
      <c r="K1482">
        <v>5</v>
      </c>
      <c r="L1482">
        <v>8</v>
      </c>
      <c r="M1482">
        <v>12</v>
      </c>
      <c r="N1482">
        <v>1567</v>
      </c>
      <c r="O1482" t="str">
        <f>_xlfn.XLOOKUP(Table4[[#This Row],[id]],VALINA[id],VALINA[name])</f>
        <v>Nanchang</v>
      </c>
      <c r="P1482">
        <f>_xlfn.XLOOKUP(Table4[[#This Row],[id]],prov_color!A:A,prov_color!C:C)</f>
        <v>61</v>
      </c>
    </row>
    <row r="1483" spans="1:16" hidden="1" x14ac:dyDescent="0.25">
      <c r="A1483">
        <v>1568</v>
      </c>
      <c r="B1483" t="s">
        <v>11</v>
      </c>
      <c r="C1483" t="s">
        <v>12</v>
      </c>
      <c r="D1483" t="s">
        <v>1270</v>
      </c>
      <c r="E1483" t="s">
        <v>34</v>
      </c>
      <c r="F1483" t="s">
        <v>15</v>
      </c>
      <c r="G1483" t="s">
        <v>75</v>
      </c>
      <c r="H1483" t="s">
        <v>224</v>
      </c>
      <c r="I1483" t="s">
        <v>29</v>
      </c>
      <c r="J1483" t="s">
        <v>1270</v>
      </c>
      <c r="K1483">
        <v>4</v>
      </c>
      <c r="L1483">
        <v>1</v>
      </c>
      <c r="M1483">
        <v>2</v>
      </c>
      <c r="N1483">
        <v>1568</v>
      </c>
      <c r="O1483" t="str">
        <f>_xlfn.XLOOKUP(Table4[[#This Row],[id]],VALINA[id],VALINA[name])</f>
        <v>Bermuda</v>
      </c>
      <c r="P1483">
        <f>_xlfn.XLOOKUP(Table4[[#This Row],[id]],prov_color!A:A,prov_color!C:C)</f>
        <v>6</v>
      </c>
    </row>
    <row r="1484" spans="1:16" hidden="1" x14ac:dyDescent="0.25">
      <c r="A1484">
        <v>1569</v>
      </c>
      <c r="B1484" t="s">
        <v>11</v>
      </c>
      <c r="C1484" t="s">
        <v>222</v>
      </c>
      <c r="D1484" t="s">
        <v>223</v>
      </c>
      <c r="E1484" t="s">
        <v>22</v>
      </c>
      <c r="F1484" t="s">
        <v>15</v>
      </c>
      <c r="G1484" t="s">
        <v>35</v>
      </c>
      <c r="H1484" t="s">
        <v>224</v>
      </c>
      <c r="I1484" t="s">
        <v>103</v>
      </c>
      <c r="J1484" t="s">
        <v>1271</v>
      </c>
      <c r="K1484">
        <v>4</v>
      </c>
      <c r="L1484">
        <v>1</v>
      </c>
      <c r="M1484">
        <v>2</v>
      </c>
      <c r="N1484">
        <v>1569</v>
      </c>
      <c r="O1484" t="str">
        <f>_xlfn.XLOOKUP(Table4[[#This Row],[id]],VALINA[id],VALINA[name])</f>
        <v>Bahamas</v>
      </c>
      <c r="P1484">
        <f>_xlfn.XLOOKUP(Table4[[#This Row],[id]],prov_color!A:A,prov_color!C:C)</f>
        <v>12</v>
      </c>
    </row>
    <row r="1485" spans="1:16" hidden="1" x14ac:dyDescent="0.25">
      <c r="A1485">
        <v>1570</v>
      </c>
      <c r="B1485" t="s">
        <v>653</v>
      </c>
      <c r="C1485" t="s">
        <v>701</v>
      </c>
      <c r="D1485" t="s">
        <v>812</v>
      </c>
      <c r="E1485" t="s">
        <v>80</v>
      </c>
      <c r="F1485" t="s">
        <v>15</v>
      </c>
      <c r="G1485" t="s">
        <v>122</v>
      </c>
      <c r="H1485" t="s">
        <v>703</v>
      </c>
      <c r="I1485" t="s">
        <v>20</v>
      </c>
      <c r="J1485" t="s">
        <v>1272</v>
      </c>
      <c r="K1485">
        <v>5</v>
      </c>
      <c r="L1485">
        <v>1</v>
      </c>
      <c r="M1485">
        <v>2</v>
      </c>
      <c r="N1485">
        <v>1570</v>
      </c>
      <c r="O1485" t="str">
        <f>_xlfn.XLOOKUP(Table4[[#This Row],[id]],VALINA[id],VALINA[name])</f>
        <v>Sadrinsk</v>
      </c>
      <c r="P1485">
        <f>_xlfn.XLOOKUP(Table4[[#This Row],[id]],prov_color!A:A,prov_color!C:C)</f>
        <v>46</v>
      </c>
    </row>
    <row r="1486" spans="1:16" hidden="1" x14ac:dyDescent="0.25">
      <c r="A1486">
        <v>1571</v>
      </c>
      <c r="B1486" t="s">
        <v>653</v>
      </c>
      <c r="C1486" t="s">
        <v>701</v>
      </c>
      <c r="D1486" t="s">
        <v>812</v>
      </c>
      <c r="E1486" t="s">
        <v>80</v>
      </c>
      <c r="F1486" t="s">
        <v>15</v>
      </c>
      <c r="G1486" t="s">
        <v>122</v>
      </c>
      <c r="H1486" t="s">
        <v>703</v>
      </c>
      <c r="I1486" t="s">
        <v>20</v>
      </c>
      <c r="J1486" t="s">
        <v>1273</v>
      </c>
      <c r="K1486">
        <v>5</v>
      </c>
      <c r="L1486">
        <v>1</v>
      </c>
      <c r="M1486">
        <v>2</v>
      </c>
      <c r="N1486">
        <v>1571</v>
      </c>
      <c r="O1486" t="str">
        <f>_xlfn.XLOOKUP(Table4[[#This Row],[id]],VALINA[id],VALINA[name])</f>
        <v>Jalutorovsk</v>
      </c>
      <c r="P1486">
        <f>_xlfn.XLOOKUP(Table4[[#This Row],[id]],prov_color!A:A,prov_color!C:C)</f>
        <v>51</v>
      </c>
    </row>
    <row r="1487" spans="1:16" hidden="1" x14ac:dyDescent="0.25">
      <c r="A1487">
        <v>1572</v>
      </c>
      <c r="B1487" t="s">
        <v>653</v>
      </c>
      <c r="C1487" t="s">
        <v>701</v>
      </c>
      <c r="D1487" t="s">
        <v>812</v>
      </c>
      <c r="E1487" t="s">
        <v>80</v>
      </c>
      <c r="F1487" t="s">
        <v>15</v>
      </c>
      <c r="G1487" t="s">
        <v>122</v>
      </c>
      <c r="H1487" t="s">
        <v>703</v>
      </c>
      <c r="I1487" t="s">
        <v>20</v>
      </c>
      <c r="J1487" t="s">
        <v>1274</v>
      </c>
      <c r="K1487">
        <v>5</v>
      </c>
      <c r="L1487">
        <v>1</v>
      </c>
      <c r="M1487">
        <v>1</v>
      </c>
      <c r="N1487">
        <v>1572</v>
      </c>
      <c r="O1487" t="str">
        <f>_xlfn.XLOOKUP(Table4[[#This Row],[id]],VALINA[id],VALINA[name])</f>
        <v>Nefedova</v>
      </c>
      <c r="P1487">
        <f>_xlfn.XLOOKUP(Table4[[#This Row],[id]],prov_color!A:A,prov_color!C:C)</f>
        <v>45</v>
      </c>
    </row>
    <row r="1488" spans="1:16" hidden="1" x14ac:dyDescent="0.25">
      <c r="A1488">
        <v>1573</v>
      </c>
      <c r="B1488" t="s">
        <v>653</v>
      </c>
      <c r="C1488" t="s">
        <v>701</v>
      </c>
      <c r="D1488" t="s">
        <v>812</v>
      </c>
      <c r="E1488" t="s">
        <v>80</v>
      </c>
      <c r="F1488" t="s">
        <v>15</v>
      </c>
      <c r="G1488" t="s">
        <v>122</v>
      </c>
      <c r="H1488" t="s">
        <v>703</v>
      </c>
      <c r="I1488" t="s">
        <v>29</v>
      </c>
      <c r="J1488" t="s">
        <v>1275</v>
      </c>
      <c r="K1488">
        <v>5</v>
      </c>
      <c r="L1488">
        <v>1</v>
      </c>
      <c r="M1488">
        <v>1</v>
      </c>
      <c r="N1488">
        <v>1573</v>
      </c>
      <c r="O1488" t="str">
        <f>_xlfn.XLOOKUP(Table4[[#This Row],[id]],VALINA[id],VALINA[name])</f>
        <v>Tobolsk</v>
      </c>
      <c r="P1488">
        <f>_xlfn.XLOOKUP(Table4[[#This Row],[id]],prov_color!A:A,prov_color!C:C)</f>
        <v>70</v>
      </c>
    </row>
    <row r="1489" spans="1:16" hidden="1" x14ac:dyDescent="0.25">
      <c r="A1489">
        <v>1574</v>
      </c>
      <c r="B1489" t="s">
        <v>653</v>
      </c>
      <c r="C1489" t="s">
        <v>701</v>
      </c>
      <c r="D1489" t="s">
        <v>812</v>
      </c>
      <c r="E1489" t="s">
        <v>34</v>
      </c>
      <c r="F1489" t="s">
        <v>15</v>
      </c>
      <c r="G1489" t="s">
        <v>122</v>
      </c>
      <c r="H1489" t="s">
        <v>703</v>
      </c>
      <c r="I1489" t="s">
        <v>43</v>
      </c>
      <c r="J1489" t="s">
        <v>1276</v>
      </c>
      <c r="K1489">
        <v>5</v>
      </c>
      <c r="L1489">
        <v>1</v>
      </c>
      <c r="M1489">
        <v>1</v>
      </c>
      <c r="N1489">
        <v>1574</v>
      </c>
      <c r="O1489" t="str">
        <f>_xlfn.XLOOKUP(Table4[[#This Row],[id]],VALINA[id],VALINA[name])</f>
        <v>Demjanskoje</v>
      </c>
      <c r="P1489">
        <f>_xlfn.XLOOKUP(Table4[[#This Row],[id]],prov_color!A:A,prov_color!C:C)</f>
        <v>59</v>
      </c>
    </row>
    <row r="1490" spans="1:16" hidden="1" x14ac:dyDescent="0.25">
      <c r="A1490">
        <v>1575</v>
      </c>
      <c r="B1490" t="s">
        <v>653</v>
      </c>
      <c r="C1490" t="s">
        <v>701</v>
      </c>
      <c r="D1490" t="s">
        <v>812</v>
      </c>
      <c r="E1490" t="s">
        <v>80</v>
      </c>
      <c r="F1490" t="s">
        <v>15</v>
      </c>
      <c r="G1490" t="s">
        <v>122</v>
      </c>
      <c r="H1490" t="s">
        <v>1277</v>
      </c>
      <c r="I1490" t="s">
        <v>53</v>
      </c>
      <c r="J1490" t="s">
        <v>1278</v>
      </c>
      <c r="K1490">
        <v>5</v>
      </c>
      <c r="L1490">
        <v>1</v>
      </c>
      <c r="M1490">
        <v>1</v>
      </c>
      <c r="N1490">
        <v>1575</v>
      </c>
      <c r="O1490" t="str">
        <f>_xlfn.XLOOKUP(Table4[[#This Row],[id]],VALINA[id],VALINA[name])</f>
        <v>Sergino</v>
      </c>
      <c r="P1490">
        <f>_xlfn.XLOOKUP(Table4[[#This Row],[id]],prov_color!A:A,prov_color!C:C)</f>
        <v>70</v>
      </c>
    </row>
    <row r="1491" spans="1:16" hidden="1" x14ac:dyDescent="0.25">
      <c r="A1491">
        <v>1576</v>
      </c>
      <c r="B1491" t="s">
        <v>653</v>
      </c>
      <c r="C1491" t="s">
        <v>701</v>
      </c>
      <c r="D1491" t="s">
        <v>812</v>
      </c>
      <c r="E1491" t="s">
        <v>80</v>
      </c>
      <c r="F1491" t="s">
        <v>15</v>
      </c>
      <c r="G1491" t="s">
        <v>122</v>
      </c>
      <c r="H1491" t="s">
        <v>1277</v>
      </c>
      <c r="I1491" t="s">
        <v>43</v>
      </c>
      <c r="J1491" t="s">
        <v>1279</v>
      </c>
      <c r="K1491">
        <v>5</v>
      </c>
      <c r="L1491">
        <v>1</v>
      </c>
      <c r="M1491">
        <v>1</v>
      </c>
      <c r="N1491">
        <v>1576</v>
      </c>
      <c r="O1491" t="str">
        <f>_xlfn.XLOOKUP(Table4[[#This Row],[id]],VALINA[id],VALINA[name])</f>
        <v>Manskijisk</v>
      </c>
      <c r="P1491">
        <f>_xlfn.XLOOKUP(Table4[[#This Row],[id]],prov_color!A:A,prov_color!C:C)</f>
        <v>63</v>
      </c>
    </row>
    <row r="1492" spans="1:16" hidden="1" x14ac:dyDescent="0.25">
      <c r="A1492">
        <v>1577</v>
      </c>
      <c r="B1492" t="s">
        <v>653</v>
      </c>
      <c r="C1492" t="s">
        <v>701</v>
      </c>
      <c r="D1492" t="s">
        <v>812</v>
      </c>
      <c r="E1492" t="s">
        <v>80</v>
      </c>
      <c r="F1492" t="s">
        <v>15</v>
      </c>
      <c r="G1492" t="s">
        <v>122</v>
      </c>
      <c r="H1492" t="s">
        <v>1277</v>
      </c>
      <c r="I1492" t="s">
        <v>43</v>
      </c>
      <c r="J1492" t="s">
        <v>1280</v>
      </c>
      <c r="K1492">
        <v>5</v>
      </c>
      <c r="L1492">
        <v>1</v>
      </c>
      <c r="M1492">
        <v>1</v>
      </c>
      <c r="N1492">
        <v>1577</v>
      </c>
      <c r="O1492" t="str">
        <f>_xlfn.XLOOKUP(Table4[[#This Row],[id]],VALINA[id],VALINA[name])</f>
        <v>Vakhovska</v>
      </c>
      <c r="P1492">
        <f>_xlfn.XLOOKUP(Table4[[#This Row],[id]],prov_color!A:A,prov_color!C:C)</f>
        <v>62</v>
      </c>
    </row>
    <row r="1493" spans="1:16" hidden="1" x14ac:dyDescent="0.25">
      <c r="A1493">
        <v>1578</v>
      </c>
      <c r="B1493" t="s">
        <v>653</v>
      </c>
      <c r="C1493" t="s">
        <v>701</v>
      </c>
      <c r="D1493" t="s">
        <v>812</v>
      </c>
      <c r="E1493" t="s">
        <v>80</v>
      </c>
      <c r="F1493" t="s">
        <v>15</v>
      </c>
      <c r="G1493" t="s">
        <v>122</v>
      </c>
      <c r="H1493" t="s">
        <v>1277</v>
      </c>
      <c r="I1493" t="s">
        <v>53</v>
      </c>
      <c r="J1493" t="s">
        <v>1281</v>
      </c>
      <c r="K1493">
        <v>5</v>
      </c>
      <c r="L1493">
        <v>1</v>
      </c>
      <c r="M1493">
        <v>1</v>
      </c>
      <c r="N1493">
        <v>1578</v>
      </c>
      <c r="O1493" t="str">
        <f>_xlfn.XLOOKUP(Table4[[#This Row],[id]],VALINA[id],VALINA[name])</f>
        <v>Surgut</v>
      </c>
      <c r="P1493">
        <f>_xlfn.XLOOKUP(Table4[[#This Row],[id]],prov_color!A:A,prov_color!C:C)</f>
        <v>77</v>
      </c>
    </row>
    <row r="1494" spans="1:16" hidden="1" x14ac:dyDescent="0.25">
      <c r="A1494">
        <v>1579</v>
      </c>
      <c r="B1494" t="s">
        <v>653</v>
      </c>
      <c r="C1494" t="s">
        <v>701</v>
      </c>
      <c r="D1494" t="s">
        <v>812</v>
      </c>
      <c r="E1494" t="s">
        <v>80</v>
      </c>
      <c r="F1494" t="s">
        <v>15</v>
      </c>
      <c r="G1494" t="s">
        <v>122</v>
      </c>
      <c r="H1494" t="s">
        <v>1277</v>
      </c>
      <c r="I1494" t="s">
        <v>53</v>
      </c>
      <c r="J1494" t="s">
        <v>1282</v>
      </c>
      <c r="K1494">
        <v>5</v>
      </c>
      <c r="L1494">
        <v>1</v>
      </c>
      <c r="M1494">
        <v>1</v>
      </c>
      <c r="N1494">
        <v>1579</v>
      </c>
      <c r="O1494" t="str">
        <f>_xlfn.XLOOKUP(Table4[[#This Row],[id]],VALINA[id],VALINA[name])</f>
        <v>Pimsk</v>
      </c>
      <c r="P1494">
        <f>_xlfn.XLOOKUP(Table4[[#This Row],[id]],prov_color!A:A,prov_color!C:C)</f>
        <v>80</v>
      </c>
    </row>
    <row r="1495" spans="1:16" hidden="1" x14ac:dyDescent="0.25">
      <c r="A1495">
        <v>1580</v>
      </c>
      <c r="B1495" t="s">
        <v>653</v>
      </c>
      <c r="C1495" t="s">
        <v>701</v>
      </c>
      <c r="D1495" t="s">
        <v>812</v>
      </c>
      <c r="E1495" t="s">
        <v>80</v>
      </c>
      <c r="F1495" t="s">
        <v>15</v>
      </c>
      <c r="G1495" t="s">
        <v>122</v>
      </c>
      <c r="H1495" t="s">
        <v>1277</v>
      </c>
      <c r="I1495" t="s">
        <v>18</v>
      </c>
      <c r="J1495" t="s">
        <v>1283</v>
      </c>
      <c r="K1495">
        <v>5</v>
      </c>
      <c r="L1495">
        <v>1</v>
      </c>
      <c r="M1495">
        <v>2</v>
      </c>
      <c r="N1495">
        <v>1580</v>
      </c>
      <c r="O1495" t="str">
        <f>_xlfn.XLOOKUP(Table4[[#This Row],[id]],VALINA[id],VALINA[name])</f>
        <v>Igrim</v>
      </c>
      <c r="P1495">
        <f>_xlfn.XLOOKUP(Table4[[#This Row],[id]],prov_color!A:A,prov_color!C:C)</f>
        <v>66</v>
      </c>
    </row>
    <row r="1496" spans="1:16" hidden="1" x14ac:dyDescent="0.25">
      <c r="A1496">
        <v>1581</v>
      </c>
      <c r="B1496" t="s">
        <v>653</v>
      </c>
      <c r="C1496" t="s">
        <v>701</v>
      </c>
      <c r="D1496" t="s">
        <v>812</v>
      </c>
      <c r="E1496" t="s">
        <v>80</v>
      </c>
      <c r="F1496" t="s">
        <v>15</v>
      </c>
      <c r="G1496" t="s">
        <v>122</v>
      </c>
      <c r="H1496" t="s">
        <v>1277</v>
      </c>
      <c r="I1496" t="s">
        <v>141</v>
      </c>
      <c r="J1496" t="s">
        <v>1284</v>
      </c>
      <c r="K1496">
        <v>5</v>
      </c>
      <c r="L1496">
        <v>1</v>
      </c>
      <c r="M1496">
        <v>1</v>
      </c>
      <c r="N1496">
        <v>1581</v>
      </c>
      <c r="O1496" t="str">
        <f>_xlfn.XLOOKUP(Table4[[#This Row],[id]],VALINA[id],VALINA[name])</f>
        <v>Berezov</v>
      </c>
      <c r="P1496">
        <f>_xlfn.XLOOKUP(Table4[[#This Row],[id]],prov_color!A:A,prov_color!C:C)</f>
        <v>65</v>
      </c>
    </row>
    <row r="1497" spans="1:16" hidden="1" x14ac:dyDescent="0.25">
      <c r="A1497">
        <v>1582</v>
      </c>
      <c r="B1497" t="s">
        <v>653</v>
      </c>
      <c r="C1497" t="s">
        <v>701</v>
      </c>
      <c r="D1497" t="s">
        <v>812</v>
      </c>
      <c r="E1497" t="s">
        <v>34</v>
      </c>
      <c r="F1497" t="s">
        <v>15</v>
      </c>
      <c r="G1497" t="s">
        <v>122</v>
      </c>
      <c r="H1497" t="s">
        <v>1277</v>
      </c>
      <c r="I1497" t="s">
        <v>20</v>
      </c>
      <c r="J1497" t="s">
        <v>1285</v>
      </c>
      <c r="K1497">
        <v>5</v>
      </c>
      <c r="L1497">
        <v>1</v>
      </c>
      <c r="M1497">
        <v>1</v>
      </c>
      <c r="N1497">
        <v>1582</v>
      </c>
      <c r="O1497" t="str">
        <f>_xlfn.XLOOKUP(Table4[[#This Row],[id]],VALINA[id],VALINA[name])</f>
        <v>Kondinsk</v>
      </c>
      <c r="P1497">
        <f>_xlfn.XLOOKUP(Table4[[#This Row],[id]],prov_color!A:A,prov_color!C:C)</f>
        <v>52</v>
      </c>
    </row>
    <row r="1498" spans="1:16" hidden="1" x14ac:dyDescent="0.25">
      <c r="A1498">
        <v>1583</v>
      </c>
      <c r="B1498" t="s">
        <v>653</v>
      </c>
      <c r="C1498" t="s">
        <v>701</v>
      </c>
      <c r="D1498" t="s">
        <v>812</v>
      </c>
      <c r="E1498" t="s">
        <v>80</v>
      </c>
      <c r="F1498" t="s">
        <v>15</v>
      </c>
      <c r="G1498" t="s">
        <v>122</v>
      </c>
      <c r="H1498" t="s">
        <v>1277</v>
      </c>
      <c r="I1498" t="s">
        <v>141</v>
      </c>
      <c r="J1498" t="s">
        <v>1286</v>
      </c>
      <c r="K1498">
        <v>5</v>
      </c>
      <c r="L1498">
        <v>1</v>
      </c>
      <c r="M1498">
        <v>1</v>
      </c>
      <c r="N1498">
        <v>1583</v>
      </c>
      <c r="O1498" t="str">
        <f>_xlfn.XLOOKUP(Table4[[#This Row],[id]],VALINA[id],VALINA[name])</f>
        <v>Obdorsk</v>
      </c>
      <c r="P1498">
        <f>_xlfn.XLOOKUP(Table4[[#This Row],[id]],prov_color!A:A,prov_color!C:C)</f>
        <v>74</v>
      </c>
    </row>
    <row r="1499" spans="1:16" hidden="1" x14ac:dyDescent="0.25">
      <c r="A1499">
        <v>1584</v>
      </c>
      <c r="B1499" t="s">
        <v>653</v>
      </c>
      <c r="C1499" t="s">
        <v>701</v>
      </c>
      <c r="D1499" t="s">
        <v>812</v>
      </c>
      <c r="E1499" t="s">
        <v>80</v>
      </c>
      <c r="F1499" t="s">
        <v>15</v>
      </c>
      <c r="G1499" t="s">
        <v>122</v>
      </c>
      <c r="H1499" t="s">
        <v>1277</v>
      </c>
      <c r="I1499" t="s">
        <v>20</v>
      </c>
      <c r="J1499" t="s">
        <v>1287</v>
      </c>
      <c r="K1499">
        <v>5</v>
      </c>
      <c r="L1499">
        <v>1</v>
      </c>
      <c r="M1499">
        <v>1</v>
      </c>
      <c r="N1499">
        <v>1584</v>
      </c>
      <c r="O1499" t="str">
        <f>_xlfn.XLOOKUP(Table4[[#This Row],[id]],VALINA[id],VALINA[name])</f>
        <v>Saleharo</v>
      </c>
      <c r="P1499">
        <f>_xlfn.XLOOKUP(Table4[[#This Row],[id]],prov_color!A:A,prov_color!C:C)</f>
        <v>60</v>
      </c>
    </row>
    <row r="1500" spans="1:16" hidden="1" x14ac:dyDescent="0.25">
      <c r="A1500">
        <v>1585</v>
      </c>
      <c r="E1500" t="s">
        <v>1633</v>
      </c>
      <c r="J1500" t="s">
        <v>1943</v>
      </c>
      <c r="O1500" s="2" t="str">
        <f>_xlfn.XLOOKUP(Table4[[#This Row],[id]],VALINA[id],VALINA[name])</f>
        <v>Obskaja Guba</v>
      </c>
      <c r="P1500" s="2">
        <f>_xlfn.XLOOKUP(Table4[[#This Row],[id]],prov_color!A:A,prov_color!C:C)</f>
        <v>150</v>
      </c>
    </row>
    <row r="1501" spans="1:16" hidden="1" x14ac:dyDescent="0.25">
      <c r="A1501">
        <v>1586</v>
      </c>
      <c r="B1501" t="s">
        <v>653</v>
      </c>
      <c r="C1501" t="s">
        <v>701</v>
      </c>
      <c r="D1501" t="s">
        <v>847</v>
      </c>
      <c r="E1501" t="s">
        <v>14</v>
      </c>
      <c r="F1501" t="s">
        <v>15</v>
      </c>
      <c r="G1501" t="s">
        <v>16</v>
      </c>
      <c r="H1501" t="s">
        <v>855</v>
      </c>
      <c r="I1501" t="s">
        <v>27</v>
      </c>
      <c r="J1501" t="s">
        <v>1288</v>
      </c>
      <c r="K1501">
        <v>7</v>
      </c>
      <c r="L1501">
        <v>1</v>
      </c>
      <c r="M1501">
        <v>1</v>
      </c>
      <c r="N1501">
        <v>1586</v>
      </c>
      <c r="O1501" t="str">
        <f>_xlfn.XLOOKUP(Table4[[#This Row],[id]],VALINA[id],VALINA[name])</f>
        <v>Kamcatka</v>
      </c>
      <c r="P1501">
        <f>_xlfn.XLOOKUP(Table4[[#This Row],[id]],prov_color!A:A,prov_color!C:C)</f>
        <v>90</v>
      </c>
    </row>
    <row r="1502" spans="1:16" hidden="1" x14ac:dyDescent="0.25">
      <c r="A1502">
        <v>1587</v>
      </c>
      <c r="B1502" t="s">
        <v>653</v>
      </c>
      <c r="C1502" t="s">
        <v>701</v>
      </c>
      <c r="D1502" t="s">
        <v>847</v>
      </c>
      <c r="E1502" t="s">
        <v>14</v>
      </c>
      <c r="F1502" t="s">
        <v>15</v>
      </c>
      <c r="G1502" t="s">
        <v>16</v>
      </c>
      <c r="H1502" t="s">
        <v>703</v>
      </c>
      <c r="I1502" t="s">
        <v>27</v>
      </c>
      <c r="J1502" t="s">
        <v>1289</v>
      </c>
      <c r="K1502">
        <v>7</v>
      </c>
      <c r="L1502">
        <v>1</v>
      </c>
      <c r="M1502">
        <v>1</v>
      </c>
      <c r="N1502">
        <v>1587</v>
      </c>
      <c r="O1502" t="str">
        <f>_xlfn.XLOOKUP(Table4[[#This Row],[id]],VALINA[id],VALINA[name])</f>
        <v>Sredny Hrebet</v>
      </c>
      <c r="P1502">
        <f>_xlfn.XLOOKUP(Table4[[#This Row],[id]],prov_color!A:A,prov_color!C:C)</f>
        <v>89</v>
      </c>
    </row>
    <row r="1503" spans="1:16" hidden="1" x14ac:dyDescent="0.25">
      <c r="A1503">
        <v>1588</v>
      </c>
      <c r="B1503" t="s">
        <v>1016</v>
      </c>
      <c r="C1503" t="s">
        <v>1035</v>
      </c>
      <c r="D1503" t="s">
        <v>1042</v>
      </c>
      <c r="E1503" t="s">
        <v>14</v>
      </c>
      <c r="F1503" t="s">
        <v>650</v>
      </c>
      <c r="G1503" t="s">
        <v>35</v>
      </c>
      <c r="H1503" t="s">
        <v>1043</v>
      </c>
      <c r="I1503" t="s">
        <v>687</v>
      </c>
      <c r="J1503" t="s">
        <v>1290</v>
      </c>
      <c r="K1503">
        <v>5</v>
      </c>
      <c r="L1503">
        <v>6</v>
      </c>
      <c r="M1503">
        <v>4</v>
      </c>
      <c r="N1503">
        <v>1588</v>
      </c>
      <c r="O1503" t="str">
        <f>_xlfn.XLOOKUP(Table4[[#This Row],[id]],VALINA[id],VALINA[name])</f>
        <v>Gonder</v>
      </c>
      <c r="P1503">
        <f>_xlfn.XLOOKUP(Table4[[#This Row],[id]],prov_color!A:A,prov_color!C:C)</f>
        <v>74</v>
      </c>
    </row>
    <row r="1504" spans="1:16" hidden="1" x14ac:dyDescent="0.25">
      <c r="A1504">
        <v>1589</v>
      </c>
      <c r="B1504" t="s">
        <v>1016</v>
      </c>
      <c r="C1504" t="s">
        <v>1035</v>
      </c>
      <c r="D1504" t="s">
        <v>1042</v>
      </c>
      <c r="E1504" t="s">
        <v>14</v>
      </c>
      <c r="F1504" t="s">
        <v>650</v>
      </c>
      <c r="G1504" t="s">
        <v>35</v>
      </c>
      <c r="H1504" t="s">
        <v>1043</v>
      </c>
      <c r="I1504" t="s">
        <v>84</v>
      </c>
      <c r="J1504" t="s">
        <v>1291</v>
      </c>
      <c r="K1504">
        <v>5</v>
      </c>
      <c r="L1504">
        <v>6</v>
      </c>
      <c r="M1504">
        <v>3</v>
      </c>
      <c r="N1504">
        <v>1589</v>
      </c>
      <c r="O1504" t="str">
        <f>_xlfn.XLOOKUP(Table4[[#This Row],[id]],VALINA[id],VALINA[name])</f>
        <v>Kefa</v>
      </c>
      <c r="P1504">
        <f>_xlfn.XLOOKUP(Table4[[#This Row],[id]],prov_color!A:A,prov_color!C:C)</f>
        <v>48</v>
      </c>
    </row>
    <row r="1505" spans="1:16" hidden="1" x14ac:dyDescent="0.25">
      <c r="A1505">
        <v>1590</v>
      </c>
      <c r="B1505" t="s">
        <v>1016</v>
      </c>
      <c r="C1505" t="s">
        <v>1035</v>
      </c>
      <c r="D1505" t="s">
        <v>1042</v>
      </c>
      <c r="E1505" t="s">
        <v>14</v>
      </c>
      <c r="F1505" t="s">
        <v>650</v>
      </c>
      <c r="G1505" t="s">
        <v>47</v>
      </c>
      <c r="H1505" t="s">
        <v>1043</v>
      </c>
      <c r="I1505" t="s">
        <v>43</v>
      </c>
      <c r="J1505" t="s">
        <v>1292</v>
      </c>
      <c r="K1505">
        <v>5</v>
      </c>
      <c r="L1505">
        <v>2</v>
      </c>
      <c r="M1505">
        <v>2</v>
      </c>
      <c r="N1505">
        <v>1590</v>
      </c>
      <c r="O1505" t="str">
        <f>_xlfn.XLOOKUP(Table4[[#This Row],[id]],VALINA[id],VALINA[name])</f>
        <v>Bale</v>
      </c>
      <c r="P1505">
        <f>_xlfn.XLOOKUP(Table4[[#This Row],[id]],prov_color!A:A,prov_color!C:C)</f>
        <v>42</v>
      </c>
    </row>
    <row r="1506" spans="1:16" hidden="1" x14ac:dyDescent="0.25">
      <c r="A1506">
        <v>1591</v>
      </c>
      <c r="B1506" t="s">
        <v>653</v>
      </c>
      <c r="C1506" t="s">
        <v>672</v>
      </c>
      <c r="D1506" t="s">
        <v>1221</v>
      </c>
      <c r="E1506" t="s">
        <v>14</v>
      </c>
      <c r="F1506" t="s">
        <v>609</v>
      </c>
      <c r="G1506" t="s">
        <v>276</v>
      </c>
      <c r="H1506" t="s">
        <v>719</v>
      </c>
      <c r="I1506" t="s">
        <v>41</v>
      </c>
      <c r="J1506" t="s">
        <v>1293</v>
      </c>
      <c r="K1506">
        <v>5</v>
      </c>
      <c r="L1506">
        <v>5</v>
      </c>
      <c r="M1506">
        <v>2</v>
      </c>
      <c r="N1506">
        <v>1591</v>
      </c>
      <c r="O1506" t="str">
        <f>_xlfn.XLOOKUP(Table4[[#This Row],[id]],VALINA[id],VALINA[name])</f>
        <v>Surkhandarya</v>
      </c>
      <c r="P1506">
        <f>_xlfn.XLOOKUP(Table4[[#This Row],[id]],prov_color!A:A,prov_color!C:C)</f>
        <v>82</v>
      </c>
    </row>
    <row r="1507" spans="1:16" hidden="1" x14ac:dyDescent="0.25">
      <c r="A1507">
        <v>1592</v>
      </c>
      <c r="B1507" t="s">
        <v>653</v>
      </c>
      <c r="C1507" t="s">
        <v>672</v>
      </c>
      <c r="D1507" t="s">
        <v>711</v>
      </c>
      <c r="E1507" t="s">
        <v>34</v>
      </c>
      <c r="F1507" t="s">
        <v>609</v>
      </c>
      <c r="G1507" t="s">
        <v>35</v>
      </c>
      <c r="H1507" t="s">
        <v>719</v>
      </c>
      <c r="I1507" t="s">
        <v>685</v>
      </c>
      <c r="J1507" t="s">
        <v>1294</v>
      </c>
      <c r="K1507">
        <v>5</v>
      </c>
      <c r="L1507">
        <v>8</v>
      </c>
      <c r="M1507">
        <v>7</v>
      </c>
      <c r="N1507">
        <v>1592</v>
      </c>
      <c r="O1507" t="str">
        <f>_xlfn.XLOOKUP(Table4[[#This Row],[id]],VALINA[id],VALINA[name])</f>
        <v>Samarkand</v>
      </c>
      <c r="P1507">
        <f>_xlfn.XLOOKUP(Table4[[#This Row],[id]],prov_color!A:A,prov_color!C:C)</f>
        <v>65</v>
      </c>
    </row>
    <row r="1508" spans="1:16" hidden="1" x14ac:dyDescent="0.25">
      <c r="A1508">
        <v>1593</v>
      </c>
      <c r="B1508" t="s">
        <v>653</v>
      </c>
      <c r="C1508" t="s">
        <v>1681</v>
      </c>
      <c r="D1508" t="s">
        <v>1641</v>
      </c>
      <c r="E1508" t="s">
        <v>1316</v>
      </c>
      <c r="J1508" t="s">
        <v>1479</v>
      </c>
      <c r="K1508">
        <v>0</v>
      </c>
      <c r="N1508">
        <v>1593</v>
      </c>
      <c r="O1508" t="str">
        <f>_xlfn.XLOOKUP(Table4[[#This Row],[id]],VALINA[id],VALINA[name])</f>
        <v>Aral Sea</v>
      </c>
      <c r="P1508">
        <f>_xlfn.XLOOKUP(Table4[[#This Row],[id]],prov_color!A:A,prov_color!C:C)</f>
        <v>26</v>
      </c>
    </row>
    <row r="1509" spans="1:16" hidden="1" x14ac:dyDescent="0.25">
      <c r="A1509">
        <v>1594</v>
      </c>
      <c r="B1509" t="s">
        <v>653</v>
      </c>
      <c r="C1509" t="s">
        <v>672</v>
      </c>
      <c r="D1509" t="s">
        <v>711</v>
      </c>
      <c r="E1509" t="s">
        <v>52</v>
      </c>
      <c r="F1509" t="s">
        <v>609</v>
      </c>
      <c r="G1509" t="s">
        <v>35</v>
      </c>
      <c r="H1509" t="s">
        <v>712</v>
      </c>
      <c r="I1509" t="s">
        <v>41</v>
      </c>
      <c r="J1509" t="s">
        <v>1295</v>
      </c>
      <c r="K1509">
        <v>5</v>
      </c>
      <c r="L1509">
        <v>6</v>
      </c>
      <c r="M1509">
        <v>4</v>
      </c>
      <c r="N1509">
        <v>1594</v>
      </c>
      <c r="O1509" t="str">
        <f>_xlfn.XLOOKUP(Table4[[#This Row],[id]],VALINA[id],VALINA[name])</f>
        <v>Uzbek</v>
      </c>
      <c r="P1509">
        <f>_xlfn.XLOOKUP(Table4[[#This Row],[id]],prov_color!A:A,prov_color!C:C)</f>
        <v>76</v>
      </c>
    </row>
    <row r="1510" spans="1:16" hidden="1" x14ac:dyDescent="0.25">
      <c r="A1510">
        <v>1595</v>
      </c>
      <c r="B1510" t="s">
        <v>1016</v>
      </c>
      <c r="C1510" t="s">
        <v>1093</v>
      </c>
      <c r="D1510" t="s">
        <v>1121</v>
      </c>
      <c r="E1510" t="s">
        <v>14</v>
      </c>
      <c r="F1510" t="s">
        <v>609</v>
      </c>
      <c r="G1510" t="s">
        <v>35</v>
      </c>
      <c r="H1510" t="s">
        <v>616</v>
      </c>
      <c r="I1510" t="s">
        <v>212</v>
      </c>
      <c r="J1510" t="s">
        <v>1296</v>
      </c>
      <c r="K1510">
        <v>7</v>
      </c>
      <c r="L1510">
        <v>1</v>
      </c>
      <c r="M1510">
        <v>1</v>
      </c>
      <c r="N1510">
        <v>1595</v>
      </c>
      <c r="O1510" t="str">
        <f>_xlfn.XLOOKUP(Table4[[#This Row],[id]],VALINA[id],VALINA[name])</f>
        <v>Anti Atlas</v>
      </c>
      <c r="P1510">
        <f>_xlfn.XLOOKUP(Table4[[#This Row],[id]],prov_color!A:A,prov_color!C:C)</f>
        <v>60</v>
      </c>
    </row>
    <row r="1511" spans="1:16" hidden="1" x14ac:dyDescent="0.25">
      <c r="A1511">
        <v>1596</v>
      </c>
      <c r="B1511" t="s">
        <v>1016</v>
      </c>
      <c r="C1511" t="s">
        <v>1093</v>
      </c>
      <c r="D1511" t="s">
        <v>1121</v>
      </c>
      <c r="E1511" t="s">
        <v>52</v>
      </c>
      <c r="F1511" t="s">
        <v>609</v>
      </c>
      <c r="G1511" t="s">
        <v>47</v>
      </c>
      <c r="H1511" t="s">
        <v>616</v>
      </c>
      <c r="I1511" t="s">
        <v>53</v>
      </c>
      <c r="J1511" t="s">
        <v>1297</v>
      </c>
      <c r="K1511">
        <v>7</v>
      </c>
      <c r="L1511">
        <v>1</v>
      </c>
      <c r="M1511">
        <v>1</v>
      </c>
      <c r="N1511">
        <v>1596</v>
      </c>
      <c r="O1511" t="str">
        <f>_xlfn.XLOOKUP(Table4[[#This Row],[id]],VALINA[id],VALINA[name])</f>
        <v>Mdennan</v>
      </c>
      <c r="P1511">
        <f>_xlfn.XLOOKUP(Table4[[#This Row],[id]],prov_color!A:A,prov_color!C:C)</f>
        <v>61</v>
      </c>
    </row>
    <row r="1512" spans="1:16" hidden="1" x14ac:dyDescent="0.25">
      <c r="A1512">
        <v>1597</v>
      </c>
      <c r="B1512" t="s">
        <v>1016</v>
      </c>
      <c r="C1512" t="s">
        <v>1093</v>
      </c>
      <c r="D1512" t="s">
        <v>1121</v>
      </c>
      <c r="E1512" t="s">
        <v>52</v>
      </c>
      <c r="F1512" t="s">
        <v>609</v>
      </c>
      <c r="G1512" t="s">
        <v>47</v>
      </c>
      <c r="H1512" t="s">
        <v>616</v>
      </c>
      <c r="I1512" t="s">
        <v>53</v>
      </c>
      <c r="J1512" t="s">
        <v>1298</v>
      </c>
      <c r="K1512">
        <v>7</v>
      </c>
      <c r="L1512">
        <v>1</v>
      </c>
      <c r="M1512">
        <v>1</v>
      </c>
      <c r="N1512">
        <v>1597</v>
      </c>
      <c r="O1512" t="str">
        <f>_xlfn.XLOOKUP(Table4[[#This Row],[id]],VALINA[id],VALINA[name])</f>
        <v>Azaouad</v>
      </c>
      <c r="P1512">
        <f>_xlfn.XLOOKUP(Table4[[#This Row],[id]],prov_color!A:A,prov_color!C:C)</f>
        <v>61</v>
      </c>
    </row>
    <row r="1513" spans="1:16" hidden="1" x14ac:dyDescent="0.25">
      <c r="A1513">
        <v>1598</v>
      </c>
      <c r="B1513" t="s">
        <v>653</v>
      </c>
      <c r="C1513" t="s">
        <v>672</v>
      </c>
      <c r="D1513" t="s">
        <v>711</v>
      </c>
      <c r="E1513" t="s">
        <v>52</v>
      </c>
      <c r="F1513" t="s">
        <v>609</v>
      </c>
      <c r="G1513" t="s">
        <v>35</v>
      </c>
      <c r="H1513" t="s">
        <v>719</v>
      </c>
      <c r="I1513" t="s">
        <v>41</v>
      </c>
      <c r="J1513" t="s">
        <v>1299</v>
      </c>
      <c r="K1513">
        <v>7</v>
      </c>
      <c r="L1513">
        <v>3</v>
      </c>
      <c r="M1513">
        <v>2</v>
      </c>
      <c r="N1513">
        <v>1598</v>
      </c>
      <c r="O1513" t="str">
        <f>_xlfn.XLOOKUP(Table4[[#This Row],[id]],VALINA[id],VALINA[name])</f>
        <v>Tadjikistan</v>
      </c>
      <c r="P1513">
        <f>_xlfn.XLOOKUP(Table4[[#This Row],[id]],prov_color!A:A,prov_color!C:C)</f>
        <v>64</v>
      </c>
    </row>
    <row r="1514" spans="1:16" hidden="1" x14ac:dyDescent="0.25">
      <c r="A1514">
        <v>1599</v>
      </c>
      <c r="B1514" t="s">
        <v>653</v>
      </c>
      <c r="C1514" t="s">
        <v>672</v>
      </c>
      <c r="D1514" t="s">
        <v>711</v>
      </c>
      <c r="E1514" t="s">
        <v>52</v>
      </c>
      <c r="F1514" t="s">
        <v>609</v>
      </c>
      <c r="G1514" t="s">
        <v>35</v>
      </c>
      <c r="H1514" t="s">
        <v>712</v>
      </c>
      <c r="I1514" t="s">
        <v>41</v>
      </c>
      <c r="J1514" t="s">
        <v>1300</v>
      </c>
      <c r="K1514">
        <v>7</v>
      </c>
      <c r="L1514">
        <v>2</v>
      </c>
      <c r="M1514">
        <v>2</v>
      </c>
      <c r="N1514">
        <v>1599</v>
      </c>
      <c r="O1514" t="str">
        <f>_xlfn.XLOOKUP(Table4[[#This Row],[id]],VALINA[id],VALINA[name])</f>
        <v>Kirgisistan</v>
      </c>
      <c r="P1514">
        <f>_xlfn.XLOOKUP(Table4[[#This Row],[id]],prov_color!A:A,prov_color!C:C)</f>
        <v>66</v>
      </c>
    </row>
    <row r="1515" spans="1:16" hidden="1" x14ac:dyDescent="0.25">
      <c r="A1515">
        <v>1600</v>
      </c>
      <c r="B1515" t="s">
        <v>653</v>
      </c>
      <c r="C1515" t="s">
        <v>672</v>
      </c>
      <c r="D1515" t="s">
        <v>1301</v>
      </c>
      <c r="E1515" t="s">
        <v>52</v>
      </c>
      <c r="F1515" t="s">
        <v>609</v>
      </c>
      <c r="G1515" t="s">
        <v>35</v>
      </c>
      <c r="H1515" t="s">
        <v>1302</v>
      </c>
      <c r="I1515" t="s">
        <v>41</v>
      </c>
      <c r="J1515" t="s">
        <v>1303</v>
      </c>
      <c r="K1515">
        <v>7</v>
      </c>
      <c r="L1515">
        <v>2</v>
      </c>
      <c r="M1515">
        <v>2</v>
      </c>
      <c r="N1515">
        <v>1600</v>
      </c>
      <c r="O1515" t="str">
        <f>_xlfn.XLOOKUP(Table4[[#This Row],[id]],VALINA[id],VALINA[name])</f>
        <v>Tian Shan</v>
      </c>
      <c r="P1515">
        <f>_xlfn.XLOOKUP(Table4[[#This Row],[id]],prov_color!A:A,prov_color!C:C)</f>
        <v>93</v>
      </c>
    </row>
    <row r="1516" spans="1:16" hidden="1" x14ac:dyDescent="0.25">
      <c r="A1516">
        <v>1601</v>
      </c>
      <c r="B1516" t="s">
        <v>653</v>
      </c>
      <c r="C1516" t="s">
        <v>672</v>
      </c>
      <c r="D1516" t="s">
        <v>1301</v>
      </c>
      <c r="E1516" t="s">
        <v>52</v>
      </c>
      <c r="F1516" t="s">
        <v>609</v>
      </c>
      <c r="G1516" t="s">
        <v>35</v>
      </c>
      <c r="H1516" t="s">
        <v>1302</v>
      </c>
      <c r="I1516" t="s">
        <v>41</v>
      </c>
      <c r="J1516" t="s">
        <v>1304</v>
      </c>
      <c r="K1516">
        <v>7</v>
      </c>
      <c r="L1516">
        <v>2</v>
      </c>
      <c r="M1516">
        <v>4</v>
      </c>
      <c r="N1516">
        <v>1601</v>
      </c>
      <c r="O1516" t="str">
        <f>_xlfn.XLOOKUP(Table4[[#This Row],[id]],VALINA[id],VALINA[name])</f>
        <v>Dsungaria</v>
      </c>
      <c r="P1516">
        <f>_xlfn.XLOOKUP(Table4[[#This Row],[id]],prov_color!A:A,prov_color!C:C)</f>
        <v>92</v>
      </c>
    </row>
    <row r="1517" spans="1:16" hidden="1" x14ac:dyDescent="0.25">
      <c r="A1517">
        <v>1602</v>
      </c>
      <c r="B1517" t="s">
        <v>653</v>
      </c>
      <c r="C1517" t="s">
        <v>672</v>
      </c>
      <c r="D1517" t="s">
        <v>1301</v>
      </c>
      <c r="E1517" t="s">
        <v>52</v>
      </c>
      <c r="F1517" t="s">
        <v>609</v>
      </c>
      <c r="G1517" t="s">
        <v>35</v>
      </c>
      <c r="H1517" t="s">
        <v>1302</v>
      </c>
      <c r="I1517" t="s">
        <v>27</v>
      </c>
      <c r="J1517" t="s">
        <v>1305</v>
      </c>
      <c r="K1517">
        <v>7</v>
      </c>
      <c r="L1517">
        <v>3</v>
      </c>
      <c r="M1517">
        <v>3</v>
      </c>
      <c r="N1517">
        <v>1602</v>
      </c>
      <c r="O1517" t="str">
        <f>_xlfn.XLOOKUP(Table4[[#This Row],[id]],VALINA[id],VALINA[name])</f>
        <v>Bogda Shan</v>
      </c>
      <c r="P1517">
        <f>_xlfn.XLOOKUP(Table4[[#This Row],[id]],prov_color!A:A,prov_color!C:C)</f>
        <v>68</v>
      </c>
    </row>
    <row r="1518" spans="1:16" hidden="1" x14ac:dyDescent="0.25">
      <c r="A1518">
        <v>1603</v>
      </c>
      <c r="B1518" t="s">
        <v>653</v>
      </c>
      <c r="C1518" t="s">
        <v>672</v>
      </c>
      <c r="D1518" t="s">
        <v>1301</v>
      </c>
      <c r="E1518" t="s">
        <v>52</v>
      </c>
      <c r="F1518" t="s">
        <v>609</v>
      </c>
      <c r="G1518" t="s">
        <v>35</v>
      </c>
      <c r="H1518" t="s">
        <v>1302</v>
      </c>
      <c r="I1518" t="s">
        <v>41</v>
      </c>
      <c r="J1518" t="s">
        <v>1306</v>
      </c>
      <c r="K1518">
        <v>7</v>
      </c>
      <c r="L1518">
        <v>4</v>
      </c>
      <c r="M1518">
        <v>3</v>
      </c>
      <c r="N1518">
        <v>1603</v>
      </c>
      <c r="O1518" t="str">
        <f>_xlfn.XLOOKUP(Table4[[#This Row],[id]],VALINA[id],VALINA[name])</f>
        <v>Chagatai</v>
      </c>
      <c r="P1518">
        <f>_xlfn.XLOOKUP(Table4[[#This Row],[id]],prov_color!A:A,prov_color!C:C)</f>
        <v>72</v>
      </c>
    </row>
    <row r="1519" spans="1:16" hidden="1" x14ac:dyDescent="0.25">
      <c r="A1519">
        <v>1604</v>
      </c>
      <c r="B1519" t="s">
        <v>653</v>
      </c>
      <c r="C1519" t="s">
        <v>672</v>
      </c>
      <c r="D1519" t="s">
        <v>1301</v>
      </c>
      <c r="E1519" t="s">
        <v>52</v>
      </c>
      <c r="F1519" t="s">
        <v>609</v>
      </c>
      <c r="G1519" t="s">
        <v>35</v>
      </c>
      <c r="H1519" t="s">
        <v>1302</v>
      </c>
      <c r="I1519" t="s">
        <v>43</v>
      </c>
      <c r="J1519" t="s">
        <v>1307</v>
      </c>
      <c r="K1519">
        <v>7</v>
      </c>
      <c r="L1519">
        <v>3</v>
      </c>
      <c r="M1519">
        <v>3</v>
      </c>
      <c r="N1519">
        <v>1604</v>
      </c>
      <c r="O1519" t="str">
        <f>_xlfn.XLOOKUP(Table4[[#This Row],[id]],VALINA[id],VALINA[name])</f>
        <v>Urumqi</v>
      </c>
      <c r="P1519">
        <f>_xlfn.XLOOKUP(Table4[[#This Row],[id]],prov_color!A:A,prov_color!C:C)</f>
        <v>91</v>
      </c>
    </row>
    <row r="1520" spans="1:16" hidden="1" x14ac:dyDescent="0.25">
      <c r="A1520">
        <v>1605</v>
      </c>
      <c r="B1520" t="s">
        <v>653</v>
      </c>
      <c r="C1520" t="s">
        <v>672</v>
      </c>
      <c r="D1520" t="s">
        <v>1301</v>
      </c>
      <c r="E1520" t="s">
        <v>52</v>
      </c>
      <c r="F1520" t="s">
        <v>609</v>
      </c>
      <c r="G1520" t="s">
        <v>35</v>
      </c>
      <c r="H1520" t="s">
        <v>1302</v>
      </c>
      <c r="I1520" t="s">
        <v>43</v>
      </c>
      <c r="J1520" t="s">
        <v>1308</v>
      </c>
      <c r="K1520">
        <v>7</v>
      </c>
      <c r="L1520">
        <v>1</v>
      </c>
      <c r="M1520">
        <v>3</v>
      </c>
      <c r="N1520">
        <v>1605</v>
      </c>
      <c r="O1520" t="str">
        <f>_xlfn.XLOOKUP(Table4[[#This Row],[id]],VALINA[id],VALINA[name])</f>
        <v>Qaidam Pendi</v>
      </c>
      <c r="P1520">
        <f>_xlfn.XLOOKUP(Table4[[#This Row],[id]],prov_color!A:A,prov_color!C:C)</f>
        <v>109</v>
      </c>
    </row>
    <row r="1521" spans="1:16" hidden="1" x14ac:dyDescent="0.25">
      <c r="A1521">
        <v>1606</v>
      </c>
      <c r="B1521" t="s">
        <v>653</v>
      </c>
      <c r="C1521" t="s">
        <v>672</v>
      </c>
      <c r="D1521" t="s">
        <v>1301</v>
      </c>
      <c r="E1521" t="s">
        <v>52</v>
      </c>
      <c r="F1521" t="s">
        <v>609</v>
      </c>
      <c r="G1521" t="s">
        <v>35</v>
      </c>
      <c r="H1521" t="s">
        <v>1302</v>
      </c>
      <c r="I1521" t="s">
        <v>43</v>
      </c>
      <c r="J1521" t="s">
        <v>1309</v>
      </c>
      <c r="K1521">
        <v>7</v>
      </c>
      <c r="L1521">
        <v>1</v>
      </c>
      <c r="M1521">
        <v>3</v>
      </c>
      <c r="N1521">
        <v>1606</v>
      </c>
      <c r="O1521" t="str">
        <f>_xlfn.XLOOKUP(Table4[[#This Row],[id]],VALINA[id],VALINA[name])</f>
        <v>Sichuan</v>
      </c>
      <c r="P1521">
        <f>_xlfn.XLOOKUP(Table4[[#This Row],[id]],prov_color!A:A,prov_color!C:C)</f>
        <v>96</v>
      </c>
    </row>
    <row r="1522" spans="1:16" hidden="1" x14ac:dyDescent="0.25">
      <c r="A1522">
        <v>1607</v>
      </c>
      <c r="B1522" t="s">
        <v>653</v>
      </c>
      <c r="C1522" t="s">
        <v>672</v>
      </c>
      <c r="D1522" t="s">
        <v>1301</v>
      </c>
      <c r="E1522" t="s">
        <v>52</v>
      </c>
      <c r="F1522" t="s">
        <v>609</v>
      </c>
      <c r="G1522" t="s">
        <v>35</v>
      </c>
      <c r="H1522" t="s">
        <v>1302</v>
      </c>
      <c r="I1522" t="s">
        <v>43</v>
      </c>
      <c r="J1522" t="s">
        <v>1310</v>
      </c>
      <c r="K1522">
        <v>7</v>
      </c>
      <c r="L1522">
        <v>1</v>
      </c>
      <c r="M1522">
        <v>2</v>
      </c>
      <c r="N1522">
        <v>1607</v>
      </c>
      <c r="O1522" t="str">
        <f>_xlfn.XLOOKUP(Table4[[#This Row],[id]],VALINA[id],VALINA[name])</f>
        <v>Qinghai</v>
      </c>
      <c r="P1522">
        <f>_xlfn.XLOOKUP(Table4[[#This Row],[id]],prov_color!A:A,prov_color!C:C)</f>
        <v>145</v>
      </c>
    </row>
    <row r="1523" spans="1:16" hidden="1" x14ac:dyDescent="0.25">
      <c r="A1523">
        <v>1608</v>
      </c>
      <c r="B1523" t="s">
        <v>653</v>
      </c>
      <c r="C1523" t="s">
        <v>672</v>
      </c>
      <c r="D1523" t="s">
        <v>1301</v>
      </c>
      <c r="E1523" t="s">
        <v>52</v>
      </c>
      <c r="F1523" t="s">
        <v>609</v>
      </c>
      <c r="G1523" t="s">
        <v>35</v>
      </c>
      <c r="H1523" t="s">
        <v>1302</v>
      </c>
      <c r="I1523" t="s">
        <v>43</v>
      </c>
      <c r="J1523" t="s">
        <v>1311</v>
      </c>
      <c r="K1523">
        <v>7</v>
      </c>
      <c r="L1523">
        <v>1</v>
      </c>
      <c r="M1523">
        <v>3</v>
      </c>
      <c r="N1523">
        <v>1608</v>
      </c>
      <c r="O1523" t="str">
        <f>_xlfn.XLOOKUP(Table4[[#This Row],[id]],VALINA[id],VALINA[name])</f>
        <v>Qilian Pendi</v>
      </c>
      <c r="P1523">
        <f>_xlfn.XLOOKUP(Table4[[#This Row],[id]],prov_color!A:A,prov_color!C:C)</f>
        <v>84</v>
      </c>
    </row>
    <row r="1524" spans="1:16" hidden="1" x14ac:dyDescent="0.25">
      <c r="A1524">
        <v>1609</v>
      </c>
      <c r="B1524" t="s">
        <v>653</v>
      </c>
      <c r="C1524" t="s">
        <v>654</v>
      </c>
      <c r="D1524" t="s">
        <v>658</v>
      </c>
      <c r="E1524" t="s">
        <v>14</v>
      </c>
      <c r="F1524" t="s">
        <v>609</v>
      </c>
      <c r="G1524" t="s">
        <v>26</v>
      </c>
      <c r="H1524" t="s">
        <v>648</v>
      </c>
      <c r="I1524" t="s">
        <v>37</v>
      </c>
      <c r="J1524" t="s">
        <v>1312</v>
      </c>
      <c r="K1524">
        <v>0</v>
      </c>
      <c r="L1524">
        <v>3</v>
      </c>
      <c r="M1524">
        <v>4</v>
      </c>
      <c r="N1524">
        <v>1609</v>
      </c>
      <c r="O1524" t="str">
        <f>_xlfn.XLOOKUP(Table4[[#This Row],[id]],VALINA[id],VALINA[name])</f>
        <v>Kastamonu</v>
      </c>
      <c r="P1524">
        <f>_xlfn.XLOOKUP(Table4[[#This Row],[id]],prov_color!A:A,prov_color!C:C)</f>
        <v>25</v>
      </c>
    </row>
    <row r="1525" spans="1:16" hidden="1" x14ac:dyDescent="0.25">
      <c r="A1525">
        <v>1610</v>
      </c>
      <c r="B1525" t="s">
        <v>653</v>
      </c>
      <c r="C1525" t="s">
        <v>654</v>
      </c>
      <c r="D1525" t="s">
        <v>658</v>
      </c>
      <c r="E1525" t="s">
        <v>14</v>
      </c>
      <c r="F1525" t="s">
        <v>609</v>
      </c>
      <c r="G1525" t="s">
        <v>26</v>
      </c>
      <c r="H1525" t="s">
        <v>648</v>
      </c>
      <c r="I1525" t="s">
        <v>27</v>
      </c>
      <c r="J1525" t="s">
        <v>1313</v>
      </c>
      <c r="K1525">
        <v>0</v>
      </c>
      <c r="L1525">
        <v>3</v>
      </c>
      <c r="M1525">
        <v>6</v>
      </c>
      <c r="N1525">
        <v>1610</v>
      </c>
      <c r="O1525" t="str">
        <f>_xlfn.XLOOKUP(Table4[[#This Row],[id]],VALINA[id],VALINA[name])</f>
        <v>Antalya</v>
      </c>
      <c r="P1525">
        <f>_xlfn.XLOOKUP(Table4[[#This Row],[id]],prov_color!A:A,prov_color!C:C)</f>
        <v>22</v>
      </c>
    </row>
    <row r="1526" spans="1:16" hidden="1" x14ac:dyDescent="0.25">
      <c r="A1526">
        <v>1611</v>
      </c>
      <c r="B1526" t="s">
        <v>653</v>
      </c>
      <c r="C1526" t="s">
        <v>654</v>
      </c>
      <c r="D1526" t="s">
        <v>658</v>
      </c>
      <c r="E1526" t="s">
        <v>14</v>
      </c>
      <c r="F1526" t="s">
        <v>609</v>
      </c>
      <c r="G1526" t="s">
        <v>26</v>
      </c>
      <c r="H1526" t="s">
        <v>648</v>
      </c>
      <c r="I1526" t="s">
        <v>41</v>
      </c>
      <c r="J1526" t="s">
        <v>1314</v>
      </c>
      <c r="K1526">
        <v>0</v>
      </c>
      <c r="L1526">
        <v>3</v>
      </c>
      <c r="M1526">
        <v>5</v>
      </c>
      <c r="N1526">
        <v>1611</v>
      </c>
      <c r="O1526" t="str">
        <f>_xlfn.XLOOKUP(Table4[[#This Row],[id]],VALINA[id],VALINA[name])</f>
        <v>Taurus</v>
      </c>
      <c r="P1526">
        <f>_xlfn.XLOOKUP(Table4[[#This Row],[id]],prov_color!A:A,prov_color!C:C)</f>
        <v>20</v>
      </c>
    </row>
    <row r="1527" spans="1:16" hidden="1" x14ac:dyDescent="0.25">
      <c r="A1527">
        <v>1612</v>
      </c>
      <c r="B1527" t="s">
        <v>346</v>
      </c>
      <c r="C1527" t="s">
        <v>447</v>
      </c>
      <c r="D1527" t="s">
        <v>553</v>
      </c>
      <c r="E1527" t="s">
        <v>14</v>
      </c>
      <c r="F1527" t="s">
        <v>349</v>
      </c>
      <c r="G1527" t="s">
        <v>26</v>
      </c>
      <c r="H1527" t="s">
        <v>554</v>
      </c>
      <c r="I1527" t="s">
        <v>141</v>
      </c>
      <c r="J1527" t="s">
        <v>1315</v>
      </c>
      <c r="K1527">
        <v>0</v>
      </c>
      <c r="N1527">
        <v>1612</v>
      </c>
      <c r="O1527" t="str">
        <f>_xlfn.XLOOKUP(Table4[[#This Row],[id]],VALINA[id],VALINA[name])</f>
        <v>Schwyz</v>
      </c>
      <c r="P1527">
        <f>_xlfn.XLOOKUP(Table4[[#This Row],[id]],prov_color!A:A,prov_color!C:C)</f>
        <v>24</v>
      </c>
    </row>
    <row r="1528" spans="1:16" hidden="1" x14ac:dyDescent="0.25">
      <c r="A1528">
        <v>1613</v>
      </c>
      <c r="B1528" t="s">
        <v>346</v>
      </c>
      <c r="C1528" t="s">
        <v>1660</v>
      </c>
      <c r="D1528" t="s">
        <v>1641</v>
      </c>
      <c r="E1528" t="s">
        <v>1316</v>
      </c>
      <c r="J1528" t="s">
        <v>1944</v>
      </c>
      <c r="K1528">
        <v>0</v>
      </c>
      <c r="N1528">
        <v>1613</v>
      </c>
      <c r="O1528" t="str">
        <f>_xlfn.XLOOKUP(Table4[[#This Row],[id]],VALINA[id],VALINA[name])</f>
        <v>Coast of Rhodes</v>
      </c>
      <c r="P1528">
        <f>_xlfn.XLOOKUP(Table4[[#This Row],[id]],prov_color!A:A,prov_color!C:C)</f>
        <v>36</v>
      </c>
    </row>
    <row r="1529" spans="1:16" hidden="1" x14ac:dyDescent="0.25">
      <c r="A1529">
        <v>1700</v>
      </c>
      <c r="B1529" t="s">
        <v>1151</v>
      </c>
      <c r="C1529" t="s">
        <v>1151</v>
      </c>
      <c r="D1529" t="s">
        <v>1151</v>
      </c>
      <c r="E1529" t="s">
        <v>34</v>
      </c>
      <c r="F1529" t="s">
        <v>15</v>
      </c>
      <c r="G1529" t="s">
        <v>35</v>
      </c>
      <c r="H1529" t="s">
        <v>1152</v>
      </c>
      <c r="I1529" t="s">
        <v>1152</v>
      </c>
      <c r="J1529" t="s">
        <v>1153</v>
      </c>
      <c r="K1529">
        <v>3</v>
      </c>
      <c r="L1529">
        <v>0</v>
      </c>
      <c r="M1529">
        <v>0</v>
      </c>
      <c r="N1529">
        <v>1700</v>
      </c>
      <c r="O1529" t="e">
        <f>_xlfn.XLOOKUP(Table4[[#This Row],[id]],VALINA[id],VALINA[name])</f>
        <v>#N/A</v>
      </c>
      <c r="P1529">
        <f>_xlfn.XLOOKUP(Table4[[#This Row],[id]],prov_color!A:A,prov_color!C:C)</f>
        <v>59</v>
      </c>
    </row>
    <row r="1530" spans="1:16" hidden="1" x14ac:dyDescent="0.25">
      <c r="A1530">
        <v>1701</v>
      </c>
      <c r="B1530" t="s">
        <v>1151</v>
      </c>
      <c r="C1530" t="s">
        <v>1151</v>
      </c>
      <c r="D1530" t="s">
        <v>1151</v>
      </c>
      <c r="E1530" t="s">
        <v>34</v>
      </c>
      <c r="F1530" t="s">
        <v>15</v>
      </c>
      <c r="G1530" t="s">
        <v>35</v>
      </c>
      <c r="H1530" t="s">
        <v>1152</v>
      </c>
      <c r="I1530" t="s">
        <v>1152</v>
      </c>
      <c r="J1530" t="s">
        <v>1153</v>
      </c>
      <c r="K1530">
        <v>3</v>
      </c>
      <c r="L1530">
        <v>0</v>
      </c>
      <c r="M1530">
        <v>0</v>
      </c>
      <c r="N1530">
        <v>1701</v>
      </c>
      <c r="O1530" t="e">
        <f>_xlfn.XLOOKUP(Table4[[#This Row],[id]],VALINA[id],VALINA[name])</f>
        <v>#N/A</v>
      </c>
      <c r="P1530">
        <f>_xlfn.XLOOKUP(Table4[[#This Row],[id]],prov_color!A:A,prov_color!C:C)</f>
        <v>59</v>
      </c>
    </row>
    <row r="1531" spans="1:16" hidden="1" x14ac:dyDescent="0.25">
      <c r="A1531">
        <v>1702</v>
      </c>
      <c r="B1531" t="s">
        <v>1151</v>
      </c>
      <c r="C1531" t="s">
        <v>1151</v>
      </c>
      <c r="D1531" t="s">
        <v>1151</v>
      </c>
      <c r="E1531" t="s">
        <v>34</v>
      </c>
      <c r="F1531" t="s">
        <v>15</v>
      </c>
      <c r="G1531" t="s">
        <v>35</v>
      </c>
      <c r="H1531" t="s">
        <v>1152</v>
      </c>
      <c r="I1531" t="s">
        <v>1152</v>
      </c>
      <c r="J1531" t="s">
        <v>1153</v>
      </c>
      <c r="K1531">
        <v>3</v>
      </c>
      <c r="L1531">
        <v>0</v>
      </c>
      <c r="M1531">
        <v>0</v>
      </c>
      <c r="N1531">
        <v>1702</v>
      </c>
      <c r="O1531" t="e">
        <f>_xlfn.XLOOKUP(Table4[[#This Row],[id]],VALINA[id],VALINA[name])</f>
        <v>#N/A</v>
      </c>
      <c r="P1531">
        <f>_xlfn.XLOOKUP(Table4[[#This Row],[id]],prov_color!A:A,prov_color!C:C)</f>
        <v>25</v>
      </c>
    </row>
    <row r="1532" spans="1:16" hidden="1" x14ac:dyDescent="0.25">
      <c r="A1532">
        <v>1703</v>
      </c>
      <c r="B1532" t="s">
        <v>1151</v>
      </c>
      <c r="C1532" t="s">
        <v>1151</v>
      </c>
      <c r="D1532" t="s">
        <v>1151</v>
      </c>
      <c r="E1532" t="s">
        <v>34</v>
      </c>
      <c r="F1532" t="s">
        <v>15</v>
      </c>
      <c r="G1532" t="s">
        <v>35</v>
      </c>
      <c r="H1532" t="s">
        <v>1152</v>
      </c>
      <c r="I1532" t="s">
        <v>1152</v>
      </c>
      <c r="J1532" t="s">
        <v>1153</v>
      </c>
      <c r="K1532">
        <v>3</v>
      </c>
      <c r="L1532">
        <v>0</v>
      </c>
      <c r="M1532">
        <v>0</v>
      </c>
      <c r="N1532">
        <v>1703</v>
      </c>
      <c r="O1532" t="e">
        <f>_xlfn.XLOOKUP(Table4[[#This Row],[id]],VALINA[id],VALINA[name])</f>
        <v>#N/A</v>
      </c>
      <c r="P1532">
        <f>_xlfn.XLOOKUP(Table4[[#This Row],[id]],prov_color!A:A,prov_color!C:C)</f>
        <v>52</v>
      </c>
    </row>
    <row r="1533" spans="1:16" hidden="1" x14ac:dyDescent="0.25">
      <c r="A1533">
        <v>1704</v>
      </c>
      <c r="B1533" t="s">
        <v>1151</v>
      </c>
      <c r="C1533" t="s">
        <v>1151</v>
      </c>
      <c r="D1533" t="s">
        <v>1151</v>
      </c>
      <c r="E1533" t="s">
        <v>34</v>
      </c>
      <c r="F1533" t="s">
        <v>15</v>
      </c>
      <c r="G1533" t="s">
        <v>35</v>
      </c>
      <c r="H1533" t="s">
        <v>1152</v>
      </c>
      <c r="I1533" t="s">
        <v>1152</v>
      </c>
      <c r="J1533" t="s">
        <v>1153</v>
      </c>
      <c r="K1533">
        <v>3</v>
      </c>
      <c r="L1533">
        <v>0</v>
      </c>
      <c r="M1533">
        <v>0</v>
      </c>
      <c r="N1533">
        <v>1704</v>
      </c>
      <c r="O1533" t="e">
        <f>_xlfn.XLOOKUP(Table4[[#This Row],[id]],VALINA[id],VALINA[name])</f>
        <v>#N/A</v>
      </c>
      <c r="P1533">
        <f>_xlfn.XLOOKUP(Table4[[#This Row],[id]],prov_color!A:A,prov_color!C:C)</f>
        <v>32</v>
      </c>
    </row>
    <row r="1534" spans="1:16" hidden="1" x14ac:dyDescent="0.25">
      <c r="A1534">
        <v>1705</v>
      </c>
      <c r="B1534" t="s">
        <v>1151</v>
      </c>
      <c r="C1534" t="s">
        <v>1151</v>
      </c>
      <c r="D1534" t="s">
        <v>1151</v>
      </c>
      <c r="E1534" t="s">
        <v>34</v>
      </c>
      <c r="F1534" t="s">
        <v>15</v>
      </c>
      <c r="G1534" t="s">
        <v>35</v>
      </c>
      <c r="H1534" t="s">
        <v>1152</v>
      </c>
      <c r="I1534" t="s">
        <v>1152</v>
      </c>
      <c r="J1534" t="s">
        <v>1153</v>
      </c>
      <c r="K1534">
        <v>3</v>
      </c>
      <c r="L1534">
        <v>0</v>
      </c>
      <c r="M1534">
        <v>0</v>
      </c>
      <c r="N1534">
        <v>1705</v>
      </c>
      <c r="O1534" t="e">
        <f>_xlfn.XLOOKUP(Table4[[#This Row],[id]],VALINA[id],VALINA[name])</f>
        <v>#N/A</v>
      </c>
      <c r="P1534">
        <f>_xlfn.XLOOKUP(Table4[[#This Row],[id]],prov_color!A:A,prov_color!C:C)</f>
        <v>25</v>
      </c>
    </row>
    <row r="1535" spans="1:16" hidden="1" x14ac:dyDescent="0.25">
      <c r="A1535">
        <v>1706</v>
      </c>
      <c r="B1535" t="s">
        <v>1151</v>
      </c>
      <c r="C1535" t="s">
        <v>1151</v>
      </c>
      <c r="D1535" t="s">
        <v>1151</v>
      </c>
      <c r="E1535" t="s">
        <v>34</v>
      </c>
      <c r="F1535" t="s">
        <v>15</v>
      </c>
      <c r="G1535" t="s">
        <v>35</v>
      </c>
      <c r="H1535" t="s">
        <v>1152</v>
      </c>
      <c r="I1535" t="s">
        <v>1152</v>
      </c>
      <c r="J1535" t="s">
        <v>1153</v>
      </c>
      <c r="K1535">
        <v>3</v>
      </c>
      <c r="L1535">
        <v>0</v>
      </c>
      <c r="M1535">
        <v>0</v>
      </c>
      <c r="N1535">
        <v>1706</v>
      </c>
      <c r="O1535" t="e">
        <f>_xlfn.XLOOKUP(Table4[[#This Row],[id]],VALINA[id],VALINA[name])</f>
        <v>#N/A</v>
      </c>
      <c r="P1535">
        <f>_xlfn.XLOOKUP(Table4[[#This Row],[id]],prov_color!A:A,prov_color!C:C)</f>
        <v>44</v>
      </c>
    </row>
    <row r="1536" spans="1:16" hidden="1" x14ac:dyDescent="0.25">
      <c r="A1536">
        <v>1707</v>
      </c>
      <c r="B1536" t="s">
        <v>1151</v>
      </c>
      <c r="C1536" t="s">
        <v>1151</v>
      </c>
      <c r="D1536" t="s">
        <v>1151</v>
      </c>
      <c r="E1536" t="s">
        <v>34</v>
      </c>
      <c r="F1536" t="s">
        <v>15</v>
      </c>
      <c r="G1536" t="s">
        <v>35</v>
      </c>
      <c r="H1536" t="s">
        <v>1152</v>
      </c>
      <c r="I1536" t="s">
        <v>1152</v>
      </c>
      <c r="J1536" t="s">
        <v>1153</v>
      </c>
      <c r="K1536">
        <v>3</v>
      </c>
      <c r="L1536">
        <v>0</v>
      </c>
      <c r="M1536">
        <v>0</v>
      </c>
      <c r="N1536">
        <v>1707</v>
      </c>
      <c r="O1536" t="e">
        <f>_xlfn.XLOOKUP(Table4[[#This Row],[id]],VALINA[id],VALINA[name])</f>
        <v>#N/A</v>
      </c>
      <c r="P1536">
        <f>_xlfn.XLOOKUP(Table4[[#This Row],[id]],prov_color!A:A,prov_color!C:C)</f>
        <v>59</v>
      </c>
    </row>
    <row r="1537" spans="1:16" hidden="1" x14ac:dyDescent="0.25">
      <c r="A1537">
        <v>1708</v>
      </c>
      <c r="B1537" t="s">
        <v>1151</v>
      </c>
      <c r="C1537" t="s">
        <v>1151</v>
      </c>
      <c r="D1537" t="s">
        <v>1151</v>
      </c>
      <c r="E1537" t="s">
        <v>34</v>
      </c>
      <c r="F1537" t="s">
        <v>15</v>
      </c>
      <c r="G1537" t="s">
        <v>35</v>
      </c>
      <c r="H1537" t="s">
        <v>1152</v>
      </c>
      <c r="I1537" t="s">
        <v>1152</v>
      </c>
      <c r="J1537" t="s">
        <v>1153</v>
      </c>
      <c r="K1537">
        <v>3</v>
      </c>
      <c r="L1537">
        <v>0</v>
      </c>
      <c r="M1537">
        <v>0</v>
      </c>
      <c r="N1537">
        <v>1708</v>
      </c>
      <c r="O1537" t="e">
        <f>_xlfn.XLOOKUP(Table4[[#This Row],[id]],VALINA[id],VALINA[name])</f>
        <v>#N/A</v>
      </c>
      <c r="P1537">
        <f>_xlfn.XLOOKUP(Table4[[#This Row],[id]],prov_color!A:A,prov_color!C:C)</f>
        <v>30</v>
      </c>
    </row>
    <row r="1538" spans="1:16" hidden="1" x14ac:dyDescent="0.25">
      <c r="A1538">
        <v>1709</v>
      </c>
      <c r="B1538" t="s">
        <v>1151</v>
      </c>
      <c r="C1538" t="s">
        <v>1151</v>
      </c>
      <c r="D1538" t="s">
        <v>1151</v>
      </c>
      <c r="E1538" t="s">
        <v>34</v>
      </c>
      <c r="F1538" t="s">
        <v>15</v>
      </c>
      <c r="G1538" t="s">
        <v>35</v>
      </c>
      <c r="H1538" t="s">
        <v>1152</v>
      </c>
      <c r="I1538" t="s">
        <v>1152</v>
      </c>
      <c r="J1538" t="s">
        <v>1153</v>
      </c>
      <c r="K1538">
        <v>3</v>
      </c>
      <c r="L1538">
        <v>0</v>
      </c>
      <c r="M1538">
        <v>0</v>
      </c>
      <c r="N1538">
        <v>1709</v>
      </c>
      <c r="O1538" t="e">
        <f>_xlfn.XLOOKUP(Table4[[#This Row],[id]],VALINA[id],VALINA[name])</f>
        <v>#N/A</v>
      </c>
      <c r="P1538">
        <f>_xlfn.XLOOKUP(Table4[[#This Row],[id]],prov_color!A:A,prov_color!C:C)</f>
        <v>49</v>
      </c>
    </row>
    <row r="1539" spans="1:16" hidden="1" x14ac:dyDescent="0.25">
      <c r="A1539">
        <v>1710</v>
      </c>
      <c r="B1539" t="s">
        <v>1151</v>
      </c>
      <c r="C1539" t="s">
        <v>1151</v>
      </c>
      <c r="D1539" t="s">
        <v>1151</v>
      </c>
      <c r="E1539" t="s">
        <v>34</v>
      </c>
      <c r="F1539" t="s">
        <v>15</v>
      </c>
      <c r="G1539" t="s">
        <v>35</v>
      </c>
      <c r="H1539" t="s">
        <v>1152</v>
      </c>
      <c r="I1539" t="s">
        <v>1152</v>
      </c>
      <c r="J1539" t="s">
        <v>1153</v>
      </c>
      <c r="K1539">
        <v>3</v>
      </c>
      <c r="L1539">
        <v>0</v>
      </c>
      <c r="M1539">
        <v>0</v>
      </c>
      <c r="N1539">
        <v>1710</v>
      </c>
      <c r="O1539" t="e">
        <f>_xlfn.XLOOKUP(Table4[[#This Row],[id]],VALINA[id],VALINA[name])</f>
        <v>#N/A</v>
      </c>
      <c r="P1539">
        <f>_xlfn.XLOOKUP(Table4[[#This Row],[id]],prov_color!A:A,prov_color!C:C)</f>
        <v>51</v>
      </c>
    </row>
    <row r="1540" spans="1:16" hidden="1" x14ac:dyDescent="0.25">
      <c r="A1540">
        <v>1711</v>
      </c>
      <c r="B1540" t="s">
        <v>1151</v>
      </c>
      <c r="C1540" t="s">
        <v>1151</v>
      </c>
      <c r="D1540" t="s">
        <v>1151</v>
      </c>
      <c r="E1540" t="s">
        <v>34</v>
      </c>
      <c r="F1540" t="s">
        <v>15</v>
      </c>
      <c r="G1540" t="s">
        <v>35</v>
      </c>
      <c r="H1540" t="s">
        <v>1152</v>
      </c>
      <c r="I1540" t="s">
        <v>1152</v>
      </c>
      <c r="J1540" t="s">
        <v>1153</v>
      </c>
      <c r="K1540">
        <v>3</v>
      </c>
      <c r="L1540">
        <v>0</v>
      </c>
      <c r="M1540">
        <v>0</v>
      </c>
      <c r="N1540">
        <v>1711</v>
      </c>
      <c r="O1540" t="e">
        <f>_xlfn.XLOOKUP(Table4[[#This Row],[id]],VALINA[id],VALINA[name])</f>
        <v>#N/A</v>
      </c>
      <c r="P1540">
        <f>_xlfn.XLOOKUP(Table4[[#This Row],[id]],prov_color!A:A,prov_color!C:C)</f>
        <v>76</v>
      </c>
    </row>
    <row r="1541" spans="1:16" hidden="1" x14ac:dyDescent="0.25">
      <c r="A1541">
        <v>1712</v>
      </c>
      <c r="B1541" t="s">
        <v>1151</v>
      </c>
      <c r="C1541" t="s">
        <v>1151</v>
      </c>
      <c r="D1541" t="s">
        <v>1151</v>
      </c>
      <c r="E1541" t="s">
        <v>34</v>
      </c>
      <c r="F1541" t="s">
        <v>15</v>
      </c>
      <c r="G1541" t="s">
        <v>35</v>
      </c>
      <c r="H1541" t="s">
        <v>1152</v>
      </c>
      <c r="I1541" t="s">
        <v>1152</v>
      </c>
      <c r="J1541" t="s">
        <v>1153</v>
      </c>
      <c r="K1541">
        <v>3</v>
      </c>
      <c r="L1541">
        <v>0</v>
      </c>
      <c r="M1541">
        <v>0</v>
      </c>
      <c r="N1541">
        <v>1712</v>
      </c>
      <c r="O1541" t="e">
        <f>_xlfn.XLOOKUP(Table4[[#This Row],[id]],VALINA[id],VALINA[name])</f>
        <v>#N/A</v>
      </c>
      <c r="P1541">
        <f>_xlfn.XLOOKUP(Table4[[#This Row],[id]],prov_color!A:A,prov_color!C:C)</f>
        <v>25</v>
      </c>
    </row>
    <row r="1542" spans="1:16" hidden="1" x14ac:dyDescent="0.25">
      <c r="A1542">
        <v>1713</v>
      </c>
      <c r="B1542" t="s">
        <v>1151</v>
      </c>
      <c r="C1542" t="s">
        <v>1151</v>
      </c>
      <c r="D1542" t="s">
        <v>1151</v>
      </c>
      <c r="E1542" t="s">
        <v>34</v>
      </c>
      <c r="F1542" t="s">
        <v>15</v>
      </c>
      <c r="G1542" t="s">
        <v>35</v>
      </c>
      <c r="H1542" t="s">
        <v>1152</v>
      </c>
      <c r="I1542" t="s">
        <v>1152</v>
      </c>
      <c r="J1542" t="s">
        <v>1153</v>
      </c>
      <c r="K1542">
        <v>3</v>
      </c>
      <c r="L1542">
        <v>0</v>
      </c>
      <c r="M1542">
        <v>0</v>
      </c>
      <c r="N1542">
        <v>1713</v>
      </c>
      <c r="O1542" t="e">
        <f>_xlfn.XLOOKUP(Table4[[#This Row],[id]],VALINA[id],VALINA[name])</f>
        <v>#N/A</v>
      </c>
      <c r="P1542">
        <f>_xlfn.XLOOKUP(Table4[[#This Row],[id]],prov_color!A:A,prov_color!C:C)</f>
        <v>38</v>
      </c>
    </row>
    <row r="1543" spans="1:16" hidden="1" x14ac:dyDescent="0.25">
      <c r="A1543">
        <v>1714</v>
      </c>
      <c r="B1543" t="s">
        <v>1151</v>
      </c>
      <c r="C1543" t="s">
        <v>1151</v>
      </c>
      <c r="D1543" t="s">
        <v>1151</v>
      </c>
      <c r="E1543" t="s">
        <v>34</v>
      </c>
      <c r="F1543" t="s">
        <v>15</v>
      </c>
      <c r="G1543" t="s">
        <v>35</v>
      </c>
      <c r="H1543" t="s">
        <v>1152</v>
      </c>
      <c r="I1543" t="s">
        <v>1152</v>
      </c>
      <c r="J1543" t="s">
        <v>1153</v>
      </c>
      <c r="K1543">
        <v>3</v>
      </c>
      <c r="L1543">
        <v>0</v>
      </c>
      <c r="M1543">
        <v>0</v>
      </c>
      <c r="N1543">
        <v>1714</v>
      </c>
      <c r="O1543" t="e">
        <f>_xlfn.XLOOKUP(Table4[[#This Row],[id]],VALINA[id],VALINA[name])</f>
        <v>#N/A</v>
      </c>
      <c r="P1543">
        <f>_xlfn.XLOOKUP(Table4[[#This Row],[id]],prov_color!A:A,prov_color!C:C)</f>
        <v>44</v>
      </c>
    </row>
    <row r="1544" spans="1:16" hidden="1" x14ac:dyDescent="0.25">
      <c r="A1544">
        <v>1715</v>
      </c>
      <c r="B1544" t="s">
        <v>1151</v>
      </c>
      <c r="C1544" t="s">
        <v>1151</v>
      </c>
      <c r="D1544" t="s">
        <v>1151</v>
      </c>
      <c r="E1544" t="s">
        <v>34</v>
      </c>
      <c r="F1544" t="s">
        <v>15</v>
      </c>
      <c r="G1544" t="s">
        <v>35</v>
      </c>
      <c r="H1544" t="s">
        <v>1152</v>
      </c>
      <c r="I1544" t="s">
        <v>1152</v>
      </c>
      <c r="J1544" t="s">
        <v>1153</v>
      </c>
      <c r="K1544">
        <v>3</v>
      </c>
      <c r="L1544">
        <v>0</v>
      </c>
      <c r="M1544">
        <v>0</v>
      </c>
      <c r="N1544">
        <v>1715</v>
      </c>
      <c r="O1544" t="e">
        <f>_xlfn.XLOOKUP(Table4[[#This Row],[id]],VALINA[id],VALINA[name])</f>
        <v>#N/A</v>
      </c>
      <c r="P1544">
        <f>_xlfn.XLOOKUP(Table4[[#This Row],[id]],prov_color!A:A,prov_color!C:C)</f>
        <v>83</v>
      </c>
    </row>
    <row r="1545" spans="1:16" hidden="1" x14ac:dyDescent="0.25">
      <c r="A1545">
        <v>1716</v>
      </c>
      <c r="B1545" t="s">
        <v>1151</v>
      </c>
      <c r="C1545" t="s">
        <v>1151</v>
      </c>
      <c r="D1545" t="s">
        <v>1151</v>
      </c>
      <c r="E1545" t="s">
        <v>34</v>
      </c>
      <c r="F1545" t="s">
        <v>15</v>
      </c>
      <c r="G1545" t="s">
        <v>35</v>
      </c>
      <c r="H1545" t="s">
        <v>1152</v>
      </c>
      <c r="I1545" t="s">
        <v>1152</v>
      </c>
      <c r="J1545" t="s">
        <v>1153</v>
      </c>
      <c r="K1545">
        <v>3</v>
      </c>
      <c r="L1545">
        <v>0</v>
      </c>
      <c r="M1545">
        <v>0</v>
      </c>
      <c r="N1545">
        <v>1716</v>
      </c>
      <c r="O1545" t="e">
        <f>_xlfn.XLOOKUP(Table4[[#This Row],[id]],VALINA[id],VALINA[name])</f>
        <v>#N/A</v>
      </c>
      <c r="P1545">
        <f>_xlfn.XLOOKUP(Table4[[#This Row],[id]],prov_color!A:A,prov_color!C:C)</f>
        <v>67</v>
      </c>
    </row>
    <row r="1546" spans="1:16" hidden="1" x14ac:dyDescent="0.25">
      <c r="A1546">
        <v>1717</v>
      </c>
      <c r="B1546" t="s">
        <v>1151</v>
      </c>
      <c r="C1546" t="s">
        <v>1151</v>
      </c>
      <c r="D1546" t="s">
        <v>1151</v>
      </c>
      <c r="E1546" t="s">
        <v>34</v>
      </c>
      <c r="F1546" t="s">
        <v>15</v>
      </c>
      <c r="G1546" t="s">
        <v>35</v>
      </c>
      <c r="H1546" t="s">
        <v>1152</v>
      </c>
      <c r="I1546" t="s">
        <v>1152</v>
      </c>
      <c r="J1546" t="s">
        <v>1153</v>
      </c>
      <c r="K1546">
        <v>3</v>
      </c>
      <c r="L1546">
        <v>0</v>
      </c>
      <c r="M1546">
        <v>0</v>
      </c>
      <c r="N1546">
        <v>1717</v>
      </c>
      <c r="O1546" t="e">
        <f>_xlfn.XLOOKUP(Table4[[#This Row],[id]],VALINA[id],VALINA[name])</f>
        <v>#N/A</v>
      </c>
      <c r="P1546">
        <f>_xlfn.XLOOKUP(Table4[[#This Row],[id]],prov_color!A:A,prov_color!C:C)</f>
        <v>80</v>
      </c>
    </row>
    <row r="1547" spans="1:16" hidden="1" x14ac:dyDescent="0.25">
      <c r="A1547">
        <v>1718</v>
      </c>
      <c r="B1547" t="s">
        <v>1151</v>
      </c>
      <c r="C1547" t="s">
        <v>1151</v>
      </c>
      <c r="D1547" t="s">
        <v>1151</v>
      </c>
      <c r="E1547" t="s">
        <v>34</v>
      </c>
      <c r="F1547" t="s">
        <v>15</v>
      </c>
      <c r="G1547" t="s">
        <v>35</v>
      </c>
      <c r="H1547" t="s">
        <v>1152</v>
      </c>
      <c r="I1547" t="s">
        <v>1152</v>
      </c>
      <c r="J1547" t="s">
        <v>1153</v>
      </c>
      <c r="K1547">
        <v>3</v>
      </c>
      <c r="L1547">
        <v>0</v>
      </c>
      <c r="M1547">
        <v>0</v>
      </c>
      <c r="N1547">
        <v>1718</v>
      </c>
      <c r="O1547" t="e">
        <f>_xlfn.XLOOKUP(Table4[[#This Row],[id]],VALINA[id],VALINA[name])</f>
        <v>#N/A</v>
      </c>
      <c r="P1547">
        <f>_xlfn.XLOOKUP(Table4[[#This Row],[id]],prov_color!A:A,prov_color!C:C)</f>
        <v>84</v>
      </c>
    </row>
    <row r="1548" spans="1:16" hidden="1" x14ac:dyDescent="0.25">
      <c r="A1548">
        <v>1719</v>
      </c>
      <c r="B1548" t="s">
        <v>1151</v>
      </c>
      <c r="C1548" t="s">
        <v>1151</v>
      </c>
      <c r="D1548" t="s">
        <v>1151</v>
      </c>
      <c r="E1548" t="s">
        <v>34</v>
      </c>
      <c r="F1548" t="s">
        <v>15</v>
      </c>
      <c r="G1548" t="s">
        <v>35</v>
      </c>
      <c r="H1548" t="s">
        <v>1152</v>
      </c>
      <c r="I1548" t="s">
        <v>1152</v>
      </c>
      <c r="J1548" t="s">
        <v>1153</v>
      </c>
      <c r="K1548">
        <v>3</v>
      </c>
      <c r="L1548">
        <v>0</v>
      </c>
      <c r="M1548">
        <v>0</v>
      </c>
      <c r="N1548">
        <v>1719</v>
      </c>
      <c r="O1548" t="e">
        <f>_xlfn.XLOOKUP(Table4[[#This Row],[id]],VALINA[id],VALINA[name])</f>
        <v>#N/A</v>
      </c>
      <c r="P1548">
        <f>_xlfn.XLOOKUP(Table4[[#This Row],[id]],prov_color!A:A,prov_color!C:C)</f>
        <v>81</v>
      </c>
    </row>
    <row r="1549" spans="1:16" hidden="1" x14ac:dyDescent="0.25">
      <c r="A1549">
        <v>1720</v>
      </c>
      <c r="B1549" t="s">
        <v>1151</v>
      </c>
      <c r="C1549" t="s">
        <v>1151</v>
      </c>
      <c r="D1549" t="s">
        <v>1151</v>
      </c>
      <c r="E1549" t="s">
        <v>34</v>
      </c>
      <c r="F1549" t="s">
        <v>15</v>
      </c>
      <c r="G1549" t="s">
        <v>35</v>
      </c>
      <c r="H1549" t="s">
        <v>1152</v>
      </c>
      <c r="I1549" t="s">
        <v>1152</v>
      </c>
      <c r="J1549" t="s">
        <v>1153</v>
      </c>
      <c r="K1549">
        <v>3</v>
      </c>
      <c r="L1549">
        <v>0</v>
      </c>
      <c r="M1549">
        <v>0</v>
      </c>
      <c r="N1549">
        <v>1720</v>
      </c>
      <c r="O1549" t="e">
        <f>_xlfn.XLOOKUP(Table4[[#This Row],[id]],VALINA[id],VALINA[name])</f>
        <v>#N/A</v>
      </c>
      <c r="P1549">
        <f>_xlfn.XLOOKUP(Table4[[#This Row],[id]],prov_color!A:A,prov_color!C:C)</f>
        <v>39</v>
      </c>
    </row>
    <row r="1550" spans="1:16" hidden="1" x14ac:dyDescent="0.25">
      <c r="A1550">
        <v>1721</v>
      </c>
      <c r="B1550" t="s">
        <v>1151</v>
      </c>
      <c r="C1550" t="s">
        <v>1151</v>
      </c>
      <c r="D1550" t="s">
        <v>1151</v>
      </c>
      <c r="E1550" t="s">
        <v>34</v>
      </c>
      <c r="F1550" t="s">
        <v>15</v>
      </c>
      <c r="G1550" t="s">
        <v>35</v>
      </c>
      <c r="H1550" t="s">
        <v>1152</v>
      </c>
      <c r="I1550" t="s">
        <v>1152</v>
      </c>
      <c r="J1550" t="s">
        <v>1153</v>
      </c>
      <c r="K1550">
        <v>3</v>
      </c>
      <c r="L1550">
        <v>0</v>
      </c>
      <c r="M1550">
        <v>0</v>
      </c>
      <c r="N1550">
        <v>1721</v>
      </c>
      <c r="O1550" t="e">
        <f>_xlfn.XLOOKUP(Table4[[#This Row],[id]],VALINA[id],VALINA[name])</f>
        <v>#N/A</v>
      </c>
      <c r="P1550">
        <f>_xlfn.XLOOKUP(Table4[[#This Row],[id]],prov_color!A:A,prov_color!C:C)</f>
        <v>32</v>
      </c>
    </row>
    <row r="1551" spans="1:16" hidden="1" x14ac:dyDescent="0.25">
      <c r="A1551">
        <v>1722</v>
      </c>
      <c r="B1551" t="s">
        <v>1151</v>
      </c>
      <c r="C1551" t="s">
        <v>1151</v>
      </c>
      <c r="D1551" t="s">
        <v>1151</v>
      </c>
      <c r="E1551" t="s">
        <v>34</v>
      </c>
      <c r="F1551" t="s">
        <v>15</v>
      </c>
      <c r="G1551" t="s">
        <v>35</v>
      </c>
      <c r="H1551" t="s">
        <v>1152</v>
      </c>
      <c r="I1551" t="s">
        <v>1152</v>
      </c>
      <c r="J1551" t="s">
        <v>1153</v>
      </c>
      <c r="K1551">
        <v>3</v>
      </c>
      <c r="L1551">
        <v>0</v>
      </c>
      <c r="M1551">
        <v>0</v>
      </c>
      <c r="N1551">
        <v>1722</v>
      </c>
      <c r="O1551" t="e">
        <f>_xlfn.XLOOKUP(Table4[[#This Row],[id]],VALINA[id],VALINA[name])</f>
        <v>#N/A</v>
      </c>
      <c r="P1551">
        <f>_xlfn.XLOOKUP(Table4[[#This Row],[id]],prov_color!A:A,prov_color!C:C)</f>
        <v>53</v>
      </c>
    </row>
    <row r="1552" spans="1:16" hidden="1" x14ac:dyDescent="0.25">
      <c r="A1552">
        <v>1723</v>
      </c>
      <c r="B1552" t="s">
        <v>1151</v>
      </c>
      <c r="C1552" t="s">
        <v>1151</v>
      </c>
      <c r="D1552" t="s">
        <v>1151</v>
      </c>
      <c r="E1552" t="s">
        <v>34</v>
      </c>
      <c r="F1552" t="s">
        <v>15</v>
      </c>
      <c r="G1552" t="s">
        <v>35</v>
      </c>
      <c r="H1552" t="s">
        <v>1152</v>
      </c>
      <c r="I1552" t="s">
        <v>1152</v>
      </c>
      <c r="J1552" t="s">
        <v>1153</v>
      </c>
      <c r="K1552">
        <v>3</v>
      </c>
      <c r="L1552">
        <v>0</v>
      </c>
      <c r="M1552">
        <v>0</v>
      </c>
      <c r="N1552">
        <v>1723</v>
      </c>
      <c r="O1552" t="e">
        <f>_xlfn.XLOOKUP(Table4[[#This Row],[id]],VALINA[id],VALINA[name])</f>
        <v>#N/A</v>
      </c>
      <c r="P1552">
        <f>_xlfn.XLOOKUP(Table4[[#This Row],[id]],prov_color!A:A,prov_color!C:C)</f>
        <v>58</v>
      </c>
    </row>
    <row r="1553" spans="1:16" hidden="1" x14ac:dyDescent="0.25">
      <c r="A1553">
        <v>1724</v>
      </c>
      <c r="B1553" t="s">
        <v>1151</v>
      </c>
      <c r="C1553" t="s">
        <v>1151</v>
      </c>
      <c r="D1553" t="s">
        <v>1151</v>
      </c>
      <c r="E1553" t="s">
        <v>34</v>
      </c>
      <c r="F1553" t="s">
        <v>15</v>
      </c>
      <c r="G1553" t="s">
        <v>35</v>
      </c>
      <c r="H1553" t="s">
        <v>1152</v>
      </c>
      <c r="I1553" t="s">
        <v>1152</v>
      </c>
      <c r="J1553" t="s">
        <v>1153</v>
      </c>
      <c r="K1553">
        <v>3</v>
      </c>
      <c r="L1553">
        <v>0</v>
      </c>
      <c r="M1553">
        <v>0</v>
      </c>
      <c r="N1553">
        <v>1724</v>
      </c>
      <c r="O1553" t="e">
        <f>_xlfn.XLOOKUP(Table4[[#This Row],[id]],VALINA[id],VALINA[name])</f>
        <v>#N/A</v>
      </c>
      <c r="P1553">
        <f>_xlfn.XLOOKUP(Table4[[#This Row],[id]],prov_color!A:A,prov_color!C:C)</f>
        <v>53</v>
      </c>
    </row>
    <row r="1554" spans="1:16" hidden="1" x14ac:dyDescent="0.25">
      <c r="A1554">
        <v>1725</v>
      </c>
      <c r="B1554" t="s">
        <v>1151</v>
      </c>
      <c r="C1554" t="s">
        <v>1151</v>
      </c>
      <c r="D1554" t="s">
        <v>1151</v>
      </c>
      <c r="E1554" t="s">
        <v>34</v>
      </c>
      <c r="F1554" t="s">
        <v>15</v>
      </c>
      <c r="G1554" t="s">
        <v>35</v>
      </c>
      <c r="H1554" t="s">
        <v>1152</v>
      </c>
      <c r="I1554" t="s">
        <v>1152</v>
      </c>
      <c r="J1554" t="s">
        <v>1153</v>
      </c>
      <c r="K1554">
        <v>3</v>
      </c>
      <c r="L1554">
        <v>0</v>
      </c>
      <c r="M1554">
        <v>0</v>
      </c>
      <c r="N1554">
        <v>1725</v>
      </c>
      <c r="O1554" t="e">
        <f>_xlfn.XLOOKUP(Table4[[#This Row],[id]],VALINA[id],VALINA[name])</f>
        <v>#N/A</v>
      </c>
      <c r="P1554">
        <f>_xlfn.XLOOKUP(Table4[[#This Row],[id]],prov_color!A:A,prov_color!C:C)</f>
        <v>33</v>
      </c>
    </row>
    <row r="1555" spans="1:16" hidden="1" x14ac:dyDescent="0.25">
      <c r="A1555">
        <v>1726</v>
      </c>
      <c r="B1555" t="s">
        <v>1151</v>
      </c>
      <c r="C1555" t="s">
        <v>1151</v>
      </c>
      <c r="D1555" t="s">
        <v>1151</v>
      </c>
      <c r="E1555" t="s">
        <v>34</v>
      </c>
      <c r="F1555" t="s">
        <v>15</v>
      </c>
      <c r="G1555" t="s">
        <v>35</v>
      </c>
      <c r="H1555" t="s">
        <v>1152</v>
      </c>
      <c r="I1555" t="s">
        <v>1152</v>
      </c>
      <c r="J1555" t="s">
        <v>1153</v>
      </c>
      <c r="K1555">
        <v>3</v>
      </c>
      <c r="L1555">
        <v>0</v>
      </c>
      <c r="M1555">
        <v>0</v>
      </c>
      <c r="N1555">
        <v>1726</v>
      </c>
      <c r="O1555" t="e">
        <f>_xlfn.XLOOKUP(Table4[[#This Row],[id]],VALINA[id],VALINA[name])</f>
        <v>#N/A</v>
      </c>
      <c r="P1555">
        <f>_xlfn.XLOOKUP(Table4[[#This Row],[id]],prov_color!A:A,prov_color!C:C)</f>
        <v>53</v>
      </c>
    </row>
    <row r="1556" spans="1:16" hidden="1" x14ac:dyDescent="0.25">
      <c r="A1556">
        <v>1727</v>
      </c>
      <c r="B1556" t="s">
        <v>1151</v>
      </c>
      <c r="C1556" t="s">
        <v>1151</v>
      </c>
      <c r="D1556" t="s">
        <v>1151</v>
      </c>
      <c r="E1556" t="s">
        <v>34</v>
      </c>
      <c r="F1556" t="s">
        <v>15</v>
      </c>
      <c r="G1556" t="s">
        <v>35</v>
      </c>
      <c r="H1556" t="s">
        <v>1152</v>
      </c>
      <c r="I1556" t="s">
        <v>1152</v>
      </c>
      <c r="J1556" t="s">
        <v>1153</v>
      </c>
      <c r="K1556">
        <v>3</v>
      </c>
      <c r="L1556">
        <v>0</v>
      </c>
      <c r="M1556">
        <v>0</v>
      </c>
      <c r="N1556">
        <v>1727</v>
      </c>
      <c r="O1556" t="e">
        <f>_xlfn.XLOOKUP(Table4[[#This Row],[id]],VALINA[id],VALINA[name])</f>
        <v>#N/A</v>
      </c>
      <c r="P1556">
        <f>_xlfn.XLOOKUP(Table4[[#This Row],[id]],prov_color!A:A,prov_color!C:C)</f>
        <v>44</v>
      </c>
    </row>
    <row r="1557" spans="1:16" hidden="1" x14ac:dyDescent="0.25">
      <c r="A1557">
        <v>1728</v>
      </c>
      <c r="B1557" t="s">
        <v>1151</v>
      </c>
      <c r="C1557" t="s">
        <v>1151</v>
      </c>
      <c r="D1557" t="s">
        <v>1151</v>
      </c>
      <c r="E1557" t="s">
        <v>34</v>
      </c>
      <c r="F1557" t="s">
        <v>15</v>
      </c>
      <c r="G1557" t="s">
        <v>35</v>
      </c>
      <c r="H1557" t="s">
        <v>1152</v>
      </c>
      <c r="I1557" t="s">
        <v>1152</v>
      </c>
      <c r="J1557" t="s">
        <v>1153</v>
      </c>
      <c r="K1557">
        <v>3</v>
      </c>
      <c r="L1557">
        <v>0</v>
      </c>
      <c r="M1557">
        <v>0</v>
      </c>
      <c r="N1557">
        <v>1728</v>
      </c>
      <c r="O1557" t="e">
        <f>_xlfn.XLOOKUP(Table4[[#This Row],[id]],VALINA[id],VALINA[name])</f>
        <v>#N/A</v>
      </c>
      <c r="P1557">
        <f>_xlfn.XLOOKUP(Table4[[#This Row],[id]],prov_color!A:A,prov_color!C:C)</f>
        <v>56</v>
      </c>
    </row>
    <row r="1558" spans="1:16" hidden="1" x14ac:dyDescent="0.25">
      <c r="A1558">
        <v>1729</v>
      </c>
      <c r="B1558" t="s">
        <v>1151</v>
      </c>
      <c r="C1558" t="s">
        <v>1151</v>
      </c>
      <c r="D1558" t="s">
        <v>1151</v>
      </c>
      <c r="E1558" t="s">
        <v>34</v>
      </c>
      <c r="F1558" t="s">
        <v>15</v>
      </c>
      <c r="G1558" t="s">
        <v>35</v>
      </c>
      <c r="H1558" t="s">
        <v>1152</v>
      </c>
      <c r="I1558" t="s">
        <v>1152</v>
      </c>
      <c r="J1558" t="s">
        <v>1153</v>
      </c>
      <c r="K1558">
        <v>3</v>
      </c>
      <c r="L1558">
        <v>0</v>
      </c>
      <c r="M1558">
        <v>0</v>
      </c>
      <c r="N1558">
        <v>1729</v>
      </c>
      <c r="O1558" t="e">
        <f>_xlfn.XLOOKUP(Table4[[#This Row],[id]],VALINA[id],VALINA[name])</f>
        <v>#N/A</v>
      </c>
      <c r="P1558">
        <f>_xlfn.XLOOKUP(Table4[[#This Row],[id]],prov_color!A:A,prov_color!C:C)</f>
        <v>61</v>
      </c>
    </row>
    <row r="1559" spans="1:16" hidden="1" x14ac:dyDescent="0.25">
      <c r="A1559">
        <v>1730</v>
      </c>
      <c r="B1559" t="s">
        <v>1151</v>
      </c>
      <c r="C1559" t="s">
        <v>1151</v>
      </c>
      <c r="D1559" t="s">
        <v>1151</v>
      </c>
      <c r="E1559" t="s">
        <v>34</v>
      </c>
      <c r="F1559" t="s">
        <v>15</v>
      </c>
      <c r="G1559" t="s">
        <v>35</v>
      </c>
      <c r="H1559" t="s">
        <v>1152</v>
      </c>
      <c r="I1559" t="s">
        <v>1152</v>
      </c>
      <c r="J1559" t="s">
        <v>1153</v>
      </c>
      <c r="K1559">
        <v>3</v>
      </c>
      <c r="L1559">
        <v>0</v>
      </c>
      <c r="M1559">
        <v>0</v>
      </c>
      <c r="N1559">
        <v>1730</v>
      </c>
      <c r="O1559" t="e">
        <f>_xlfn.XLOOKUP(Table4[[#This Row],[id]],VALINA[id],VALINA[name])</f>
        <v>#N/A</v>
      </c>
      <c r="P1559">
        <f>_xlfn.XLOOKUP(Table4[[#This Row],[id]],prov_color!A:A,prov_color!C:C)</f>
        <v>48</v>
      </c>
    </row>
    <row r="1560" spans="1:16" hidden="1" x14ac:dyDescent="0.25">
      <c r="A1560">
        <v>1731</v>
      </c>
      <c r="B1560" t="s">
        <v>1151</v>
      </c>
      <c r="C1560" t="s">
        <v>1151</v>
      </c>
      <c r="D1560" t="s">
        <v>1151</v>
      </c>
      <c r="E1560" t="s">
        <v>34</v>
      </c>
      <c r="F1560" t="s">
        <v>15</v>
      </c>
      <c r="G1560" t="s">
        <v>35</v>
      </c>
      <c r="H1560" t="s">
        <v>1152</v>
      </c>
      <c r="I1560" t="s">
        <v>1152</v>
      </c>
      <c r="J1560" t="s">
        <v>1153</v>
      </c>
      <c r="K1560">
        <v>3</v>
      </c>
      <c r="L1560">
        <v>0</v>
      </c>
      <c r="M1560">
        <v>0</v>
      </c>
      <c r="N1560">
        <v>1731</v>
      </c>
      <c r="O1560" t="e">
        <f>_xlfn.XLOOKUP(Table4[[#This Row],[id]],VALINA[id],VALINA[name])</f>
        <v>#N/A</v>
      </c>
      <c r="P1560">
        <f>_xlfn.XLOOKUP(Table4[[#This Row],[id]],prov_color!A:A,prov_color!C:C)</f>
        <v>65</v>
      </c>
    </row>
    <row r="1561" spans="1:16" hidden="1" x14ac:dyDescent="0.25">
      <c r="A1561">
        <v>1732</v>
      </c>
      <c r="B1561" t="s">
        <v>1151</v>
      </c>
      <c r="C1561" t="s">
        <v>1151</v>
      </c>
      <c r="D1561" t="s">
        <v>1151</v>
      </c>
      <c r="E1561" t="s">
        <v>34</v>
      </c>
      <c r="F1561" t="s">
        <v>15</v>
      </c>
      <c r="G1561" t="s">
        <v>35</v>
      </c>
      <c r="H1561" t="s">
        <v>1152</v>
      </c>
      <c r="I1561" t="s">
        <v>1152</v>
      </c>
      <c r="J1561" t="s">
        <v>1153</v>
      </c>
      <c r="K1561">
        <v>3</v>
      </c>
      <c r="L1561">
        <v>0</v>
      </c>
      <c r="M1561">
        <v>0</v>
      </c>
      <c r="N1561">
        <v>1732</v>
      </c>
      <c r="O1561" t="e">
        <f>_xlfn.XLOOKUP(Table4[[#This Row],[id]],VALINA[id],VALINA[name])</f>
        <v>#N/A</v>
      </c>
      <c r="P1561">
        <f>_xlfn.XLOOKUP(Table4[[#This Row],[id]],prov_color!A:A,prov_color!C:C)</f>
        <v>67</v>
      </c>
    </row>
    <row r="1562" spans="1:16" hidden="1" x14ac:dyDescent="0.25">
      <c r="A1562">
        <v>1733</v>
      </c>
      <c r="B1562" t="s">
        <v>1151</v>
      </c>
      <c r="C1562" t="s">
        <v>1151</v>
      </c>
      <c r="D1562" t="s">
        <v>1151</v>
      </c>
      <c r="E1562" t="s">
        <v>34</v>
      </c>
      <c r="F1562" t="s">
        <v>15</v>
      </c>
      <c r="G1562" t="s">
        <v>35</v>
      </c>
      <c r="H1562" t="s">
        <v>1152</v>
      </c>
      <c r="I1562" t="s">
        <v>1152</v>
      </c>
      <c r="J1562" t="s">
        <v>1154</v>
      </c>
      <c r="K1562">
        <v>3</v>
      </c>
      <c r="L1562">
        <v>0</v>
      </c>
      <c r="M1562">
        <v>0</v>
      </c>
      <c r="N1562">
        <v>1733</v>
      </c>
      <c r="O1562" t="e">
        <f>_xlfn.XLOOKUP(Table4[[#This Row],[id]],VALINA[id],VALINA[name])</f>
        <v>#N/A</v>
      </c>
      <c r="P1562">
        <f>_xlfn.XLOOKUP(Table4[[#This Row],[id]],prov_color!A:A,prov_color!C:C)</f>
        <v>6</v>
      </c>
    </row>
    <row r="1563" spans="1:16" hidden="1" x14ac:dyDescent="0.25">
      <c r="A1563">
        <v>1734</v>
      </c>
      <c r="B1563" t="s">
        <v>1151</v>
      </c>
      <c r="C1563" t="s">
        <v>1151</v>
      </c>
      <c r="D1563" t="s">
        <v>1151</v>
      </c>
      <c r="E1563" t="s">
        <v>34</v>
      </c>
      <c r="F1563" t="s">
        <v>15</v>
      </c>
      <c r="G1563" t="s">
        <v>35</v>
      </c>
      <c r="H1563" t="s">
        <v>1152</v>
      </c>
      <c r="I1563" t="s">
        <v>1152</v>
      </c>
      <c r="J1563" t="s">
        <v>1155</v>
      </c>
      <c r="K1563">
        <v>3</v>
      </c>
      <c r="L1563">
        <v>0</v>
      </c>
      <c r="M1563">
        <v>0</v>
      </c>
      <c r="N1563">
        <v>1734</v>
      </c>
      <c r="O1563" t="e">
        <f>_xlfn.XLOOKUP(Table4[[#This Row],[id]],VALINA[id],VALINA[name])</f>
        <v>#N/A</v>
      </c>
      <c r="P1563">
        <f>_xlfn.XLOOKUP(Table4[[#This Row],[id]],prov_color!A:A,prov_color!C:C)</f>
        <v>56</v>
      </c>
    </row>
    <row r="1564" spans="1:16" hidden="1" x14ac:dyDescent="0.25">
      <c r="A1564">
        <v>1735</v>
      </c>
      <c r="B1564" t="s">
        <v>1151</v>
      </c>
      <c r="C1564" t="s">
        <v>1151</v>
      </c>
      <c r="D1564" t="s">
        <v>1151</v>
      </c>
      <c r="E1564" t="s">
        <v>34</v>
      </c>
      <c r="F1564" t="s">
        <v>15</v>
      </c>
      <c r="G1564" t="s">
        <v>35</v>
      </c>
      <c r="H1564" t="s">
        <v>1152</v>
      </c>
      <c r="I1564" t="s">
        <v>1152</v>
      </c>
      <c r="J1564" t="s">
        <v>1153</v>
      </c>
      <c r="K1564">
        <v>3</v>
      </c>
      <c r="L1564">
        <v>0</v>
      </c>
      <c r="M1564">
        <v>0</v>
      </c>
      <c r="N1564">
        <v>1735</v>
      </c>
      <c r="O1564" t="e">
        <f>_xlfn.XLOOKUP(Table4[[#This Row],[id]],VALINA[id],VALINA[name])</f>
        <v>#N/A</v>
      </c>
      <c r="P1564">
        <f>_xlfn.XLOOKUP(Table4[[#This Row],[id]],prov_color!A:A,prov_color!C:C)</f>
        <v>42</v>
      </c>
    </row>
    <row r="1565" spans="1:16" hidden="1" x14ac:dyDescent="0.25">
      <c r="A1565">
        <v>1736</v>
      </c>
      <c r="B1565" t="s">
        <v>1151</v>
      </c>
      <c r="C1565" t="s">
        <v>1151</v>
      </c>
      <c r="D1565" t="s">
        <v>1151</v>
      </c>
      <c r="E1565" t="s">
        <v>34</v>
      </c>
      <c r="F1565" t="s">
        <v>15</v>
      </c>
      <c r="G1565" t="s">
        <v>35</v>
      </c>
      <c r="H1565" t="s">
        <v>1152</v>
      </c>
      <c r="I1565" t="s">
        <v>1152</v>
      </c>
      <c r="J1565" t="s">
        <v>1153</v>
      </c>
      <c r="K1565">
        <v>3</v>
      </c>
      <c r="L1565">
        <v>0</v>
      </c>
      <c r="M1565">
        <v>0</v>
      </c>
      <c r="N1565">
        <v>1736</v>
      </c>
      <c r="O1565" t="e">
        <f>_xlfn.XLOOKUP(Table4[[#This Row],[id]],VALINA[id],VALINA[name])</f>
        <v>#N/A</v>
      </c>
      <c r="P1565">
        <f>_xlfn.XLOOKUP(Table4[[#This Row],[id]],prov_color!A:A,prov_color!C:C)</f>
        <v>52</v>
      </c>
    </row>
    <row r="1566" spans="1:16" hidden="1" x14ac:dyDescent="0.25">
      <c r="A1566">
        <v>1737</v>
      </c>
      <c r="B1566" t="s">
        <v>1151</v>
      </c>
      <c r="C1566" t="s">
        <v>1151</v>
      </c>
      <c r="D1566" t="s">
        <v>1151</v>
      </c>
      <c r="E1566" t="s">
        <v>34</v>
      </c>
      <c r="F1566" t="s">
        <v>15</v>
      </c>
      <c r="G1566" t="s">
        <v>35</v>
      </c>
      <c r="H1566" t="s">
        <v>1152</v>
      </c>
      <c r="I1566" t="s">
        <v>1152</v>
      </c>
      <c r="J1566" t="s">
        <v>1153</v>
      </c>
      <c r="K1566">
        <v>3</v>
      </c>
      <c r="L1566">
        <v>0</v>
      </c>
      <c r="M1566">
        <v>0</v>
      </c>
      <c r="N1566">
        <v>1737</v>
      </c>
      <c r="O1566" t="e">
        <f>_xlfn.XLOOKUP(Table4[[#This Row],[id]],VALINA[id],VALINA[name])</f>
        <v>#N/A</v>
      </c>
      <c r="P1566">
        <f>_xlfn.XLOOKUP(Table4[[#This Row],[id]],prov_color!A:A,prov_color!C:C)</f>
        <v>52</v>
      </c>
    </row>
    <row r="1567" spans="1:16" hidden="1" x14ac:dyDescent="0.25">
      <c r="A1567">
        <v>1738</v>
      </c>
      <c r="B1567" t="s">
        <v>1151</v>
      </c>
      <c r="C1567" t="s">
        <v>1151</v>
      </c>
      <c r="D1567" t="s">
        <v>1151</v>
      </c>
      <c r="E1567" t="s">
        <v>34</v>
      </c>
      <c r="F1567" t="s">
        <v>15</v>
      </c>
      <c r="G1567" t="s">
        <v>35</v>
      </c>
      <c r="H1567" t="s">
        <v>1152</v>
      </c>
      <c r="I1567" t="s">
        <v>1152</v>
      </c>
      <c r="J1567" t="s">
        <v>1153</v>
      </c>
      <c r="K1567">
        <v>3</v>
      </c>
      <c r="L1567">
        <v>0</v>
      </c>
      <c r="M1567">
        <v>0</v>
      </c>
      <c r="N1567">
        <v>1738</v>
      </c>
      <c r="O1567" t="e">
        <f>_xlfn.XLOOKUP(Table4[[#This Row],[id]],VALINA[id],VALINA[name])</f>
        <v>#N/A</v>
      </c>
      <c r="P1567">
        <f>_xlfn.XLOOKUP(Table4[[#This Row],[id]],prov_color!A:A,prov_color!C:C)</f>
        <v>55</v>
      </c>
    </row>
    <row r="1568" spans="1:16" hidden="1" x14ac:dyDescent="0.25">
      <c r="A1568">
        <v>1739</v>
      </c>
      <c r="B1568" t="s">
        <v>1151</v>
      </c>
      <c r="C1568" t="s">
        <v>1151</v>
      </c>
      <c r="D1568" t="s">
        <v>1151</v>
      </c>
      <c r="E1568" t="s">
        <v>34</v>
      </c>
      <c r="F1568" t="s">
        <v>15</v>
      </c>
      <c r="G1568" t="s">
        <v>35</v>
      </c>
      <c r="H1568" t="s">
        <v>1152</v>
      </c>
      <c r="I1568" t="s">
        <v>1152</v>
      </c>
      <c r="J1568" t="s">
        <v>1153</v>
      </c>
      <c r="K1568">
        <v>3</v>
      </c>
      <c r="L1568">
        <v>0</v>
      </c>
      <c r="M1568">
        <v>0</v>
      </c>
      <c r="N1568">
        <v>1739</v>
      </c>
      <c r="O1568" t="e">
        <f>_xlfn.XLOOKUP(Table4[[#This Row],[id]],VALINA[id],VALINA[name])</f>
        <v>#N/A</v>
      </c>
      <c r="P1568">
        <f>_xlfn.XLOOKUP(Table4[[#This Row],[id]],prov_color!A:A,prov_color!C:C)</f>
        <v>29</v>
      </c>
    </row>
    <row r="1569" spans="1:16" hidden="1" x14ac:dyDescent="0.25">
      <c r="A1569">
        <v>1740</v>
      </c>
      <c r="B1569" t="s">
        <v>1151</v>
      </c>
      <c r="C1569" t="s">
        <v>1151</v>
      </c>
      <c r="D1569" t="s">
        <v>1151</v>
      </c>
      <c r="E1569" t="s">
        <v>34</v>
      </c>
      <c r="F1569" t="s">
        <v>15</v>
      </c>
      <c r="G1569" t="s">
        <v>35</v>
      </c>
      <c r="H1569" t="s">
        <v>1152</v>
      </c>
      <c r="I1569" t="s">
        <v>1152</v>
      </c>
      <c r="J1569" t="s">
        <v>1156</v>
      </c>
      <c r="K1569">
        <v>3</v>
      </c>
      <c r="L1569">
        <v>0</v>
      </c>
      <c r="M1569">
        <v>0</v>
      </c>
      <c r="N1569">
        <v>1740</v>
      </c>
      <c r="O1569" t="e">
        <f>_xlfn.XLOOKUP(Table4[[#This Row],[id]],VALINA[id],VALINA[name])</f>
        <v>#N/A</v>
      </c>
      <c r="P1569">
        <f>_xlfn.XLOOKUP(Table4[[#This Row],[id]],prov_color!A:A,prov_color!C:C)</f>
        <v>9</v>
      </c>
    </row>
    <row r="1570" spans="1:16" hidden="1" x14ac:dyDescent="0.25">
      <c r="A1570">
        <v>1741</v>
      </c>
      <c r="B1570" t="s">
        <v>1151</v>
      </c>
      <c r="C1570" t="s">
        <v>1151</v>
      </c>
      <c r="D1570" t="s">
        <v>1151</v>
      </c>
      <c r="E1570" t="s">
        <v>34</v>
      </c>
      <c r="F1570" t="s">
        <v>15</v>
      </c>
      <c r="G1570" t="s">
        <v>35</v>
      </c>
      <c r="H1570" t="s">
        <v>1152</v>
      </c>
      <c r="I1570" t="s">
        <v>1152</v>
      </c>
      <c r="J1570" t="s">
        <v>1153</v>
      </c>
      <c r="K1570">
        <v>3</v>
      </c>
      <c r="L1570">
        <v>0</v>
      </c>
      <c r="M1570">
        <v>0</v>
      </c>
      <c r="N1570">
        <v>1741</v>
      </c>
      <c r="O1570" t="e">
        <f>_xlfn.XLOOKUP(Table4[[#This Row],[id]],VALINA[id],VALINA[name])</f>
        <v>#N/A</v>
      </c>
      <c r="P1570">
        <f>_xlfn.XLOOKUP(Table4[[#This Row],[id]],prov_color!A:A,prov_color!C:C)</f>
        <v>12</v>
      </c>
    </row>
    <row r="1571" spans="1:16" hidden="1" x14ac:dyDescent="0.25">
      <c r="A1571">
        <v>1742</v>
      </c>
      <c r="B1571" t="s">
        <v>1151</v>
      </c>
      <c r="C1571" t="s">
        <v>1151</v>
      </c>
      <c r="D1571" t="s">
        <v>1151</v>
      </c>
      <c r="E1571" t="s">
        <v>34</v>
      </c>
      <c r="F1571" t="s">
        <v>15</v>
      </c>
      <c r="G1571" t="s">
        <v>35</v>
      </c>
      <c r="H1571" t="s">
        <v>1152</v>
      </c>
      <c r="I1571" t="s">
        <v>1152</v>
      </c>
      <c r="J1571" t="s">
        <v>1157</v>
      </c>
      <c r="K1571">
        <v>3</v>
      </c>
      <c r="L1571">
        <v>0</v>
      </c>
      <c r="M1571">
        <v>0</v>
      </c>
      <c r="N1571">
        <v>1742</v>
      </c>
      <c r="O1571" t="e">
        <f>_xlfn.XLOOKUP(Table4[[#This Row],[id]],VALINA[id],VALINA[name])</f>
        <v>#N/A</v>
      </c>
      <c r="P1571">
        <f>_xlfn.XLOOKUP(Table4[[#This Row],[id]],prov_color!A:A,prov_color!C:C)</f>
        <v>12</v>
      </c>
    </row>
    <row r="1572" spans="1:16" hidden="1" x14ac:dyDescent="0.25">
      <c r="A1572">
        <v>1743</v>
      </c>
      <c r="B1572" t="s">
        <v>1151</v>
      </c>
      <c r="C1572" t="s">
        <v>1151</v>
      </c>
      <c r="D1572" t="s">
        <v>1151</v>
      </c>
      <c r="E1572" t="s">
        <v>34</v>
      </c>
      <c r="F1572" t="s">
        <v>15</v>
      </c>
      <c r="G1572" t="s">
        <v>35</v>
      </c>
      <c r="H1572" t="s">
        <v>1152</v>
      </c>
      <c r="I1572" t="s">
        <v>1152</v>
      </c>
      <c r="J1572" t="s">
        <v>1153</v>
      </c>
      <c r="K1572">
        <v>3</v>
      </c>
      <c r="L1572">
        <v>0</v>
      </c>
      <c r="M1572">
        <v>0</v>
      </c>
      <c r="N1572">
        <v>1743</v>
      </c>
      <c r="O1572" t="e">
        <f>_xlfn.XLOOKUP(Table4[[#This Row],[id]],VALINA[id],VALINA[name])</f>
        <v>#N/A</v>
      </c>
      <c r="P1572">
        <f>_xlfn.XLOOKUP(Table4[[#This Row],[id]],prov_color!A:A,prov_color!C:C)</f>
        <v>6</v>
      </c>
    </row>
    <row r="1573" spans="1:16" hidden="1" x14ac:dyDescent="0.25">
      <c r="A1573">
        <v>1744</v>
      </c>
      <c r="B1573" t="s">
        <v>1151</v>
      </c>
      <c r="C1573" t="s">
        <v>1151</v>
      </c>
      <c r="D1573" t="s">
        <v>1151</v>
      </c>
      <c r="E1573" t="s">
        <v>34</v>
      </c>
      <c r="F1573" t="s">
        <v>15</v>
      </c>
      <c r="G1573" t="s">
        <v>35</v>
      </c>
      <c r="H1573" t="s">
        <v>1152</v>
      </c>
      <c r="I1573" t="s">
        <v>1152</v>
      </c>
      <c r="J1573" t="s">
        <v>1153</v>
      </c>
      <c r="K1573">
        <v>3</v>
      </c>
      <c r="L1573">
        <v>0</v>
      </c>
      <c r="M1573">
        <v>0</v>
      </c>
      <c r="N1573">
        <v>1744</v>
      </c>
      <c r="O1573" t="e">
        <f>_xlfn.XLOOKUP(Table4[[#This Row],[id]],VALINA[id],VALINA[name])</f>
        <v>#N/A</v>
      </c>
      <c r="P1573">
        <f>_xlfn.XLOOKUP(Table4[[#This Row],[id]],prov_color!A:A,prov_color!C:C)</f>
        <v>6</v>
      </c>
    </row>
    <row r="1574" spans="1:16" hidden="1" x14ac:dyDescent="0.25">
      <c r="A1574">
        <v>1745</v>
      </c>
      <c r="B1574" t="s">
        <v>1151</v>
      </c>
      <c r="C1574" t="s">
        <v>1151</v>
      </c>
      <c r="D1574" t="s">
        <v>1151</v>
      </c>
      <c r="E1574" t="s">
        <v>34</v>
      </c>
      <c r="F1574" t="s">
        <v>15</v>
      </c>
      <c r="G1574" t="s">
        <v>35</v>
      </c>
      <c r="H1574" t="s">
        <v>1152</v>
      </c>
      <c r="I1574" t="s">
        <v>1152</v>
      </c>
      <c r="J1574" t="s">
        <v>1153</v>
      </c>
      <c r="K1574">
        <v>3</v>
      </c>
      <c r="L1574">
        <v>0</v>
      </c>
      <c r="M1574">
        <v>0</v>
      </c>
      <c r="N1574">
        <v>1745</v>
      </c>
      <c r="O1574" t="e">
        <f>_xlfn.XLOOKUP(Table4[[#This Row],[id]],VALINA[id],VALINA[name])</f>
        <v>#N/A</v>
      </c>
      <c r="P1574">
        <f>_xlfn.XLOOKUP(Table4[[#This Row],[id]],prov_color!A:A,prov_color!C:C)</f>
        <v>12</v>
      </c>
    </row>
    <row r="1575" spans="1:16" hidden="1" x14ac:dyDescent="0.25">
      <c r="A1575">
        <v>1746</v>
      </c>
      <c r="B1575" t="s">
        <v>1151</v>
      </c>
      <c r="C1575" t="s">
        <v>1151</v>
      </c>
      <c r="D1575" t="s">
        <v>1151</v>
      </c>
      <c r="E1575" t="s">
        <v>34</v>
      </c>
      <c r="F1575" t="s">
        <v>15</v>
      </c>
      <c r="G1575" t="s">
        <v>35</v>
      </c>
      <c r="H1575" t="s">
        <v>1152</v>
      </c>
      <c r="I1575" t="s">
        <v>1152</v>
      </c>
      <c r="J1575" t="s">
        <v>1153</v>
      </c>
      <c r="K1575">
        <v>3</v>
      </c>
      <c r="L1575">
        <v>0</v>
      </c>
      <c r="M1575">
        <v>0</v>
      </c>
      <c r="N1575">
        <v>1746</v>
      </c>
      <c r="O1575" t="e">
        <f>_xlfn.XLOOKUP(Table4[[#This Row],[id]],VALINA[id],VALINA[name])</f>
        <v>#N/A</v>
      </c>
      <c r="P1575">
        <f>_xlfn.XLOOKUP(Table4[[#This Row],[id]],prov_color!A:A,prov_color!C:C)</f>
        <v>70</v>
      </c>
    </row>
    <row r="1576" spans="1:16" hidden="1" x14ac:dyDescent="0.25">
      <c r="A1576">
        <v>1747</v>
      </c>
      <c r="B1576" t="s">
        <v>1151</v>
      </c>
      <c r="C1576" t="s">
        <v>1151</v>
      </c>
      <c r="D1576" t="s">
        <v>1151</v>
      </c>
      <c r="E1576" t="s">
        <v>34</v>
      </c>
      <c r="F1576" t="s">
        <v>15</v>
      </c>
      <c r="G1576" t="s">
        <v>35</v>
      </c>
      <c r="H1576" t="s">
        <v>1152</v>
      </c>
      <c r="I1576" t="s">
        <v>1152</v>
      </c>
      <c r="J1576" t="s">
        <v>1153</v>
      </c>
      <c r="K1576">
        <v>3</v>
      </c>
      <c r="L1576">
        <v>0</v>
      </c>
      <c r="M1576">
        <v>0</v>
      </c>
      <c r="N1576">
        <v>1747</v>
      </c>
      <c r="O1576" t="e">
        <f>_xlfn.XLOOKUP(Table4[[#This Row],[id]],VALINA[id],VALINA[name])</f>
        <v>#N/A</v>
      </c>
      <c r="P1576">
        <f>_xlfn.XLOOKUP(Table4[[#This Row],[id]],prov_color!A:A,prov_color!C:C)</f>
        <v>58</v>
      </c>
    </row>
    <row r="1577" spans="1:16" hidden="1" x14ac:dyDescent="0.25">
      <c r="A1577">
        <v>1748</v>
      </c>
      <c r="B1577" t="s">
        <v>1151</v>
      </c>
      <c r="C1577" t="s">
        <v>1151</v>
      </c>
      <c r="D1577" t="s">
        <v>1151</v>
      </c>
      <c r="E1577" t="s">
        <v>34</v>
      </c>
      <c r="F1577" t="s">
        <v>15</v>
      </c>
      <c r="G1577" t="s">
        <v>35</v>
      </c>
      <c r="H1577" t="s">
        <v>1152</v>
      </c>
      <c r="I1577" t="s">
        <v>1152</v>
      </c>
      <c r="J1577" t="s">
        <v>1153</v>
      </c>
      <c r="K1577">
        <v>3</v>
      </c>
      <c r="L1577">
        <v>0</v>
      </c>
      <c r="M1577">
        <v>0</v>
      </c>
      <c r="N1577">
        <v>1748</v>
      </c>
      <c r="O1577" t="e">
        <f>_xlfn.XLOOKUP(Table4[[#This Row],[id]],VALINA[id],VALINA[name])</f>
        <v>#N/A</v>
      </c>
      <c r="P1577">
        <f>_xlfn.XLOOKUP(Table4[[#This Row],[id]],prov_color!A:A,prov_color!C:C)</f>
        <v>56</v>
      </c>
    </row>
    <row r="1578" spans="1:16" hidden="1" x14ac:dyDescent="0.25">
      <c r="A1578">
        <v>1749</v>
      </c>
      <c r="B1578" t="s">
        <v>1151</v>
      </c>
      <c r="C1578" t="s">
        <v>1151</v>
      </c>
      <c r="D1578" t="s">
        <v>1151</v>
      </c>
      <c r="E1578" t="s">
        <v>34</v>
      </c>
      <c r="F1578" t="s">
        <v>15</v>
      </c>
      <c r="G1578" t="s">
        <v>35</v>
      </c>
      <c r="H1578" t="s">
        <v>1152</v>
      </c>
      <c r="I1578" t="s">
        <v>1152</v>
      </c>
      <c r="J1578" t="s">
        <v>1153</v>
      </c>
      <c r="K1578">
        <v>3</v>
      </c>
      <c r="L1578">
        <v>0</v>
      </c>
      <c r="M1578">
        <v>0</v>
      </c>
      <c r="N1578">
        <v>1749</v>
      </c>
      <c r="O1578" t="e">
        <f>_xlfn.XLOOKUP(Table4[[#This Row],[id]],VALINA[id],VALINA[name])</f>
        <v>#N/A</v>
      </c>
      <c r="P1578">
        <f>_xlfn.XLOOKUP(Table4[[#This Row],[id]],prov_color!A:A,prov_color!C:C)</f>
        <v>6</v>
      </c>
    </row>
    <row r="1579" spans="1:16" hidden="1" x14ac:dyDescent="0.25">
      <c r="A1579">
        <v>1750</v>
      </c>
      <c r="B1579" t="s">
        <v>1151</v>
      </c>
      <c r="C1579" t="s">
        <v>1151</v>
      </c>
      <c r="D1579" t="s">
        <v>1151</v>
      </c>
      <c r="E1579" t="s">
        <v>34</v>
      </c>
      <c r="F1579" t="s">
        <v>15</v>
      </c>
      <c r="G1579" t="s">
        <v>35</v>
      </c>
      <c r="H1579" t="s">
        <v>1152</v>
      </c>
      <c r="I1579" t="s">
        <v>1152</v>
      </c>
      <c r="J1579" t="s">
        <v>1153</v>
      </c>
      <c r="K1579">
        <v>3</v>
      </c>
      <c r="L1579">
        <v>0</v>
      </c>
      <c r="M1579">
        <v>0</v>
      </c>
      <c r="N1579">
        <v>1750</v>
      </c>
      <c r="O1579" t="e">
        <f>_xlfn.XLOOKUP(Table4[[#This Row],[id]],VALINA[id],VALINA[name])</f>
        <v>#N/A</v>
      </c>
      <c r="P1579">
        <f>_xlfn.XLOOKUP(Table4[[#This Row],[id]],prov_color!A:A,prov_color!C:C)</f>
        <v>49</v>
      </c>
    </row>
    <row r="1580" spans="1:16" hidden="1" x14ac:dyDescent="0.25">
      <c r="A1580">
        <v>1751</v>
      </c>
      <c r="B1580" t="s">
        <v>1151</v>
      </c>
      <c r="C1580" t="s">
        <v>1151</v>
      </c>
      <c r="D1580" t="s">
        <v>1151</v>
      </c>
      <c r="E1580" t="s">
        <v>34</v>
      </c>
      <c r="F1580" t="s">
        <v>15</v>
      </c>
      <c r="G1580" t="s">
        <v>35</v>
      </c>
      <c r="H1580" t="s">
        <v>1152</v>
      </c>
      <c r="I1580" t="s">
        <v>1152</v>
      </c>
      <c r="J1580" t="s">
        <v>6456</v>
      </c>
      <c r="K1580">
        <v>3</v>
      </c>
      <c r="L1580">
        <v>0</v>
      </c>
      <c r="M1580">
        <v>0</v>
      </c>
      <c r="N1580">
        <v>1751</v>
      </c>
      <c r="O1580" t="e">
        <f>_xlfn.XLOOKUP(Table4[[#This Row],[id]],VALINA[id],VALINA[name])</f>
        <v>#N/A</v>
      </c>
      <c r="P1580">
        <f>_xlfn.XLOOKUP(Table4[[#This Row],[id]],prov_color!A:A,prov_color!C:C)</f>
        <v>43</v>
      </c>
    </row>
    <row r="1581" spans="1:16" hidden="1" x14ac:dyDescent="0.25">
      <c r="A1581">
        <v>1752</v>
      </c>
      <c r="B1581" t="s">
        <v>1151</v>
      </c>
      <c r="C1581" t="s">
        <v>1151</v>
      </c>
      <c r="D1581" t="s">
        <v>1151</v>
      </c>
      <c r="E1581" t="s">
        <v>34</v>
      </c>
      <c r="F1581" t="s">
        <v>15</v>
      </c>
      <c r="G1581" t="s">
        <v>35</v>
      </c>
      <c r="H1581" t="s">
        <v>1152</v>
      </c>
      <c r="I1581" t="s">
        <v>1152</v>
      </c>
      <c r="J1581" t="s">
        <v>1153</v>
      </c>
      <c r="K1581">
        <v>3</v>
      </c>
      <c r="L1581">
        <v>0</v>
      </c>
      <c r="M1581">
        <v>0</v>
      </c>
      <c r="N1581">
        <v>1752</v>
      </c>
      <c r="O1581" t="e">
        <f>_xlfn.XLOOKUP(Table4[[#This Row],[id]],VALINA[id],VALINA[name])</f>
        <v>#N/A</v>
      </c>
      <c r="P1581">
        <f>_xlfn.XLOOKUP(Table4[[#This Row],[id]],prov_color!A:A,prov_color!C:C)</f>
        <v>75</v>
      </c>
    </row>
    <row r="1582" spans="1:16" hidden="1" x14ac:dyDescent="0.25">
      <c r="A1582">
        <v>1753</v>
      </c>
      <c r="B1582" t="s">
        <v>1151</v>
      </c>
      <c r="C1582" t="s">
        <v>1151</v>
      </c>
      <c r="D1582" t="s">
        <v>1151</v>
      </c>
      <c r="E1582" t="s">
        <v>34</v>
      </c>
      <c r="F1582" t="s">
        <v>15</v>
      </c>
      <c r="G1582" t="s">
        <v>35</v>
      </c>
      <c r="H1582" t="s">
        <v>1152</v>
      </c>
      <c r="I1582" t="s">
        <v>1152</v>
      </c>
      <c r="J1582" t="s">
        <v>1153</v>
      </c>
      <c r="K1582">
        <v>3</v>
      </c>
      <c r="L1582">
        <v>0</v>
      </c>
      <c r="M1582">
        <v>0</v>
      </c>
      <c r="N1582">
        <v>1753</v>
      </c>
      <c r="O1582" t="e">
        <f>_xlfn.XLOOKUP(Table4[[#This Row],[id]],VALINA[id],VALINA[name])</f>
        <v>#N/A</v>
      </c>
      <c r="P1582">
        <f>_xlfn.XLOOKUP(Table4[[#This Row],[id]],prov_color!A:A,prov_color!C:C)</f>
        <v>38</v>
      </c>
    </row>
    <row r="1583" spans="1:16" hidden="1" x14ac:dyDescent="0.25">
      <c r="A1583">
        <v>1754</v>
      </c>
      <c r="B1583" t="s">
        <v>1151</v>
      </c>
      <c r="C1583" t="s">
        <v>1151</v>
      </c>
      <c r="D1583" t="s">
        <v>1151</v>
      </c>
      <c r="E1583" t="s">
        <v>34</v>
      </c>
      <c r="F1583" t="s">
        <v>15</v>
      </c>
      <c r="G1583" t="s">
        <v>35</v>
      </c>
      <c r="H1583" t="s">
        <v>1152</v>
      </c>
      <c r="I1583" t="s">
        <v>1152</v>
      </c>
      <c r="J1583" t="s">
        <v>1153</v>
      </c>
      <c r="K1583">
        <v>3</v>
      </c>
      <c r="L1583">
        <v>0</v>
      </c>
      <c r="M1583">
        <v>0</v>
      </c>
      <c r="N1583">
        <v>1754</v>
      </c>
      <c r="O1583" t="e">
        <f>_xlfn.XLOOKUP(Table4[[#This Row],[id]],VALINA[id],VALINA[name])</f>
        <v>#N/A</v>
      </c>
      <c r="P1583">
        <f>_xlfn.XLOOKUP(Table4[[#This Row],[id]],prov_color!A:A,prov_color!C:C)</f>
        <v>12</v>
      </c>
    </row>
    <row r="1584" spans="1:16" hidden="1" x14ac:dyDescent="0.25">
      <c r="A1584">
        <v>1755</v>
      </c>
      <c r="B1584" t="s">
        <v>1151</v>
      </c>
      <c r="C1584" t="s">
        <v>1151</v>
      </c>
      <c r="D1584" t="s">
        <v>1151</v>
      </c>
      <c r="E1584" t="s">
        <v>34</v>
      </c>
      <c r="F1584" t="s">
        <v>15</v>
      </c>
      <c r="G1584" t="s">
        <v>35</v>
      </c>
      <c r="H1584" t="s">
        <v>1152</v>
      </c>
      <c r="I1584" t="s">
        <v>1152</v>
      </c>
      <c r="J1584" t="s">
        <v>1153</v>
      </c>
      <c r="K1584">
        <v>3</v>
      </c>
      <c r="L1584">
        <v>0</v>
      </c>
      <c r="M1584">
        <v>0</v>
      </c>
      <c r="N1584">
        <v>1755</v>
      </c>
      <c r="O1584" t="e">
        <f>_xlfn.XLOOKUP(Table4[[#This Row],[id]],VALINA[id],VALINA[name])</f>
        <v>#N/A</v>
      </c>
      <c r="P1584">
        <f>_xlfn.XLOOKUP(Table4[[#This Row],[id]],prov_color!A:A,prov_color!C:C)</f>
        <v>9</v>
      </c>
    </row>
    <row r="1585" spans="1:16" hidden="1" x14ac:dyDescent="0.25">
      <c r="A1585">
        <v>1756</v>
      </c>
      <c r="B1585" t="s">
        <v>1151</v>
      </c>
      <c r="C1585" t="s">
        <v>1151</v>
      </c>
      <c r="D1585" t="s">
        <v>1151</v>
      </c>
      <c r="E1585" t="s">
        <v>34</v>
      </c>
      <c r="F1585" t="s">
        <v>15</v>
      </c>
      <c r="G1585" t="s">
        <v>35</v>
      </c>
      <c r="H1585" t="s">
        <v>1152</v>
      </c>
      <c r="I1585" t="s">
        <v>1152</v>
      </c>
      <c r="J1585" t="s">
        <v>1153</v>
      </c>
      <c r="K1585">
        <v>3</v>
      </c>
      <c r="L1585">
        <v>0</v>
      </c>
      <c r="M1585">
        <v>0</v>
      </c>
      <c r="N1585">
        <v>1756</v>
      </c>
      <c r="O1585" t="e">
        <f>_xlfn.XLOOKUP(Table4[[#This Row],[id]],VALINA[id],VALINA[name])</f>
        <v>#N/A</v>
      </c>
      <c r="P1585">
        <f>_xlfn.XLOOKUP(Table4[[#This Row],[id]],prov_color!A:A,prov_color!C:C)</f>
        <v>9</v>
      </c>
    </row>
    <row r="1586" spans="1:16" hidden="1" x14ac:dyDescent="0.25">
      <c r="A1586">
        <v>1757</v>
      </c>
      <c r="B1586" t="s">
        <v>1151</v>
      </c>
      <c r="C1586" t="s">
        <v>1151</v>
      </c>
      <c r="D1586" t="s">
        <v>1151</v>
      </c>
      <c r="E1586" t="s">
        <v>34</v>
      </c>
      <c r="F1586" t="s">
        <v>15</v>
      </c>
      <c r="G1586" t="s">
        <v>35</v>
      </c>
      <c r="H1586" t="s">
        <v>1152</v>
      </c>
      <c r="I1586" t="s">
        <v>1152</v>
      </c>
      <c r="J1586" t="s">
        <v>1153</v>
      </c>
      <c r="K1586">
        <v>3</v>
      </c>
      <c r="L1586">
        <v>0</v>
      </c>
      <c r="M1586">
        <v>0</v>
      </c>
      <c r="N1586">
        <v>1757</v>
      </c>
      <c r="O1586" t="e">
        <f>_xlfn.XLOOKUP(Table4[[#This Row],[id]],VALINA[id],VALINA[name])</f>
        <v>#N/A</v>
      </c>
      <c r="P1586">
        <f>_xlfn.XLOOKUP(Table4[[#This Row],[id]],prov_color!A:A,prov_color!C:C)</f>
        <v>9</v>
      </c>
    </row>
    <row r="1587" spans="1:16" hidden="1" x14ac:dyDescent="0.25">
      <c r="A1587">
        <v>1758</v>
      </c>
      <c r="B1587" t="s">
        <v>1151</v>
      </c>
      <c r="C1587" t="s">
        <v>1151</v>
      </c>
      <c r="D1587" t="s">
        <v>1151</v>
      </c>
      <c r="E1587" t="s">
        <v>34</v>
      </c>
      <c r="F1587" t="s">
        <v>15</v>
      </c>
      <c r="G1587" t="s">
        <v>35</v>
      </c>
      <c r="H1587" t="s">
        <v>1152</v>
      </c>
      <c r="I1587" t="s">
        <v>1152</v>
      </c>
      <c r="J1587" t="s">
        <v>1153</v>
      </c>
      <c r="K1587">
        <v>3</v>
      </c>
      <c r="L1587">
        <v>0</v>
      </c>
      <c r="M1587">
        <v>0</v>
      </c>
      <c r="N1587">
        <v>1758</v>
      </c>
      <c r="O1587" t="e">
        <f>_xlfn.XLOOKUP(Table4[[#This Row],[id]],VALINA[id],VALINA[name])</f>
        <v>#N/A</v>
      </c>
      <c r="P1587">
        <f>_xlfn.XLOOKUP(Table4[[#This Row],[id]],prov_color!A:A,prov_color!C:C)</f>
        <v>18</v>
      </c>
    </row>
    <row r="1588" spans="1:16" hidden="1" x14ac:dyDescent="0.25">
      <c r="A1588">
        <v>1759</v>
      </c>
      <c r="B1588" t="s">
        <v>1151</v>
      </c>
      <c r="C1588" t="s">
        <v>1151</v>
      </c>
      <c r="D1588" t="s">
        <v>1151</v>
      </c>
      <c r="E1588" t="s">
        <v>34</v>
      </c>
      <c r="F1588" t="s">
        <v>15</v>
      </c>
      <c r="G1588" t="s">
        <v>35</v>
      </c>
      <c r="H1588" t="s">
        <v>1152</v>
      </c>
      <c r="I1588" t="s">
        <v>1152</v>
      </c>
      <c r="J1588" t="s">
        <v>1153</v>
      </c>
      <c r="K1588">
        <v>3</v>
      </c>
      <c r="L1588">
        <v>0</v>
      </c>
      <c r="M1588">
        <v>0</v>
      </c>
      <c r="N1588">
        <v>1759</v>
      </c>
      <c r="O1588" t="e">
        <f>_xlfn.XLOOKUP(Table4[[#This Row],[id]],VALINA[id],VALINA[name])</f>
        <v>#N/A</v>
      </c>
      <c r="P1588">
        <f>_xlfn.XLOOKUP(Table4[[#This Row],[id]],prov_color!A:A,prov_color!C:C)</f>
        <v>18</v>
      </c>
    </row>
    <row r="1589" spans="1:16" hidden="1" x14ac:dyDescent="0.25">
      <c r="A1589">
        <v>1760</v>
      </c>
      <c r="B1589" t="s">
        <v>1151</v>
      </c>
      <c r="C1589" t="s">
        <v>1151</v>
      </c>
      <c r="D1589" t="s">
        <v>1151</v>
      </c>
      <c r="E1589" t="s">
        <v>34</v>
      </c>
      <c r="F1589" t="s">
        <v>15</v>
      </c>
      <c r="G1589" t="s">
        <v>35</v>
      </c>
      <c r="H1589" t="s">
        <v>1152</v>
      </c>
      <c r="I1589" t="s">
        <v>1152</v>
      </c>
      <c r="J1589" t="s">
        <v>1153</v>
      </c>
      <c r="K1589">
        <v>3</v>
      </c>
      <c r="L1589">
        <v>0</v>
      </c>
      <c r="M1589">
        <v>0</v>
      </c>
      <c r="N1589">
        <v>1760</v>
      </c>
      <c r="O1589" t="e">
        <f>_xlfn.XLOOKUP(Table4[[#This Row],[id]],VALINA[id],VALINA[name])</f>
        <v>#N/A</v>
      </c>
      <c r="P1589">
        <f>_xlfn.XLOOKUP(Table4[[#This Row],[id]],prov_color!A:A,prov_color!C:C)</f>
        <v>11</v>
      </c>
    </row>
    <row r="1590" spans="1:16" hidden="1" x14ac:dyDescent="0.25">
      <c r="A1590">
        <v>1761</v>
      </c>
      <c r="B1590" t="s">
        <v>1151</v>
      </c>
      <c r="C1590" t="s">
        <v>1151</v>
      </c>
      <c r="D1590" t="s">
        <v>1151</v>
      </c>
      <c r="E1590" t="s">
        <v>34</v>
      </c>
      <c r="F1590" t="s">
        <v>15</v>
      </c>
      <c r="G1590" t="s">
        <v>35</v>
      </c>
      <c r="H1590" t="s">
        <v>1152</v>
      </c>
      <c r="I1590" t="s">
        <v>1152</v>
      </c>
      <c r="J1590" t="s">
        <v>1153</v>
      </c>
      <c r="K1590">
        <v>3</v>
      </c>
      <c r="L1590">
        <v>0</v>
      </c>
      <c r="M1590">
        <v>0</v>
      </c>
      <c r="N1590">
        <v>1761</v>
      </c>
      <c r="O1590" t="e">
        <f>_xlfn.XLOOKUP(Table4[[#This Row],[id]],VALINA[id],VALINA[name])</f>
        <v>#N/A</v>
      </c>
      <c r="P1590">
        <f>_xlfn.XLOOKUP(Table4[[#This Row],[id]],prov_color!A:A,prov_color!C:C)</f>
        <v>18</v>
      </c>
    </row>
    <row r="1591" spans="1:16" hidden="1" x14ac:dyDescent="0.25">
      <c r="A1591">
        <v>1762</v>
      </c>
      <c r="B1591" t="s">
        <v>1151</v>
      </c>
      <c r="C1591" t="s">
        <v>1151</v>
      </c>
      <c r="D1591" t="s">
        <v>1151</v>
      </c>
      <c r="E1591" t="s">
        <v>34</v>
      </c>
      <c r="F1591" t="s">
        <v>15</v>
      </c>
      <c r="G1591" t="s">
        <v>35</v>
      </c>
      <c r="H1591" t="s">
        <v>1152</v>
      </c>
      <c r="I1591" t="s">
        <v>1152</v>
      </c>
      <c r="J1591" t="s">
        <v>1153</v>
      </c>
      <c r="K1591">
        <v>3</v>
      </c>
      <c r="L1591">
        <v>0</v>
      </c>
      <c r="M1591">
        <v>0</v>
      </c>
      <c r="N1591">
        <v>1762</v>
      </c>
      <c r="O1591" t="e">
        <f>_xlfn.XLOOKUP(Table4[[#This Row],[id]],VALINA[id],VALINA[name])</f>
        <v>#N/A</v>
      </c>
      <c r="P1591">
        <f>_xlfn.XLOOKUP(Table4[[#This Row],[id]],prov_color!A:A,prov_color!C:C)</f>
        <v>31</v>
      </c>
    </row>
    <row r="1592" spans="1:16" hidden="1" x14ac:dyDescent="0.25">
      <c r="A1592">
        <v>1763</v>
      </c>
      <c r="B1592" t="s">
        <v>1151</v>
      </c>
      <c r="C1592" t="s">
        <v>1151</v>
      </c>
      <c r="D1592" t="s">
        <v>1151</v>
      </c>
      <c r="E1592" t="s">
        <v>34</v>
      </c>
      <c r="F1592" t="s">
        <v>15</v>
      </c>
      <c r="G1592" t="s">
        <v>35</v>
      </c>
      <c r="H1592" t="s">
        <v>1152</v>
      </c>
      <c r="I1592" t="s">
        <v>1152</v>
      </c>
      <c r="J1592" t="s">
        <v>1153</v>
      </c>
      <c r="K1592">
        <v>3</v>
      </c>
      <c r="L1592">
        <v>0</v>
      </c>
      <c r="M1592">
        <v>0</v>
      </c>
      <c r="N1592">
        <v>1763</v>
      </c>
      <c r="O1592" t="e">
        <f>_xlfn.XLOOKUP(Table4[[#This Row],[id]],VALINA[id],VALINA[name])</f>
        <v>#N/A</v>
      </c>
      <c r="P1592">
        <f>_xlfn.XLOOKUP(Table4[[#This Row],[id]],prov_color!A:A,prov_color!C:C)</f>
        <v>60</v>
      </c>
    </row>
    <row r="1593" spans="1:16" hidden="1" x14ac:dyDescent="0.25">
      <c r="A1593">
        <v>1764</v>
      </c>
      <c r="B1593" t="s">
        <v>1151</v>
      </c>
      <c r="C1593" t="s">
        <v>1151</v>
      </c>
      <c r="D1593" t="s">
        <v>1151</v>
      </c>
      <c r="E1593" t="s">
        <v>34</v>
      </c>
      <c r="F1593" t="s">
        <v>15</v>
      </c>
      <c r="G1593" t="s">
        <v>35</v>
      </c>
      <c r="H1593" t="s">
        <v>1152</v>
      </c>
      <c r="I1593" t="s">
        <v>1152</v>
      </c>
      <c r="J1593" t="s">
        <v>1158</v>
      </c>
      <c r="K1593">
        <v>3</v>
      </c>
      <c r="L1593">
        <v>0</v>
      </c>
      <c r="M1593">
        <v>0</v>
      </c>
      <c r="N1593">
        <v>1764</v>
      </c>
      <c r="O1593" t="e">
        <f>_xlfn.XLOOKUP(Table4[[#This Row],[id]],VALINA[id],VALINA[name])</f>
        <v>#N/A</v>
      </c>
      <c r="P1593">
        <f>_xlfn.XLOOKUP(Table4[[#This Row],[id]],prov_color!A:A,prov_color!C:C)</f>
        <v>12</v>
      </c>
    </row>
    <row r="1594" spans="1:16" hidden="1" x14ac:dyDescent="0.25">
      <c r="A1594">
        <v>1765</v>
      </c>
      <c r="B1594" t="s">
        <v>1151</v>
      </c>
      <c r="C1594" t="s">
        <v>1151</v>
      </c>
      <c r="D1594" t="s">
        <v>1151</v>
      </c>
      <c r="E1594" t="s">
        <v>34</v>
      </c>
      <c r="F1594" t="s">
        <v>15</v>
      </c>
      <c r="G1594" t="s">
        <v>35</v>
      </c>
      <c r="H1594" t="s">
        <v>1152</v>
      </c>
      <c r="I1594" t="s">
        <v>1152</v>
      </c>
      <c r="J1594" t="s">
        <v>1153</v>
      </c>
      <c r="K1594">
        <v>3</v>
      </c>
      <c r="L1594">
        <v>0</v>
      </c>
      <c r="M1594">
        <v>0</v>
      </c>
      <c r="N1594">
        <v>1765</v>
      </c>
      <c r="O1594" t="e">
        <f>_xlfn.XLOOKUP(Table4[[#This Row],[id]],VALINA[id],VALINA[name])</f>
        <v>#N/A</v>
      </c>
      <c r="P1594">
        <f>_xlfn.XLOOKUP(Table4[[#This Row],[id]],prov_color!A:A,prov_color!C:C)</f>
        <v>67</v>
      </c>
    </row>
    <row r="1595" spans="1:16" hidden="1" x14ac:dyDescent="0.25">
      <c r="A1595">
        <v>1766</v>
      </c>
      <c r="B1595" t="s">
        <v>1151</v>
      </c>
      <c r="C1595" t="s">
        <v>1151</v>
      </c>
      <c r="D1595" t="s">
        <v>1151</v>
      </c>
      <c r="E1595" t="s">
        <v>34</v>
      </c>
      <c r="F1595" t="s">
        <v>15</v>
      </c>
      <c r="G1595" t="s">
        <v>35</v>
      </c>
      <c r="H1595" t="s">
        <v>1152</v>
      </c>
      <c r="I1595" t="s">
        <v>1152</v>
      </c>
      <c r="J1595" t="s">
        <v>1153</v>
      </c>
      <c r="K1595">
        <v>3</v>
      </c>
      <c r="L1595">
        <v>0</v>
      </c>
      <c r="M1595">
        <v>0</v>
      </c>
      <c r="N1595">
        <v>1766</v>
      </c>
      <c r="O1595" t="e">
        <f>_xlfn.XLOOKUP(Table4[[#This Row],[id]],VALINA[id],VALINA[name])</f>
        <v>#N/A</v>
      </c>
      <c r="P1595">
        <f>_xlfn.XLOOKUP(Table4[[#This Row],[id]],prov_color!A:A,prov_color!C:C)</f>
        <v>70</v>
      </c>
    </row>
    <row r="1596" spans="1:16" hidden="1" x14ac:dyDescent="0.25">
      <c r="A1596">
        <v>1767</v>
      </c>
      <c r="B1596" t="s">
        <v>1151</v>
      </c>
      <c r="C1596" t="s">
        <v>1151</v>
      </c>
      <c r="D1596" t="s">
        <v>1151</v>
      </c>
      <c r="E1596" t="s">
        <v>34</v>
      </c>
      <c r="F1596" t="s">
        <v>15</v>
      </c>
      <c r="G1596" t="s">
        <v>35</v>
      </c>
      <c r="H1596" t="s">
        <v>1152</v>
      </c>
      <c r="I1596" t="s">
        <v>1152</v>
      </c>
      <c r="J1596" t="s">
        <v>1153</v>
      </c>
      <c r="K1596">
        <v>3</v>
      </c>
      <c r="L1596">
        <v>0</v>
      </c>
      <c r="M1596">
        <v>0</v>
      </c>
      <c r="N1596">
        <v>1767</v>
      </c>
      <c r="O1596" t="e">
        <f>_xlfn.XLOOKUP(Table4[[#This Row],[id]],VALINA[id],VALINA[name])</f>
        <v>#N/A</v>
      </c>
      <c r="P1596">
        <f>_xlfn.XLOOKUP(Table4[[#This Row],[id]],prov_color!A:A,prov_color!C:C)</f>
        <v>54</v>
      </c>
    </row>
    <row r="1597" spans="1:16" hidden="1" x14ac:dyDescent="0.25">
      <c r="A1597">
        <v>1768</v>
      </c>
      <c r="B1597" t="s">
        <v>1151</v>
      </c>
      <c r="C1597" t="s">
        <v>1151</v>
      </c>
      <c r="D1597" t="s">
        <v>1151</v>
      </c>
      <c r="E1597" t="s">
        <v>34</v>
      </c>
      <c r="F1597" t="s">
        <v>15</v>
      </c>
      <c r="G1597" t="s">
        <v>35</v>
      </c>
      <c r="H1597" t="s">
        <v>1152</v>
      </c>
      <c r="I1597" t="s">
        <v>1152</v>
      </c>
      <c r="J1597" t="s">
        <v>1153</v>
      </c>
      <c r="K1597">
        <v>3</v>
      </c>
      <c r="L1597">
        <v>0</v>
      </c>
      <c r="M1597">
        <v>0</v>
      </c>
      <c r="N1597">
        <v>1768</v>
      </c>
      <c r="O1597" t="e">
        <f>_xlfn.XLOOKUP(Table4[[#This Row],[id]],VALINA[id],VALINA[name])</f>
        <v>#N/A</v>
      </c>
      <c r="P1597">
        <f>_xlfn.XLOOKUP(Table4[[#This Row],[id]],prov_color!A:A,prov_color!C:C)</f>
        <v>79</v>
      </c>
    </row>
    <row r="1598" spans="1:16" hidden="1" x14ac:dyDescent="0.25">
      <c r="A1598">
        <v>1769</v>
      </c>
      <c r="B1598" t="s">
        <v>1151</v>
      </c>
      <c r="C1598" t="s">
        <v>1151</v>
      </c>
      <c r="D1598" t="s">
        <v>1151</v>
      </c>
      <c r="E1598" t="s">
        <v>34</v>
      </c>
      <c r="F1598" t="s">
        <v>15</v>
      </c>
      <c r="G1598" t="s">
        <v>35</v>
      </c>
      <c r="H1598" t="s">
        <v>1152</v>
      </c>
      <c r="I1598" t="s">
        <v>1152</v>
      </c>
      <c r="J1598" t="s">
        <v>1153</v>
      </c>
      <c r="K1598">
        <v>3</v>
      </c>
      <c r="L1598">
        <v>0</v>
      </c>
      <c r="M1598">
        <v>0</v>
      </c>
      <c r="N1598">
        <v>1769</v>
      </c>
      <c r="O1598" t="e">
        <f>_xlfn.XLOOKUP(Table4[[#This Row],[id]],VALINA[id],VALINA[name])</f>
        <v>#N/A</v>
      </c>
      <c r="P1598">
        <f>_xlfn.XLOOKUP(Table4[[#This Row],[id]],prov_color!A:A,prov_color!C:C)</f>
        <v>86</v>
      </c>
    </row>
    <row r="1599" spans="1:16" hidden="1" x14ac:dyDescent="0.25">
      <c r="A1599">
        <v>1770</v>
      </c>
      <c r="B1599" t="s">
        <v>1151</v>
      </c>
      <c r="C1599" t="s">
        <v>1151</v>
      </c>
      <c r="D1599" t="s">
        <v>1151</v>
      </c>
      <c r="E1599" t="s">
        <v>34</v>
      </c>
      <c r="F1599" t="s">
        <v>15</v>
      </c>
      <c r="G1599" t="s">
        <v>35</v>
      </c>
      <c r="H1599" t="s">
        <v>1152</v>
      </c>
      <c r="I1599" t="s">
        <v>1152</v>
      </c>
      <c r="J1599" t="s">
        <v>1153</v>
      </c>
      <c r="K1599">
        <v>3</v>
      </c>
      <c r="L1599">
        <v>0</v>
      </c>
      <c r="M1599">
        <v>0</v>
      </c>
      <c r="N1599">
        <v>1770</v>
      </c>
      <c r="O1599" t="e">
        <f>_xlfn.XLOOKUP(Table4[[#This Row],[id]],VALINA[id],VALINA[name])</f>
        <v>#N/A</v>
      </c>
      <c r="P1599">
        <f>_xlfn.XLOOKUP(Table4[[#This Row],[id]],prov_color!A:A,prov_color!C:C)</f>
        <v>64</v>
      </c>
    </row>
    <row r="1600" spans="1:16" hidden="1" x14ac:dyDescent="0.25">
      <c r="A1600">
        <v>1771</v>
      </c>
      <c r="B1600" t="s">
        <v>1151</v>
      </c>
      <c r="C1600" t="s">
        <v>1151</v>
      </c>
      <c r="D1600" t="s">
        <v>1151</v>
      </c>
      <c r="E1600" t="s">
        <v>34</v>
      </c>
      <c r="F1600" t="s">
        <v>15</v>
      </c>
      <c r="G1600" t="s">
        <v>35</v>
      </c>
      <c r="H1600" t="s">
        <v>1152</v>
      </c>
      <c r="I1600" t="s">
        <v>1152</v>
      </c>
      <c r="J1600" t="s">
        <v>1153</v>
      </c>
      <c r="K1600">
        <v>3</v>
      </c>
      <c r="L1600">
        <v>0</v>
      </c>
      <c r="M1600">
        <v>0</v>
      </c>
      <c r="N1600">
        <v>1771</v>
      </c>
      <c r="O1600" t="e">
        <f>_xlfn.XLOOKUP(Table4[[#This Row],[id]],VALINA[id],VALINA[name])</f>
        <v>#N/A</v>
      </c>
      <c r="P1600">
        <f>_xlfn.XLOOKUP(Table4[[#This Row],[id]],prov_color!A:A,prov_color!C:C)</f>
        <v>74</v>
      </c>
    </row>
    <row r="1601" spans="1:16" hidden="1" x14ac:dyDescent="0.25">
      <c r="A1601">
        <v>1772</v>
      </c>
      <c r="B1601" t="s">
        <v>1151</v>
      </c>
      <c r="C1601" t="s">
        <v>1151</v>
      </c>
      <c r="D1601" t="s">
        <v>1151</v>
      </c>
      <c r="E1601" t="s">
        <v>34</v>
      </c>
      <c r="F1601" t="s">
        <v>15</v>
      </c>
      <c r="G1601" t="s">
        <v>35</v>
      </c>
      <c r="H1601" t="s">
        <v>1152</v>
      </c>
      <c r="I1601" t="s">
        <v>1152</v>
      </c>
      <c r="J1601" t="s">
        <v>1153</v>
      </c>
      <c r="K1601">
        <v>3</v>
      </c>
      <c r="L1601">
        <v>0</v>
      </c>
      <c r="M1601">
        <v>0</v>
      </c>
      <c r="N1601">
        <v>1772</v>
      </c>
      <c r="O1601" t="e">
        <f>_xlfn.XLOOKUP(Table4[[#This Row],[id]],VALINA[id],VALINA[name])</f>
        <v>#N/A</v>
      </c>
      <c r="P1601">
        <f>_xlfn.XLOOKUP(Table4[[#This Row],[id]],prov_color!A:A,prov_color!C:C)</f>
        <v>91</v>
      </c>
    </row>
    <row r="1602" spans="1:16" hidden="1" x14ac:dyDescent="0.25">
      <c r="A1602">
        <v>1773</v>
      </c>
      <c r="B1602" t="s">
        <v>1151</v>
      </c>
      <c r="C1602" t="s">
        <v>1151</v>
      </c>
      <c r="D1602" t="s">
        <v>1151</v>
      </c>
      <c r="E1602" t="s">
        <v>34</v>
      </c>
      <c r="F1602" t="s">
        <v>15</v>
      </c>
      <c r="G1602" t="s">
        <v>35</v>
      </c>
      <c r="H1602" t="s">
        <v>1152</v>
      </c>
      <c r="I1602" t="s">
        <v>1152</v>
      </c>
      <c r="J1602" t="s">
        <v>1153</v>
      </c>
      <c r="K1602">
        <v>3</v>
      </c>
      <c r="L1602">
        <v>0</v>
      </c>
      <c r="M1602">
        <v>0</v>
      </c>
      <c r="N1602">
        <v>1773</v>
      </c>
      <c r="O1602" t="e">
        <f>_xlfn.XLOOKUP(Table4[[#This Row],[id]],VALINA[id],VALINA[name])</f>
        <v>#N/A</v>
      </c>
      <c r="P1602">
        <f>_xlfn.XLOOKUP(Table4[[#This Row],[id]],prov_color!A:A,prov_color!C:C)</f>
        <v>80</v>
      </c>
    </row>
    <row r="1603" spans="1:16" hidden="1" x14ac:dyDescent="0.25">
      <c r="A1603">
        <v>1774</v>
      </c>
      <c r="B1603" t="s">
        <v>1151</v>
      </c>
      <c r="C1603" t="s">
        <v>1151</v>
      </c>
      <c r="D1603" t="s">
        <v>1151</v>
      </c>
      <c r="E1603" t="s">
        <v>34</v>
      </c>
      <c r="F1603" t="s">
        <v>15</v>
      </c>
      <c r="G1603" t="s">
        <v>35</v>
      </c>
      <c r="H1603" t="s">
        <v>1152</v>
      </c>
      <c r="I1603" t="s">
        <v>1152</v>
      </c>
      <c r="J1603" t="s">
        <v>1153</v>
      </c>
      <c r="K1603">
        <v>3</v>
      </c>
      <c r="L1603">
        <v>0</v>
      </c>
      <c r="M1603">
        <v>0</v>
      </c>
      <c r="N1603">
        <v>1774</v>
      </c>
      <c r="O1603" t="e">
        <f>_xlfn.XLOOKUP(Table4[[#This Row],[id]],VALINA[id],VALINA[name])</f>
        <v>#N/A</v>
      </c>
      <c r="P1603">
        <f>_xlfn.XLOOKUP(Table4[[#This Row],[id]],prov_color!A:A,prov_color!C:C)</f>
        <v>68</v>
      </c>
    </row>
    <row r="1604" spans="1:16" hidden="1" x14ac:dyDescent="0.25">
      <c r="A1604">
        <v>1775</v>
      </c>
      <c r="B1604" t="s">
        <v>1151</v>
      </c>
      <c r="C1604" t="s">
        <v>1151</v>
      </c>
      <c r="D1604" t="s">
        <v>1151</v>
      </c>
      <c r="E1604" t="s">
        <v>34</v>
      </c>
      <c r="F1604" t="s">
        <v>15</v>
      </c>
      <c r="G1604" t="s">
        <v>35</v>
      </c>
      <c r="H1604" t="s">
        <v>1152</v>
      </c>
      <c r="I1604" t="s">
        <v>1152</v>
      </c>
      <c r="J1604" t="s">
        <v>1153</v>
      </c>
      <c r="K1604">
        <v>3</v>
      </c>
      <c r="L1604">
        <v>0</v>
      </c>
      <c r="M1604">
        <v>0</v>
      </c>
      <c r="N1604">
        <v>1775</v>
      </c>
      <c r="O1604" t="e">
        <f>_xlfn.XLOOKUP(Table4[[#This Row],[id]],VALINA[id],VALINA[name])</f>
        <v>#N/A</v>
      </c>
      <c r="P1604">
        <f>_xlfn.XLOOKUP(Table4[[#This Row],[id]],prov_color!A:A,prov_color!C:C)</f>
        <v>99</v>
      </c>
    </row>
    <row r="1605" spans="1:16" hidden="1" x14ac:dyDescent="0.25">
      <c r="A1605">
        <v>1776</v>
      </c>
      <c r="B1605" t="s">
        <v>1151</v>
      </c>
      <c r="C1605" t="s">
        <v>1151</v>
      </c>
      <c r="D1605" t="s">
        <v>1151</v>
      </c>
      <c r="E1605" t="s">
        <v>34</v>
      </c>
      <c r="F1605" t="s">
        <v>15</v>
      </c>
      <c r="G1605" t="s">
        <v>35</v>
      </c>
      <c r="H1605" t="s">
        <v>1152</v>
      </c>
      <c r="I1605" t="s">
        <v>1152</v>
      </c>
      <c r="J1605" t="s">
        <v>1153</v>
      </c>
      <c r="K1605">
        <v>3</v>
      </c>
      <c r="L1605">
        <v>0</v>
      </c>
      <c r="M1605">
        <v>0</v>
      </c>
      <c r="N1605">
        <v>1776</v>
      </c>
      <c r="O1605" t="e">
        <f>_xlfn.XLOOKUP(Table4[[#This Row],[id]],VALINA[id],VALINA[name])</f>
        <v>#N/A</v>
      </c>
      <c r="P1605">
        <f>_xlfn.XLOOKUP(Table4[[#This Row],[id]],prov_color!A:A,prov_color!C:C)</f>
        <v>91</v>
      </c>
    </row>
    <row r="1606" spans="1:16" hidden="1" x14ac:dyDescent="0.25">
      <c r="A1606">
        <v>1777</v>
      </c>
      <c r="B1606" t="s">
        <v>1151</v>
      </c>
      <c r="C1606" t="s">
        <v>1151</v>
      </c>
      <c r="D1606" t="s">
        <v>1151</v>
      </c>
      <c r="E1606" t="s">
        <v>34</v>
      </c>
      <c r="F1606" t="s">
        <v>15</v>
      </c>
      <c r="G1606" t="s">
        <v>35</v>
      </c>
      <c r="H1606" t="s">
        <v>1152</v>
      </c>
      <c r="I1606" t="s">
        <v>1152</v>
      </c>
      <c r="J1606" t="s">
        <v>1153</v>
      </c>
      <c r="K1606">
        <v>3</v>
      </c>
      <c r="L1606">
        <v>0</v>
      </c>
      <c r="M1606">
        <v>0</v>
      </c>
      <c r="N1606">
        <v>1777</v>
      </c>
      <c r="O1606" t="e">
        <f>_xlfn.XLOOKUP(Table4[[#This Row],[id]],VALINA[id],VALINA[name])</f>
        <v>#N/A</v>
      </c>
      <c r="P1606">
        <f>_xlfn.XLOOKUP(Table4[[#This Row],[id]],prov_color!A:A,prov_color!C:C)</f>
        <v>89</v>
      </c>
    </row>
    <row r="1607" spans="1:16" hidden="1" x14ac:dyDescent="0.25">
      <c r="A1607">
        <v>1778</v>
      </c>
      <c r="B1607" t="s">
        <v>1151</v>
      </c>
      <c r="C1607" t="s">
        <v>1151</v>
      </c>
      <c r="D1607" t="s">
        <v>1151</v>
      </c>
      <c r="E1607" t="s">
        <v>34</v>
      </c>
      <c r="F1607" t="s">
        <v>15</v>
      </c>
      <c r="G1607" t="s">
        <v>35</v>
      </c>
      <c r="H1607" t="s">
        <v>1152</v>
      </c>
      <c r="I1607" t="s">
        <v>1152</v>
      </c>
      <c r="J1607" t="s">
        <v>1153</v>
      </c>
      <c r="K1607">
        <v>3</v>
      </c>
      <c r="L1607">
        <v>0</v>
      </c>
      <c r="M1607">
        <v>0</v>
      </c>
      <c r="N1607">
        <v>1778</v>
      </c>
      <c r="O1607" t="e">
        <f>_xlfn.XLOOKUP(Table4[[#This Row],[id]],VALINA[id],VALINA[name])</f>
        <v>#N/A</v>
      </c>
      <c r="P1607">
        <f>_xlfn.XLOOKUP(Table4[[#This Row],[id]],prov_color!A:A,prov_color!C:C)</f>
        <v>98</v>
      </c>
    </row>
    <row r="1608" spans="1:16" hidden="1" x14ac:dyDescent="0.25">
      <c r="A1608">
        <v>1779</v>
      </c>
      <c r="B1608" t="s">
        <v>1151</v>
      </c>
      <c r="C1608" t="s">
        <v>1151</v>
      </c>
      <c r="D1608" t="s">
        <v>1151</v>
      </c>
      <c r="E1608" t="s">
        <v>34</v>
      </c>
      <c r="F1608" t="s">
        <v>15</v>
      </c>
      <c r="G1608" t="s">
        <v>35</v>
      </c>
      <c r="H1608" t="s">
        <v>1152</v>
      </c>
      <c r="I1608" t="s">
        <v>1152</v>
      </c>
      <c r="J1608" t="s">
        <v>1153</v>
      </c>
      <c r="K1608">
        <v>3</v>
      </c>
      <c r="L1608">
        <v>0</v>
      </c>
      <c r="M1608">
        <v>0</v>
      </c>
      <c r="N1608">
        <v>1779</v>
      </c>
      <c r="O1608" t="e">
        <f>_xlfn.XLOOKUP(Table4[[#This Row],[id]],VALINA[id],VALINA[name])</f>
        <v>#N/A</v>
      </c>
      <c r="P1608">
        <f>_xlfn.XLOOKUP(Table4[[#This Row],[id]],prov_color!A:A,prov_color!C:C)</f>
        <v>80</v>
      </c>
    </row>
    <row r="1609" spans="1:16" hidden="1" x14ac:dyDescent="0.25">
      <c r="A1609">
        <v>1780</v>
      </c>
      <c r="B1609" t="s">
        <v>1151</v>
      </c>
      <c r="C1609" t="s">
        <v>1151</v>
      </c>
      <c r="D1609" t="s">
        <v>1151</v>
      </c>
      <c r="E1609" t="s">
        <v>34</v>
      </c>
      <c r="F1609" t="s">
        <v>15</v>
      </c>
      <c r="G1609" t="s">
        <v>35</v>
      </c>
      <c r="H1609" t="s">
        <v>1152</v>
      </c>
      <c r="I1609" t="s">
        <v>1152</v>
      </c>
      <c r="J1609" t="s">
        <v>1153</v>
      </c>
      <c r="K1609">
        <v>3</v>
      </c>
      <c r="L1609">
        <v>0</v>
      </c>
      <c r="M1609">
        <v>0</v>
      </c>
      <c r="N1609">
        <v>1780</v>
      </c>
      <c r="O1609" t="e">
        <f>_xlfn.XLOOKUP(Table4[[#This Row],[id]],VALINA[id],VALINA[name])</f>
        <v>#N/A</v>
      </c>
      <c r="P1609">
        <f>_xlfn.XLOOKUP(Table4[[#This Row],[id]],prov_color!A:A,prov_color!C:C)</f>
        <v>84</v>
      </c>
    </row>
    <row r="1610" spans="1:16" hidden="1" x14ac:dyDescent="0.25">
      <c r="A1610">
        <v>1781</v>
      </c>
      <c r="B1610" t="s">
        <v>1151</v>
      </c>
      <c r="C1610" t="s">
        <v>1151</v>
      </c>
      <c r="D1610" t="s">
        <v>1151</v>
      </c>
      <c r="E1610" t="s">
        <v>34</v>
      </c>
      <c r="F1610" t="s">
        <v>15</v>
      </c>
      <c r="G1610" t="s">
        <v>35</v>
      </c>
      <c r="H1610" t="s">
        <v>1152</v>
      </c>
      <c r="I1610" t="s">
        <v>1152</v>
      </c>
      <c r="J1610" t="s">
        <v>1153</v>
      </c>
      <c r="K1610">
        <v>3</v>
      </c>
      <c r="L1610">
        <v>0</v>
      </c>
      <c r="M1610">
        <v>0</v>
      </c>
      <c r="N1610">
        <v>1781</v>
      </c>
      <c r="O1610" t="e">
        <f>_xlfn.XLOOKUP(Table4[[#This Row],[id]],VALINA[id],VALINA[name])</f>
        <v>#N/A</v>
      </c>
      <c r="P1610">
        <f>_xlfn.XLOOKUP(Table4[[#This Row],[id]],prov_color!A:A,prov_color!C:C)</f>
        <v>68</v>
      </c>
    </row>
    <row r="1611" spans="1:16" hidden="1" x14ac:dyDescent="0.25">
      <c r="A1611">
        <v>1782</v>
      </c>
      <c r="B1611" t="s">
        <v>1151</v>
      </c>
      <c r="C1611" t="s">
        <v>1151</v>
      </c>
      <c r="D1611" t="s">
        <v>1151</v>
      </c>
      <c r="E1611" t="s">
        <v>34</v>
      </c>
      <c r="F1611" t="s">
        <v>15</v>
      </c>
      <c r="G1611" t="s">
        <v>35</v>
      </c>
      <c r="H1611" t="s">
        <v>1152</v>
      </c>
      <c r="I1611" t="s">
        <v>1152</v>
      </c>
      <c r="J1611" t="s">
        <v>1153</v>
      </c>
      <c r="K1611">
        <v>3</v>
      </c>
      <c r="L1611">
        <v>0</v>
      </c>
      <c r="M1611">
        <v>0</v>
      </c>
      <c r="N1611">
        <v>1782</v>
      </c>
      <c r="O1611" t="e">
        <f>_xlfn.XLOOKUP(Table4[[#This Row],[id]],VALINA[id],VALINA[name])</f>
        <v>#N/A</v>
      </c>
      <c r="P1611">
        <f>_xlfn.XLOOKUP(Table4[[#This Row],[id]],prov_color!A:A,prov_color!C:C)</f>
        <v>68</v>
      </c>
    </row>
    <row r="1612" spans="1:16" hidden="1" x14ac:dyDescent="0.25">
      <c r="A1612">
        <v>1783</v>
      </c>
      <c r="B1612" t="s">
        <v>1151</v>
      </c>
      <c r="C1612" t="s">
        <v>1151</v>
      </c>
      <c r="D1612" t="s">
        <v>1151</v>
      </c>
      <c r="E1612" t="s">
        <v>34</v>
      </c>
      <c r="F1612" t="s">
        <v>15</v>
      </c>
      <c r="G1612" t="s">
        <v>35</v>
      </c>
      <c r="H1612" t="s">
        <v>1152</v>
      </c>
      <c r="I1612" t="s">
        <v>1152</v>
      </c>
      <c r="J1612" t="s">
        <v>1153</v>
      </c>
      <c r="K1612">
        <v>3</v>
      </c>
      <c r="L1612">
        <v>0</v>
      </c>
      <c r="M1612">
        <v>0</v>
      </c>
      <c r="N1612">
        <v>1783</v>
      </c>
      <c r="O1612" t="e">
        <f>_xlfn.XLOOKUP(Table4[[#This Row],[id]],VALINA[id],VALINA[name])</f>
        <v>#N/A</v>
      </c>
      <c r="P1612">
        <f>_xlfn.XLOOKUP(Table4[[#This Row],[id]],prov_color!A:A,prov_color!C:C)</f>
        <v>74</v>
      </c>
    </row>
    <row r="1613" spans="1:16" hidden="1" x14ac:dyDescent="0.25">
      <c r="A1613">
        <v>1784</v>
      </c>
      <c r="B1613" t="s">
        <v>1151</v>
      </c>
      <c r="C1613" t="s">
        <v>1151</v>
      </c>
      <c r="D1613" t="s">
        <v>1151</v>
      </c>
      <c r="E1613" t="s">
        <v>34</v>
      </c>
      <c r="F1613" t="s">
        <v>15</v>
      </c>
      <c r="G1613" t="s">
        <v>35</v>
      </c>
      <c r="H1613" t="s">
        <v>1152</v>
      </c>
      <c r="I1613" t="s">
        <v>1152</v>
      </c>
      <c r="J1613" t="s">
        <v>1153</v>
      </c>
      <c r="K1613">
        <v>3</v>
      </c>
      <c r="L1613">
        <v>0</v>
      </c>
      <c r="M1613">
        <v>0</v>
      </c>
      <c r="N1613">
        <v>1784</v>
      </c>
      <c r="O1613" t="e">
        <f>_xlfn.XLOOKUP(Table4[[#This Row],[id]],VALINA[id],VALINA[name])</f>
        <v>#N/A</v>
      </c>
      <c r="P1613">
        <f>_xlfn.XLOOKUP(Table4[[#This Row],[id]],prov_color!A:A,prov_color!C:C)</f>
        <v>68</v>
      </c>
    </row>
    <row r="1614" spans="1:16" hidden="1" x14ac:dyDescent="0.25">
      <c r="A1614">
        <v>1785</v>
      </c>
      <c r="B1614" t="s">
        <v>1151</v>
      </c>
      <c r="C1614" t="s">
        <v>1151</v>
      </c>
      <c r="D1614" t="s">
        <v>1151</v>
      </c>
      <c r="E1614" t="s">
        <v>34</v>
      </c>
      <c r="F1614" t="s">
        <v>15</v>
      </c>
      <c r="G1614" t="s">
        <v>35</v>
      </c>
      <c r="H1614" t="s">
        <v>1152</v>
      </c>
      <c r="I1614" t="s">
        <v>1152</v>
      </c>
      <c r="J1614" t="s">
        <v>1153</v>
      </c>
      <c r="K1614">
        <v>3</v>
      </c>
      <c r="L1614">
        <v>0</v>
      </c>
      <c r="M1614">
        <v>0</v>
      </c>
      <c r="N1614">
        <v>1785</v>
      </c>
      <c r="O1614" t="e">
        <f>_xlfn.XLOOKUP(Table4[[#This Row],[id]],VALINA[id],VALINA[name])</f>
        <v>#N/A</v>
      </c>
      <c r="P1614">
        <f>_xlfn.XLOOKUP(Table4[[#This Row],[id]],prov_color!A:A,prov_color!C:C)</f>
        <v>59</v>
      </c>
    </row>
    <row r="1615" spans="1:16" hidden="1" x14ac:dyDescent="0.25">
      <c r="A1615">
        <v>1786</v>
      </c>
      <c r="B1615" t="s">
        <v>1151</v>
      </c>
      <c r="C1615" t="s">
        <v>1151</v>
      </c>
      <c r="D1615" t="s">
        <v>1151</v>
      </c>
      <c r="E1615" t="s">
        <v>34</v>
      </c>
      <c r="F1615" t="s">
        <v>15</v>
      </c>
      <c r="G1615" t="s">
        <v>35</v>
      </c>
      <c r="H1615" t="s">
        <v>1152</v>
      </c>
      <c r="I1615" t="s">
        <v>1152</v>
      </c>
      <c r="J1615" t="s">
        <v>1153</v>
      </c>
      <c r="K1615">
        <v>3</v>
      </c>
      <c r="L1615">
        <v>0</v>
      </c>
      <c r="M1615">
        <v>0</v>
      </c>
      <c r="N1615">
        <v>1786</v>
      </c>
      <c r="O1615" t="e">
        <f>_xlfn.XLOOKUP(Table4[[#This Row],[id]],VALINA[id],VALINA[name])</f>
        <v>#N/A</v>
      </c>
      <c r="P1615">
        <f>_xlfn.XLOOKUP(Table4[[#This Row],[id]],prov_color!A:A,prov_color!C:C)</f>
        <v>25</v>
      </c>
    </row>
    <row r="1616" spans="1:16" hidden="1" x14ac:dyDescent="0.25">
      <c r="A1616">
        <v>1787</v>
      </c>
      <c r="B1616" t="s">
        <v>1151</v>
      </c>
      <c r="C1616" t="s">
        <v>1151</v>
      </c>
      <c r="D1616" t="s">
        <v>1151</v>
      </c>
      <c r="E1616" t="s">
        <v>34</v>
      </c>
      <c r="F1616" t="s">
        <v>15</v>
      </c>
      <c r="G1616" t="s">
        <v>35</v>
      </c>
      <c r="H1616" t="s">
        <v>1152</v>
      </c>
      <c r="I1616" t="s">
        <v>1152</v>
      </c>
      <c r="J1616" t="s">
        <v>1153</v>
      </c>
      <c r="K1616">
        <v>3</v>
      </c>
      <c r="L1616">
        <v>0</v>
      </c>
      <c r="M1616">
        <v>0</v>
      </c>
      <c r="N1616">
        <v>1787</v>
      </c>
      <c r="O1616" t="e">
        <f>_xlfn.XLOOKUP(Table4[[#This Row],[id]],VALINA[id],VALINA[name])</f>
        <v>#N/A</v>
      </c>
      <c r="P1616">
        <f>_xlfn.XLOOKUP(Table4[[#This Row],[id]],prov_color!A:A,prov_color!C:C)</f>
        <v>31</v>
      </c>
    </row>
    <row r="1617" spans="1:16" hidden="1" x14ac:dyDescent="0.25">
      <c r="A1617">
        <v>1788</v>
      </c>
      <c r="B1617" t="s">
        <v>1151</v>
      </c>
      <c r="C1617" t="s">
        <v>1151</v>
      </c>
      <c r="D1617" t="s">
        <v>1151</v>
      </c>
      <c r="E1617" t="s">
        <v>34</v>
      </c>
      <c r="F1617" t="s">
        <v>15</v>
      </c>
      <c r="G1617" t="s">
        <v>35</v>
      </c>
      <c r="H1617" t="s">
        <v>1152</v>
      </c>
      <c r="I1617" t="s">
        <v>1152</v>
      </c>
      <c r="J1617" t="s">
        <v>1153</v>
      </c>
      <c r="K1617">
        <v>3</v>
      </c>
      <c r="L1617">
        <v>0</v>
      </c>
      <c r="M1617">
        <v>0</v>
      </c>
      <c r="N1617">
        <v>1788</v>
      </c>
      <c r="O1617" t="e">
        <f>_xlfn.XLOOKUP(Table4[[#This Row],[id]],VALINA[id],VALINA[name])</f>
        <v>#N/A</v>
      </c>
      <c r="P1617">
        <f>_xlfn.XLOOKUP(Table4[[#This Row],[id]],prov_color!A:A,prov_color!C:C)</f>
        <v>36</v>
      </c>
    </row>
    <row r="1618" spans="1:16" hidden="1" x14ac:dyDescent="0.25">
      <c r="A1618">
        <v>1789</v>
      </c>
      <c r="B1618" t="s">
        <v>1151</v>
      </c>
      <c r="C1618" t="s">
        <v>1151</v>
      </c>
      <c r="D1618" t="s">
        <v>1151</v>
      </c>
      <c r="E1618" t="s">
        <v>34</v>
      </c>
      <c r="F1618" t="s">
        <v>15</v>
      </c>
      <c r="G1618" t="s">
        <v>35</v>
      </c>
      <c r="H1618" t="s">
        <v>1152</v>
      </c>
      <c r="I1618" t="s">
        <v>1152</v>
      </c>
      <c r="J1618" t="s">
        <v>1153</v>
      </c>
      <c r="K1618">
        <v>3</v>
      </c>
      <c r="L1618">
        <v>0</v>
      </c>
      <c r="M1618">
        <v>0</v>
      </c>
      <c r="N1618">
        <v>1789</v>
      </c>
      <c r="O1618" t="e">
        <f>_xlfn.XLOOKUP(Table4[[#This Row],[id]],VALINA[id],VALINA[name])</f>
        <v>#N/A</v>
      </c>
      <c r="P1618">
        <f>_xlfn.XLOOKUP(Table4[[#This Row],[id]],prov_color!A:A,prov_color!C:C)</f>
        <v>80</v>
      </c>
    </row>
    <row r="1619" spans="1:16" hidden="1" x14ac:dyDescent="0.25">
      <c r="A1619">
        <v>1790</v>
      </c>
      <c r="B1619" t="s">
        <v>1151</v>
      </c>
      <c r="C1619" t="s">
        <v>1151</v>
      </c>
      <c r="D1619" t="s">
        <v>1151</v>
      </c>
      <c r="E1619" t="s">
        <v>34</v>
      </c>
      <c r="F1619" t="s">
        <v>15</v>
      </c>
      <c r="G1619" t="s">
        <v>35</v>
      </c>
      <c r="H1619" t="s">
        <v>1152</v>
      </c>
      <c r="I1619" t="s">
        <v>1152</v>
      </c>
      <c r="J1619" t="s">
        <v>1153</v>
      </c>
      <c r="K1619">
        <v>3</v>
      </c>
      <c r="L1619">
        <v>0</v>
      </c>
      <c r="M1619">
        <v>0</v>
      </c>
      <c r="N1619">
        <v>1790</v>
      </c>
      <c r="O1619" t="e">
        <f>_xlfn.XLOOKUP(Table4[[#This Row],[id]],VALINA[id],VALINA[name])</f>
        <v>#N/A</v>
      </c>
      <c r="P1619">
        <f>_xlfn.XLOOKUP(Table4[[#This Row],[id]],prov_color!A:A,prov_color!C:C)</f>
        <v>102</v>
      </c>
    </row>
    <row r="1620" spans="1:16" hidden="1" x14ac:dyDescent="0.25">
      <c r="A1620">
        <v>1791</v>
      </c>
      <c r="B1620" t="s">
        <v>1151</v>
      </c>
      <c r="C1620" t="s">
        <v>1151</v>
      </c>
      <c r="D1620" t="s">
        <v>1151</v>
      </c>
      <c r="E1620" t="s">
        <v>34</v>
      </c>
      <c r="F1620" t="s">
        <v>15</v>
      </c>
      <c r="G1620" t="s">
        <v>35</v>
      </c>
      <c r="H1620" t="s">
        <v>1152</v>
      </c>
      <c r="I1620" t="s">
        <v>1152</v>
      </c>
      <c r="J1620" t="s">
        <v>1153</v>
      </c>
      <c r="K1620">
        <v>3</v>
      </c>
      <c r="L1620">
        <v>0</v>
      </c>
      <c r="M1620">
        <v>0</v>
      </c>
      <c r="N1620">
        <v>1791</v>
      </c>
      <c r="O1620" t="e">
        <f>_xlfn.XLOOKUP(Table4[[#This Row],[id]],VALINA[id],VALINA[name])</f>
        <v>#N/A</v>
      </c>
      <c r="P1620">
        <f>_xlfn.XLOOKUP(Table4[[#This Row],[id]],prov_color!A:A,prov_color!C:C)</f>
        <v>113</v>
      </c>
    </row>
    <row r="1621" spans="1:16" hidden="1" x14ac:dyDescent="0.25">
      <c r="A1621">
        <v>1792</v>
      </c>
      <c r="B1621" t="s">
        <v>1151</v>
      </c>
      <c r="C1621" t="s">
        <v>1151</v>
      </c>
      <c r="D1621" t="s">
        <v>1151</v>
      </c>
      <c r="E1621" t="s">
        <v>34</v>
      </c>
      <c r="F1621" t="s">
        <v>15</v>
      </c>
      <c r="G1621" t="s">
        <v>35</v>
      </c>
      <c r="H1621" t="s">
        <v>1152</v>
      </c>
      <c r="I1621" t="s">
        <v>1152</v>
      </c>
      <c r="J1621" t="s">
        <v>1153</v>
      </c>
      <c r="K1621">
        <v>3</v>
      </c>
      <c r="L1621">
        <v>0</v>
      </c>
      <c r="M1621">
        <v>0</v>
      </c>
      <c r="N1621">
        <v>1792</v>
      </c>
      <c r="O1621" t="e">
        <f>_xlfn.XLOOKUP(Table4[[#This Row],[id]],VALINA[id],VALINA[name])</f>
        <v>#N/A</v>
      </c>
      <c r="P1621">
        <f>_xlfn.XLOOKUP(Table4[[#This Row],[id]],prov_color!A:A,prov_color!C:C)</f>
        <v>60</v>
      </c>
    </row>
    <row r="1622" spans="1:16" hidden="1" x14ac:dyDescent="0.25">
      <c r="A1622">
        <v>1793</v>
      </c>
      <c r="B1622" t="s">
        <v>1151</v>
      </c>
      <c r="C1622" t="s">
        <v>1151</v>
      </c>
      <c r="D1622" t="s">
        <v>1151</v>
      </c>
      <c r="E1622" t="s">
        <v>34</v>
      </c>
      <c r="F1622" t="s">
        <v>15</v>
      </c>
      <c r="G1622" t="s">
        <v>35</v>
      </c>
      <c r="H1622" t="s">
        <v>1152</v>
      </c>
      <c r="I1622" t="s">
        <v>1152</v>
      </c>
      <c r="J1622" t="s">
        <v>1153</v>
      </c>
      <c r="K1622">
        <v>3</v>
      </c>
      <c r="L1622">
        <v>0</v>
      </c>
      <c r="M1622">
        <v>0</v>
      </c>
      <c r="N1622">
        <v>1793</v>
      </c>
      <c r="O1622" t="e">
        <f>_xlfn.XLOOKUP(Table4[[#This Row],[id]],VALINA[id],VALINA[name])</f>
        <v>#N/A</v>
      </c>
      <c r="P1622">
        <f>_xlfn.XLOOKUP(Table4[[#This Row],[id]],prov_color!A:A,prov_color!C:C)</f>
        <v>90</v>
      </c>
    </row>
    <row r="1623" spans="1:16" hidden="1" x14ac:dyDescent="0.25">
      <c r="A1623">
        <v>1794</v>
      </c>
      <c r="B1623" t="s">
        <v>1151</v>
      </c>
      <c r="C1623" t="s">
        <v>1151</v>
      </c>
      <c r="D1623" t="s">
        <v>1151</v>
      </c>
      <c r="E1623" t="s">
        <v>34</v>
      </c>
      <c r="F1623" t="s">
        <v>15</v>
      </c>
      <c r="G1623" t="s">
        <v>35</v>
      </c>
      <c r="H1623" t="s">
        <v>1152</v>
      </c>
      <c r="I1623" t="s">
        <v>1152</v>
      </c>
      <c r="J1623" t="s">
        <v>1153</v>
      </c>
      <c r="K1623">
        <v>3</v>
      </c>
      <c r="L1623">
        <v>0</v>
      </c>
      <c r="M1623">
        <v>0</v>
      </c>
      <c r="N1623">
        <v>1794</v>
      </c>
      <c r="O1623" t="e">
        <f>_xlfn.XLOOKUP(Table4[[#This Row],[id]],VALINA[id],VALINA[name])</f>
        <v>#N/A</v>
      </c>
      <c r="P1623">
        <f>_xlfn.XLOOKUP(Table4[[#This Row],[id]],prov_color!A:A,prov_color!C:C)</f>
        <v>78</v>
      </c>
    </row>
    <row r="1624" spans="1:16" hidden="1" x14ac:dyDescent="0.25">
      <c r="A1624">
        <v>1795</v>
      </c>
      <c r="B1624" t="s">
        <v>1151</v>
      </c>
      <c r="C1624" t="s">
        <v>1151</v>
      </c>
      <c r="D1624" t="s">
        <v>1151</v>
      </c>
      <c r="E1624" t="s">
        <v>34</v>
      </c>
      <c r="F1624" t="s">
        <v>15</v>
      </c>
      <c r="G1624" t="s">
        <v>35</v>
      </c>
      <c r="H1624" t="s">
        <v>1152</v>
      </c>
      <c r="I1624" t="s">
        <v>1152</v>
      </c>
      <c r="J1624" t="s">
        <v>1153</v>
      </c>
      <c r="K1624">
        <v>3</v>
      </c>
      <c r="L1624">
        <v>0</v>
      </c>
      <c r="M1624">
        <v>0</v>
      </c>
      <c r="N1624">
        <v>1795</v>
      </c>
      <c r="O1624" t="e">
        <f>_xlfn.XLOOKUP(Table4[[#This Row],[id]],VALINA[id],VALINA[name])</f>
        <v>#N/A</v>
      </c>
      <c r="P1624">
        <f>_xlfn.XLOOKUP(Table4[[#This Row],[id]],prov_color!A:A,prov_color!C:C)</f>
        <v>76</v>
      </c>
    </row>
    <row r="1625" spans="1:16" hidden="1" x14ac:dyDescent="0.25">
      <c r="A1625">
        <v>1796</v>
      </c>
      <c r="B1625" t="s">
        <v>1151</v>
      </c>
      <c r="C1625" t="s">
        <v>1151</v>
      </c>
      <c r="D1625" t="s">
        <v>1151</v>
      </c>
      <c r="E1625" t="s">
        <v>34</v>
      </c>
      <c r="F1625" t="s">
        <v>15</v>
      </c>
      <c r="G1625" t="s">
        <v>35</v>
      </c>
      <c r="H1625" t="s">
        <v>1152</v>
      </c>
      <c r="I1625" t="s">
        <v>1152</v>
      </c>
      <c r="J1625" t="s">
        <v>1153</v>
      </c>
      <c r="K1625">
        <v>3</v>
      </c>
      <c r="L1625">
        <v>0</v>
      </c>
      <c r="M1625">
        <v>0</v>
      </c>
      <c r="N1625">
        <v>1796</v>
      </c>
      <c r="O1625" t="e">
        <f>_xlfn.XLOOKUP(Table4[[#This Row],[id]],VALINA[id],VALINA[name])</f>
        <v>#N/A</v>
      </c>
      <c r="P1625">
        <f>_xlfn.XLOOKUP(Table4[[#This Row],[id]],prov_color!A:A,prov_color!C:C)</f>
        <v>87</v>
      </c>
    </row>
    <row r="1626" spans="1:16" hidden="1" x14ac:dyDescent="0.25">
      <c r="A1626">
        <v>1797</v>
      </c>
      <c r="B1626" t="s">
        <v>1151</v>
      </c>
      <c r="C1626" t="s">
        <v>1151</v>
      </c>
      <c r="D1626" t="s">
        <v>1151</v>
      </c>
      <c r="E1626" t="s">
        <v>34</v>
      </c>
      <c r="F1626" t="s">
        <v>15</v>
      </c>
      <c r="G1626" t="s">
        <v>35</v>
      </c>
      <c r="H1626" t="s">
        <v>1152</v>
      </c>
      <c r="I1626" t="s">
        <v>1152</v>
      </c>
      <c r="J1626" t="s">
        <v>1153</v>
      </c>
      <c r="K1626">
        <v>3</v>
      </c>
      <c r="L1626">
        <v>0</v>
      </c>
      <c r="M1626">
        <v>0</v>
      </c>
      <c r="N1626">
        <v>1797</v>
      </c>
      <c r="O1626" t="e">
        <f>_xlfn.XLOOKUP(Table4[[#This Row],[id]],VALINA[id],VALINA[name])</f>
        <v>#N/A</v>
      </c>
      <c r="P1626">
        <f>_xlfn.XLOOKUP(Table4[[#This Row],[id]],prov_color!A:A,prov_color!C:C)</f>
        <v>105</v>
      </c>
    </row>
    <row r="1627" spans="1:16" hidden="1" x14ac:dyDescent="0.25">
      <c r="A1627">
        <v>1798</v>
      </c>
      <c r="B1627" t="s">
        <v>1151</v>
      </c>
      <c r="C1627" t="s">
        <v>1151</v>
      </c>
      <c r="D1627" t="s">
        <v>1151</v>
      </c>
      <c r="E1627" t="s">
        <v>34</v>
      </c>
      <c r="F1627" t="s">
        <v>15</v>
      </c>
      <c r="G1627" t="s">
        <v>35</v>
      </c>
      <c r="H1627" t="s">
        <v>1152</v>
      </c>
      <c r="I1627" t="s">
        <v>1152</v>
      </c>
      <c r="J1627" t="s">
        <v>1153</v>
      </c>
      <c r="K1627">
        <v>3</v>
      </c>
      <c r="L1627">
        <v>0</v>
      </c>
      <c r="M1627">
        <v>0</v>
      </c>
      <c r="N1627">
        <v>1798</v>
      </c>
      <c r="O1627" t="e">
        <f>_xlfn.XLOOKUP(Table4[[#This Row],[id]],VALINA[id],VALINA[name])</f>
        <v>#N/A</v>
      </c>
      <c r="P1627">
        <f>_xlfn.XLOOKUP(Table4[[#This Row],[id]],prov_color!A:A,prov_color!C:C)</f>
        <v>101</v>
      </c>
    </row>
    <row r="1628" spans="1:16" hidden="1" x14ac:dyDescent="0.25">
      <c r="A1628">
        <v>1799</v>
      </c>
      <c r="B1628" t="s">
        <v>1151</v>
      </c>
      <c r="C1628" t="s">
        <v>1151</v>
      </c>
      <c r="D1628" t="s">
        <v>1151</v>
      </c>
      <c r="E1628" t="s">
        <v>34</v>
      </c>
      <c r="F1628" t="s">
        <v>15</v>
      </c>
      <c r="G1628" t="s">
        <v>35</v>
      </c>
      <c r="H1628" t="s">
        <v>1152</v>
      </c>
      <c r="I1628" t="s">
        <v>1152</v>
      </c>
      <c r="J1628" t="s">
        <v>1153</v>
      </c>
      <c r="K1628">
        <v>3</v>
      </c>
      <c r="L1628">
        <v>0</v>
      </c>
      <c r="M1628">
        <v>0</v>
      </c>
      <c r="N1628">
        <v>1799</v>
      </c>
      <c r="O1628" t="e">
        <f>_xlfn.XLOOKUP(Table4[[#This Row],[id]],VALINA[id],VALINA[name])</f>
        <v>#N/A</v>
      </c>
      <c r="P1628">
        <f>_xlfn.XLOOKUP(Table4[[#This Row],[id]],prov_color!A:A,prov_color!C:C)</f>
        <v>84</v>
      </c>
    </row>
    <row r="1629" spans="1:16" hidden="1" x14ac:dyDescent="0.25">
      <c r="A1629">
        <v>1800</v>
      </c>
      <c r="B1629" t="s">
        <v>1151</v>
      </c>
      <c r="C1629" t="s">
        <v>1151</v>
      </c>
      <c r="D1629" t="s">
        <v>1151</v>
      </c>
      <c r="E1629" t="s">
        <v>34</v>
      </c>
      <c r="F1629" t="s">
        <v>15</v>
      </c>
      <c r="G1629" t="s">
        <v>35</v>
      </c>
      <c r="H1629" t="s">
        <v>1152</v>
      </c>
      <c r="I1629" t="s">
        <v>1152</v>
      </c>
      <c r="J1629" t="s">
        <v>1153</v>
      </c>
      <c r="K1629">
        <v>3</v>
      </c>
      <c r="L1629">
        <v>0</v>
      </c>
      <c r="M1629">
        <v>0</v>
      </c>
      <c r="N1629">
        <v>1800</v>
      </c>
      <c r="O1629" t="e">
        <f>_xlfn.XLOOKUP(Table4[[#This Row],[id]],VALINA[id],VALINA[name])</f>
        <v>#N/A</v>
      </c>
      <c r="P1629">
        <f>_xlfn.XLOOKUP(Table4[[#This Row],[id]],prov_color!A:A,prov_color!C:C)</f>
        <v>45</v>
      </c>
    </row>
    <row r="1630" spans="1:16" hidden="1" x14ac:dyDescent="0.25">
      <c r="A1630">
        <v>1801</v>
      </c>
      <c r="B1630" t="s">
        <v>1151</v>
      </c>
      <c r="C1630" t="s">
        <v>1151</v>
      </c>
      <c r="D1630" t="s">
        <v>1151</v>
      </c>
      <c r="E1630" t="s">
        <v>34</v>
      </c>
      <c r="F1630" t="s">
        <v>15</v>
      </c>
      <c r="G1630" t="s">
        <v>35</v>
      </c>
      <c r="H1630" t="s">
        <v>1152</v>
      </c>
      <c r="I1630" t="s">
        <v>1152</v>
      </c>
      <c r="J1630" t="s">
        <v>1153</v>
      </c>
      <c r="K1630">
        <v>3</v>
      </c>
      <c r="L1630">
        <v>0</v>
      </c>
      <c r="M1630">
        <v>0</v>
      </c>
      <c r="N1630">
        <v>1801</v>
      </c>
      <c r="O1630" t="e">
        <f>_xlfn.XLOOKUP(Table4[[#This Row],[id]],VALINA[id],VALINA[name])</f>
        <v>#N/A</v>
      </c>
      <c r="P1630">
        <f>_xlfn.XLOOKUP(Table4[[#This Row],[id]],prov_color!A:A,prov_color!C:C)</f>
        <v>57</v>
      </c>
    </row>
    <row r="1631" spans="1:16" hidden="1" x14ac:dyDescent="0.25">
      <c r="A1631">
        <v>1802</v>
      </c>
      <c r="B1631" t="s">
        <v>1151</v>
      </c>
      <c r="C1631" t="s">
        <v>1151</v>
      </c>
      <c r="D1631" t="s">
        <v>1151</v>
      </c>
      <c r="E1631" t="s">
        <v>34</v>
      </c>
      <c r="F1631" t="s">
        <v>15</v>
      </c>
      <c r="G1631" t="s">
        <v>35</v>
      </c>
      <c r="H1631" t="s">
        <v>1152</v>
      </c>
      <c r="I1631" t="s">
        <v>1152</v>
      </c>
      <c r="J1631" t="s">
        <v>1153</v>
      </c>
      <c r="K1631">
        <v>3</v>
      </c>
      <c r="L1631">
        <v>0</v>
      </c>
      <c r="M1631">
        <v>0</v>
      </c>
      <c r="N1631">
        <v>1802</v>
      </c>
      <c r="O1631" t="e">
        <f>_xlfn.XLOOKUP(Table4[[#This Row],[id]],VALINA[id],VALINA[name])</f>
        <v>#N/A</v>
      </c>
      <c r="P1631">
        <f>_xlfn.XLOOKUP(Table4[[#This Row],[id]],prov_color!A:A,prov_color!C:C)</f>
        <v>61</v>
      </c>
    </row>
    <row r="1632" spans="1:16" hidden="1" x14ac:dyDescent="0.25">
      <c r="A1632">
        <v>1803</v>
      </c>
      <c r="B1632" t="s">
        <v>1151</v>
      </c>
      <c r="C1632" t="s">
        <v>1151</v>
      </c>
      <c r="D1632" t="s">
        <v>1151</v>
      </c>
      <c r="E1632" t="s">
        <v>34</v>
      </c>
      <c r="F1632" t="s">
        <v>15</v>
      </c>
      <c r="G1632" t="s">
        <v>35</v>
      </c>
      <c r="H1632" t="s">
        <v>1152</v>
      </c>
      <c r="I1632" t="s">
        <v>1152</v>
      </c>
      <c r="J1632" t="s">
        <v>1153</v>
      </c>
      <c r="K1632">
        <v>3</v>
      </c>
      <c r="L1632">
        <v>0</v>
      </c>
      <c r="M1632">
        <v>0</v>
      </c>
      <c r="N1632">
        <v>1803</v>
      </c>
      <c r="O1632" t="e">
        <f>_xlfn.XLOOKUP(Table4[[#This Row],[id]],VALINA[id],VALINA[name])</f>
        <v>#N/A</v>
      </c>
      <c r="P1632">
        <f>_xlfn.XLOOKUP(Table4[[#This Row],[id]],prov_color!A:A,prov_color!C:C)</f>
        <v>39</v>
      </c>
    </row>
    <row r="1633" spans="1:16" hidden="1" x14ac:dyDescent="0.25">
      <c r="A1633">
        <v>1804</v>
      </c>
      <c r="B1633" t="s">
        <v>1151</v>
      </c>
      <c r="C1633" t="s">
        <v>1151</v>
      </c>
      <c r="D1633" t="s">
        <v>1151</v>
      </c>
      <c r="E1633" t="s">
        <v>34</v>
      </c>
      <c r="F1633" t="s">
        <v>15</v>
      </c>
      <c r="G1633" t="s">
        <v>35</v>
      </c>
      <c r="H1633" t="s">
        <v>1152</v>
      </c>
      <c r="I1633" t="s">
        <v>1152</v>
      </c>
      <c r="J1633" t="s">
        <v>1153</v>
      </c>
      <c r="K1633">
        <v>3</v>
      </c>
      <c r="L1633">
        <v>0</v>
      </c>
      <c r="M1633">
        <v>0</v>
      </c>
      <c r="N1633">
        <v>1804</v>
      </c>
      <c r="O1633" t="e">
        <f>_xlfn.XLOOKUP(Table4[[#This Row],[id]],VALINA[id],VALINA[name])</f>
        <v>#N/A</v>
      </c>
      <c r="P1633">
        <f>_xlfn.XLOOKUP(Table4[[#This Row],[id]],prov_color!A:A,prov_color!C:C)</f>
        <v>59</v>
      </c>
    </row>
    <row r="1634" spans="1:16" hidden="1" x14ac:dyDescent="0.25">
      <c r="A1634">
        <v>1805</v>
      </c>
      <c r="B1634" t="s">
        <v>1151</v>
      </c>
      <c r="C1634" t="s">
        <v>1151</v>
      </c>
      <c r="D1634" t="s">
        <v>1151</v>
      </c>
      <c r="E1634" t="s">
        <v>34</v>
      </c>
      <c r="F1634" t="s">
        <v>15</v>
      </c>
      <c r="G1634" t="s">
        <v>35</v>
      </c>
      <c r="H1634" t="s">
        <v>1152</v>
      </c>
      <c r="I1634" t="s">
        <v>1152</v>
      </c>
      <c r="J1634" t="s">
        <v>1153</v>
      </c>
      <c r="K1634">
        <v>3</v>
      </c>
      <c r="L1634">
        <v>0</v>
      </c>
      <c r="M1634">
        <v>0</v>
      </c>
      <c r="N1634">
        <v>1805</v>
      </c>
      <c r="O1634" t="e">
        <f>_xlfn.XLOOKUP(Table4[[#This Row],[id]],VALINA[id],VALINA[name])</f>
        <v>#N/A</v>
      </c>
      <c r="P1634">
        <f>_xlfn.XLOOKUP(Table4[[#This Row],[id]],prov_color!A:A,prov_color!C:C)</f>
        <v>52</v>
      </c>
    </row>
    <row r="1635" spans="1:16" hidden="1" x14ac:dyDescent="0.25">
      <c r="A1635">
        <v>1806</v>
      </c>
      <c r="B1635" t="s">
        <v>1151</v>
      </c>
      <c r="C1635" t="s">
        <v>1151</v>
      </c>
      <c r="D1635" t="s">
        <v>1151</v>
      </c>
      <c r="E1635" t="s">
        <v>34</v>
      </c>
      <c r="F1635" t="s">
        <v>15</v>
      </c>
      <c r="G1635" t="s">
        <v>35</v>
      </c>
      <c r="H1635" t="s">
        <v>1152</v>
      </c>
      <c r="I1635" t="s">
        <v>1152</v>
      </c>
      <c r="J1635" t="s">
        <v>1153</v>
      </c>
      <c r="K1635">
        <v>3</v>
      </c>
      <c r="L1635">
        <v>0</v>
      </c>
      <c r="M1635">
        <v>0</v>
      </c>
      <c r="N1635">
        <v>1806</v>
      </c>
      <c r="O1635" t="e">
        <f>_xlfn.XLOOKUP(Table4[[#This Row],[id]],VALINA[id],VALINA[name])</f>
        <v>#N/A</v>
      </c>
      <c r="P1635">
        <f>_xlfn.XLOOKUP(Table4[[#This Row],[id]],prov_color!A:A,prov_color!C:C)</f>
        <v>47</v>
      </c>
    </row>
    <row r="1636" spans="1:16" hidden="1" x14ac:dyDescent="0.25">
      <c r="A1636">
        <v>1807</v>
      </c>
      <c r="B1636" t="s">
        <v>1151</v>
      </c>
      <c r="C1636" t="s">
        <v>1151</v>
      </c>
      <c r="D1636" t="s">
        <v>1151</v>
      </c>
      <c r="E1636" t="s">
        <v>34</v>
      </c>
      <c r="F1636" t="s">
        <v>15</v>
      </c>
      <c r="G1636" t="s">
        <v>35</v>
      </c>
      <c r="H1636" t="s">
        <v>1152</v>
      </c>
      <c r="I1636" t="s">
        <v>1152</v>
      </c>
      <c r="J1636" t="s">
        <v>1153</v>
      </c>
      <c r="K1636">
        <v>3</v>
      </c>
      <c r="L1636">
        <v>0</v>
      </c>
      <c r="M1636">
        <v>0</v>
      </c>
      <c r="N1636">
        <v>1807</v>
      </c>
      <c r="O1636" t="e">
        <f>_xlfn.XLOOKUP(Table4[[#This Row],[id]],VALINA[id],VALINA[name])</f>
        <v>#N/A</v>
      </c>
      <c r="P1636">
        <f>_xlfn.XLOOKUP(Table4[[#This Row],[id]],prov_color!A:A,prov_color!C:C)</f>
        <v>83</v>
      </c>
    </row>
    <row r="1637" spans="1:16" hidden="1" x14ac:dyDescent="0.25">
      <c r="A1637">
        <v>1808</v>
      </c>
      <c r="B1637" t="s">
        <v>1151</v>
      </c>
      <c r="C1637" t="s">
        <v>1151</v>
      </c>
      <c r="D1637" t="s">
        <v>1151</v>
      </c>
      <c r="E1637" t="s">
        <v>34</v>
      </c>
      <c r="F1637" t="s">
        <v>15</v>
      </c>
      <c r="G1637" t="s">
        <v>35</v>
      </c>
      <c r="H1637" t="s">
        <v>1152</v>
      </c>
      <c r="I1637" t="s">
        <v>1152</v>
      </c>
      <c r="J1637" t="s">
        <v>1153</v>
      </c>
      <c r="K1637">
        <v>3</v>
      </c>
      <c r="L1637">
        <v>0</v>
      </c>
      <c r="M1637">
        <v>0</v>
      </c>
      <c r="N1637">
        <v>1808</v>
      </c>
      <c r="O1637" t="e">
        <f>_xlfn.XLOOKUP(Table4[[#This Row],[id]],VALINA[id],VALINA[name])</f>
        <v>#N/A</v>
      </c>
      <c r="P1637">
        <f>_xlfn.XLOOKUP(Table4[[#This Row],[id]],prov_color!A:A,prov_color!C:C)</f>
        <v>80</v>
      </c>
    </row>
    <row r="1638" spans="1:16" hidden="1" x14ac:dyDescent="0.25">
      <c r="A1638">
        <v>1809</v>
      </c>
      <c r="B1638" t="s">
        <v>1151</v>
      </c>
      <c r="C1638" t="s">
        <v>1151</v>
      </c>
      <c r="D1638" t="s">
        <v>1151</v>
      </c>
      <c r="E1638" t="s">
        <v>34</v>
      </c>
      <c r="F1638" t="s">
        <v>15</v>
      </c>
      <c r="G1638" t="s">
        <v>35</v>
      </c>
      <c r="H1638" t="s">
        <v>1152</v>
      </c>
      <c r="I1638" t="s">
        <v>1152</v>
      </c>
      <c r="J1638" t="s">
        <v>1153</v>
      </c>
      <c r="K1638">
        <v>3</v>
      </c>
      <c r="L1638">
        <v>0</v>
      </c>
      <c r="M1638">
        <v>0</v>
      </c>
      <c r="N1638">
        <v>1809</v>
      </c>
      <c r="O1638" t="e">
        <f>_xlfn.XLOOKUP(Table4[[#This Row],[id]],VALINA[id],VALINA[name])</f>
        <v>#N/A</v>
      </c>
      <c r="P1638">
        <f>_xlfn.XLOOKUP(Table4[[#This Row],[id]],prov_color!A:A,prov_color!C:C)</f>
        <v>90</v>
      </c>
    </row>
    <row r="1639" spans="1:16" hidden="1" x14ac:dyDescent="0.25">
      <c r="A1639">
        <v>1810</v>
      </c>
      <c r="B1639" t="s">
        <v>1151</v>
      </c>
      <c r="C1639" t="s">
        <v>1151</v>
      </c>
      <c r="D1639" t="s">
        <v>1151</v>
      </c>
      <c r="E1639" t="s">
        <v>34</v>
      </c>
      <c r="F1639" t="s">
        <v>15</v>
      </c>
      <c r="G1639" t="s">
        <v>35</v>
      </c>
      <c r="H1639" t="s">
        <v>1152</v>
      </c>
      <c r="I1639" t="s">
        <v>1152</v>
      </c>
      <c r="J1639" t="s">
        <v>1153</v>
      </c>
      <c r="K1639">
        <v>3</v>
      </c>
      <c r="L1639">
        <v>0</v>
      </c>
      <c r="M1639">
        <v>0</v>
      </c>
      <c r="N1639">
        <v>1810</v>
      </c>
      <c r="O1639" t="e">
        <f>_xlfn.XLOOKUP(Table4[[#This Row],[id]],VALINA[id],VALINA[name])</f>
        <v>#N/A</v>
      </c>
      <c r="P1639">
        <f>_xlfn.XLOOKUP(Table4[[#This Row],[id]],prov_color!A:A,prov_color!C:C)</f>
        <v>102</v>
      </c>
    </row>
    <row r="1640" spans="1:16" hidden="1" x14ac:dyDescent="0.25">
      <c r="A1640">
        <v>1811</v>
      </c>
      <c r="B1640" t="s">
        <v>1151</v>
      </c>
      <c r="C1640" t="s">
        <v>1151</v>
      </c>
      <c r="D1640" t="s">
        <v>1151</v>
      </c>
      <c r="E1640" t="s">
        <v>34</v>
      </c>
      <c r="F1640" t="s">
        <v>15</v>
      </c>
      <c r="G1640" t="s">
        <v>35</v>
      </c>
      <c r="H1640" t="s">
        <v>1152</v>
      </c>
      <c r="I1640" t="s">
        <v>1152</v>
      </c>
      <c r="J1640" t="s">
        <v>1153</v>
      </c>
      <c r="K1640">
        <v>3</v>
      </c>
      <c r="L1640">
        <v>0</v>
      </c>
      <c r="M1640">
        <v>0</v>
      </c>
      <c r="N1640">
        <v>1811</v>
      </c>
      <c r="O1640" t="e">
        <f>_xlfn.XLOOKUP(Table4[[#This Row],[id]],VALINA[id],VALINA[name])</f>
        <v>#N/A</v>
      </c>
      <c r="P1640">
        <f>_xlfn.XLOOKUP(Table4[[#This Row],[id]],prov_color!A:A,prov_color!C:C)</f>
        <v>65</v>
      </c>
    </row>
    <row r="1641" spans="1:16" hidden="1" x14ac:dyDescent="0.25">
      <c r="A1641">
        <v>1812</v>
      </c>
      <c r="B1641" t="s">
        <v>1151</v>
      </c>
      <c r="C1641" t="s">
        <v>1151</v>
      </c>
      <c r="D1641" t="s">
        <v>1151</v>
      </c>
      <c r="E1641" t="s">
        <v>34</v>
      </c>
      <c r="F1641" t="s">
        <v>15</v>
      </c>
      <c r="G1641" t="s">
        <v>35</v>
      </c>
      <c r="H1641" t="s">
        <v>1152</v>
      </c>
      <c r="I1641" t="s">
        <v>1152</v>
      </c>
      <c r="J1641" t="s">
        <v>1153</v>
      </c>
      <c r="K1641">
        <v>3</v>
      </c>
      <c r="L1641">
        <v>0</v>
      </c>
      <c r="M1641">
        <v>0</v>
      </c>
      <c r="N1641">
        <v>1812</v>
      </c>
      <c r="O1641" t="e">
        <f>_xlfn.XLOOKUP(Table4[[#This Row],[id]],VALINA[id],VALINA[name])</f>
        <v>#N/A</v>
      </c>
      <c r="P1641">
        <f>_xlfn.XLOOKUP(Table4[[#This Row],[id]],prov_color!A:A,prov_color!C:C)</f>
        <v>93</v>
      </c>
    </row>
    <row r="1642" spans="1:16" hidden="1" x14ac:dyDescent="0.25">
      <c r="A1642">
        <v>1813</v>
      </c>
      <c r="B1642" t="s">
        <v>1151</v>
      </c>
      <c r="C1642" t="s">
        <v>1151</v>
      </c>
      <c r="D1642" t="s">
        <v>1151</v>
      </c>
      <c r="E1642" t="s">
        <v>34</v>
      </c>
      <c r="F1642" t="s">
        <v>15</v>
      </c>
      <c r="G1642" t="s">
        <v>35</v>
      </c>
      <c r="H1642" t="s">
        <v>1152</v>
      </c>
      <c r="I1642" t="s">
        <v>1152</v>
      </c>
      <c r="J1642" t="s">
        <v>1153</v>
      </c>
      <c r="K1642">
        <v>3</v>
      </c>
      <c r="L1642">
        <v>0</v>
      </c>
      <c r="M1642">
        <v>0</v>
      </c>
      <c r="N1642">
        <v>1813</v>
      </c>
      <c r="O1642" t="e">
        <f>_xlfn.XLOOKUP(Table4[[#This Row],[id]],VALINA[id],VALINA[name])</f>
        <v>#N/A</v>
      </c>
      <c r="P1642">
        <f>_xlfn.XLOOKUP(Table4[[#This Row],[id]],prov_color!A:A,prov_color!C:C)</f>
        <v>109</v>
      </c>
    </row>
    <row r="1643" spans="1:16" hidden="1" x14ac:dyDescent="0.25">
      <c r="A1643">
        <v>1814</v>
      </c>
      <c r="B1643" t="s">
        <v>1151</v>
      </c>
      <c r="C1643" t="s">
        <v>1151</v>
      </c>
      <c r="D1643" t="s">
        <v>1151</v>
      </c>
      <c r="E1643" t="s">
        <v>34</v>
      </c>
      <c r="F1643" t="s">
        <v>15</v>
      </c>
      <c r="G1643" t="s">
        <v>35</v>
      </c>
      <c r="H1643" t="s">
        <v>1152</v>
      </c>
      <c r="I1643" t="s">
        <v>1152</v>
      </c>
      <c r="J1643" t="s">
        <v>1153</v>
      </c>
      <c r="K1643">
        <v>3</v>
      </c>
      <c r="L1643">
        <v>0</v>
      </c>
      <c r="M1643">
        <v>0</v>
      </c>
      <c r="N1643">
        <v>1814</v>
      </c>
      <c r="O1643" t="e">
        <f>_xlfn.XLOOKUP(Table4[[#This Row],[id]],VALINA[id],VALINA[name])</f>
        <v>#N/A</v>
      </c>
      <c r="P1643">
        <f>_xlfn.XLOOKUP(Table4[[#This Row],[id]],prov_color!A:A,prov_color!C:C)</f>
        <v>64</v>
      </c>
    </row>
    <row r="1644" spans="1:16" hidden="1" x14ac:dyDescent="0.25">
      <c r="A1644">
        <v>1815</v>
      </c>
      <c r="B1644" t="s">
        <v>1151</v>
      </c>
      <c r="C1644" t="s">
        <v>1151</v>
      </c>
      <c r="D1644" t="s">
        <v>1151</v>
      </c>
      <c r="E1644" t="s">
        <v>34</v>
      </c>
      <c r="F1644" t="s">
        <v>15</v>
      </c>
      <c r="G1644" t="s">
        <v>35</v>
      </c>
      <c r="H1644" t="s">
        <v>1152</v>
      </c>
      <c r="I1644" t="s">
        <v>1152</v>
      </c>
      <c r="J1644" t="s">
        <v>6472</v>
      </c>
      <c r="K1644">
        <v>3</v>
      </c>
      <c r="L1644">
        <v>0</v>
      </c>
      <c r="M1644">
        <v>0</v>
      </c>
      <c r="N1644">
        <v>1815</v>
      </c>
      <c r="O1644" t="e">
        <f>_xlfn.XLOOKUP(Table4[[#This Row],[id]],VALINA[id],VALINA[name])</f>
        <v>#N/A</v>
      </c>
      <c r="P1644">
        <f>_xlfn.XLOOKUP(Table4[[#This Row],[id]],prov_color!A:A,prov_color!C:C)</f>
        <v>6</v>
      </c>
    </row>
    <row r="1645" spans="1:16" hidden="1" x14ac:dyDescent="0.25">
      <c r="A1645">
        <v>1816</v>
      </c>
      <c r="B1645" t="s">
        <v>1151</v>
      </c>
      <c r="C1645" t="s">
        <v>1151</v>
      </c>
      <c r="D1645" t="s">
        <v>1151</v>
      </c>
      <c r="E1645" t="s">
        <v>34</v>
      </c>
      <c r="F1645" t="s">
        <v>15</v>
      </c>
      <c r="G1645" t="s">
        <v>35</v>
      </c>
      <c r="H1645" t="s">
        <v>1152</v>
      </c>
      <c r="I1645" t="s">
        <v>1152</v>
      </c>
      <c r="J1645" t="s">
        <v>5965</v>
      </c>
      <c r="K1645">
        <v>3</v>
      </c>
      <c r="L1645">
        <v>0</v>
      </c>
      <c r="M1645">
        <v>0</v>
      </c>
      <c r="N1645">
        <v>1816</v>
      </c>
      <c r="O1645" t="e">
        <f>_xlfn.XLOOKUP(Table4[[#This Row],[id]],VALINA[id],VALINA[name])</f>
        <v>#N/A</v>
      </c>
      <c r="P1645">
        <f>_xlfn.XLOOKUP(Table4[[#This Row],[id]],prov_color!A:A,prov_color!C:C)</f>
        <v>6</v>
      </c>
    </row>
    <row r="1646" spans="1:16" hidden="1" x14ac:dyDescent="0.25">
      <c r="A1646">
        <v>1817</v>
      </c>
      <c r="B1646" t="s">
        <v>1151</v>
      </c>
      <c r="C1646" t="s">
        <v>1151</v>
      </c>
      <c r="D1646" t="s">
        <v>1151</v>
      </c>
      <c r="E1646" t="s">
        <v>34</v>
      </c>
      <c r="F1646" t="s">
        <v>15</v>
      </c>
      <c r="G1646" t="s">
        <v>35</v>
      </c>
      <c r="H1646" t="s">
        <v>1152</v>
      </c>
      <c r="I1646" t="s">
        <v>1152</v>
      </c>
      <c r="J1646" t="s">
        <v>1153</v>
      </c>
      <c r="K1646">
        <v>3</v>
      </c>
      <c r="L1646">
        <v>0</v>
      </c>
      <c r="M1646">
        <v>0</v>
      </c>
      <c r="N1646">
        <v>1817</v>
      </c>
      <c r="O1646" t="e">
        <f>_xlfn.XLOOKUP(Table4[[#This Row],[id]],VALINA[id],VALINA[name])</f>
        <v>#N/A</v>
      </c>
      <c r="P1646">
        <f>_xlfn.XLOOKUP(Table4[[#This Row],[id]],prov_color!A:A,prov_color!C:C)</f>
        <v>97</v>
      </c>
    </row>
    <row r="1647" spans="1:16" hidden="1" x14ac:dyDescent="0.25">
      <c r="A1647">
        <v>1818</v>
      </c>
      <c r="B1647" t="s">
        <v>1151</v>
      </c>
      <c r="C1647" t="s">
        <v>1151</v>
      </c>
      <c r="D1647" t="s">
        <v>1151</v>
      </c>
      <c r="E1647" t="s">
        <v>34</v>
      </c>
      <c r="F1647" t="s">
        <v>15</v>
      </c>
      <c r="G1647" t="s">
        <v>35</v>
      </c>
      <c r="H1647" t="s">
        <v>1152</v>
      </c>
      <c r="I1647" t="s">
        <v>1152</v>
      </c>
      <c r="J1647" t="s">
        <v>1153</v>
      </c>
      <c r="K1647">
        <v>3</v>
      </c>
      <c r="L1647">
        <v>0</v>
      </c>
      <c r="M1647">
        <v>0</v>
      </c>
      <c r="N1647">
        <v>1818</v>
      </c>
      <c r="O1647" t="e">
        <f>_xlfn.XLOOKUP(Table4[[#This Row],[id]],VALINA[id],VALINA[name])</f>
        <v>#N/A</v>
      </c>
      <c r="P1647">
        <f>_xlfn.XLOOKUP(Table4[[#This Row],[id]],prov_color!A:A,prov_color!C:C)</f>
        <v>83</v>
      </c>
    </row>
    <row r="1648" spans="1:16" hidden="1" x14ac:dyDescent="0.25">
      <c r="A1648">
        <v>1819</v>
      </c>
      <c r="B1648" t="s">
        <v>1151</v>
      </c>
      <c r="C1648" t="s">
        <v>1151</v>
      </c>
      <c r="D1648" t="s">
        <v>1151</v>
      </c>
      <c r="E1648" t="s">
        <v>34</v>
      </c>
      <c r="F1648" t="s">
        <v>15</v>
      </c>
      <c r="G1648" t="s">
        <v>35</v>
      </c>
      <c r="H1648" t="s">
        <v>1152</v>
      </c>
      <c r="I1648" t="s">
        <v>1152</v>
      </c>
      <c r="J1648" t="s">
        <v>1153</v>
      </c>
      <c r="K1648">
        <v>3</v>
      </c>
      <c r="L1648">
        <v>0</v>
      </c>
      <c r="M1648">
        <v>0</v>
      </c>
      <c r="N1648">
        <v>1819</v>
      </c>
      <c r="O1648" t="e">
        <f>_xlfn.XLOOKUP(Table4[[#This Row],[id]],VALINA[id],VALINA[name])</f>
        <v>#N/A</v>
      </c>
      <c r="P1648">
        <f>_xlfn.XLOOKUP(Table4[[#This Row],[id]],prov_color!A:A,prov_color!C:C)</f>
        <v>103</v>
      </c>
    </row>
    <row r="1649" spans="1:16" hidden="1" x14ac:dyDescent="0.25">
      <c r="A1649">
        <v>1820</v>
      </c>
      <c r="B1649" t="s">
        <v>1151</v>
      </c>
      <c r="C1649" t="s">
        <v>1151</v>
      </c>
      <c r="D1649" t="s">
        <v>1151</v>
      </c>
      <c r="E1649" t="s">
        <v>34</v>
      </c>
      <c r="F1649" t="s">
        <v>15</v>
      </c>
      <c r="G1649" t="s">
        <v>35</v>
      </c>
      <c r="H1649" t="s">
        <v>1152</v>
      </c>
      <c r="I1649" t="s">
        <v>1152</v>
      </c>
      <c r="J1649" t="s">
        <v>1153</v>
      </c>
      <c r="K1649">
        <v>3</v>
      </c>
      <c r="L1649">
        <v>0</v>
      </c>
      <c r="M1649">
        <v>0</v>
      </c>
      <c r="N1649">
        <v>1820</v>
      </c>
      <c r="O1649" t="e">
        <f>_xlfn.XLOOKUP(Table4[[#This Row],[id]],VALINA[id],VALINA[name])</f>
        <v>#N/A</v>
      </c>
      <c r="P1649">
        <f>_xlfn.XLOOKUP(Table4[[#This Row],[id]],prov_color!A:A,prov_color!C:C)</f>
        <v>78</v>
      </c>
    </row>
    <row r="1650" spans="1:16" hidden="1" x14ac:dyDescent="0.25">
      <c r="A1650">
        <v>1821</v>
      </c>
      <c r="B1650" t="s">
        <v>1151</v>
      </c>
      <c r="C1650" t="s">
        <v>1151</v>
      </c>
      <c r="D1650" t="s">
        <v>1151</v>
      </c>
      <c r="E1650" t="s">
        <v>34</v>
      </c>
      <c r="F1650" t="s">
        <v>15</v>
      </c>
      <c r="G1650" t="s">
        <v>35</v>
      </c>
      <c r="H1650" t="s">
        <v>1152</v>
      </c>
      <c r="I1650" t="s">
        <v>1152</v>
      </c>
      <c r="J1650" t="s">
        <v>1153</v>
      </c>
      <c r="K1650">
        <v>3</v>
      </c>
      <c r="L1650">
        <v>0</v>
      </c>
      <c r="M1650">
        <v>0</v>
      </c>
      <c r="N1650">
        <v>1821</v>
      </c>
      <c r="O1650" t="e">
        <f>_xlfn.XLOOKUP(Table4[[#This Row],[id]],VALINA[id],VALINA[name])</f>
        <v>#N/A</v>
      </c>
      <c r="P1650">
        <f>_xlfn.XLOOKUP(Table4[[#This Row],[id]],prov_color!A:A,prov_color!C:C)</f>
        <v>115</v>
      </c>
    </row>
    <row r="1651" spans="1:16" hidden="1" x14ac:dyDescent="0.25">
      <c r="A1651">
        <v>1822</v>
      </c>
      <c r="B1651" t="s">
        <v>1151</v>
      </c>
      <c r="C1651" t="s">
        <v>1151</v>
      </c>
      <c r="D1651" t="s">
        <v>1151</v>
      </c>
      <c r="E1651" t="s">
        <v>34</v>
      </c>
      <c r="F1651" t="s">
        <v>15</v>
      </c>
      <c r="G1651" t="s">
        <v>35</v>
      </c>
      <c r="H1651" t="s">
        <v>1152</v>
      </c>
      <c r="I1651" t="s">
        <v>1152</v>
      </c>
      <c r="J1651" t="s">
        <v>1153</v>
      </c>
      <c r="K1651">
        <v>3</v>
      </c>
      <c r="L1651">
        <v>0</v>
      </c>
      <c r="M1651">
        <v>0</v>
      </c>
      <c r="N1651">
        <v>1822</v>
      </c>
      <c r="O1651" t="e">
        <f>_xlfn.XLOOKUP(Table4[[#This Row],[id]],VALINA[id],VALINA[name])</f>
        <v>#N/A</v>
      </c>
      <c r="P1651">
        <f>_xlfn.XLOOKUP(Table4[[#This Row],[id]],prov_color!A:A,prov_color!C:C)</f>
        <v>84</v>
      </c>
    </row>
    <row r="1652" spans="1:16" hidden="1" x14ac:dyDescent="0.25">
      <c r="A1652">
        <v>1823</v>
      </c>
      <c r="B1652" t="s">
        <v>1151</v>
      </c>
      <c r="C1652" t="s">
        <v>1151</v>
      </c>
      <c r="D1652" t="s">
        <v>1151</v>
      </c>
      <c r="E1652" t="s">
        <v>34</v>
      </c>
      <c r="F1652" t="s">
        <v>15</v>
      </c>
      <c r="G1652" t="s">
        <v>35</v>
      </c>
      <c r="H1652" t="s">
        <v>1152</v>
      </c>
      <c r="I1652" t="s">
        <v>1152</v>
      </c>
      <c r="J1652" t="s">
        <v>1153</v>
      </c>
      <c r="K1652">
        <v>3</v>
      </c>
      <c r="L1652">
        <v>0</v>
      </c>
      <c r="M1652">
        <v>0</v>
      </c>
      <c r="N1652">
        <v>1823</v>
      </c>
      <c r="O1652" t="e">
        <f>_xlfn.XLOOKUP(Table4[[#This Row],[id]],VALINA[id],VALINA[name])</f>
        <v>#N/A</v>
      </c>
      <c r="P1652">
        <f>_xlfn.XLOOKUP(Table4[[#This Row],[id]],prov_color!A:A,prov_color!C:C)</f>
        <v>112</v>
      </c>
    </row>
    <row r="1653" spans="1:16" hidden="1" x14ac:dyDescent="0.25">
      <c r="A1653">
        <v>1824</v>
      </c>
      <c r="B1653" t="s">
        <v>1151</v>
      </c>
      <c r="C1653" t="s">
        <v>1151</v>
      </c>
      <c r="D1653" t="s">
        <v>1151</v>
      </c>
      <c r="E1653" t="s">
        <v>34</v>
      </c>
      <c r="F1653" t="s">
        <v>15</v>
      </c>
      <c r="G1653" t="s">
        <v>35</v>
      </c>
      <c r="H1653" t="s">
        <v>1152</v>
      </c>
      <c r="I1653" t="s">
        <v>1152</v>
      </c>
      <c r="J1653" t="s">
        <v>1153</v>
      </c>
      <c r="K1653">
        <v>3</v>
      </c>
      <c r="L1653">
        <v>0</v>
      </c>
      <c r="M1653">
        <v>0</v>
      </c>
      <c r="N1653">
        <v>1824</v>
      </c>
      <c r="O1653" t="e">
        <f>_xlfn.XLOOKUP(Table4[[#This Row],[id]],VALINA[id],VALINA[name])</f>
        <v>#N/A</v>
      </c>
      <c r="P1653">
        <f>_xlfn.XLOOKUP(Table4[[#This Row],[id]],prov_color!A:A,prov_color!C:C)</f>
        <v>79</v>
      </c>
    </row>
    <row r="1654" spans="1:16" hidden="1" x14ac:dyDescent="0.25">
      <c r="A1654">
        <v>1825</v>
      </c>
      <c r="B1654" t="s">
        <v>1151</v>
      </c>
      <c r="C1654" t="s">
        <v>1151</v>
      </c>
      <c r="D1654" t="s">
        <v>1151</v>
      </c>
      <c r="E1654" t="s">
        <v>34</v>
      </c>
      <c r="F1654" t="s">
        <v>15</v>
      </c>
      <c r="G1654" t="s">
        <v>35</v>
      </c>
      <c r="H1654" t="s">
        <v>1152</v>
      </c>
      <c r="I1654" t="s">
        <v>1152</v>
      </c>
      <c r="J1654" t="s">
        <v>1153</v>
      </c>
      <c r="K1654">
        <v>3</v>
      </c>
      <c r="L1654">
        <v>0</v>
      </c>
      <c r="M1654">
        <v>0</v>
      </c>
      <c r="N1654">
        <v>1825</v>
      </c>
      <c r="O1654" t="e">
        <f>_xlfn.XLOOKUP(Table4[[#This Row],[id]],VALINA[id],VALINA[name])</f>
        <v>#N/A</v>
      </c>
      <c r="P1654">
        <f>_xlfn.XLOOKUP(Table4[[#This Row],[id]],prov_color!A:A,prov_color!C:C)</f>
        <v>44</v>
      </c>
    </row>
    <row r="1655" spans="1:16" hidden="1" x14ac:dyDescent="0.25">
      <c r="A1655">
        <v>1826</v>
      </c>
      <c r="B1655" t="s">
        <v>1151</v>
      </c>
      <c r="C1655" t="s">
        <v>1151</v>
      </c>
      <c r="D1655" t="s">
        <v>1151</v>
      </c>
      <c r="E1655" t="s">
        <v>34</v>
      </c>
      <c r="F1655" t="s">
        <v>15</v>
      </c>
      <c r="G1655" t="s">
        <v>35</v>
      </c>
      <c r="H1655" t="s">
        <v>1152</v>
      </c>
      <c r="I1655" t="s">
        <v>1152</v>
      </c>
      <c r="J1655" t="s">
        <v>1153</v>
      </c>
      <c r="K1655">
        <v>3</v>
      </c>
      <c r="L1655">
        <v>0</v>
      </c>
      <c r="M1655">
        <v>0</v>
      </c>
      <c r="N1655">
        <v>1826</v>
      </c>
      <c r="O1655" t="e">
        <f>_xlfn.XLOOKUP(Table4[[#This Row],[id]],VALINA[id],VALINA[name])</f>
        <v>#N/A</v>
      </c>
      <c r="P1655">
        <f>_xlfn.XLOOKUP(Table4[[#This Row],[id]],prov_color!A:A,prov_color!C:C)</f>
        <v>86</v>
      </c>
    </row>
    <row r="1656" spans="1:16" hidden="1" x14ac:dyDescent="0.25">
      <c r="A1656">
        <v>1827</v>
      </c>
      <c r="B1656" t="s">
        <v>1151</v>
      </c>
      <c r="C1656" t="s">
        <v>1151</v>
      </c>
      <c r="D1656" t="s">
        <v>1151</v>
      </c>
      <c r="E1656" t="s">
        <v>34</v>
      </c>
      <c r="F1656" t="s">
        <v>15</v>
      </c>
      <c r="G1656" t="s">
        <v>35</v>
      </c>
      <c r="H1656" t="s">
        <v>1152</v>
      </c>
      <c r="I1656" t="s">
        <v>1152</v>
      </c>
      <c r="J1656" t="s">
        <v>5966</v>
      </c>
      <c r="K1656">
        <v>3</v>
      </c>
      <c r="L1656">
        <v>0</v>
      </c>
      <c r="M1656">
        <v>0</v>
      </c>
      <c r="N1656">
        <v>1827</v>
      </c>
      <c r="O1656" t="e">
        <f>_xlfn.XLOOKUP(Table4[[#This Row],[id]],VALINA[id],VALINA[name])</f>
        <v>#N/A</v>
      </c>
      <c r="P1656">
        <f>_xlfn.XLOOKUP(Table4[[#This Row],[id]],prov_color!A:A,prov_color!C:C)</f>
        <v>24</v>
      </c>
    </row>
    <row r="1657" spans="1:16" hidden="1" x14ac:dyDescent="0.25">
      <c r="A1657">
        <v>1828</v>
      </c>
      <c r="B1657" t="s">
        <v>1151</v>
      </c>
      <c r="C1657" t="s">
        <v>1151</v>
      </c>
      <c r="D1657" t="s">
        <v>1151</v>
      </c>
      <c r="E1657" t="s">
        <v>34</v>
      </c>
      <c r="F1657" t="s">
        <v>15</v>
      </c>
      <c r="G1657" t="s">
        <v>35</v>
      </c>
      <c r="H1657" t="s">
        <v>1152</v>
      </c>
      <c r="I1657" t="s">
        <v>1152</v>
      </c>
      <c r="J1657" t="s">
        <v>1161</v>
      </c>
      <c r="K1657">
        <v>3</v>
      </c>
      <c r="L1657">
        <v>0</v>
      </c>
      <c r="M1657">
        <v>0</v>
      </c>
      <c r="N1657">
        <v>1828</v>
      </c>
      <c r="O1657" t="e">
        <f>_xlfn.XLOOKUP(Table4[[#This Row],[id]],VALINA[id],VALINA[name])</f>
        <v>#N/A</v>
      </c>
      <c r="P1657">
        <f>_xlfn.XLOOKUP(Table4[[#This Row],[id]],prov_color!A:A,prov_color!C:C)</f>
        <v>20</v>
      </c>
    </row>
    <row r="1658" spans="1:16" hidden="1" x14ac:dyDescent="0.25">
      <c r="A1658">
        <v>1829</v>
      </c>
      <c r="B1658" t="s">
        <v>1151</v>
      </c>
      <c r="C1658" t="s">
        <v>1151</v>
      </c>
      <c r="D1658" t="s">
        <v>1151</v>
      </c>
      <c r="E1658" t="s">
        <v>34</v>
      </c>
      <c r="F1658" t="s">
        <v>15</v>
      </c>
      <c r="G1658" t="s">
        <v>35</v>
      </c>
      <c r="H1658" t="s">
        <v>1152</v>
      </c>
      <c r="I1658" t="s">
        <v>1152</v>
      </c>
      <c r="J1658" t="s">
        <v>1162</v>
      </c>
      <c r="K1658">
        <v>3</v>
      </c>
      <c r="L1658">
        <v>0</v>
      </c>
      <c r="M1658">
        <v>0</v>
      </c>
      <c r="N1658">
        <v>1829</v>
      </c>
      <c r="O1658" t="e">
        <f>_xlfn.XLOOKUP(Table4[[#This Row],[id]],VALINA[id],VALINA[name])</f>
        <v>#N/A</v>
      </c>
      <c r="P1658">
        <f>_xlfn.XLOOKUP(Table4[[#This Row],[id]],prov_color!A:A,prov_color!C:C)</f>
        <v>33</v>
      </c>
    </row>
    <row r="1659" spans="1:16" hidden="1" x14ac:dyDescent="0.25">
      <c r="A1659">
        <v>1830</v>
      </c>
      <c r="B1659" t="s">
        <v>1151</v>
      </c>
      <c r="C1659" t="s">
        <v>1151</v>
      </c>
      <c r="D1659" t="s">
        <v>1151</v>
      </c>
      <c r="E1659" t="s">
        <v>34</v>
      </c>
      <c r="F1659" t="s">
        <v>15</v>
      </c>
      <c r="G1659" t="s">
        <v>35</v>
      </c>
      <c r="H1659" t="s">
        <v>1152</v>
      </c>
      <c r="I1659" t="s">
        <v>1152</v>
      </c>
      <c r="J1659" t="s">
        <v>1153</v>
      </c>
      <c r="K1659">
        <v>3</v>
      </c>
      <c r="L1659">
        <v>0</v>
      </c>
      <c r="M1659">
        <v>0</v>
      </c>
      <c r="N1659">
        <v>1830</v>
      </c>
      <c r="O1659" t="e">
        <f>_xlfn.XLOOKUP(Table4[[#This Row],[id]],VALINA[id],VALINA[name])</f>
        <v>#N/A</v>
      </c>
      <c r="P1659">
        <f>_xlfn.XLOOKUP(Table4[[#This Row],[id]],prov_color!A:A,prov_color!C:C)</f>
        <v>50</v>
      </c>
    </row>
    <row r="1660" spans="1:16" hidden="1" x14ac:dyDescent="0.25">
      <c r="A1660">
        <v>1831</v>
      </c>
      <c r="B1660" t="s">
        <v>1151</v>
      </c>
      <c r="C1660" t="s">
        <v>1151</v>
      </c>
      <c r="D1660" t="s">
        <v>1151</v>
      </c>
      <c r="E1660" t="s">
        <v>34</v>
      </c>
      <c r="F1660" t="s">
        <v>15</v>
      </c>
      <c r="G1660" t="s">
        <v>35</v>
      </c>
      <c r="H1660" t="s">
        <v>1152</v>
      </c>
      <c r="I1660" t="s">
        <v>1152</v>
      </c>
      <c r="J1660" t="s">
        <v>1153</v>
      </c>
      <c r="K1660">
        <v>3</v>
      </c>
      <c r="L1660">
        <v>0</v>
      </c>
      <c r="M1660">
        <v>0</v>
      </c>
      <c r="N1660">
        <v>1831</v>
      </c>
      <c r="O1660" t="e">
        <f>_xlfn.XLOOKUP(Table4[[#This Row],[id]],VALINA[id],VALINA[name])</f>
        <v>#N/A</v>
      </c>
      <c r="P1660">
        <f>_xlfn.XLOOKUP(Table4[[#This Row],[id]],prov_color!A:A,prov_color!C:C)</f>
        <v>37</v>
      </c>
    </row>
    <row r="1661" spans="1:16" hidden="1" x14ac:dyDescent="0.25">
      <c r="A1661">
        <v>1832</v>
      </c>
      <c r="B1661" t="s">
        <v>1151</v>
      </c>
      <c r="C1661" t="s">
        <v>1151</v>
      </c>
      <c r="D1661" t="s">
        <v>1151</v>
      </c>
      <c r="E1661" t="s">
        <v>34</v>
      </c>
      <c r="F1661" t="s">
        <v>15</v>
      </c>
      <c r="G1661" t="s">
        <v>35</v>
      </c>
      <c r="H1661" t="s">
        <v>1152</v>
      </c>
      <c r="I1661" t="s">
        <v>1152</v>
      </c>
      <c r="J1661" t="s">
        <v>1153</v>
      </c>
      <c r="K1661">
        <v>3</v>
      </c>
      <c r="L1661">
        <v>0</v>
      </c>
      <c r="M1661">
        <v>0</v>
      </c>
      <c r="N1661">
        <v>1832</v>
      </c>
      <c r="O1661" t="e">
        <f>_xlfn.XLOOKUP(Table4[[#This Row],[id]],VALINA[id],VALINA[name])</f>
        <v>#N/A</v>
      </c>
      <c r="P1661">
        <f>_xlfn.XLOOKUP(Table4[[#This Row],[id]],prov_color!A:A,prov_color!C:C)</f>
        <v>6</v>
      </c>
    </row>
    <row r="1662" spans="1:16" hidden="1" x14ac:dyDescent="0.25">
      <c r="A1662">
        <v>1833</v>
      </c>
      <c r="B1662" t="s">
        <v>1151</v>
      </c>
      <c r="C1662" t="s">
        <v>1151</v>
      </c>
      <c r="D1662" t="s">
        <v>1151</v>
      </c>
      <c r="E1662" t="s">
        <v>34</v>
      </c>
      <c r="F1662" t="s">
        <v>15</v>
      </c>
      <c r="G1662" t="s">
        <v>35</v>
      </c>
      <c r="H1662" t="s">
        <v>1152</v>
      </c>
      <c r="I1662" t="s">
        <v>1152</v>
      </c>
      <c r="J1662" t="s">
        <v>1153</v>
      </c>
      <c r="K1662">
        <v>3</v>
      </c>
      <c r="L1662">
        <v>0</v>
      </c>
      <c r="M1662">
        <v>0</v>
      </c>
      <c r="N1662">
        <v>1833</v>
      </c>
      <c r="O1662" t="e">
        <f>_xlfn.XLOOKUP(Table4[[#This Row],[id]],VALINA[id],VALINA[name])</f>
        <v>#N/A</v>
      </c>
      <c r="P1662">
        <f>_xlfn.XLOOKUP(Table4[[#This Row],[id]],prov_color!A:A,prov_color!C:C)</f>
        <v>6</v>
      </c>
    </row>
    <row r="1663" spans="1:16" hidden="1" x14ac:dyDescent="0.25">
      <c r="A1663">
        <v>1834</v>
      </c>
      <c r="B1663" t="s">
        <v>1151</v>
      </c>
      <c r="C1663" t="s">
        <v>1151</v>
      </c>
      <c r="D1663" t="s">
        <v>1151</v>
      </c>
      <c r="E1663" t="s">
        <v>34</v>
      </c>
      <c r="F1663" t="s">
        <v>15</v>
      </c>
      <c r="G1663" t="s">
        <v>35</v>
      </c>
      <c r="H1663" t="s">
        <v>1152</v>
      </c>
      <c r="I1663" t="s">
        <v>1152</v>
      </c>
      <c r="J1663" t="s">
        <v>1153</v>
      </c>
      <c r="K1663">
        <v>3</v>
      </c>
      <c r="L1663">
        <v>0</v>
      </c>
      <c r="M1663">
        <v>0</v>
      </c>
      <c r="N1663">
        <v>1834</v>
      </c>
      <c r="O1663" t="e">
        <f>_xlfn.XLOOKUP(Table4[[#This Row],[id]],VALINA[id],VALINA[name])</f>
        <v>#N/A</v>
      </c>
      <c r="P1663">
        <f>_xlfn.XLOOKUP(Table4[[#This Row],[id]],prov_color!A:A,prov_color!C:C)</f>
        <v>23</v>
      </c>
    </row>
    <row r="1664" spans="1:16" hidden="1" x14ac:dyDescent="0.25">
      <c r="A1664">
        <v>1835</v>
      </c>
      <c r="B1664" t="s">
        <v>1151</v>
      </c>
      <c r="C1664" t="s">
        <v>1151</v>
      </c>
      <c r="D1664" t="s">
        <v>1151</v>
      </c>
      <c r="E1664" t="s">
        <v>34</v>
      </c>
      <c r="F1664" t="s">
        <v>15</v>
      </c>
      <c r="G1664" t="s">
        <v>35</v>
      </c>
      <c r="H1664" t="s">
        <v>1152</v>
      </c>
      <c r="I1664" t="s">
        <v>1152</v>
      </c>
      <c r="J1664" t="s">
        <v>1153</v>
      </c>
      <c r="K1664">
        <v>3</v>
      </c>
      <c r="L1664">
        <v>0</v>
      </c>
      <c r="M1664">
        <v>0</v>
      </c>
      <c r="N1664">
        <v>1835</v>
      </c>
      <c r="O1664" t="e">
        <f>_xlfn.XLOOKUP(Table4[[#This Row],[id]],VALINA[id],VALINA[name])</f>
        <v>#N/A</v>
      </c>
      <c r="P1664">
        <f>_xlfn.XLOOKUP(Table4[[#This Row],[id]],prov_color!A:A,prov_color!C:C)</f>
        <v>6</v>
      </c>
    </row>
    <row r="1665" spans="1:16" hidden="1" x14ac:dyDescent="0.25">
      <c r="A1665">
        <v>1837</v>
      </c>
      <c r="B1665" t="s">
        <v>1151</v>
      </c>
      <c r="C1665" t="s">
        <v>1151</v>
      </c>
      <c r="D1665" t="s">
        <v>1151</v>
      </c>
      <c r="E1665" t="s">
        <v>34</v>
      </c>
      <c r="F1665" t="s">
        <v>15</v>
      </c>
      <c r="G1665" t="s">
        <v>35</v>
      </c>
      <c r="H1665" t="s">
        <v>1152</v>
      </c>
      <c r="I1665" t="s">
        <v>1152</v>
      </c>
      <c r="J1665" t="s">
        <v>1153</v>
      </c>
      <c r="K1665">
        <v>3</v>
      </c>
      <c r="L1665">
        <v>0</v>
      </c>
      <c r="M1665">
        <v>0</v>
      </c>
      <c r="N1665">
        <v>1837</v>
      </c>
      <c r="O1665" t="e">
        <f>_xlfn.XLOOKUP(Table4[[#This Row],[id]],VALINA[id],VALINA[name])</f>
        <v>#N/A</v>
      </c>
      <c r="P1665">
        <f>_xlfn.XLOOKUP(Table4[[#This Row],[id]],prov_color!A:A,prov_color!C:C)</f>
        <v>9</v>
      </c>
    </row>
    <row r="1666" spans="1:16" hidden="1" x14ac:dyDescent="0.25">
      <c r="A1666">
        <v>1838</v>
      </c>
      <c r="B1666" t="s">
        <v>1151</v>
      </c>
      <c r="C1666" t="s">
        <v>1151</v>
      </c>
      <c r="D1666" t="s">
        <v>1151</v>
      </c>
      <c r="E1666" t="s">
        <v>34</v>
      </c>
      <c r="F1666" t="s">
        <v>15</v>
      </c>
      <c r="G1666" t="s">
        <v>35</v>
      </c>
      <c r="H1666" t="s">
        <v>1152</v>
      </c>
      <c r="I1666" t="s">
        <v>1152</v>
      </c>
      <c r="J1666" t="s">
        <v>1153</v>
      </c>
      <c r="K1666">
        <v>3</v>
      </c>
      <c r="L1666">
        <v>0</v>
      </c>
      <c r="M1666">
        <v>0</v>
      </c>
      <c r="N1666">
        <v>1838</v>
      </c>
      <c r="O1666" t="e">
        <f>_xlfn.XLOOKUP(Table4[[#This Row],[id]],VALINA[id],VALINA[name])</f>
        <v>#N/A</v>
      </c>
      <c r="P1666">
        <f>_xlfn.XLOOKUP(Table4[[#This Row],[id]],prov_color!A:A,prov_color!C:C)</f>
        <v>9</v>
      </c>
    </row>
    <row r="1667" spans="1:16" hidden="1" x14ac:dyDescent="0.25">
      <c r="A1667">
        <v>1840</v>
      </c>
      <c r="B1667" t="s">
        <v>1151</v>
      </c>
      <c r="C1667" t="s">
        <v>1151</v>
      </c>
      <c r="D1667" t="s">
        <v>1151</v>
      </c>
      <c r="E1667" t="s">
        <v>34</v>
      </c>
      <c r="F1667" t="s">
        <v>15</v>
      </c>
      <c r="G1667" t="s">
        <v>35</v>
      </c>
      <c r="H1667" t="s">
        <v>1152</v>
      </c>
      <c r="I1667" t="s">
        <v>1152</v>
      </c>
      <c r="J1667" t="s">
        <v>1153</v>
      </c>
      <c r="K1667">
        <v>3</v>
      </c>
      <c r="L1667">
        <v>0</v>
      </c>
      <c r="M1667">
        <v>0</v>
      </c>
      <c r="N1667">
        <v>1840</v>
      </c>
      <c r="O1667" t="e">
        <f>_xlfn.XLOOKUP(Table4[[#This Row],[id]],VALINA[id],VALINA[name])</f>
        <v>#N/A</v>
      </c>
      <c r="P1667">
        <f>_xlfn.XLOOKUP(Table4[[#This Row],[id]],prov_color!A:A,prov_color!C:C)</f>
        <v>6</v>
      </c>
    </row>
    <row r="1668" spans="1:16" hidden="1" x14ac:dyDescent="0.25">
      <c r="A1668">
        <v>1841</v>
      </c>
      <c r="B1668" t="s">
        <v>1151</v>
      </c>
      <c r="C1668" t="s">
        <v>1151</v>
      </c>
      <c r="D1668" t="s">
        <v>1151</v>
      </c>
      <c r="E1668" t="s">
        <v>34</v>
      </c>
      <c r="F1668" t="s">
        <v>15</v>
      </c>
      <c r="G1668" t="s">
        <v>35</v>
      </c>
      <c r="H1668" t="s">
        <v>1152</v>
      </c>
      <c r="I1668" t="s">
        <v>1152</v>
      </c>
      <c r="J1668" t="s">
        <v>1153</v>
      </c>
      <c r="K1668">
        <v>3</v>
      </c>
      <c r="L1668">
        <v>0</v>
      </c>
      <c r="M1668">
        <v>0</v>
      </c>
      <c r="N1668">
        <v>1841</v>
      </c>
      <c r="O1668" t="e">
        <f>_xlfn.XLOOKUP(Table4[[#This Row],[id]],VALINA[id],VALINA[name])</f>
        <v>#N/A</v>
      </c>
      <c r="P1668">
        <f>_xlfn.XLOOKUP(Table4[[#This Row],[id]],prov_color!A:A,prov_color!C:C)</f>
        <v>66</v>
      </c>
    </row>
    <row r="1669" spans="1:16" hidden="1" x14ac:dyDescent="0.25">
      <c r="A1669">
        <v>1842</v>
      </c>
      <c r="B1669" t="s">
        <v>1151</v>
      </c>
      <c r="C1669" t="s">
        <v>1151</v>
      </c>
      <c r="D1669" t="s">
        <v>1151</v>
      </c>
      <c r="E1669" t="s">
        <v>34</v>
      </c>
      <c r="F1669" t="s">
        <v>15</v>
      </c>
      <c r="G1669" t="s">
        <v>35</v>
      </c>
      <c r="H1669" t="s">
        <v>1152</v>
      </c>
      <c r="I1669" t="s">
        <v>1152</v>
      </c>
      <c r="J1669" t="s">
        <v>1153</v>
      </c>
      <c r="K1669">
        <v>3</v>
      </c>
      <c r="L1669">
        <v>0</v>
      </c>
      <c r="M1669">
        <v>0</v>
      </c>
      <c r="N1669">
        <v>1842</v>
      </c>
      <c r="O1669" t="e">
        <f>_xlfn.XLOOKUP(Table4[[#This Row],[id]],VALINA[id],VALINA[name])</f>
        <v>#N/A</v>
      </c>
      <c r="P1669">
        <f>_xlfn.XLOOKUP(Table4[[#This Row],[id]],prov_color!A:A,prov_color!C:C)</f>
        <v>67</v>
      </c>
    </row>
    <row r="1670" spans="1:16" hidden="1" x14ac:dyDescent="0.25">
      <c r="A1670">
        <v>1843</v>
      </c>
      <c r="B1670" t="s">
        <v>1151</v>
      </c>
      <c r="C1670" t="s">
        <v>1151</v>
      </c>
      <c r="D1670" t="s">
        <v>1151</v>
      </c>
      <c r="E1670" t="s">
        <v>34</v>
      </c>
      <c r="F1670" t="s">
        <v>15</v>
      </c>
      <c r="G1670" t="s">
        <v>35</v>
      </c>
      <c r="H1670" t="s">
        <v>1152</v>
      </c>
      <c r="I1670" t="s">
        <v>1152</v>
      </c>
      <c r="J1670" t="s">
        <v>1153</v>
      </c>
      <c r="K1670">
        <v>3</v>
      </c>
      <c r="L1670">
        <v>0</v>
      </c>
      <c r="M1670">
        <v>0</v>
      </c>
      <c r="N1670">
        <v>1843</v>
      </c>
      <c r="O1670" t="e">
        <f>_xlfn.XLOOKUP(Table4[[#This Row],[id]],VALINA[id],VALINA[name])</f>
        <v>#N/A</v>
      </c>
      <c r="P1670">
        <f>_xlfn.XLOOKUP(Table4[[#This Row],[id]],prov_color!A:A,prov_color!C:C)</f>
        <v>65</v>
      </c>
    </row>
    <row r="1671" spans="1:16" hidden="1" x14ac:dyDescent="0.25">
      <c r="A1671">
        <v>1844</v>
      </c>
      <c r="B1671" t="s">
        <v>1151</v>
      </c>
      <c r="C1671" t="s">
        <v>1151</v>
      </c>
      <c r="D1671" t="s">
        <v>1151</v>
      </c>
      <c r="E1671" t="s">
        <v>34</v>
      </c>
      <c r="F1671" t="s">
        <v>15</v>
      </c>
      <c r="G1671" t="s">
        <v>35</v>
      </c>
      <c r="H1671" t="s">
        <v>1152</v>
      </c>
      <c r="I1671" t="s">
        <v>1152</v>
      </c>
      <c r="J1671" t="s">
        <v>1153</v>
      </c>
      <c r="K1671">
        <v>3</v>
      </c>
      <c r="L1671">
        <v>0</v>
      </c>
      <c r="M1671">
        <v>0</v>
      </c>
      <c r="N1671">
        <v>1844</v>
      </c>
      <c r="O1671" t="e">
        <f>_xlfn.XLOOKUP(Table4[[#This Row],[id]],VALINA[id],VALINA[name])</f>
        <v>#N/A</v>
      </c>
      <c r="P1671">
        <f>_xlfn.XLOOKUP(Table4[[#This Row],[id]],prov_color!A:A,prov_color!C:C)</f>
        <v>79</v>
      </c>
    </row>
    <row r="1672" spans="1:16" hidden="1" x14ac:dyDescent="0.25">
      <c r="A1672">
        <v>1845</v>
      </c>
      <c r="B1672" t="s">
        <v>1151</v>
      </c>
      <c r="C1672" t="s">
        <v>1151</v>
      </c>
      <c r="D1672" t="s">
        <v>1151</v>
      </c>
      <c r="E1672" t="s">
        <v>34</v>
      </c>
      <c r="F1672" t="s">
        <v>15</v>
      </c>
      <c r="G1672" t="s">
        <v>35</v>
      </c>
      <c r="H1672" t="s">
        <v>1152</v>
      </c>
      <c r="I1672" t="s">
        <v>1152</v>
      </c>
      <c r="J1672" t="s">
        <v>1153</v>
      </c>
      <c r="K1672">
        <v>3</v>
      </c>
      <c r="L1672">
        <v>0</v>
      </c>
      <c r="M1672">
        <v>0</v>
      </c>
      <c r="N1672">
        <v>1845</v>
      </c>
      <c r="O1672" t="e">
        <f>_xlfn.XLOOKUP(Table4[[#This Row],[id]],VALINA[id],VALINA[name])</f>
        <v>#N/A</v>
      </c>
      <c r="P1672">
        <f>_xlfn.XLOOKUP(Table4[[#This Row],[id]],prov_color!A:A,prov_color!C:C)</f>
        <v>71</v>
      </c>
    </row>
    <row r="1673" spans="1:16" hidden="1" x14ac:dyDescent="0.25">
      <c r="A1673">
        <v>2092</v>
      </c>
      <c r="E1673" t="s">
        <v>1316</v>
      </c>
      <c r="J1673" t="s">
        <v>6470</v>
      </c>
      <c r="K1673">
        <v>0</v>
      </c>
      <c r="N1673">
        <v>2092</v>
      </c>
      <c r="O1673" t="e">
        <f>_xlfn.XLOOKUP(Table4[[#This Row],[id]],VALINA[id],VALINA[name])</f>
        <v>#N/A</v>
      </c>
      <c r="P1673">
        <f>_xlfn.XLOOKUP(Table4[[#This Row],[id]],prov_color!A:A,prov_color!C:C)</f>
        <v>83</v>
      </c>
    </row>
    <row r="1674" spans="1:16" hidden="1" x14ac:dyDescent="0.25">
      <c r="A1674">
        <v>2303</v>
      </c>
      <c r="E1674" t="s">
        <v>1316</v>
      </c>
      <c r="J1674" t="s">
        <v>1525</v>
      </c>
      <c r="K1674">
        <v>0</v>
      </c>
      <c r="N1674">
        <v>2303</v>
      </c>
      <c r="O1674" t="e">
        <f>_xlfn.XLOOKUP(Table4[[#This Row],[id]],VALINA[id],VALINA[name])</f>
        <v>#N/A</v>
      </c>
      <c r="P1674">
        <f>_xlfn.XLOOKUP(Table4[[#This Row],[id]],prov_color!A:A,prov_color!C:C)</f>
        <v>45</v>
      </c>
    </row>
    <row r="1675" spans="1:16" hidden="1" x14ac:dyDescent="0.25">
      <c r="A1675">
        <v>2307</v>
      </c>
      <c r="E1675" t="s">
        <v>1316</v>
      </c>
      <c r="J1675" t="s">
        <v>1153</v>
      </c>
      <c r="K1675">
        <v>0</v>
      </c>
      <c r="N1675">
        <v>2307</v>
      </c>
      <c r="O1675" t="e">
        <f>_xlfn.XLOOKUP(Table4[[#This Row],[id]],VALINA[id],VALINA[name])</f>
        <v>#N/A</v>
      </c>
      <c r="P1675">
        <f>_xlfn.XLOOKUP(Table4[[#This Row],[id]],prov_color!A:A,prov_color!C:C)</f>
        <v>140</v>
      </c>
    </row>
    <row r="1676" spans="1:16" hidden="1" x14ac:dyDescent="0.25">
      <c r="A1676">
        <v>2431</v>
      </c>
      <c r="E1676" t="s">
        <v>1316</v>
      </c>
      <c r="J1676" t="s">
        <v>1153</v>
      </c>
      <c r="K1676">
        <v>0</v>
      </c>
      <c r="N1676">
        <v>2431</v>
      </c>
      <c r="O1676" t="e">
        <f>_xlfn.XLOOKUP(Table4[[#This Row],[id]],VALINA[id],VALINA[name])</f>
        <v>#N/A</v>
      </c>
      <c r="P1676">
        <f>_xlfn.XLOOKUP(Table4[[#This Row],[id]],prov_color!A:A,prov_color!C:C)</f>
        <v>35</v>
      </c>
    </row>
  </sheetData>
  <conditionalFormatting sqref="J1676">
    <cfRule type="duplicateValues" dxfId="3" priority="3"/>
  </conditionalFormatting>
  <conditionalFormatting sqref="J2:J1676">
    <cfRule type="duplicateValues" dxfId="1" priority="26"/>
  </conditionalFormatting>
  <conditionalFormatting sqref="A2:A1676">
    <cfRule type="duplicateValues" dxfId="0" priority="28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F111-0AD9-4338-94F4-900E786DED45}">
  <dimension ref="A1:Q1615"/>
  <sheetViews>
    <sheetView zoomScaleNormal="100" workbookViewId="0">
      <selection activeCell="P1472" sqref="P1472"/>
    </sheetView>
  </sheetViews>
  <sheetFormatPr defaultRowHeight="15" x14ac:dyDescent="0.25"/>
  <cols>
    <col min="1" max="1" width="5" bestFit="1" customWidth="1"/>
    <col min="2" max="2" width="11.85546875" customWidth="1"/>
    <col min="3" max="3" width="15.5703125" bestFit="1" customWidth="1"/>
    <col min="4" max="4" width="15.42578125" bestFit="1" customWidth="1"/>
    <col min="5" max="5" width="14.42578125" bestFit="1" customWidth="1"/>
    <col min="6" max="6" width="10.7109375" bestFit="1" customWidth="1"/>
    <col min="7" max="7" width="12.140625" bestFit="1" customWidth="1"/>
    <col min="8" max="9" width="14.42578125" bestFit="1" customWidth="1"/>
    <col min="10" max="10" width="27.85546875" bestFit="1" customWidth="1"/>
    <col min="11" max="11" width="23.140625" customWidth="1"/>
    <col min="12" max="12" width="9.85546875" customWidth="1"/>
    <col min="13" max="13" width="12.5703125" customWidth="1"/>
    <col min="14" max="14" width="15.28515625" customWidth="1"/>
    <col min="17" max="17" width="24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1607</v>
      </c>
      <c r="L1" t="s">
        <v>1608</v>
      </c>
      <c r="M1" t="s">
        <v>1609</v>
      </c>
      <c r="N1" t="s">
        <v>1610</v>
      </c>
      <c r="O1" t="s">
        <v>6478</v>
      </c>
      <c r="P1" t="s">
        <v>6479</v>
      </c>
      <c r="Q1" t="s">
        <v>6454</v>
      </c>
    </row>
    <row r="2" spans="1:17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9</v>
      </c>
      <c r="L2">
        <v>1</v>
      </c>
      <c r="M2">
        <v>1</v>
      </c>
      <c r="N2">
        <v>0</v>
      </c>
      <c r="O2">
        <f>_xlfn.XLOOKUP(VALINA[[#This Row],[id]],prov_color!A:A,prov_color!C:C)</f>
        <v>65</v>
      </c>
      <c r="P2" t="str">
        <f>_xlfn.XLOOKUP(VALINA[[#This Row],[id]],Table4[id],Table4[name])</f>
        <v>Yukon</v>
      </c>
      <c r="Q2" t="str">
        <f>_xlfn.XLOOKUP(VALINA[[#This Row],[name]],Trans!A:A,Trans!B:B)</f>
        <v>Yukon</v>
      </c>
    </row>
    <row r="3" spans="1:1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8</v>
      </c>
      <c r="L3">
        <v>1</v>
      </c>
      <c r="M3">
        <v>1</v>
      </c>
      <c r="N3">
        <v>0</v>
      </c>
      <c r="O3">
        <f>_xlfn.XLOOKUP(VALINA[[#This Row],[id]],prov_color!A:A,prov_color!C:C)</f>
        <v>23</v>
      </c>
      <c r="P3" t="str">
        <f>_xlfn.XLOOKUP(VALINA[[#This Row],[id]],Table4[id],Table4[name])</f>
        <v>Kitimat</v>
      </c>
      <c r="Q3" t="str">
        <f>_xlfn.XLOOKUP(VALINA[[#This Row],[name]],Trans!A:A,Trans!B:B)</f>
        <v>Kitimat</v>
      </c>
    </row>
    <row r="4" spans="1:17" x14ac:dyDescent="0.25">
      <c r="A4">
        <v>3</v>
      </c>
      <c r="B4" t="s">
        <v>11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23</v>
      </c>
      <c r="I4" t="s">
        <v>20</v>
      </c>
      <c r="J4" t="s">
        <v>24</v>
      </c>
      <c r="K4">
        <v>7</v>
      </c>
      <c r="L4">
        <v>1</v>
      </c>
      <c r="M4">
        <v>1</v>
      </c>
      <c r="N4">
        <v>0</v>
      </c>
      <c r="O4">
        <f>_xlfn.XLOOKUP(VALINA[[#This Row],[id]],prov_color!A:A,prov_color!C:C)</f>
        <v>76</v>
      </c>
      <c r="P4" t="str">
        <f>_xlfn.XLOOKUP(VALINA[[#This Row],[id]],Table4[id],Table4[name])</f>
        <v>Sitka</v>
      </c>
      <c r="Q4" t="str">
        <f>_xlfn.XLOOKUP(VALINA[[#This Row],[name]],Trans!A:A,Trans!B:B)</f>
        <v>Sitka</v>
      </c>
    </row>
    <row r="5" spans="1:17" x14ac:dyDescent="0.25">
      <c r="A5">
        <v>4</v>
      </c>
      <c r="B5" t="s">
        <v>11</v>
      </c>
      <c r="C5" t="s">
        <v>12</v>
      </c>
      <c r="D5" t="s">
        <v>25</v>
      </c>
      <c r="E5" t="s">
        <v>14</v>
      </c>
      <c r="F5" t="s">
        <v>15</v>
      </c>
      <c r="G5" t="s">
        <v>26</v>
      </c>
      <c r="H5" t="s">
        <v>23</v>
      </c>
      <c r="I5" t="s">
        <v>27</v>
      </c>
      <c r="J5" t="s">
        <v>28</v>
      </c>
      <c r="K5">
        <v>7</v>
      </c>
      <c r="L5">
        <v>2</v>
      </c>
      <c r="M5">
        <v>1</v>
      </c>
      <c r="N5">
        <v>0</v>
      </c>
      <c r="O5">
        <f>_xlfn.XLOOKUP(VALINA[[#This Row],[id]],prov_color!A:A,prov_color!C:C)</f>
        <v>52</v>
      </c>
      <c r="P5" t="str">
        <f>_xlfn.XLOOKUP(VALINA[[#This Row],[id]],Table4[id],Table4[name])</f>
        <v>Nanaimo</v>
      </c>
      <c r="Q5" t="str">
        <f>_xlfn.XLOOKUP(VALINA[[#This Row],[name]],Trans!A:A,Trans!B:B)</f>
        <v>Nanaimo</v>
      </c>
    </row>
    <row r="6" spans="1:17" x14ac:dyDescent="0.25">
      <c r="A6">
        <v>5</v>
      </c>
      <c r="B6" t="s">
        <v>11</v>
      </c>
      <c r="C6" t="s">
        <v>12</v>
      </c>
      <c r="D6" t="s">
        <v>25</v>
      </c>
      <c r="E6" t="s">
        <v>14</v>
      </c>
      <c r="F6" t="s">
        <v>15</v>
      </c>
      <c r="G6" t="s">
        <v>26</v>
      </c>
      <c r="H6" t="s">
        <v>23</v>
      </c>
      <c r="I6" t="s">
        <v>1612</v>
      </c>
      <c r="J6" t="s">
        <v>30</v>
      </c>
      <c r="K6">
        <v>6</v>
      </c>
      <c r="L6">
        <v>3</v>
      </c>
      <c r="M6">
        <v>1</v>
      </c>
      <c r="N6">
        <v>0</v>
      </c>
      <c r="O6">
        <f>_xlfn.XLOOKUP(VALINA[[#This Row],[id]],prov_color!A:A,prov_color!C:C)</f>
        <v>81</v>
      </c>
      <c r="P6" t="str">
        <f>_xlfn.XLOOKUP(VALINA[[#This Row],[id]],Table4[id],Table4[name])</f>
        <v>Olympia</v>
      </c>
      <c r="Q6" t="str">
        <f>_xlfn.XLOOKUP(VALINA[[#This Row],[name]],Trans!A:A,Trans!B:B)</f>
        <v>Olympia</v>
      </c>
    </row>
    <row r="7" spans="1:17" x14ac:dyDescent="0.25">
      <c r="A7">
        <v>6</v>
      </c>
      <c r="B7" t="s">
        <v>11</v>
      </c>
      <c r="C7" t="s">
        <v>12</v>
      </c>
      <c r="D7" t="s">
        <v>25</v>
      </c>
      <c r="E7" t="s">
        <v>22</v>
      </c>
      <c r="F7" t="s">
        <v>15</v>
      </c>
      <c r="G7" t="s">
        <v>26</v>
      </c>
      <c r="H7" t="s">
        <v>23</v>
      </c>
      <c r="I7" t="s">
        <v>20</v>
      </c>
      <c r="J7" t="s">
        <v>31</v>
      </c>
      <c r="K7">
        <v>4</v>
      </c>
      <c r="L7">
        <v>5</v>
      </c>
      <c r="M7">
        <v>1</v>
      </c>
      <c r="N7">
        <v>0</v>
      </c>
      <c r="O7">
        <f>_xlfn.XLOOKUP(VALINA[[#This Row],[id]],prov_color!A:A,prov_color!C:C)</f>
        <v>54</v>
      </c>
      <c r="P7" t="str">
        <f>_xlfn.XLOOKUP(VALINA[[#This Row],[id]],Table4[id],Table4[name])</f>
        <v>Columbia</v>
      </c>
      <c r="Q7" t="str">
        <f>_xlfn.XLOOKUP(VALINA[[#This Row],[name]],Trans!A:A,Trans!B:B)</f>
        <v>Columbia</v>
      </c>
    </row>
    <row r="8" spans="1:17" x14ac:dyDescent="0.25">
      <c r="A8">
        <v>7</v>
      </c>
      <c r="B8" t="s">
        <v>11</v>
      </c>
      <c r="C8" t="s">
        <v>12</v>
      </c>
      <c r="D8" t="s">
        <v>25</v>
      </c>
      <c r="E8" t="s">
        <v>22</v>
      </c>
      <c r="F8" t="s">
        <v>15</v>
      </c>
      <c r="G8" t="s">
        <v>26</v>
      </c>
      <c r="H8" t="s">
        <v>23</v>
      </c>
      <c r="I8" t="s">
        <v>20</v>
      </c>
      <c r="J8" t="s">
        <v>32</v>
      </c>
      <c r="K8">
        <v>5</v>
      </c>
      <c r="L8">
        <v>3</v>
      </c>
      <c r="M8">
        <v>1</v>
      </c>
      <c r="N8">
        <v>0</v>
      </c>
      <c r="O8">
        <f>_xlfn.XLOOKUP(VALINA[[#This Row],[id]],prov_color!A:A,prov_color!C:C)</f>
        <v>45</v>
      </c>
      <c r="P8" t="str">
        <f>_xlfn.XLOOKUP(VALINA[[#This Row],[id]],Table4[id],Table4[name])</f>
        <v>Nehalem</v>
      </c>
      <c r="Q8" t="str">
        <f>_xlfn.XLOOKUP(VALINA[[#This Row],[name]],Trans!A:A,Trans!B:B)</f>
        <v>Nehalem</v>
      </c>
    </row>
    <row r="9" spans="1:17" x14ac:dyDescent="0.25">
      <c r="A9">
        <v>8</v>
      </c>
      <c r="B9" t="s">
        <v>11</v>
      </c>
      <c r="C9" t="s">
        <v>12</v>
      </c>
      <c r="D9" t="s">
        <v>33</v>
      </c>
      <c r="E9" t="s">
        <v>34</v>
      </c>
      <c r="F9" t="s">
        <v>15</v>
      </c>
      <c r="G9" t="s">
        <v>35</v>
      </c>
      <c r="H9" t="s">
        <v>36</v>
      </c>
      <c r="I9" t="s">
        <v>37</v>
      </c>
      <c r="J9" t="s">
        <v>38</v>
      </c>
      <c r="K9">
        <v>2</v>
      </c>
      <c r="L9">
        <v>7</v>
      </c>
      <c r="M9">
        <v>2</v>
      </c>
      <c r="N9">
        <v>0</v>
      </c>
      <c r="O9">
        <f>_xlfn.XLOOKUP(VALINA[[#This Row],[id]],prov_color!A:A,prov_color!C:C)</f>
        <v>45</v>
      </c>
      <c r="P9" t="str">
        <f>_xlfn.XLOOKUP(VALINA[[#This Row],[id]],Table4[id],Table4[name])</f>
        <v>Sacramento</v>
      </c>
      <c r="Q9" t="str">
        <f>_xlfn.XLOOKUP(VALINA[[#This Row],[name]],Trans!A:A,Trans!B:B)</f>
        <v>Sacramento</v>
      </c>
    </row>
    <row r="10" spans="1:17" x14ac:dyDescent="0.25">
      <c r="A10">
        <v>9</v>
      </c>
      <c r="B10" t="s">
        <v>11</v>
      </c>
      <c r="C10" t="s">
        <v>12</v>
      </c>
      <c r="D10" t="s">
        <v>33</v>
      </c>
      <c r="E10" t="s">
        <v>14</v>
      </c>
      <c r="F10" t="s">
        <v>15</v>
      </c>
      <c r="G10" t="s">
        <v>35</v>
      </c>
      <c r="H10" t="s">
        <v>36</v>
      </c>
      <c r="I10" t="s">
        <v>18</v>
      </c>
      <c r="J10" t="s">
        <v>39</v>
      </c>
      <c r="K10">
        <v>4</v>
      </c>
      <c r="L10">
        <v>5</v>
      </c>
      <c r="M10">
        <v>1</v>
      </c>
      <c r="N10">
        <v>0</v>
      </c>
      <c r="O10">
        <f>_xlfn.XLOOKUP(VALINA[[#This Row],[id]],prov_color!A:A,prov_color!C:C)</f>
        <v>37</v>
      </c>
      <c r="P10" t="str">
        <f>_xlfn.XLOOKUP(VALINA[[#This Row],[id]],Table4[id],Table4[name])</f>
        <v>Monterey</v>
      </c>
      <c r="Q10" t="str">
        <f>_xlfn.XLOOKUP(VALINA[[#This Row],[name]],Trans!A:A,Trans!B:B)</f>
        <v>Monterey</v>
      </c>
    </row>
    <row r="11" spans="1:17" x14ac:dyDescent="0.25">
      <c r="A11">
        <v>10</v>
      </c>
      <c r="B11" t="s">
        <v>11</v>
      </c>
      <c r="C11" t="s">
        <v>12</v>
      </c>
      <c r="D11" t="s">
        <v>33</v>
      </c>
      <c r="E11" t="s">
        <v>14</v>
      </c>
      <c r="F11" t="s">
        <v>15</v>
      </c>
      <c r="G11" t="s">
        <v>35</v>
      </c>
      <c r="H11" t="s">
        <v>40</v>
      </c>
      <c r="I11" t="s">
        <v>41</v>
      </c>
      <c r="J11" t="s">
        <v>42</v>
      </c>
      <c r="K11">
        <v>4</v>
      </c>
      <c r="L11">
        <v>4</v>
      </c>
      <c r="M11">
        <v>1</v>
      </c>
      <c r="N11">
        <v>0</v>
      </c>
      <c r="O11">
        <f>_xlfn.XLOOKUP(VALINA[[#This Row],[id]],prov_color!A:A,prov_color!C:C)</f>
        <v>40</v>
      </c>
      <c r="P11" t="str">
        <f>_xlfn.XLOOKUP(VALINA[[#This Row],[id]],Table4[id],Table4[name])</f>
        <v>Sierra Madre</v>
      </c>
      <c r="Q11" t="str">
        <f>_xlfn.XLOOKUP(VALINA[[#This Row],[name]],Trans!A:A,Trans!B:B)</f>
        <v>Sierra Madre</v>
      </c>
    </row>
    <row r="12" spans="1:17" x14ac:dyDescent="0.25">
      <c r="A12">
        <v>11</v>
      </c>
      <c r="B12" t="s">
        <v>11</v>
      </c>
      <c r="C12" t="s">
        <v>12</v>
      </c>
      <c r="D12" t="s">
        <v>33</v>
      </c>
      <c r="E12" t="s">
        <v>34</v>
      </c>
      <c r="F12" t="s">
        <v>15</v>
      </c>
      <c r="G12" t="s">
        <v>35</v>
      </c>
      <c r="H12" t="s">
        <v>40</v>
      </c>
      <c r="I12" t="s">
        <v>43</v>
      </c>
      <c r="J12" t="s">
        <v>44</v>
      </c>
      <c r="K12">
        <v>3</v>
      </c>
      <c r="L12">
        <v>5</v>
      </c>
      <c r="M12">
        <v>2</v>
      </c>
      <c r="N12">
        <v>0</v>
      </c>
      <c r="O12">
        <f>_xlfn.XLOOKUP(VALINA[[#This Row],[id]],prov_color!A:A,prov_color!C:C)</f>
        <v>53</v>
      </c>
      <c r="P12" t="str">
        <f>_xlfn.XLOOKUP(VALINA[[#This Row],[id]],Table4[id],Table4[name])</f>
        <v>San Bernardino</v>
      </c>
      <c r="Q12" t="str">
        <f>_xlfn.XLOOKUP(VALINA[[#This Row],[name]],Trans!A:A,Trans!B:B)</f>
        <v>San Bernardino</v>
      </c>
    </row>
    <row r="13" spans="1:17" x14ac:dyDescent="0.25">
      <c r="A13">
        <v>12</v>
      </c>
      <c r="B13" t="s">
        <v>11</v>
      </c>
      <c r="C13" t="s">
        <v>45</v>
      </c>
      <c r="D13" t="s">
        <v>46</v>
      </c>
      <c r="E13" t="s">
        <v>14</v>
      </c>
      <c r="F13" t="s">
        <v>15</v>
      </c>
      <c r="G13" t="s">
        <v>47</v>
      </c>
      <c r="H13" t="s">
        <v>48</v>
      </c>
      <c r="I13" t="s">
        <v>27</v>
      </c>
      <c r="J13" t="s">
        <v>49</v>
      </c>
      <c r="K13">
        <v>8</v>
      </c>
      <c r="L13">
        <v>1</v>
      </c>
      <c r="M13">
        <v>1</v>
      </c>
      <c r="N13">
        <v>0</v>
      </c>
      <c r="O13">
        <f>_xlfn.XLOOKUP(VALINA[[#This Row],[id]],prov_color!A:A,prov_color!C:C)</f>
        <v>38</v>
      </c>
      <c r="P13" t="str">
        <f>_xlfn.XLOOKUP(VALINA[[#This Row],[id]],Table4[id],Table4[name])</f>
        <v>Ensenada</v>
      </c>
      <c r="Q13" t="str">
        <f>_xlfn.XLOOKUP(VALINA[[#This Row],[name]],Trans!A:A,Trans!B:B)</f>
        <v>Ensenada</v>
      </c>
    </row>
    <row r="14" spans="1:17" x14ac:dyDescent="0.25">
      <c r="A14">
        <v>13</v>
      </c>
      <c r="B14" t="s">
        <v>11</v>
      </c>
      <c r="C14" t="s">
        <v>45</v>
      </c>
      <c r="D14" t="s">
        <v>46</v>
      </c>
      <c r="E14" t="s">
        <v>14</v>
      </c>
      <c r="F14" t="s">
        <v>15</v>
      </c>
      <c r="G14" t="s">
        <v>47</v>
      </c>
      <c r="H14" t="s">
        <v>48</v>
      </c>
      <c r="I14" t="s">
        <v>27</v>
      </c>
      <c r="J14" t="s">
        <v>50</v>
      </c>
      <c r="K14">
        <v>8</v>
      </c>
      <c r="L14">
        <v>1</v>
      </c>
      <c r="M14">
        <v>1</v>
      </c>
      <c r="N14">
        <v>0</v>
      </c>
      <c r="O14">
        <f>_xlfn.XLOOKUP(VALINA[[#This Row],[id]],prov_color!A:A,prov_color!C:C)</f>
        <v>47</v>
      </c>
      <c r="P14" t="str">
        <f>_xlfn.XLOOKUP(VALINA[[#This Row],[id]],Table4[id],Table4[name])</f>
        <v>Baja</v>
      </c>
      <c r="Q14" t="str">
        <f>_xlfn.XLOOKUP(VALINA[[#This Row],[name]],Trans!A:A,Trans!B:B)</f>
        <v>Baja</v>
      </c>
    </row>
    <row r="15" spans="1:17" x14ac:dyDescent="0.25">
      <c r="A15">
        <v>14</v>
      </c>
      <c r="B15" t="s">
        <v>11</v>
      </c>
      <c r="C15" t="s">
        <v>12</v>
      </c>
      <c r="D15" t="s">
        <v>51</v>
      </c>
      <c r="E15" t="s">
        <v>52</v>
      </c>
      <c r="F15" t="s">
        <v>15</v>
      </c>
      <c r="G15" t="s">
        <v>47</v>
      </c>
      <c r="H15" t="s">
        <v>48</v>
      </c>
      <c r="I15" t="s">
        <v>53</v>
      </c>
      <c r="J15" t="s">
        <v>54</v>
      </c>
      <c r="K15">
        <v>9</v>
      </c>
      <c r="L15">
        <v>1</v>
      </c>
      <c r="M15">
        <v>1</v>
      </c>
      <c r="N15">
        <v>0</v>
      </c>
      <c r="O15">
        <f>_xlfn.XLOOKUP(VALINA[[#This Row],[id]],prov_color!A:A,prov_color!C:C)</f>
        <v>48</v>
      </c>
      <c r="P15" t="str">
        <f>_xlfn.XLOOKUP(VALINA[[#This Row],[id]],Table4[id],Table4[name])</f>
        <v>Salton</v>
      </c>
      <c r="Q15" t="str">
        <f>_xlfn.XLOOKUP(VALINA[[#This Row],[name]],Trans!A:A,Trans!B:B)</f>
        <v>Salton</v>
      </c>
    </row>
    <row r="16" spans="1:17" x14ac:dyDescent="0.25">
      <c r="A16">
        <v>15</v>
      </c>
      <c r="B16" t="s">
        <v>11</v>
      </c>
      <c r="C16" t="s">
        <v>45</v>
      </c>
      <c r="D16" t="s">
        <v>46</v>
      </c>
      <c r="E16" t="s">
        <v>52</v>
      </c>
      <c r="F16" t="s">
        <v>15</v>
      </c>
      <c r="G16" t="s">
        <v>47</v>
      </c>
      <c r="H16" t="s">
        <v>48</v>
      </c>
      <c r="I16" t="s">
        <v>41</v>
      </c>
      <c r="J16" t="s">
        <v>55</v>
      </c>
      <c r="K16">
        <v>9</v>
      </c>
      <c r="L16">
        <v>1</v>
      </c>
      <c r="M16">
        <v>1</v>
      </c>
      <c r="N16">
        <v>0</v>
      </c>
      <c r="O16">
        <f>_xlfn.XLOOKUP(VALINA[[#This Row],[id]],prov_color!A:A,prov_color!C:C)</f>
        <v>59</v>
      </c>
      <c r="P16" t="str">
        <f>_xlfn.XLOOKUP(VALINA[[#This Row],[id]],Table4[id],Table4[name])</f>
        <v>Altar</v>
      </c>
      <c r="Q16" t="str">
        <f>_xlfn.XLOOKUP(VALINA[[#This Row],[name]],Trans!A:A,Trans!B:B)</f>
        <v>Altar</v>
      </c>
    </row>
    <row r="17" spans="1:17" x14ac:dyDescent="0.25">
      <c r="A17">
        <v>16</v>
      </c>
      <c r="B17" t="s">
        <v>11</v>
      </c>
      <c r="C17" t="s">
        <v>12</v>
      </c>
      <c r="D17" t="s">
        <v>51</v>
      </c>
      <c r="E17" t="s">
        <v>52</v>
      </c>
      <c r="F17" t="s">
        <v>15</v>
      </c>
      <c r="G17" t="s">
        <v>47</v>
      </c>
      <c r="H17" t="s">
        <v>48</v>
      </c>
      <c r="I17" t="s">
        <v>41</v>
      </c>
      <c r="J17" t="s">
        <v>56</v>
      </c>
      <c r="K17">
        <v>9</v>
      </c>
      <c r="L17">
        <v>1</v>
      </c>
      <c r="M17">
        <v>1</v>
      </c>
      <c r="N17">
        <v>0</v>
      </c>
      <c r="O17">
        <f>_xlfn.XLOOKUP(VALINA[[#This Row],[id]],prov_color!A:A,prov_color!C:C)</f>
        <v>49</v>
      </c>
      <c r="P17" t="str">
        <f>_xlfn.XLOOKUP(VALINA[[#This Row],[id]],Table4[id],Table4[name])</f>
        <v>Canyon</v>
      </c>
      <c r="Q17" t="str">
        <f>_xlfn.XLOOKUP(VALINA[[#This Row],[name]],Trans!A:A,Trans!B:B)</f>
        <v>Canyon</v>
      </c>
    </row>
    <row r="18" spans="1:17" x14ac:dyDescent="0.25">
      <c r="A18">
        <v>17</v>
      </c>
      <c r="B18" t="s">
        <v>11</v>
      </c>
      <c r="C18" t="s">
        <v>45</v>
      </c>
      <c r="D18" t="s">
        <v>46</v>
      </c>
      <c r="E18" t="s">
        <v>52</v>
      </c>
      <c r="F18" t="s">
        <v>15</v>
      </c>
      <c r="G18" t="s">
        <v>47</v>
      </c>
      <c r="H18" t="s">
        <v>57</v>
      </c>
      <c r="I18" t="s">
        <v>41</v>
      </c>
      <c r="J18" t="s">
        <v>58</v>
      </c>
      <c r="K18">
        <v>9</v>
      </c>
      <c r="L18">
        <v>1</v>
      </c>
      <c r="M18">
        <v>1</v>
      </c>
      <c r="N18">
        <v>0</v>
      </c>
      <c r="O18">
        <f>_xlfn.XLOOKUP(VALINA[[#This Row],[id]],prov_color!A:A,prov_color!C:C)</f>
        <v>55</v>
      </c>
      <c r="P18" t="str">
        <f>_xlfn.XLOOKUP(VALINA[[#This Row],[id]],Table4[id],Table4[name])</f>
        <v>Empalme</v>
      </c>
      <c r="Q18" t="str">
        <f>_xlfn.XLOOKUP(VALINA[[#This Row],[name]],Trans!A:A,Trans!B:B)</f>
        <v>Empalme</v>
      </c>
    </row>
    <row r="19" spans="1:17" x14ac:dyDescent="0.25">
      <c r="A19">
        <v>18</v>
      </c>
      <c r="B19" t="s">
        <v>11</v>
      </c>
      <c r="C19" t="s">
        <v>12</v>
      </c>
      <c r="D19" t="s">
        <v>51</v>
      </c>
      <c r="E19" t="s">
        <v>14</v>
      </c>
      <c r="F19" t="s">
        <v>15</v>
      </c>
      <c r="G19" t="s">
        <v>47</v>
      </c>
      <c r="H19" t="s">
        <v>59</v>
      </c>
      <c r="I19" t="s">
        <v>41</v>
      </c>
      <c r="J19" t="s">
        <v>60</v>
      </c>
      <c r="K19">
        <v>9</v>
      </c>
      <c r="L19">
        <v>1</v>
      </c>
      <c r="M19">
        <v>1</v>
      </c>
      <c r="N19">
        <v>0</v>
      </c>
      <c r="O19">
        <f>_xlfn.XLOOKUP(VALINA[[#This Row],[id]],prov_color!A:A,prov_color!C:C)</f>
        <v>51</v>
      </c>
      <c r="P19" t="str">
        <f>_xlfn.XLOOKUP(VALINA[[#This Row],[id]],Table4[id],Table4[name])</f>
        <v>Arizona</v>
      </c>
      <c r="Q19" t="str">
        <f>_xlfn.XLOOKUP(VALINA[[#This Row],[name]],Trans!A:A,Trans!B:B)</f>
        <v>Arizona</v>
      </c>
    </row>
    <row r="20" spans="1:17" x14ac:dyDescent="0.25">
      <c r="A20">
        <v>19</v>
      </c>
      <c r="B20" t="s">
        <v>11</v>
      </c>
      <c r="C20" t="s">
        <v>12</v>
      </c>
      <c r="D20" t="s">
        <v>51</v>
      </c>
      <c r="E20" t="s">
        <v>14</v>
      </c>
      <c r="F20" t="s">
        <v>15</v>
      </c>
      <c r="G20" t="s">
        <v>35</v>
      </c>
      <c r="H20" t="s">
        <v>59</v>
      </c>
      <c r="I20" t="s">
        <v>41</v>
      </c>
      <c r="J20" t="s">
        <v>61</v>
      </c>
      <c r="K20">
        <v>8</v>
      </c>
      <c r="L20">
        <v>1</v>
      </c>
      <c r="M20">
        <v>1</v>
      </c>
      <c r="N20">
        <v>0</v>
      </c>
      <c r="O20">
        <f>_xlfn.XLOOKUP(VALINA[[#This Row],[id]],prov_color!A:A,prov_color!C:C)</f>
        <v>47</v>
      </c>
      <c r="P20" t="str">
        <f>_xlfn.XLOOKUP(VALINA[[#This Row],[id]],Table4[id],Table4[name])</f>
        <v>Pinalero</v>
      </c>
      <c r="Q20" t="str">
        <f>_xlfn.XLOOKUP(VALINA[[#This Row],[name]],Trans!A:A,Trans!B:B)</f>
        <v>Pinalero</v>
      </c>
    </row>
    <row r="21" spans="1:17" x14ac:dyDescent="0.25">
      <c r="A21">
        <v>20</v>
      </c>
      <c r="B21" t="s">
        <v>11</v>
      </c>
      <c r="C21" t="s">
        <v>45</v>
      </c>
      <c r="D21" t="s">
        <v>46</v>
      </c>
      <c r="E21" t="s">
        <v>52</v>
      </c>
      <c r="F21" t="s">
        <v>15</v>
      </c>
      <c r="G21" t="s">
        <v>47</v>
      </c>
      <c r="H21" t="s">
        <v>57</v>
      </c>
      <c r="I21" t="s">
        <v>41</v>
      </c>
      <c r="J21" t="s">
        <v>62</v>
      </c>
      <c r="K21">
        <v>7</v>
      </c>
      <c r="L21">
        <v>1</v>
      </c>
      <c r="M21">
        <v>1</v>
      </c>
      <c r="N21">
        <v>0</v>
      </c>
      <c r="O21">
        <f>_xlfn.XLOOKUP(VALINA[[#This Row],[id]],prov_color!A:A,prov_color!C:C)</f>
        <v>77</v>
      </c>
      <c r="P21" t="str">
        <f>_xlfn.XLOOKUP(VALINA[[#This Row],[id]],Table4[id],Table4[name])</f>
        <v>Chihuahua</v>
      </c>
      <c r="Q21" t="str">
        <f>_xlfn.XLOOKUP(VALINA[[#This Row],[name]],Trans!A:A,Trans!B:B)</f>
        <v>Chihuahua</v>
      </c>
    </row>
    <row r="22" spans="1:17" x14ac:dyDescent="0.25">
      <c r="A22">
        <v>21</v>
      </c>
      <c r="B22" t="s">
        <v>11</v>
      </c>
      <c r="C22" t="s">
        <v>45</v>
      </c>
      <c r="D22" t="s">
        <v>46</v>
      </c>
      <c r="E22" t="s">
        <v>14</v>
      </c>
      <c r="F22" t="s">
        <v>15</v>
      </c>
      <c r="G22" t="s">
        <v>47</v>
      </c>
      <c r="H22" t="s">
        <v>57</v>
      </c>
      <c r="I22" t="s">
        <v>43</v>
      </c>
      <c r="J22" t="s">
        <v>63</v>
      </c>
      <c r="K22">
        <v>7</v>
      </c>
      <c r="L22">
        <v>1</v>
      </c>
      <c r="M22">
        <v>1</v>
      </c>
      <c r="N22">
        <v>0</v>
      </c>
      <c r="O22">
        <f>_xlfn.XLOOKUP(VALINA[[#This Row],[id]],prov_color!A:A,prov_color!C:C)</f>
        <v>63</v>
      </c>
      <c r="P22" t="str">
        <f>_xlfn.XLOOKUP(VALINA[[#This Row],[id]],Table4[id],Table4[name])</f>
        <v>Mazatlan</v>
      </c>
      <c r="Q22" t="str">
        <f>_xlfn.XLOOKUP(VALINA[[#This Row],[name]],Trans!A:A,Trans!B:B)</f>
        <v>Mazatlan</v>
      </c>
    </row>
    <row r="23" spans="1:17" x14ac:dyDescent="0.25">
      <c r="A23">
        <v>22</v>
      </c>
      <c r="B23" t="s">
        <v>11</v>
      </c>
      <c r="C23" t="s">
        <v>12</v>
      </c>
      <c r="D23" t="s">
        <v>64</v>
      </c>
      <c r="E23" t="s">
        <v>34</v>
      </c>
      <c r="F23" t="s">
        <v>15</v>
      </c>
      <c r="G23" t="s">
        <v>35</v>
      </c>
      <c r="H23" t="s">
        <v>59</v>
      </c>
      <c r="I23" t="s">
        <v>41</v>
      </c>
      <c r="J23" t="s">
        <v>65</v>
      </c>
      <c r="K23">
        <v>7</v>
      </c>
      <c r="L23">
        <v>2</v>
      </c>
      <c r="M23">
        <v>1</v>
      </c>
      <c r="N23">
        <v>0</v>
      </c>
      <c r="O23">
        <f>_xlfn.XLOOKUP(VALINA[[#This Row],[id]],prov_color!A:A,prov_color!C:C)</f>
        <v>46</v>
      </c>
      <c r="P23" t="str">
        <f>_xlfn.XLOOKUP(VALINA[[#This Row],[id]],Table4[id],Table4[name])</f>
        <v>El Paso</v>
      </c>
      <c r="Q23" t="str">
        <f>_xlfn.XLOOKUP(VALINA[[#This Row],[name]],Trans!A:A,Trans!B:B)</f>
        <v>El Paso</v>
      </c>
    </row>
    <row r="24" spans="1:17" x14ac:dyDescent="0.25">
      <c r="A24">
        <v>23</v>
      </c>
      <c r="B24" t="s">
        <v>11</v>
      </c>
      <c r="C24" t="s">
        <v>45</v>
      </c>
      <c r="D24" t="s">
        <v>46</v>
      </c>
      <c r="E24" t="s">
        <v>52</v>
      </c>
      <c r="F24" t="s">
        <v>15</v>
      </c>
      <c r="G24" t="s">
        <v>47</v>
      </c>
      <c r="H24" t="s">
        <v>57</v>
      </c>
      <c r="I24" t="s">
        <v>41</v>
      </c>
      <c r="J24" t="s">
        <v>66</v>
      </c>
      <c r="K24">
        <v>7</v>
      </c>
      <c r="L24">
        <v>1</v>
      </c>
      <c r="M24">
        <v>1</v>
      </c>
      <c r="N24">
        <v>0</v>
      </c>
      <c r="O24">
        <f>_xlfn.XLOOKUP(VALINA[[#This Row],[id]],prov_color!A:A,prov_color!C:C)</f>
        <v>81</v>
      </c>
      <c r="P24" t="str">
        <f>_xlfn.XLOOKUP(VALINA[[#This Row],[id]],Table4[id],Table4[name])</f>
        <v>Coahuilha</v>
      </c>
      <c r="Q24" t="str">
        <f>_xlfn.XLOOKUP(VALINA[[#This Row],[name]],Trans!A:A,Trans!B:B)</f>
        <v>Coahuilha</v>
      </c>
    </row>
    <row r="25" spans="1:17" x14ac:dyDescent="0.25">
      <c r="A25">
        <v>24</v>
      </c>
      <c r="B25" t="s">
        <v>11</v>
      </c>
      <c r="C25" t="s">
        <v>45</v>
      </c>
      <c r="D25" t="s">
        <v>67</v>
      </c>
      <c r="E25" t="s">
        <v>14</v>
      </c>
      <c r="F25" t="s">
        <v>15</v>
      </c>
      <c r="G25" t="s">
        <v>35</v>
      </c>
      <c r="H25" t="s">
        <v>68</v>
      </c>
      <c r="I25" t="s">
        <v>18</v>
      </c>
      <c r="J25" t="s">
        <v>69</v>
      </c>
      <c r="K25">
        <v>3</v>
      </c>
      <c r="L25">
        <v>5</v>
      </c>
      <c r="M25">
        <v>1</v>
      </c>
      <c r="N25">
        <v>0</v>
      </c>
      <c r="O25">
        <f>_xlfn.XLOOKUP(VALINA[[#This Row],[id]],prov_color!A:A,prov_color!C:C)</f>
        <v>58</v>
      </c>
      <c r="P25" t="str">
        <f>_xlfn.XLOOKUP(VALINA[[#This Row],[id]],Table4[id],Table4[name])</f>
        <v>Jalisco</v>
      </c>
      <c r="Q25" t="str">
        <f>_xlfn.XLOOKUP(VALINA[[#This Row],[name]],Trans!A:A,Trans!B:B)</f>
        <v>Jalisco</v>
      </c>
    </row>
    <row r="26" spans="1:17" x14ac:dyDescent="0.25">
      <c r="A26">
        <v>25</v>
      </c>
      <c r="B26" t="s">
        <v>11</v>
      </c>
      <c r="C26" t="s">
        <v>45</v>
      </c>
      <c r="D26" t="s">
        <v>67</v>
      </c>
      <c r="E26" t="s">
        <v>34</v>
      </c>
      <c r="F26" t="s">
        <v>15</v>
      </c>
      <c r="G26" t="s">
        <v>35</v>
      </c>
      <c r="H26" t="s">
        <v>68</v>
      </c>
      <c r="I26" t="s">
        <v>18</v>
      </c>
      <c r="J26" t="s">
        <v>70</v>
      </c>
      <c r="K26">
        <v>6</v>
      </c>
      <c r="L26">
        <v>2</v>
      </c>
      <c r="M26">
        <v>1</v>
      </c>
      <c r="N26">
        <v>0</v>
      </c>
      <c r="O26">
        <f>_xlfn.XLOOKUP(VALINA[[#This Row],[id]],prov_color!A:A,prov_color!C:C)</f>
        <v>64</v>
      </c>
      <c r="P26" t="str">
        <f>_xlfn.XLOOKUP(VALINA[[#This Row],[id]],Table4[id],Table4[name])</f>
        <v>Saltillo</v>
      </c>
      <c r="Q26" t="str">
        <f>_xlfn.XLOOKUP(VALINA[[#This Row],[name]],Trans!A:A,Trans!B:B)</f>
        <v>Saltillo</v>
      </c>
    </row>
    <row r="27" spans="1:17" x14ac:dyDescent="0.25">
      <c r="A27">
        <v>26</v>
      </c>
      <c r="B27" t="s">
        <v>11</v>
      </c>
      <c r="C27" t="s">
        <v>45</v>
      </c>
      <c r="D27" t="s">
        <v>67</v>
      </c>
      <c r="E27" t="s">
        <v>14</v>
      </c>
      <c r="F27" t="s">
        <v>15</v>
      </c>
      <c r="G27" t="s">
        <v>35</v>
      </c>
      <c r="H27" t="s">
        <v>68</v>
      </c>
      <c r="I27" t="s">
        <v>18</v>
      </c>
      <c r="J27" t="s">
        <v>71</v>
      </c>
      <c r="K27">
        <v>3</v>
      </c>
      <c r="L27">
        <v>7</v>
      </c>
      <c r="M27">
        <v>3</v>
      </c>
      <c r="N27">
        <v>0</v>
      </c>
      <c r="O27">
        <f>_xlfn.XLOOKUP(VALINA[[#This Row],[id]],prov_color!A:A,prov_color!C:C)</f>
        <v>61</v>
      </c>
      <c r="P27" t="str">
        <f>_xlfn.XLOOKUP(VALINA[[#This Row],[id]],Table4[id],Table4[name])</f>
        <v>Michoagan</v>
      </c>
      <c r="Q27" t="str">
        <f>_xlfn.XLOOKUP(VALINA[[#This Row],[name]],Trans!A:A,Trans!B:B)</f>
        <v>Michoagan</v>
      </c>
    </row>
    <row r="28" spans="1:17" x14ac:dyDescent="0.25">
      <c r="A28">
        <v>27</v>
      </c>
      <c r="B28" t="s">
        <v>11</v>
      </c>
      <c r="C28" t="s">
        <v>45</v>
      </c>
      <c r="D28" t="s">
        <v>67</v>
      </c>
      <c r="E28" t="s">
        <v>14</v>
      </c>
      <c r="F28" t="s">
        <v>15</v>
      </c>
      <c r="G28" t="s">
        <v>35</v>
      </c>
      <c r="H28" t="s">
        <v>68</v>
      </c>
      <c r="I28" t="s">
        <v>18</v>
      </c>
      <c r="J28" t="s">
        <v>72</v>
      </c>
      <c r="K28">
        <v>3</v>
      </c>
      <c r="L28">
        <v>8</v>
      </c>
      <c r="M28">
        <v>3</v>
      </c>
      <c r="N28">
        <v>0</v>
      </c>
      <c r="O28">
        <f>_xlfn.XLOOKUP(VALINA[[#This Row],[id]],prov_color!A:A,prov_color!C:C)</f>
        <v>54</v>
      </c>
      <c r="P28" t="str">
        <f>_xlfn.XLOOKUP(VALINA[[#This Row],[id]],Table4[id],Table4[name])</f>
        <v>Tenochtitlan</v>
      </c>
      <c r="Q28" t="str">
        <f>_xlfn.XLOOKUP(VALINA[[#This Row],[name]],Trans!A:A,Trans!B:B)</f>
        <v>Tenochtitlan</v>
      </c>
    </row>
    <row r="29" spans="1:17" x14ac:dyDescent="0.25">
      <c r="A29">
        <v>28</v>
      </c>
      <c r="B29" t="s">
        <v>11</v>
      </c>
      <c r="C29" t="s">
        <v>45</v>
      </c>
      <c r="D29" t="s">
        <v>67</v>
      </c>
      <c r="E29" t="s">
        <v>34</v>
      </c>
      <c r="F29" t="s">
        <v>15</v>
      </c>
      <c r="G29" t="s">
        <v>35</v>
      </c>
      <c r="H29" t="s">
        <v>68</v>
      </c>
      <c r="I29" t="s">
        <v>73</v>
      </c>
      <c r="J29" t="s">
        <v>74</v>
      </c>
      <c r="K29">
        <v>6</v>
      </c>
      <c r="L29">
        <v>3</v>
      </c>
      <c r="M29">
        <v>2</v>
      </c>
      <c r="N29">
        <v>0</v>
      </c>
      <c r="O29">
        <f>_xlfn.XLOOKUP(VALINA[[#This Row],[id]],prov_color!A:A,prov_color!C:C)</f>
        <v>48</v>
      </c>
      <c r="P29" t="str">
        <f>_xlfn.XLOOKUP(VALINA[[#This Row],[id]],Table4[id],Table4[name])</f>
        <v>Tampico</v>
      </c>
      <c r="Q29" t="str">
        <f>_xlfn.XLOOKUP(VALINA[[#This Row],[name]],Trans!A:A,Trans!B:B)</f>
        <v>Tampico</v>
      </c>
    </row>
    <row r="30" spans="1:17" x14ac:dyDescent="0.25">
      <c r="A30">
        <v>29</v>
      </c>
      <c r="B30" t="s">
        <v>11</v>
      </c>
      <c r="C30" t="s">
        <v>45</v>
      </c>
      <c r="D30" t="s">
        <v>67</v>
      </c>
      <c r="E30" t="s">
        <v>34</v>
      </c>
      <c r="F30" t="s">
        <v>15</v>
      </c>
      <c r="G30" t="s">
        <v>75</v>
      </c>
      <c r="H30" t="s">
        <v>76</v>
      </c>
      <c r="I30" t="s">
        <v>73</v>
      </c>
      <c r="J30" t="s">
        <v>77</v>
      </c>
      <c r="K30">
        <v>4</v>
      </c>
      <c r="L30">
        <v>5</v>
      </c>
      <c r="M30">
        <v>2</v>
      </c>
      <c r="N30">
        <v>0</v>
      </c>
      <c r="O30">
        <f>_xlfn.XLOOKUP(VALINA[[#This Row],[id]],prov_color!A:A,prov_color!C:C)</f>
        <v>57</v>
      </c>
      <c r="P30" t="str">
        <f>_xlfn.XLOOKUP(VALINA[[#This Row],[id]],Table4[id],Table4[name])</f>
        <v>Tlaxcala</v>
      </c>
      <c r="Q30" t="str">
        <f>_xlfn.XLOOKUP(VALINA[[#This Row],[name]],Trans!A:A,Trans!B:B)</f>
        <v>Tlaxcala</v>
      </c>
    </row>
    <row r="31" spans="1:17" x14ac:dyDescent="0.25">
      <c r="A31">
        <v>30</v>
      </c>
      <c r="B31" t="s">
        <v>11</v>
      </c>
      <c r="C31" t="s">
        <v>45</v>
      </c>
      <c r="D31" t="s">
        <v>67</v>
      </c>
      <c r="E31" t="s">
        <v>34</v>
      </c>
      <c r="F31" t="s">
        <v>15</v>
      </c>
      <c r="G31" t="s">
        <v>75</v>
      </c>
      <c r="H31" t="s">
        <v>76</v>
      </c>
      <c r="I31" t="s">
        <v>27</v>
      </c>
      <c r="J31" t="s">
        <v>78</v>
      </c>
      <c r="K31">
        <v>4</v>
      </c>
      <c r="L31">
        <v>5</v>
      </c>
      <c r="M31">
        <v>1</v>
      </c>
      <c r="N31">
        <v>0</v>
      </c>
      <c r="O31">
        <f>_xlfn.XLOOKUP(VALINA[[#This Row],[id]],prov_color!A:A,prov_color!C:C)</f>
        <v>53</v>
      </c>
      <c r="P31" t="str">
        <f>_xlfn.XLOOKUP(VALINA[[#This Row],[id]],Table4[id],Table4[name])</f>
        <v>Atlixco</v>
      </c>
      <c r="Q31" t="str">
        <f>_xlfn.XLOOKUP(VALINA[[#This Row],[name]],Trans!A:A,Trans!B:B)</f>
        <v>Atlixco</v>
      </c>
    </row>
    <row r="32" spans="1:17" x14ac:dyDescent="0.25">
      <c r="A32">
        <v>31</v>
      </c>
      <c r="B32" t="s">
        <v>11</v>
      </c>
      <c r="C32" t="s">
        <v>45</v>
      </c>
      <c r="D32" t="s">
        <v>67</v>
      </c>
      <c r="E32" t="s">
        <v>14</v>
      </c>
      <c r="F32" t="s">
        <v>15</v>
      </c>
      <c r="G32" t="s">
        <v>75</v>
      </c>
      <c r="H32" t="s">
        <v>76</v>
      </c>
      <c r="I32" t="s">
        <v>43</v>
      </c>
      <c r="J32" t="s">
        <v>79</v>
      </c>
      <c r="K32">
        <v>3</v>
      </c>
      <c r="L32">
        <v>3</v>
      </c>
      <c r="M32">
        <v>1</v>
      </c>
      <c r="N32">
        <v>0</v>
      </c>
      <c r="O32">
        <f>_xlfn.XLOOKUP(VALINA[[#This Row],[id]],prov_color!A:A,prov_color!C:C)</f>
        <v>35</v>
      </c>
      <c r="P32" t="str">
        <f>_xlfn.XLOOKUP(VALINA[[#This Row],[id]],Table4[id],Table4[name])</f>
        <v>Tehuantepec</v>
      </c>
      <c r="Q32" t="str">
        <f>_xlfn.XLOOKUP(VALINA[[#This Row],[name]],Trans!A:A,Trans!B:B)</f>
        <v>Tehuantepec</v>
      </c>
    </row>
    <row r="33" spans="1:17" x14ac:dyDescent="0.25">
      <c r="A33">
        <v>32</v>
      </c>
      <c r="B33" t="s">
        <v>11</v>
      </c>
      <c r="C33" t="s">
        <v>45</v>
      </c>
      <c r="D33" t="s">
        <v>67</v>
      </c>
      <c r="E33" t="s">
        <v>80</v>
      </c>
      <c r="F33" t="s">
        <v>15</v>
      </c>
      <c r="G33" t="s">
        <v>75</v>
      </c>
      <c r="H33" t="s">
        <v>81</v>
      </c>
      <c r="I33" t="s">
        <v>73</v>
      </c>
      <c r="J33" t="s">
        <v>82</v>
      </c>
      <c r="K33">
        <v>5</v>
      </c>
      <c r="L33">
        <v>5</v>
      </c>
      <c r="M33">
        <v>1</v>
      </c>
      <c r="N33">
        <v>0</v>
      </c>
      <c r="O33">
        <f>_xlfn.XLOOKUP(VALINA[[#This Row],[id]],prov_color!A:A,prov_color!C:C)</f>
        <v>39</v>
      </c>
      <c r="P33" t="str">
        <f>_xlfn.XLOOKUP(VALINA[[#This Row],[id]],Table4[id],Table4[name])</f>
        <v>Tehuacan</v>
      </c>
      <c r="Q33" t="str">
        <f>_xlfn.XLOOKUP(VALINA[[#This Row],[name]],Trans!A:A,Trans!B:B)</f>
        <v>Tehuacan</v>
      </c>
    </row>
    <row r="34" spans="1:17" x14ac:dyDescent="0.25">
      <c r="A34">
        <v>33</v>
      </c>
      <c r="B34" t="s">
        <v>11</v>
      </c>
      <c r="C34" t="s">
        <v>45</v>
      </c>
      <c r="D34" t="s">
        <v>83</v>
      </c>
      <c r="E34" t="s">
        <v>14</v>
      </c>
      <c r="F34" t="s">
        <v>15</v>
      </c>
      <c r="G34" t="s">
        <v>75</v>
      </c>
      <c r="H34" t="s">
        <v>81</v>
      </c>
      <c r="I34" t="s">
        <v>84</v>
      </c>
      <c r="J34" t="s">
        <v>85</v>
      </c>
      <c r="K34">
        <v>4</v>
      </c>
      <c r="L34">
        <v>3</v>
      </c>
      <c r="M34">
        <v>1</v>
      </c>
      <c r="N34">
        <v>0</v>
      </c>
      <c r="O34">
        <f>_xlfn.XLOOKUP(VALINA[[#This Row],[id]],prov_color!A:A,prov_color!C:C)</f>
        <v>43</v>
      </c>
      <c r="P34" t="str">
        <f>_xlfn.XLOOKUP(VALINA[[#This Row],[id]],Table4[id],Table4[name])</f>
        <v>Guatemala</v>
      </c>
      <c r="Q34" t="str">
        <f>_xlfn.XLOOKUP(VALINA[[#This Row],[name]],Trans!A:A,Trans!B:B)</f>
        <v>Guatemala</v>
      </c>
    </row>
    <row r="35" spans="1:17" x14ac:dyDescent="0.25">
      <c r="A35">
        <v>34</v>
      </c>
      <c r="B35" t="s">
        <v>11</v>
      </c>
      <c r="C35" t="s">
        <v>45</v>
      </c>
      <c r="D35" t="s">
        <v>83</v>
      </c>
      <c r="E35" t="s">
        <v>80</v>
      </c>
      <c r="F35" t="s">
        <v>15</v>
      </c>
      <c r="G35" t="s">
        <v>75</v>
      </c>
      <c r="H35" t="s">
        <v>81</v>
      </c>
      <c r="I35" t="s">
        <v>73</v>
      </c>
      <c r="J35" t="s">
        <v>86</v>
      </c>
      <c r="K35">
        <v>6</v>
      </c>
      <c r="L35">
        <v>4</v>
      </c>
      <c r="M35">
        <v>1</v>
      </c>
      <c r="N35">
        <v>0</v>
      </c>
      <c r="O35">
        <f>_xlfn.XLOOKUP(VALINA[[#This Row],[id]],prov_color!A:A,prov_color!C:C)</f>
        <v>44</v>
      </c>
      <c r="P35" t="str">
        <f>_xlfn.XLOOKUP(VALINA[[#This Row],[id]],Table4[id],Table4[name])</f>
        <v>Campeche</v>
      </c>
      <c r="Q35" t="str">
        <f>_xlfn.XLOOKUP(VALINA[[#This Row],[name]],Trans!A:A,Trans!B:B)</f>
        <v>Campeche</v>
      </c>
    </row>
    <row r="36" spans="1:17" x14ac:dyDescent="0.25">
      <c r="A36">
        <v>35</v>
      </c>
      <c r="B36" t="s">
        <v>11</v>
      </c>
      <c r="C36" t="s">
        <v>45</v>
      </c>
      <c r="D36" t="s">
        <v>83</v>
      </c>
      <c r="E36" t="s">
        <v>22</v>
      </c>
      <c r="F36" t="s">
        <v>15</v>
      </c>
      <c r="G36" t="s">
        <v>75</v>
      </c>
      <c r="H36" t="s">
        <v>81</v>
      </c>
      <c r="I36" t="s">
        <v>27</v>
      </c>
      <c r="J36" t="s">
        <v>87</v>
      </c>
      <c r="K36">
        <v>7</v>
      </c>
      <c r="L36">
        <v>2</v>
      </c>
      <c r="M36">
        <v>1</v>
      </c>
      <c r="N36">
        <v>0</v>
      </c>
      <c r="O36">
        <f>_xlfn.XLOOKUP(VALINA[[#This Row],[id]],prov_color!A:A,prov_color!C:C)</f>
        <v>39</v>
      </c>
      <c r="P36" t="str">
        <f>_xlfn.XLOOKUP(VALINA[[#This Row],[id]],Table4[id],Table4[name])</f>
        <v>Yucatan</v>
      </c>
      <c r="Q36" t="str">
        <f>_xlfn.XLOOKUP(VALINA[[#This Row],[name]],Trans!A:A,Trans!B:B)</f>
        <v>Yucatan</v>
      </c>
    </row>
    <row r="37" spans="1:17" x14ac:dyDescent="0.25">
      <c r="A37">
        <v>36</v>
      </c>
      <c r="B37" t="s">
        <v>11</v>
      </c>
      <c r="C37" t="s">
        <v>45</v>
      </c>
      <c r="D37" t="s">
        <v>83</v>
      </c>
      <c r="E37" t="s">
        <v>22</v>
      </c>
      <c r="F37" t="s">
        <v>15</v>
      </c>
      <c r="G37" t="s">
        <v>75</v>
      </c>
      <c r="H37" t="s">
        <v>88</v>
      </c>
      <c r="I37" t="s">
        <v>84</v>
      </c>
      <c r="J37" t="s">
        <v>89</v>
      </c>
      <c r="K37">
        <v>5</v>
      </c>
      <c r="L37">
        <v>3</v>
      </c>
      <c r="M37">
        <v>1</v>
      </c>
      <c r="N37">
        <v>0</v>
      </c>
      <c r="O37">
        <f>_xlfn.XLOOKUP(VALINA[[#This Row],[id]],prov_color!A:A,prov_color!C:C)</f>
        <v>53</v>
      </c>
      <c r="P37" t="str">
        <f>_xlfn.XLOOKUP(VALINA[[#This Row],[id]],Table4[id],Table4[name])</f>
        <v>Honduras</v>
      </c>
      <c r="Q37" t="str">
        <f>_xlfn.XLOOKUP(VALINA[[#This Row],[name]],Trans!A:A,Trans!B:B)</f>
        <v>Honduras</v>
      </c>
    </row>
    <row r="38" spans="1:17" x14ac:dyDescent="0.25">
      <c r="A38">
        <v>37</v>
      </c>
      <c r="B38" t="s">
        <v>11</v>
      </c>
      <c r="C38" t="s">
        <v>45</v>
      </c>
      <c r="D38" t="s">
        <v>83</v>
      </c>
      <c r="E38" t="s">
        <v>80</v>
      </c>
      <c r="F38" t="s">
        <v>15</v>
      </c>
      <c r="G38" t="s">
        <v>75</v>
      </c>
      <c r="H38" t="s">
        <v>88</v>
      </c>
      <c r="I38" t="s">
        <v>84</v>
      </c>
      <c r="J38" t="s">
        <v>90</v>
      </c>
      <c r="K38">
        <v>6</v>
      </c>
      <c r="L38">
        <v>3</v>
      </c>
      <c r="M38">
        <v>1</v>
      </c>
      <c r="N38">
        <v>0</v>
      </c>
      <c r="O38">
        <f>_xlfn.XLOOKUP(VALINA[[#This Row],[id]],prov_color!A:A,prov_color!C:C)</f>
        <v>47</v>
      </c>
      <c r="P38" t="str">
        <f>_xlfn.XLOOKUP(VALINA[[#This Row],[id]],Table4[id],Table4[name])</f>
        <v>Nicaragua</v>
      </c>
      <c r="Q38" t="str">
        <f>_xlfn.XLOOKUP(VALINA[[#This Row],[name]],Trans!A:A,Trans!B:B)</f>
        <v>Nicaragua</v>
      </c>
    </row>
    <row r="39" spans="1:17" x14ac:dyDescent="0.25">
      <c r="A39">
        <v>38</v>
      </c>
      <c r="B39" t="s">
        <v>11</v>
      </c>
      <c r="C39" t="s">
        <v>45</v>
      </c>
      <c r="D39" t="s">
        <v>83</v>
      </c>
      <c r="E39" t="s">
        <v>80</v>
      </c>
      <c r="F39" t="s">
        <v>15</v>
      </c>
      <c r="G39" t="s">
        <v>75</v>
      </c>
      <c r="H39" t="s">
        <v>91</v>
      </c>
      <c r="I39" t="s">
        <v>1612</v>
      </c>
      <c r="J39" t="s">
        <v>92</v>
      </c>
      <c r="K39">
        <v>7</v>
      </c>
      <c r="L39">
        <v>1</v>
      </c>
      <c r="M39">
        <v>1</v>
      </c>
      <c r="N39">
        <v>0</v>
      </c>
      <c r="O39">
        <f>_xlfn.XLOOKUP(VALINA[[#This Row],[id]],prov_color!A:A,prov_color!C:C)</f>
        <v>26</v>
      </c>
      <c r="P39" t="str">
        <f>_xlfn.XLOOKUP(VALINA[[#This Row],[id]],Table4[id],Table4[name])</f>
        <v>Mosquitos</v>
      </c>
      <c r="Q39" t="str">
        <f>_xlfn.XLOOKUP(VALINA[[#This Row],[name]],Trans!A:A,Trans!B:B)</f>
        <v>Mosquitos</v>
      </c>
    </row>
    <row r="40" spans="1:17" x14ac:dyDescent="0.25">
      <c r="A40">
        <v>39</v>
      </c>
      <c r="B40" t="s">
        <v>11</v>
      </c>
      <c r="C40" t="s">
        <v>45</v>
      </c>
      <c r="D40" t="s">
        <v>93</v>
      </c>
      <c r="E40" t="s">
        <v>80</v>
      </c>
      <c r="F40" t="s">
        <v>15</v>
      </c>
      <c r="G40" t="s">
        <v>75</v>
      </c>
      <c r="H40" t="s">
        <v>91</v>
      </c>
      <c r="I40" t="s">
        <v>27</v>
      </c>
      <c r="J40" t="s">
        <v>94</v>
      </c>
      <c r="K40">
        <v>6</v>
      </c>
      <c r="L40">
        <v>2</v>
      </c>
      <c r="M40">
        <v>1</v>
      </c>
      <c r="N40">
        <v>0</v>
      </c>
      <c r="O40">
        <f>_xlfn.XLOOKUP(VALINA[[#This Row],[id]],prov_color!A:A,prov_color!C:C)</f>
        <v>41</v>
      </c>
      <c r="P40" t="str">
        <f>_xlfn.XLOOKUP(VALINA[[#This Row],[id]],Table4[id],Table4[name])</f>
        <v>Isthmus</v>
      </c>
      <c r="Q40" t="str">
        <f>_xlfn.XLOOKUP(VALINA[[#This Row],[name]],Trans!A:A,Trans!B:B)</f>
        <v>Isthmus</v>
      </c>
    </row>
    <row r="41" spans="1:17" x14ac:dyDescent="0.25">
      <c r="A41">
        <v>40</v>
      </c>
      <c r="B41" t="s">
        <v>11</v>
      </c>
      <c r="C41" t="s">
        <v>12</v>
      </c>
      <c r="D41" t="s">
        <v>64</v>
      </c>
      <c r="E41" t="s">
        <v>34</v>
      </c>
      <c r="F41" t="s">
        <v>15</v>
      </c>
      <c r="G41" t="s">
        <v>35</v>
      </c>
      <c r="H41" t="s">
        <v>59</v>
      </c>
      <c r="I41" t="s">
        <v>41</v>
      </c>
      <c r="J41" t="s">
        <v>95</v>
      </c>
      <c r="K41">
        <v>6</v>
      </c>
      <c r="L41">
        <v>2</v>
      </c>
      <c r="M41">
        <v>1</v>
      </c>
      <c r="N41">
        <v>0</v>
      </c>
      <c r="O41">
        <f>_xlfn.XLOOKUP(VALINA[[#This Row],[id]],prov_color!A:A,prov_color!C:C)</f>
        <v>42</v>
      </c>
      <c r="P41" t="str">
        <f>_xlfn.XLOOKUP(VALINA[[#This Row],[id]],Table4[id],Table4[name])</f>
        <v>Pecos</v>
      </c>
      <c r="Q41" t="str">
        <f>_xlfn.XLOOKUP(VALINA[[#This Row],[name]],Trans!A:A,Trans!B:B)</f>
        <v>Pecos</v>
      </c>
    </row>
    <row r="42" spans="1:17" x14ac:dyDescent="0.25">
      <c r="A42">
        <v>41</v>
      </c>
      <c r="B42" t="s">
        <v>11</v>
      </c>
      <c r="C42" t="s">
        <v>12</v>
      </c>
      <c r="D42" t="s">
        <v>64</v>
      </c>
      <c r="E42" t="s">
        <v>34</v>
      </c>
      <c r="F42" t="s">
        <v>15</v>
      </c>
      <c r="G42" t="s">
        <v>35</v>
      </c>
      <c r="H42" t="s">
        <v>96</v>
      </c>
      <c r="I42" t="s">
        <v>43</v>
      </c>
      <c r="J42" t="s">
        <v>97</v>
      </c>
      <c r="K42">
        <v>4</v>
      </c>
      <c r="L42">
        <v>3</v>
      </c>
      <c r="M42">
        <v>1</v>
      </c>
      <c r="N42">
        <v>0</v>
      </c>
      <c r="O42">
        <f>_xlfn.XLOOKUP(VALINA[[#This Row],[id]],prov_color!A:A,prov_color!C:C)</f>
        <v>51</v>
      </c>
      <c r="P42" t="str">
        <f>_xlfn.XLOOKUP(VALINA[[#This Row],[id]],Table4[id],Table4[name])</f>
        <v>Rio Grande</v>
      </c>
      <c r="Q42" t="str">
        <f>_xlfn.XLOOKUP(VALINA[[#This Row],[name]],Trans!A:A,Trans!B:B)</f>
        <v>Rio Grande</v>
      </c>
    </row>
    <row r="43" spans="1:17" x14ac:dyDescent="0.25">
      <c r="A43">
        <v>42</v>
      </c>
      <c r="B43" t="s">
        <v>11</v>
      </c>
      <c r="C43" t="s">
        <v>12</v>
      </c>
      <c r="D43" t="s">
        <v>64</v>
      </c>
      <c r="E43" t="s">
        <v>34</v>
      </c>
      <c r="F43" t="s">
        <v>15</v>
      </c>
      <c r="G43" t="s">
        <v>35</v>
      </c>
      <c r="H43" t="s">
        <v>59</v>
      </c>
      <c r="I43" t="s">
        <v>43</v>
      </c>
      <c r="J43" t="s">
        <v>98</v>
      </c>
      <c r="K43">
        <v>5</v>
      </c>
      <c r="L43">
        <v>2</v>
      </c>
      <c r="M43">
        <v>1</v>
      </c>
      <c r="N43">
        <v>0</v>
      </c>
      <c r="O43">
        <f>_xlfn.XLOOKUP(VALINA[[#This Row],[id]],prov_color!A:A,prov_color!C:C)</f>
        <v>44</v>
      </c>
      <c r="P43" t="str">
        <f>_xlfn.XLOOKUP(VALINA[[#This Row],[id]],Table4[id],Table4[name])</f>
        <v>Concho</v>
      </c>
      <c r="Q43" t="str">
        <f>_xlfn.XLOOKUP(VALINA[[#This Row],[name]],Trans!A:A,Trans!B:B)</f>
        <v>Concho</v>
      </c>
    </row>
    <row r="44" spans="1:17" x14ac:dyDescent="0.25">
      <c r="A44">
        <v>43</v>
      </c>
      <c r="B44" t="s">
        <v>11</v>
      </c>
      <c r="C44" t="s">
        <v>12</v>
      </c>
      <c r="D44" t="s">
        <v>64</v>
      </c>
      <c r="E44" t="s">
        <v>80</v>
      </c>
      <c r="F44" t="s">
        <v>15</v>
      </c>
      <c r="G44" t="s">
        <v>35</v>
      </c>
      <c r="H44" t="s">
        <v>96</v>
      </c>
      <c r="I44" t="s">
        <v>73</v>
      </c>
      <c r="J44" t="s">
        <v>99</v>
      </c>
      <c r="K44">
        <v>5</v>
      </c>
      <c r="L44">
        <v>3</v>
      </c>
      <c r="M44">
        <v>1</v>
      </c>
      <c r="N44">
        <v>0</v>
      </c>
      <c r="O44">
        <f>_xlfn.XLOOKUP(VALINA[[#This Row],[id]],prov_color!A:A,prov_color!C:C)</f>
        <v>48</v>
      </c>
      <c r="P44" t="str">
        <f>_xlfn.XLOOKUP(VALINA[[#This Row],[id]],Table4[id],Table4[name])</f>
        <v>Matagorda</v>
      </c>
      <c r="Q44" t="str">
        <f>_xlfn.XLOOKUP(VALINA[[#This Row],[name]],Trans!A:A,Trans!B:B)</f>
        <v>Matagorda</v>
      </c>
    </row>
    <row r="45" spans="1:17" x14ac:dyDescent="0.25">
      <c r="A45">
        <v>44</v>
      </c>
      <c r="B45" t="s">
        <v>11</v>
      </c>
      <c r="C45" t="s">
        <v>12</v>
      </c>
      <c r="D45" t="s">
        <v>100</v>
      </c>
      <c r="E45" t="s">
        <v>34</v>
      </c>
      <c r="F45" t="s">
        <v>15</v>
      </c>
      <c r="G45" t="s">
        <v>35</v>
      </c>
      <c r="H45" t="s">
        <v>59</v>
      </c>
      <c r="I45" t="s">
        <v>43</v>
      </c>
      <c r="J45" t="s">
        <v>101</v>
      </c>
      <c r="K45">
        <v>5</v>
      </c>
      <c r="L45">
        <v>3</v>
      </c>
      <c r="M45">
        <v>1</v>
      </c>
      <c r="N45">
        <v>0</v>
      </c>
      <c r="O45">
        <f>_xlfn.XLOOKUP(VALINA[[#This Row],[id]],prov_color!A:A,prov_color!C:C)</f>
        <v>39</v>
      </c>
      <c r="P45" t="str">
        <f>_xlfn.XLOOKUP(VALINA[[#This Row],[id]],Table4[id],Table4[name])</f>
        <v>Wichita</v>
      </c>
      <c r="Q45" t="str">
        <f>_xlfn.XLOOKUP(VALINA[[#This Row],[name]],Trans!A:A,Trans!B:B)</f>
        <v>Wichita</v>
      </c>
    </row>
    <row r="46" spans="1:17" x14ac:dyDescent="0.25">
      <c r="A46">
        <v>45</v>
      </c>
      <c r="B46" t="s">
        <v>11</v>
      </c>
      <c r="C46" t="s">
        <v>12</v>
      </c>
      <c r="D46" t="s">
        <v>100</v>
      </c>
      <c r="E46" t="s">
        <v>80</v>
      </c>
      <c r="F46" t="s">
        <v>15</v>
      </c>
      <c r="G46" t="s">
        <v>35</v>
      </c>
      <c r="H46" t="s">
        <v>102</v>
      </c>
      <c r="I46" t="s">
        <v>103</v>
      </c>
      <c r="J46" t="s">
        <v>104</v>
      </c>
      <c r="K46">
        <v>6</v>
      </c>
      <c r="L46">
        <v>5</v>
      </c>
      <c r="M46">
        <v>1</v>
      </c>
      <c r="N46">
        <v>0</v>
      </c>
      <c r="O46">
        <f>_xlfn.XLOOKUP(VALINA[[#This Row],[id]],prov_color!A:A,prov_color!C:C)</f>
        <v>53</v>
      </c>
      <c r="P46" t="str">
        <f>_xlfn.XLOOKUP(VALINA[[#This Row],[id]],Table4[id],Table4[name])</f>
        <v>Bayou</v>
      </c>
      <c r="Q46" t="str">
        <f>_xlfn.XLOOKUP(VALINA[[#This Row],[name]],Trans!A:A,Trans!B:B)</f>
        <v>Bayou</v>
      </c>
    </row>
    <row r="47" spans="1:17" x14ac:dyDescent="0.25">
      <c r="A47">
        <v>46</v>
      </c>
      <c r="B47" t="s">
        <v>11</v>
      </c>
      <c r="C47" t="s">
        <v>12</v>
      </c>
      <c r="D47" t="s">
        <v>100</v>
      </c>
      <c r="E47" t="s">
        <v>80</v>
      </c>
      <c r="F47" t="s">
        <v>15</v>
      </c>
      <c r="G47" t="s">
        <v>35</v>
      </c>
      <c r="H47" t="s">
        <v>102</v>
      </c>
      <c r="I47" t="s">
        <v>103</v>
      </c>
      <c r="J47" t="s">
        <v>105</v>
      </c>
      <c r="K47">
        <v>6</v>
      </c>
      <c r="L47">
        <v>5</v>
      </c>
      <c r="M47">
        <v>1</v>
      </c>
      <c r="N47">
        <v>0</v>
      </c>
      <c r="O47">
        <f>_xlfn.XLOOKUP(VALINA[[#This Row],[id]],prov_color!A:A,prov_color!C:C)</f>
        <v>43</v>
      </c>
      <c r="P47" t="str">
        <f>_xlfn.XLOOKUP(VALINA[[#This Row],[id]],Table4[id],Table4[name])</f>
        <v>Biloxi</v>
      </c>
      <c r="Q47" t="str">
        <f>_xlfn.XLOOKUP(VALINA[[#This Row],[name]],Trans!A:A,Trans!B:B)</f>
        <v>Biloxi</v>
      </c>
    </row>
    <row r="48" spans="1:17" x14ac:dyDescent="0.25">
      <c r="A48">
        <v>47</v>
      </c>
      <c r="B48" t="s">
        <v>11</v>
      </c>
      <c r="C48" t="s">
        <v>12</v>
      </c>
      <c r="D48" t="s">
        <v>100</v>
      </c>
      <c r="E48" t="s">
        <v>80</v>
      </c>
      <c r="F48" t="s">
        <v>15</v>
      </c>
      <c r="G48" t="s">
        <v>35</v>
      </c>
      <c r="H48" t="s">
        <v>102</v>
      </c>
      <c r="I48" t="s">
        <v>103</v>
      </c>
      <c r="J48" t="s">
        <v>106</v>
      </c>
      <c r="K48">
        <v>4</v>
      </c>
      <c r="L48">
        <v>5</v>
      </c>
      <c r="M48">
        <v>1</v>
      </c>
      <c r="N48">
        <v>0</v>
      </c>
      <c r="O48">
        <f>_xlfn.XLOOKUP(VALINA[[#This Row],[id]],prov_color!A:A,prov_color!C:C)</f>
        <v>24</v>
      </c>
      <c r="P48" t="str">
        <f>_xlfn.XLOOKUP(VALINA[[#This Row],[id]],Table4[id],Table4[name])</f>
        <v>Mobile</v>
      </c>
      <c r="Q48" t="str">
        <f>_xlfn.XLOOKUP(VALINA[[#This Row],[name]],Trans!A:A,Trans!B:B)</f>
        <v>Mobile</v>
      </c>
    </row>
    <row r="49" spans="1:17" x14ac:dyDescent="0.25">
      <c r="A49">
        <v>48</v>
      </c>
      <c r="B49" t="s">
        <v>11</v>
      </c>
      <c r="C49" t="s">
        <v>12</v>
      </c>
      <c r="D49" t="s">
        <v>107</v>
      </c>
      <c r="E49" t="s">
        <v>80</v>
      </c>
      <c r="F49" t="s">
        <v>15</v>
      </c>
      <c r="G49" t="s">
        <v>35</v>
      </c>
      <c r="H49" t="s">
        <v>102</v>
      </c>
      <c r="I49" t="s">
        <v>103</v>
      </c>
      <c r="J49" t="s">
        <v>108</v>
      </c>
      <c r="K49">
        <v>5</v>
      </c>
      <c r="L49">
        <v>4</v>
      </c>
      <c r="M49">
        <v>1</v>
      </c>
      <c r="N49">
        <v>0</v>
      </c>
      <c r="O49">
        <f>_xlfn.XLOOKUP(VALINA[[#This Row],[id]],prov_color!A:A,prov_color!C:C)</f>
        <v>34</v>
      </c>
      <c r="P49" t="str">
        <f>_xlfn.XLOOKUP(VALINA[[#This Row],[id]],Table4[id],Table4[name])</f>
        <v>Talahassee</v>
      </c>
      <c r="Q49" t="str">
        <f>_xlfn.XLOOKUP(VALINA[[#This Row],[name]],Trans!A:A,Trans!B:B)</f>
        <v>Tallahassee</v>
      </c>
    </row>
    <row r="50" spans="1:17" x14ac:dyDescent="0.25">
      <c r="A50">
        <v>49</v>
      </c>
      <c r="B50" t="s">
        <v>11</v>
      </c>
      <c r="C50" t="s">
        <v>12</v>
      </c>
      <c r="D50" t="s">
        <v>107</v>
      </c>
      <c r="E50" t="s">
        <v>80</v>
      </c>
      <c r="F50" t="s">
        <v>15</v>
      </c>
      <c r="G50" t="s">
        <v>35</v>
      </c>
      <c r="H50" t="s">
        <v>102</v>
      </c>
      <c r="I50" t="s">
        <v>73</v>
      </c>
      <c r="J50" t="s">
        <v>109</v>
      </c>
      <c r="K50">
        <v>7</v>
      </c>
      <c r="L50">
        <v>2</v>
      </c>
      <c r="M50">
        <v>1</v>
      </c>
      <c r="N50">
        <v>0</v>
      </c>
      <c r="O50">
        <f>_xlfn.XLOOKUP(VALINA[[#This Row],[id]],prov_color!A:A,prov_color!C:C)</f>
        <v>35</v>
      </c>
      <c r="P50" t="str">
        <f>_xlfn.XLOOKUP(VALINA[[#This Row],[id]],Table4[id],Table4[name])</f>
        <v>Seminole</v>
      </c>
      <c r="Q50" t="str">
        <f>_xlfn.XLOOKUP(VALINA[[#This Row],[name]],Trans!A:A,Trans!B:B)</f>
        <v>Seminole</v>
      </c>
    </row>
    <row r="51" spans="1:17" x14ac:dyDescent="0.25">
      <c r="A51">
        <v>50</v>
      </c>
      <c r="B51" t="s">
        <v>11</v>
      </c>
      <c r="C51" t="s">
        <v>12</v>
      </c>
      <c r="D51" t="s">
        <v>107</v>
      </c>
      <c r="E51" t="s">
        <v>80</v>
      </c>
      <c r="F51" t="s">
        <v>15</v>
      </c>
      <c r="G51" t="s">
        <v>75</v>
      </c>
      <c r="H51" t="s">
        <v>102</v>
      </c>
      <c r="I51" t="s">
        <v>27</v>
      </c>
      <c r="J51" t="s">
        <v>110</v>
      </c>
      <c r="K51">
        <v>9</v>
      </c>
      <c r="L51">
        <v>1</v>
      </c>
      <c r="M51">
        <v>1</v>
      </c>
      <c r="N51">
        <v>0</v>
      </c>
      <c r="O51">
        <f>_xlfn.XLOOKUP(VALINA[[#This Row],[id]],prov_color!A:A,prov_color!C:C)</f>
        <v>38</v>
      </c>
      <c r="P51" t="str">
        <f>_xlfn.XLOOKUP(VALINA[[#This Row],[id]],Table4[id],Table4[name])</f>
        <v>Everglades</v>
      </c>
      <c r="Q51" t="str">
        <f>_xlfn.XLOOKUP(VALINA[[#This Row],[name]],Trans!A:A,Trans!B:B)</f>
        <v>Everglades</v>
      </c>
    </row>
    <row r="52" spans="1:17" x14ac:dyDescent="0.25">
      <c r="A52">
        <v>51</v>
      </c>
      <c r="B52" t="s">
        <v>11</v>
      </c>
      <c r="C52" t="s">
        <v>12</v>
      </c>
      <c r="D52" t="s">
        <v>100</v>
      </c>
      <c r="E52" t="s">
        <v>34</v>
      </c>
      <c r="F52" t="s">
        <v>15</v>
      </c>
      <c r="G52" t="s">
        <v>35</v>
      </c>
      <c r="H52" t="s">
        <v>111</v>
      </c>
      <c r="I52" t="s">
        <v>103</v>
      </c>
      <c r="J52" t="s">
        <v>112</v>
      </c>
      <c r="K52">
        <v>5</v>
      </c>
      <c r="L52">
        <v>3</v>
      </c>
      <c r="M52">
        <v>1</v>
      </c>
      <c r="N52">
        <v>0</v>
      </c>
      <c r="O52">
        <f>_xlfn.XLOOKUP(VALINA[[#This Row],[id]],prov_color!A:A,prov_color!C:C)</f>
        <v>55</v>
      </c>
      <c r="P52" t="str">
        <f>_xlfn.XLOOKUP(VALINA[[#This Row],[id]],Table4[id],Table4[name])</f>
        <v>Arkansas</v>
      </c>
      <c r="Q52" t="str">
        <f>_xlfn.XLOOKUP(VALINA[[#This Row],[name]],Trans!A:A,Trans!B:B)</f>
        <v>Arkansas</v>
      </c>
    </row>
    <row r="53" spans="1:17" x14ac:dyDescent="0.25">
      <c r="A53">
        <v>52</v>
      </c>
      <c r="B53" t="s">
        <v>11</v>
      </c>
      <c r="C53" t="s">
        <v>12</v>
      </c>
      <c r="D53" t="s">
        <v>100</v>
      </c>
      <c r="E53" t="s">
        <v>22</v>
      </c>
      <c r="F53" t="s">
        <v>15</v>
      </c>
      <c r="G53" t="s">
        <v>26</v>
      </c>
      <c r="H53" t="s">
        <v>113</v>
      </c>
      <c r="I53" t="s">
        <v>103</v>
      </c>
      <c r="J53" t="s">
        <v>114</v>
      </c>
      <c r="K53">
        <v>5</v>
      </c>
      <c r="L53">
        <v>4</v>
      </c>
      <c r="M53">
        <v>1</v>
      </c>
      <c r="N53">
        <v>0</v>
      </c>
      <c r="O53">
        <f>_xlfn.XLOOKUP(VALINA[[#This Row],[id]],prov_color!A:A,prov_color!C:C)</f>
        <v>52</v>
      </c>
      <c r="P53" t="str">
        <f>_xlfn.XLOOKUP(VALINA[[#This Row],[id]],Table4[id],Table4[name])</f>
        <v>Yazoo</v>
      </c>
      <c r="Q53" t="str">
        <f>_xlfn.XLOOKUP(VALINA[[#This Row],[name]],Trans!A:A,Trans!B:B)</f>
        <v>Yazoo</v>
      </c>
    </row>
    <row r="54" spans="1:17" x14ac:dyDescent="0.25">
      <c r="A54">
        <v>53</v>
      </c>
      <c r="B54" t="s">
        <v>11</v>
      </c>
      <c r="C54" t="s">
        <v>12</v>
      </c>
      <c r="D54" t="s">
        <v>100</v>
      </c>
      <c r="E54" t="s">
        <v>22</v>
      </c>
      <c r="F54" t="s">
        <v>15</v>
      </c>
      <c r="G54" t="s">
        <v>35</v>
      </c>
      <c r="H54" t="s">
        <v>113</v>
      </c>
      <c r="I54" t="s">
        <v>103</v>
      </c>
      <c r="J54" t="s">
        <v>115</v>
      </c>
      <c r="K54">
        <v>5</v>
      </c>
      <c r="L54">
        <v>4</v>
      </c>
      <c r="M54">
        <v>2</v>
      </c>
      <c r="N54">
        <v>0</v>
      </c>
      <c r="O54">
        <f>_xlfn.XLOOKUP(VALINA[[#This Row],[id]],prov_color!A:A,prov_color!C:C)</f>
        <v>32</v>
      </c>
      <c r="P54" t="str">
        <f>_xlfn.XLOOKUP(VALINA[[#This Row],[id]],Table4[id],Table4[name])</f>
        <v>Tuscaloosa</v>
      </c>
      <c r="Q54" t="str">
        <f>_xlfn.XLOOKUP(VALINA[[#This Row],[name]],Trans!A:A,Trans!B:B)</f>
        <v>Tuscaloosa</v>
      </c>
    </row>
    <row r="55" spans="1:17" x14ac:dyDescent="0.25">
      <c r="A55">
        <v>54</v>
      </c>
      <c r="B55" t="s">
        <v>11</v>
      </c>
      <c r="C55" t="s">
        <v>12</v>
      </c>
      <c r="D55" t="s">
        <v>116</v>
      </c>
      <c r="E55" t="s">
        <v>80</v>
      </c>
      <c r="F55" t="s">
        <v>15</v>
      </c>
      <c r="G55" t="s">
        <v>35</v>
      </c>
      <c r="H55" t="s">
        <v>102</v>
      </c>
      <c r="I55" t="s">
        <v>103</v>
      </c>
      <c r="J55" t="s">
        <v>117</v>
      </c>
      <c r="K55">
        <v>5</v>
      </c>
      <c r="L55">
        <v>5</v>
      </c>
      <c r="M55">
        <v>2</v>
      </c>
      <c r="N55">
        <v>0</v>
      </c>
      <c r="O55">
        <f>_xlfn.XLOOKUP(VALINA[[#This Row],[id]],prov_color!A:A,prov_color!C:C)</f>
        <v>38</v>
      </c>
      <c r="P55" t="str">
        <f>_xlfn.XLOOKUP(VALINA[[#This Row],[id]],Table4[id],Table4[name])</f>
        <v>Savannah</v>
      </c>
      <c r="Q55" t="str">
        <f>_xlfn.XLOOKUP(VALINA[[#This Row],[name]],Trans!A:A,Trans!B:B)</f>
        <v>Savannah</v>
      </c>
    </row>
    <row r="56" spans="1:17" x14ac:dyDescent="0.25">
      <c r="A56">
        <v>55</v>
      </c>
      <c r="B56" t="s">
        <v>11</v>
      </c>
      <c r="C56" t="s">
        <v>12</v>
      </c>
      <c r="D56" t="s">
        <v>116</v>
      </c>
      <c r="E56" t="s">
        <v>14</v>
      </c>
      <c r="F56" t="s">
        <v>15</v>
      </c>
      <c r="G56" t="s">
        <v>26</v>
      </c>
      <c r="H56" t="s">
        <v>113</v>
      </c>
      <c r="I56" t="s">
        <v>103</v>
      </c>
      <c r="J56" t="s">
        <v>118</v>
      </c>
      <c r="K56">
        <v>5</v>
      </c>
      <c r="L56">
        <v>4</v>
      </c>
      <c r="M56">
        <v>2</v>
      </c>
      <c r="N56">
        <v>0</v>
      </c>
      <c r="O56">
        <f>_xlfn.XLOOKUP(VALINA[[#This Row],[id]],prov_color!A:A,prov_color!C:C)</f>
        <v>41</v>
      </c>
      <c r="P56" t="str">
        <f>_xlfn.XLOOKUP(VALINA[[#This Row],[id]],Table4[id],Table4[name])</f>
        <v>Alabama</v>
      </c>
      <c r="Q56" t="str">
        <f>_xlfn.XLOOKUP(VALINA[[#This Row],[name]],Trans!A:A,Trans!B:B)</f>
        <v>Alabama</v>
      </c>
    </row>
    <row r="57" spans="1:17" x14ac:dyDescent="0.25">
      <c r="A57">
        <v>56</v>
      </c>
      <c r="B57" t="s">
        <v>11</v>
      </c>
      <c r="C57" t="s">
        <v>12</v>
      </c>
      <c r="D57" t="s">
        <v>116</v>
      </c>
      <c r="E57" t="s">
        <v>22</v>
      </c>
      <c r="F57" t="s">
        <v>15</v>
      </c>
      <c r="G57" t="s">
        <v>26</v>
      </c>
      <c r="H57" t="s">
        <v>113</v>
      </c>
      <c r="I57" t="s">
        <v>43</v>
      </c>
      <c r="J57" t="s">
        <v>119</v>
      </c>
      <c r="K57">
        <v>6</v>
      </c>
      <c r="L57">
        <v>3</v>
      </c>
      <c r="M57">
        <v>2</v>
      </c>
      <c r="N57">
        <v>0</v>
      </c>
      <c r="O57">
        <f>_xlfn.XLOOKUP(VALINA[[#This Row],[id]],prov_color!A:A,prov_color!C:C)</f>
        <v>47</v>
      </c>
      <c r="P57" t="str">
        <f>_xlfn.XLOOKUP(VALINA[[#This Row],[id]],Table4[id],Table4[name])</f>
        <v>Tennessee</v>
      </c>
      <c r="Q57" t="str">
        <f>_xlfn.XLOOKUP(VALINA[[#This Row],[name]],Trans!A:A,Trans!B:B)</f>
        <v>Tennessee</v>
      </c>
    </row>
    <row r="58" spans="1:17" x14ac:dyDescent="0.25">
      <c r="A58">
        <v>57</v>
      </c>
      <c r="B58" t="s">
        <v>11</v>
      </c>
      <c r="C58" t="s">
        <v>12</v>
      </c>
      <c r="D58" t="s">
        <v>100</v>
      </c>
      <c r="E58" t="s">
        <v>34</v>
      </c>
      <c r="F58" t="s">
        <v>15</v>
      </c>
      <c r="G58" t="s">
        <v>26</v>
      </c>
      <c r="H58" t="s">
        <v>111</v>
      </c>
      <c r="I58" t="s">
        <v>43</v>
      </c>
      <c r="J58" t="s">
        <v>120</v>
      </c>
      <c r="K58">
        <v>4</v>
      </c>
      <c r="L58">
        <v>3</v>
      </c>
      <c r="M58">
        <v>2</v>
      </c>
      <c r="N58">
        <v>0</v>
      </c>
      <c r="O58">
        <f>_xlfn.XLOOKUP(VALINA[[#This Row],[id]],prov_color!A:A,prov_color!C:C)</f>
        <v>70</v>
      </c>
      <c r="P58" t="str">
        <f>_xlfn.XLOOKUP(VALINA[[#This Row],[id]],Table4[id],Table4[name])</f>
        <v>Mississippi</v>
      </c>
      <c r="Q58" t="str">
        <f>_xlfn.XLOOKUP(VALINA[[#This Row],[name]],Trans!A:A,Trans!B:B)</f>
        <v>Mississippi</v>
      </c>
    </row>
    <row r="59" spans="1:17" x14ac:dyDescent="0.25">
      <c r="A59">
        <v>58</v>
      </c>
      <c r="B59" t="s">
        <v>11</v>
      </c>
      <c r="C59" t="s">
        <v>12</v>
      </c>
      <c r="D59" t="s">
        <v>121</v>
      </c>
      <c r="E59" t="s">
        <v>34</v>
      </c>
      <c r="F59" t="s">
        <v>15</v>
      </c>
      <c r="G59" t="s">
        <v>122</v>
      </c>
      <c r="H59" t="s">
        <v>111</v>
      </c>
      <c r="I59" t="s">
        <v>43</v>
      </c>
      <c r="J59" t="s">
        <v>123</v>
      </c>
      <c r="K59">
        <v>6</v>
      </c>
      <c r="L59">
        <v>3</v>
      </c>
      <c r="M59">
        <v>2</v>
      </c>
      <c r="N59">
        <v>0</v>
      </c>
      <c r="O59">
        <f>_xlfn.XLOOKUP(VALINA[[#This Row],[id]],prov_color!A:A,prov_color!C:C)</f>
        <v>72</v>
      </c>
      <c r="P59" t="str">
        <f>_xlfn.XLOOKUP(VALINA[[#This Row],[id]],Table4[id],Table4[name])</f>
        <v>Missouri</v>
      </c>
      <c r="Q59" t="str">
        <f>_xlfn.XLOOKUP(VALINA[[#This Row],[name]],Trans!A:A,Trans!B:B)</f>
        <v>Missouri</v>
      </c>
    </row>
    <row r="60" spans="1:17" x14ac:dyDescent="0.25">
      <c r="A60">
        <v>59</v>
      </c>
      <c r="B60" t="s">
        <v>11</v>
      </c>
      <c r="C60" t="s">
        <v>12</v>
      </c>
      <c r="D60" t="s">
        <v>124</v>
      </c>
      <c r="E60" t="s">
        <v>34</v>
      </c>
      <c r="F60" t="s">
        <v>15</v>
      </c>
      <c r="G60" t="s">
        <v>122</v>
      </c>
      <c r="H60" t="s">
        <v>111</v>
      </c>
      <c r="I60" t="s">
        <v>43</v>
      </c>
      <c r="J60" t="s">
        <v>124</v>
      </c>
      <c r="K60">
        <v>5</v>
      </c>
      <c r="L60">
        <v>4</v>
      </c>
      <c r="M60">
        <v>2</v>
      </c>
      <c r="N60">
        <v>0</v>
      </c>
      <c r="O60">
        <f>_xlfn.XLOOKUP(VALINA[[#This Row],[id]],prov_color!A:A,prov_color!C:C)</f>
        <v>40</v>
      </c>
      <c r="P60" t="str">
        <f>_xlfn.XLOOKUP(VALINA[[#This Row],[id]],Table4[id],Table4[name])</f>
        <v>Illinois</v>
      </c>
      <c r="Q60" t="str">
        <f>_xlfn.XLOOKUP(VALINA[[#This Row],[name]],Trans!A:A,Trans!B:B)</f>
        <v>Illinois</v>
      </c>
    </row>
    <row r="61" spans="1:17" x14ac:dyDescent="0.25">
      <c r="A61">
        <v>60</v>
      </c>
      <c r="B61" t="s">
        <v>11</v>
      </c>
      <c r="C61" t="s">
        <v>12</v>
      </c>
      <c r="D61" t="s">
        <v>124</v>
      </c>
      <c r="E61" t="s">
        <v>22</v>
      </c>
      <c r="F61" t="s">
        <v>15</v>
      </c>
      <c r="G61" t="s">
        <v>122</v>
      </c>
      <c r="H61" t="s">
        <v>125</v>
      </c>
      <c r="I61" t="s">
        <v>43</v>
      </c>
      <c r="J61" t="s">
        <v>126</v>
      </c>
      <c r="K61">
        <v>5</v>
      </c>
      <c r="L61">
        <v>3</v>
      </c>
      <c r="M61">
        <v>1</v>
      </c>
      <c r="N61">
        <v>0</v>
      </c>
      <c r="O61">
        <f>_xlfn.XLOOKUP(VALINA[[#This Row],[id]],prov_color!A:A,prov_color!C:C)</f>
        <v>45</v>
      </c>
      <c r="P61" t="str">
        <f>_xlfn.XLOOKUP(VALINA[[#This Row],[id]],Table4[id],Table4[name])</f>
        <v>Miamis</v>
      </c>
      <c r="Q61" t="str">
        <f>_xlfn.XLOOKUP(VALINA[[#This Row],[name]],Trans!A:A,Trans!B:B)</f>
        <v>Miamis</v>
      </c>
    </row>
    <row r="62" spans="1:17" x14ac:dyDescent="0.25">
      <c r="A62">
        <v>61</v>
      </c>
      <c r="B62" t="s">
        <v>11</v>
      </c>
      <c r="C62" t="s">
        <v>12</v>
      </c>
      <c r="D62" t="s">
        <v>127</v>
      </c>
      <c r="E62" t="s">
        <v>14</v>
      </c>
      <c r="F62" t="s">
        <v>15</v>
      </c>
      <c r="G62" t="s">
        <v>26</v>
      </c>
      <c r="H62" t="s">
        <v>113</v>
      </c>
      <c r="I62" t="s">
        <v>20</v>
      </c>
      <c r="J62" t="s">
        <v>128</v>
      </c>
      <c r="K62">
        <v>6</v>
      </c>
      <c r="L62">
        <v>3</v>
      </c>
      <c r="M62">
        <v>1</v>
      </c>
      <c r="N62">
        <v>0</v>
      </c>
      <c r="O62">
        <f>_xlfn.XLOOKUP(VALINA[[#This Row],[id]],prov_color!A:A,prov_color!C:C)</f>
        <v>35</v>
      </c>
      <c r="P62" t="str">
        <f>_xlfn.XLOOKUP(VALINA[[#This Row],[id]],Table4[id],Table4[name])</f>
        <v>Alleghany</v>
      </c>
      <c r="Q62" t="str">
        <f>_xlfn.XLOOKUP(VALINA[[#This Row],[name]],Trans!A:A,Trans!B:B)</f>
        <v>Alleghany</v>
      </c>
    </row>
    <row r="63" spans="1:17" x14ac:dyDescent="0.25">
      <c r="A63">
        <v>62</v>
      </c>
      <c r="B63" t="s">
        <v>11</v>
      </c>
      <c r="C63" t="s">
        <v>12</v>
      </c>
      <c r="D63" t="s">
        <v>127</v>
      </c>
      <c r="E63" t="s">
        <v>22</v>
      </c>
      <c r="F63" t="s">
        <v>15</v>
      </c>
      <c r="G63" t="s">
        <v>35</v>
      </c>
      <c r="H63" t="s">
        <v>102</v>
      </c>
      <c r="I63" t="s">
        <v>103</v>
      </c>
      <c r="J63" t="s">
        <v>129</v>
      </c>
      <c r="K63">
        <v>5</v>
      </c>
      <c r="L63">
        <v>5</v>
      </c>
      <c r="M63">
        <v>2</v>
      </c>
      <c r="N63">
        <v>0</v>
      </c>
      <c r="O63">
        <f>_xlfn.XLOOKUP(VALINA[[#This Row],[id]],prov_color!A:A,prov_color!C:C)</f>
        <v>25</v>
      </c>
      <c r="P63" t="str">
        <f>_xlfn.XLOOKUP(VALINA[[#This Row],[id]],Table4[id],Table4[name])</f>
        <v>Carolina</v>
      </c>
      <c r="Q63" t="str">
        <f>_xlfn.XLOOKUP(VALINA[[#This Row],[name]],Trans!A:A,Trans!B:B)</f>
        <v>Carolina</v>
      </c>
    </row>
    <row r="64" spans="1:17" x14ac:dyDescent="0.25">
      <c r="A64">
        <v>63</v>
      </c>
      <c r="B64" t="s">
        <v>11</v>
      </c>
      <c r="C64" t="s">
        <v>12</v>
      </c>
      <c r="D64" t="s">
        <v>127</v>
      </c>
      <c r="E64" t="s">
        <v>22</v>
      </c>
      <c r="F64" t="s">
        <v>15</v>
      </c>
      <c r="G64" t="s">
        <v>35</v>
      </c>
      <c r="H64" t="s">
        <v>102</v>
      </c>
      <c r="I64" t="s">
        <v>103</v>
      </c>
      <c r="J64" t="s">
        <v>130</v>
      </c>
      <c r="K64">
        <v>5</v>
      </c>
      <c r="L64">
        <v>4</v>
      </c>
      <c r="M64">
        <v>2</v>
      </c>
      <c r="N64">
        <v>0</v>
      </c>
      <c r="O64">
        <f>_xlfn.XLOOKUP(VALINA[[#This Row],[id]],prov_color!A:A,prov_color!C:C)</f>
        <v>21</v>
      </c>
      <c r="P64" t="str">
        <f>_xlfn.XLOOKUP(VALINA[[#This Row],[id]],Table4[id],Table4[name])</f>
        <v>Santee</v>
      </c>
      <c r="Q64" t="str">
        <f>_xlfn.XLOOKUP(VALINA[[#This Row],[name]],Trans!A:A,Trans!B:B)</f>
        <v>Santee</v>
      </c>
    </row>
    <row r="65" spans="1:17" x14ac:dyDescent="0.25">
      <c r="A65">
        <v>64</v>
      </c>
      <c r="B65" t="s">
        <v>11</v>
      </c>
      <c r="C65" t="s">
        <v>12</v>
      </c>
      <c r="D65" t="s">
        <v>127</v>
      </c>
      <c r="E65" t="s">
        <v>80</v>
      </c>
      <c r="F65" t="s">
        <v>15</v>
      </c>
      <c r="G65" t="s">
        <v>35</v>
      </c>
      <c r="H65" t="s">
        <v>102</v>
      </c>
      <c r="I65" t="s">
        <v>131</v>
      </c>
      <c r="J65" t="s">
        <v>132</v>
      </c>
      <c r="K65">
        <v>6</v>
      </c>
      <c r="L65">
        <v>6</v>
      </c>
      <c r="M65">
        <v>2</v>
      </c>
      <c r="N65">
        <v>0</v>
      </c>
      <c r="O65">
        <f>_xlfn.XLOOKUP(VALINA[[#This Row],[id]],prov_color!A:A,prov_color!C:C)</f>
        <v>36</v>
      </c>
      <c r="P65" t="str">
        <f>_xlfn.XLOOKUP(VALINA[[#This Row],[id]],Table4[id],Table4[name])</f>
        <v>Roanoke</v>
      </c>
      <c r="Q65" t="str">
        <f>_xlfn.XLOOKUP(VALINA[[#This Row],[name]],Trans!A:A,Trans!B:B)</f>
        <v>Roanoke</v>
      </c>
    </row>
    <row r="66" spans="1:17" x14ac:dyDescent="0.25">
      <c r="A66">
        <v>65</v>
      </c>
      <c r="B66" t="s">
        <v>11</v>
      </c>
      <c r="C66" t="s">
        <v>12</v>
      </c>
      <c r="D66" t="s">
        <v>127</v>
      </c>
      <c r="E66" t="s">
        <v>22</v>
      </c>
      <c r="F66" t="s">
        <v>15</v>
      </c>
      <c r="G66" t="s">
        <v>26</v>
      </c>
      <c r="H66" t="s">
        <v>113</v>
      </c>
      <c r="I66" t="s">
        <v>131</v>
      </c>
      <c r="J66" t="s">
        <v>133</v>
      </c>
      <c r="K66">
        <v>5</v>
      </c>
      <c r="L66">
        <v>4</v>
      </c>
      <c r="M66">
        <v>1</v>
      </c>
      <c r="N66">
        <v>0</v>
      </c>
      <c r="O66">
        <f>_xlfn.XLOOKUP(VALINA[[#This Row],[id]],prov_color!A:A,prov_color!C:C)</f>
        <v>36</v>
      </c>
      <c r="P66" t="str">
        <f>_xlfn.XLOOKUP(VALINA[[#This Row],[id]],Table4[id],Table4[name])</f>
        <v>Catawba</v>
      </c>
      <c r="Q66" t="str">
        <f>_xlfn.XLOOKUP(VALINA[[#This Row],[name]],Trans!A:A,Trans!B:B)</f>
        <v>Catawba</v>
      </c>
    </row>
    <row r="67" spans="1:17" x14ac:dyDescent="0.25">
      <c r="A67">
        <v>66</v>
      </c>
      <c r="B67" t="s">
        <v>11</v>
      </c>
      <c r="C67" t="s">
        <v>12</v>
      </c>
      <c r="D67" t="s">
        <v>127</v>
      </c>
      <c r="E67" t="s">
        <v>14</v>
      </c>
      <c r="F67" t="s">
        <v>15</v>
      </c>
      <c r="G67" t="s">
        <v>26</v>
      </c>
      <c r="H67" t="s">
        <v>113</v>
      </c>
      <c r="I67" t="s">
        <v>1612</v>
      </c>
      <c r="J67" t="s">
        <v>134</v>
      </c>
      <c r="K67">
        <v>7</v>
      </c>
      <c r="L67">
        <v>3</v>
      </c>
      <c r="M67">
        <v>1</v>
      </c>
      <c r="N67">
        <v>0</v>
      </c>
      <c r="O67">
        <f>_xlfn.XLOOKUP(VALINA[[#This Row],[id]],prov_color!A:A,prov_color!C:C)</f>
        <v>35</v>
      </c>
      <c r="P67" t="str">
        <f>_xlfn.XLOOKUP(VALINA[[#This Row],[id]],Table4[id],Table4[name])</f>
        <v>Appalache</v>
      </c>
      <c r="Q67" t="str">
        <f>_xlfn.XLOOKUP(VALINA[[#This Row],[name]],Trans!A:A,Trans!B:B)</f>
        <v>Appalache</v>
      </c>
    </row>
    <row r="68" spans="1:17" x14ac:dyDescent="0.25">
      <c r="A68">
        <v>67</v>
      </c>
      <c r="B68" t="s">
        <v>11</v>
      </c>
      <c r="C68" t="s">
        <v>12</v>
      </c>
      <c r="D68" t="s">
        <v>135</v>
      </c>
      <c r="E68" t="s">
        <v>22</v>
      </c>
      <c r="F68" t="s">
        <v>15</v>
      </c>
      <c r="G68" t="s">
        <v>122</v>
      </c>
      <c r="H68" t="s">
        <v>125</v>
      </c>
      <c r="I68" t="s">
        <v>20</v>
      </c>
      <c r="J68" t="s">
        <v>136</v>
      </c>
      <c r="K68">
        <v>5</v>
      </c>
      <c r="L68">
        <v>3</v>
      </c>
      <c r="M68">
        <v>2</v>
      </c>
      <c r="N68">
        <v>0</v>
      </c>
      <c r="O68">
        <f>_xlfn.XLOOKUP(VALINA[[#This Row],[id]],prov_color!A:A,prov_color!C:C)</f>
        <v>45</v>
      </c>
      <c r="P68" t="str">
        <f>_xlfn.XLOOKUP(VALINA[[#This Row],[id]],Table4[id],Table4[name])</f>
        <v>Kentucky</v>
      </c>
      <c r="Q68" t="str">
        <f>_xlfn.XLOOKUP(VALINA[[#This Row],[name]],Trans!A:A,Trans!B:B)</f>
        <v>Kentucky</v>
      </c>
    </row>
    <row r="69" spans="1:17" x14ac:dyDescent="0.25">
      <c r="A69">
        <v>68</v>
      </c>
      <c r="B69" t="s">
        <v>11</v>
      </c>
      <c r="C69" t="s">
        <v>12</v>
      </c>
      <c r="D69" t="s">
        <v>127</v>
      </c>
      <c r="E69" t="s">
        <v>80</v>
      </c>
      <c r="F69" t="s">
        <v>15</v>
      </c>
      <c r="G69" t="s">
        <v>26</v>
      </c>
      <c r="H69" t="s">
        <v>137</v>
      </c>
      <c r="I69" t="s">
        <v>131</v>
      </c>
      <c r="J69" t="s">
        <v>138</v>
      </c>
      <c r="K69">
        <v>4</v>
      </c>
      <c r="L69">
        <v>6</v>
      </c>
      <c r="M69">
        <v>2</v>
      </c>
      <c r="N69">
        <v>0</v>
      </c>
      <c r="O69">
        <f>_xlfn.XLOOKUP(VALINA[[#This Row],[id]],prov_color!A:A,prov_color!C:C)</f>
        <v>19</v>
      </c>
      <c r="P69" t="str">
        <f>_xlfn.XLOOKUP(VALINA[[#This Row],[id]],Table4[id],Table4[name])</f>
        <v>Chesapeake</v>
      </c>
      <c r="Q69" t="str">
        <f>_xlfn.XLOOKUP(VALINA[[#This Row],[name]],Trans!A:A,Trans!B:B)</f>
        <v>Chesapeake</v>
      </c>
    </row>
    <row r="70" spans="1:17" x14ac:dyDescent="0.25">
      <c r="A70">
        <v>69</v>
      </c>
      <c r="B70" t="s">
        <v>11</v>
      </c>
      <c r="C70" t="s">
        <v>12</v>
      </c>
      <c r="D70" t="s">
        <v>127</v>
      </c>
      <c r="E70" t="s">
        <v>34</v>
      </c>
      <c r="F70" t="s">
        <v>15</v>
      </c>
      <c r="G70" t="s">
        <v>122</v>
      </c>
      <c r="H70" t="s">
        <v>139</v>
      </c>
      <c r="I70" t="s">
        <v>131</v>
      </c>
      <c r="J70" t="s">
        <v>140</v>
      </c>
      <c r="K70">
        <v>4</v>
      </c>
      <c r="L70">
        <v>7</v>
      </c>
      <c r="M70">
        <v>2</v>
      </c>
      <c r="N70">
        <v>0</v>
      </c>
      <c r="O70">
        <f>_xlfn.XLOOKUP(VALINA[[#This Row],[id]],prov_color!A:A,prov_color!C:C)</f>
        <v>19</v>
      </c>
      <c r="P70" t="str">
        <f>_xlfn.XLOOKUP(VALINA[[#This Row],[id]],Table4[id],Table4[name])</f>
        <v>Powhatan</v>
      </c>
      <c r="Q70" t="str">
        <f>_xlfn.XLOOKUP(VALINA[[#This Row],[name]],Trans!A:A,Trans!B:B)</f>
        <v>Powhatan</v>
      </c>
    </row>
    <row r="71" spans="1:17" x14ac:dyDescent="0.25">
      <c r="A71">
        <v>70</v>
      </c>
      <c r="B71" t="s">
        <v>11</v>
      </c>
      <c r="C71" t="s">
        <v>12</v>
      </c>
      <c r="D71" t="s">
        <v>127</v>
      </c>
      <c r="E71" t="s">
        <v>14</v>
      </c>
      <c r="F71" t="s">
        <v>15</v>
      </c>
      <c r="G71" t="s">
        <v>122</v>
      </c>
      <c r="H71" t="s">
        <v>139</v>
      </c>
      <c r="I71" t="s">
        <v>141</v>
      </c>
      <c r="J71" t="s">
        <v>142</v>
      </c>
      <c r="K71">
        <v>5</v>
      </c>
      <c r="L71">
        <v>5</v>
      </c>
      <c r="M71">
        <v>2</v>
      </c>
      <c r="N71">
        <v>0</v>
      </c>
      <c r="O71">
        <f>_xlfn.XLOOKUP(VALINA[[#This Row],[id]],prov_color!A:A,prov_color!C:C)</f>
        <v>23</v>
      </c>
      <c r="P71" t="str">
        <f>_xlfn.XLOOKUP(VALINA[[#This Row],[id]],Table4[id],Table4[name])</f>
        <v>Shenandoah</v>
      </c>
      <c r="Q71" t="str">
        <f>_xlfn.XLOOKUP(VALINA[[#This Row],[name]],Trans!A:A,Trans!B:B)</f>
        <v>Shenandoah</v>
      </c>
    </row>
    <row r="72" spans="1:17" x14ac:dyDescent="0.25">
      <c r="A72">
        <v>71</v>
      </c>
      <c r="B72" t="s">
        <v>11</v>
      </c>
      <c r="C72" t="s">
        <v>12</v>
      </c>
      <c r="D72" t="s">
        <v>135</v>
      </c>
      <c r="E72" t="s">
        <v>22</v>
      </c>
      <c r="F72" t="s">
        <v>15</v>
      </c>
      <c r="G72" t="s">
        <v>122</v>
      </c>
      <c r="H72" t="s">
        <v>125</v>
      </c>
      <c r="I72" t="s">
        <v>20</v>
      </c>
      <c r="J72" t="s">
        <v>143</v>
      </c>
      <c r="K72">
        <v>6</v>
      </c>
      <c r="L72">
        <v>3</v>
      </c>
      <c r="M72">
        <v>5</v>
      </c>
      <c r="N72">
        <v>0</v>
      </c>
      <c r="O72">
        <f>_xlfn.XLOOKUP(VALINA[[#This Row],[id]],prov_color!A:A,prov_color!C:C)</f>
        <v>23</v>
      </c>
      <c r="P72" t="str">
        <f>_xlfn.XLOOKUP(VALINA[[#This Row],[id]],Table4[id],Table4[name])</f>
        <v>Erie</v>
      </c>
      <c r="Q72" t="str">
        <f>_xlfn.XLOOKUP(VALINA[[#This Row],[name]],Trans!A:A,Trans!B:B)</f>
        <v>Erie</v>
      </c>
    </row>
    <row r="73" spans="1:17" x14ac:dyDescent="0.25">
      <c r="A73">
        <v>72</v>
      </c>
      <c r="B73" t="s">
        <v>11</v>
      </c>
      <c r="C73" t="s">
        <v>12</v>
      </c>
      <c r="D73" t="s">
        <v>144</v>
      </c>
      <c r="E73" t="s">
        <v>34</v>
      </c>
      <c r="F73" t="s">
        <v>15</v>
      </c>
      <c r="G73" t="s">
        <v>122</v>
      </c>
      <c r="H73" t="s">
        <v>125</v>
      </c>
      <c r="I73" t="s">
        <v>20</v>
      </c>
      <c r="J73" t="s">
        <v>145</v>
      </c>
      <c r="K73">
        <v>6</v>
      </c>
      <c r="L73">
        <v>3</v>
      </c>
      <c r="M73">
        <v>2</v>
      </c>
      <c r="N73">
        <v>0</v>
      </c>
      <c r="O73">
        <f>_xlfn.XLOOKUP(VALINA[[#This Row],[id]],prov_color!A:A,prov_color!C:C)</f>
        <v>44</v>
      </c>
      <c r="P73" t="str">
        <f>_xlfn.XLOOKUP(VALINA[[#This Row],[id]],Table4[id],Table4[name])</f>
        <v>Hindua</v>
      </c>
      <c r="Q73" t="str">
        <f>_xlfn.XLOOKUP(VALINA[[#This Row],[name]],Trans!A:A,Trans!B:B)</f>
        <v>Hindua</v>
      </c>
    </row>
    <row r="74" spans="1:17" x14ac:dyDescent="0.25">
      <c r="A74">
        <v>73</v>
      </c>
      <c r="B74" t="s">
        <v>11</v>
      </c>
      <c r="C74" t="s">
        <v>12</v>
      </c>
      <c r="D74" t="s">
        <v>124</v>
      </c>
      <c r="E74" t="s">
        <v>22</v>
      </c>
      <c r="F74" t="s">
        <v>15</v>
      </c>
      <c r="G74" t="s">
        <v>122</v>
      </c>
      <c r="H74" t="s">
        <v>125</v>
      </c>
      <c r="I74" t="s">
        <v>20</v>
      </c>
      <c r="J74" t="s">
        <v>146</v>
      </c>
      <c r="K74">
        <v>5</v>
      </c>
      <c r="L74">
        <v>3</v>
      </c>
      <c r="M74">
        <v>2</v>
      </c>
      <c r="N74">
        <v>0</v>
      </c>
      <c r="O74">
        <f>_xlfn.XLOOKUP(VALINA[[#This Row],[id]],prov_color!A:A,prov_color!C:C)</f>
        <v>64</v>
      </c>
      <c r="P74" t="str">
        <f>_xlfn.XLOOKUP(VALINA[[#This Row],[id]],Table4[id],Table4[name])</f>
        <v>Fox</v>
      </c>
      <c r="Q74" t="str">
        <f>_xlfn.XLOOKUP(VALINA[[#This Row],[name]],Trans!A:A,Trans!B:B)</f>
        <v>Fox</v>
      </c>
    </row>
    <row r="75" spans="1:17" x14ac:dyDescent="0.25">
      <c r="A75">
        <v>74</v>
      </c>
      <c r="B75" t="s">
        <v>11</v>
      </c>
      <c r="C75" t="s">
        <v>12</v>
      </c>
      <c r="D75" t="s">
        <v>124</v>
      </c>
      <c r="E75" t="s">
        <v>34</v>
      </c>
      <c r="F75" t="s">
        <v>15</v>
      </c>
      <c r="G75" t="s">
        <v>122</v>
      </c>
      <c r="H75" t="s">
        <v>147</v>
      </c>
      <c r="I75" t="s">
        <v>20</v>
      </c>
      <c r="J75" t="s">
        <v>148</v>
      </c>
      <c r="K75">
        <v>5</v>
      </c>
      <c r="L75">
        <v>3</v>
      </c>
      <c r="M75">
        <v>2</v>
      </c>
      <c r="N75">
        <v>0</v>
      </c>
      <c r="O75">
        <f>_xlfn.XLOOKUP(VALINA[[#This Row],[id]],prov_color!A:A,prov_color!C:C)</f>
        <v>58</v>
      </c>
      <c r="P75" t="str">
        <f>_xlfn.XLOOKUP(VALINA[[#This Row],[id]],Table4[id],Table4[name])</f>
        <v>Milwaukee</v>
      </c>
      <c r="Q75" t="str">
        <f>_xlfn.XLOOKUP(VALINA[[#This Row],[name]],Trans!A:A,Trans!B:B)</f>
        <v>Milwaukee</v>
      </c>
    </row>
    <row r="76" spans="1:17" x14ac:dyDescent="0.25">
      <c r="A76">
        <v>75</v>
      </c>
      <c r="B76" t="s">
        <v>11</v>
      </c>
      <c r="C76" t="s">
        <v>12</v>
      </c>
      <c r="D76" t="s">
        <v>121</v>
      </c>
      <c r="E76" t="s">
        <v>34</v>
      </c>
      <c r="F76" t="s">
        <v>15</v>
      </c>
      <c r="G76" t="s">
        <v>122</v>
      </c>
      <c r="H76" t="s">
        <v>147</v>
      </c>
      <c r="I76" t="s">
        <v>43</v>
      </c>
      <c r="J76" t="s">
        <v>149</v>
      </c>
      <c r="K76">
        <v>6</v>
      </c>
      <c r="L76">
        <v>3</v>
      </c>
      <c r="M76">
        <v>1</v>
      </c>
      <c r="N76">
        <v>0</v>
      </c>
      <c r="O76">
        <f>_xlfn.XLOOKUP(VALINA[[#This Row],[id]],prov_color!A:A,prov_color!C:C)</f>
        <v>81</v>
      </c>
      <c r="P76" t="str">
        <f>_xlfn.XLOOKUP(VALINA[[#This Row],[id]],Table4[id],Table4[name])</f>
        <v>Iowa</v>
      </c>
      <c r="Q76" t="str">
        <f>_xlfn.XLOOKUP(VALINA[[#This Row],[name]],Trans!A:A,Trans!B:B)</f>
        <v>Iowa</v>
      </c>
    </row>
    <row r="77" spans="1:17" x14ac:dyDescent="0.25">
      <c r="A77">
        <v>76</v>
      </c>
      <c r="B77" t="s">
        <v>11</v>
      </c>
      <c r="C77" t="s">
        <v>12</v>
      </c>
      <c r="D77" t="s">
        <v>121</v>
      </c>
      <c r="E77" t="s">
        <v>34</v>
      </c>
      <c r="F77" t="s">
        <v>15</v>
      </c>
      <c r="G77" t="s">
        <v>16</v>
      </c>
      <c r="H77" t="s">
        <v>147</v>
      </c>
      <c r="I77" t="s">
        <v>43</v>
      </c>
      <c r="J77" t="s">
        <v>150</v>
      </c>
      <c r="K77">
        <v>7</v>
      </c>
      <c r="L77">
        <v>3</v>
      </c>
      <c r="M77">
        <v>1</v>
      </c>
      <c r="N77">
        <v>0</v>
      </c>
      <c r="O77">
        <f>_xlfn.XLOOKUP(VALINA[[#This Row],[id]],prov_color!A:A,prov_color!C:C)</f>
        <v>75</v>
      </c>
      <c r="P77" t="str">
        <f>_xlfn.XLOOKUP(VALINA[[#This Row],[id]],Table4[id],Table4[name])</f>
        <v>Minnesota</v>
      </c>
      <c r="Q77" t="str">
        <f>_xlfn.XLOOKUP(VALINA[[#This Row],[name]],Trans!A:A,Trans!B:B)</f>
        <v>Minnesota</v>
      </c>
    </row>
    <row r="78" spans="1:17" x14ac:dyDescent="0.25">
      <c r="A78">
        <v>77</v>
      </c>
      <c r="B78" t="s">
        <v>11</v>
      </c>
      <c r="C78" t="s">
        <v>12</v>
      </c>
      <c r="D78" t="s">
        <v>151</v>
      </c>
      <c r="E78" t="s">
        <v>22</v>
      </c>
      <c r="F78" t="s">
        <v>15</v>
      </c>
      <c r="G78" t="s">
        <v>16</v>
      </c>
      <c r="H78" t="s">
        <v>147</v>
      </c>
      <c r="I78" t="s">
        <v>43</v>
      </c>
      <c r="J78" t="s">
        <v>152</v>
      </c>
      <c r="K78">
        <v>7</v>
      </c>
      <c r="L78">
        <v>2</v>
      </c>
      <c r="M78">
        <v>1</v>
      </c>
      <c r="N78">
        <v>0</v>
      </c>
      <c r="O78">
        <f>_xlfn.XLOOKUP(VALINA[[#This Row],[id]],prov_color!A:A,prov_color!C:C)</f>
        <v>46</v>
      </c>
      <c r="P78" t="str">
        <f>_xlfn.XLOOKUP(VALINA[[#This Row],[id]],Table4[id],Table4[name])</f>
        <v>Mesabi</v>
      </c>
      <c r="Q78" t="str">
        <f>_xlfn.XLOOKUP(VALINA[[#This Row],[name]],Trans!A:A,Trans!B:B)</f>
        <v>Mesabi</v>
      </c>
    </row>
    <row r="79" spans="1:17" x14ac:dyDescent="0.25">
      <c r="A79">
        <v>78</v>
      </c>
      <c r="B79" t="s">
        <v>11</v>
      </c>
      <c r="C79" t="s">
        <v>12</v>
      </c>
      <c r="D79" t="s">
        <v>151</v>
      </c>
      <c r="E79" t="s">
        <v>22</v>
      </c>
      <c r="F79" t="s">
        <v>15</v>
      </c>
      <c r="G79" t="s">
        <v>16</v>
      </c>
      <c r="H79" t="s">
        <v>147</v>
      </c>
      <c r="I79" t="s">
        <v>43</v>
      </c>
      <c r="J79" t="s">
        <v>153</v>
      </c>
      <c r="K79">
        <v>6</v>
      </c>
      <c r="L79">
        <v>3</v>
      </c>
      <c r="M79">
        <v>2</v>
      </c>
      <c r="N79">
        <v>0</v>
      </c>
      <c r="O79">
        <f>_xlfn.XLOOKUP(VALINA[[#This Row],[id]],prov_color!A:A,prov_color!C:C)</f>
        <v>96</v>
      </c>
      <c r="P79" t="str">
        <f>_xlfn.XLOOKUP(VALINA[[#This Row],[id]],Table4[id],Table4[name])</f>
        <v>Duluth</v>
      </c>
      <c r="Q79" t="str">
        <f>_xlfn.XLOOKUP(VALINA[[#This Row],[name]],Trans!A:A,Trans!B:B)</f>
        <v>Duluth</v>
      </c>
    </row>
    <row r="80" spans="1:17" x14ac:dyDescent="0.25">
      <c r="A80">
        <v>79</v>
      </c>
      <c r="B80" t="s">
        <v>11</v>
      </c>
      <c r="C80" t="s">
        <v>12</v>
      </c>
      <c r="D80" t="s">
        <v>151</v>
      </c>
      <c r="E80" t="s">
        <v>22</v>
      </c>
      <c r="F80" t="s">
        <v>15</v>
      </c>
      <c r="G80" t="s">
        <v>122</v>
      </c>
      <c r="H80" t="s">
        <v>147</v>
      </c>
      <c r="I80" t="s">
        <v>141</v>
      </c>
      <c r="J80" t="s">
        <v>154</v>
      </c>
      <c r="K80">
        <v>7</v>
      </c>
      <c r="L80">
        <v>2</v>
      </c>
      <c r="M80">
        <v>2</v>
      </c>
      <c r="N80">
        <v>0</v>
      </c>
      <c r="O80">
        <f>_xlfn.XLOOKUP(VALINA[[#This Row],[id]],prov_color!A:A,prov_color!C:C)</f>
        <v>59</v>
      </c>
      <c r="P80" t="str">
        <f>_xlfn.XLOOKUP(VALINA[[#This Row],[id]],Table4[id],Table4[name])</f>
        <v>Wisconsin</v>
      </c>
      <c r="Q80" t="str">
        <f>_xlfn.XLOOKUP(VALINA[[#This Row],[name]],Trans!A:A,Trans!B:B)</f>
        <v>Wisconsin</v>
      </c>
    </row>
    <row r="81" spans="1:17" x14ac:dyDescent="0.25">
      <c r="A81">
        <v>80</v>
      </c>
      <c r="B81" t="s">
        <v>11</v>
      </c>
      <c r="C81" t="s">
        <v>12</v>
      </c>
      <c r="D81" t="s">
        <v>124</v>
      </c>
      <c r="E81" t="s">
        <v>22</v>
      </c>
      <c r="F81" t="s">
        <v>15</v>
      </c>
      <c r="G81" t="s">
        <v>122</v>
      </c>
      <c r="H81" t="s">
        <v>147</v>
      </c>
      <c r="I81" t="s">
        <v>20</v>
      </c>
      <c r="J81" t="s">
        <v>155</v>
      </c>
      <c r="K81">
        <v>6</v>
      </c>
      <c r="L81">
        <v>2</v>
      </c>
      <c r="M81">
        <v>2</v>
      </c>
      <c r="N81">
        <v>0</v>
      </c>
      <c r="O81">
        <f>_xlfn.XLOOKUP(VALINA[[#This Row],[id]],prov_color!A:A,prov_color!C:C)</f>
        <v>48</v>
      </c>
      <c r="P81" t="str">
        <f>_xlfn.XLOOKUP(VALINA[[#This Row],[id]],Table4[id],Table4[name])</f>
        <v>Oskosh</v>
      </c>
      <c r="Q81" t="str">
        <f>_xlfn.XLOOKUP(VALINA[[#This Row],[name]],Trans!A:A,Trans!B:B)</f>
        <v>Oskosh</v>
      </c>
    </row>
    <row r="82" spans="1:17" x14ac:dyDescent="0.25">
      <c r="A82">
        <v>81</v>
      </c>
      <c r="B82" t="s">
        <v>11</v>
      </c>
      <c r="C82" t="s">
        <v>12</v>
      </c>
      <c r="D82" t="s">
        <v>144</v>
      </c>
      <c r="E82" t="s">
        <v>22</v>
      </c>
      <c r="F82" t="s">
        <v>15</v>
      </c>
      <c r="G82" t="s">
        <v>122</v>
      </c>
      <c r="H82" t="s">
        <v>125</v>
      </c>
      <c r="I82" t="s">
        <v>20</v>
      </c>
      <c r="J82" t="s">
        <v>156</v>
      </c>
      <c r="K82">
        <v>6</v>
      </c>
      <c r="L82">
        <v>3</v>
      </c>
      <c r="M82">
        <v>1</v>
      </c>
      <c r="N82">
        <v>0</v>
      </c>
      <c r="O82">
        <f>_xlfn.XLOOKUP(VALINA[[#This Row],[id]],prov_color!A:A,prov_color!C:C)</f>
        <v>39</v>
      </c>
      <c r="P82" t="str">
        <f>_xlfn.XLOOKUP(VALINA[[#This Row],[id]],Table4[id],Table4[name])</f>
        <v>Michilimakinak</v>
      </c>
      <c r="Q82" t="str">
        <f>_xlfn.XLOOKUP(VALINA[[#This Row],[name]],Trans!A:A,Trans!B:B)</f>
        <v>Michilimakinak</v>
      </c>
    </row>
    <row r="83" spans="1:17" x14ac:dyDescent="0.25">
      <c r="A83">
        <v>82</v>
      </c>
      <c r="B83" t="s">
        <v>11</v>
      </c>
      <c r="C83" t="s">
        <v>12</v>
      </c>
      <c r="D83" t="s">
        <v>144</v>
      </c>
      <c r="E83" t="s">
        <v>34</v>
      </c>
      <c r="F83" t="s">
        <v>15</v>
      </c>
      <c r="G83" t="s">
        <v>122</v>
      </c>
      <c r="H83" t="s">
        <v>125</v>
      </c>
      <c r="I83" t="s">
        <v>20</v>
      </c>
      <c r="J83" t="s">
        <v>157</v>
      </c>
      <c r="K83">
        <v>5</v>
      </c>
      <c r="L83">
        <v>3</v>
      </c>
      <c r="M83">
        <v>1</v>
      </c>
      <c r="N83">
        <v>0</v>
      </c>
      <c r="O83">
        <f>_xlfn.XLOOKUP(VALINA[[#This Row],[id]],prov_color!A:A,prov_color!C:C)</f>
        <v>28</v>
      </c>
      <c r="P83" t="str">
        <f>_xlfn.XLOOKUP(VALINA[[#This Row],[id]],Table4[id],Table4[name])</f>
        <v>Detroit</v>
      </c>
      <c r="Q83" t="str">
        <f>_xlfn.XLOOKUP(VALINA[[#This Row],[name]],Trans!A:A,Trans!B:B)</f>
        <v>Detroit</v>
      </c>
    </row>
    <row r="84" spans="1:17" x14ac:dyDescent="0.25">
      <c r="A84">
        <v>83</v>
      </c>
      <c r="B84" t="s">
        <v>11</v>
      </c>
      <c r="C84" t="s">
        <v>12</v>
      </c>
      <c r="D84" t="s">
        <v>135</v>
      </c>
      <c r="E84" t="s">
        <v>14</v>
      </c>
      <c r="F84" t="s">
        <v>15</v>
      </c>
      <c r="G84" t="s">
        <v>122</v>
      </c>
      <c r="H84" t="s">
        <v>139</v>
      </c>
      <c r="I84" t="s">
        <v>20</v>
      </c>
      <c r="J84" t="s">
        <v>158</v>
      </c>
      <c r="K84">
        <v>7</v>
      </c>
      <c r="L84">
        <v>2</v>
      </c>
      <c r="M84">
        <v>2</v>
      </c>
      <c r="N84">
        <v>0</v>
      </c>
      <c r="O84">
        <f>_xlfn.XLOOKUP(VALINA[[#This Row],[id]],prov_color!A:A,prov_color!C:C)</f>
        <v>18</v>
      </c>
      <c r="P84" t="str">
        <f>_xlfn.XLOOKUP(VALINA[[#This Row],[id]],Table4[id],Table4[name])</f>
        <v>Irondekoit</v>
      </c>
      <c r="Q84" t="str">
        <f>_xlfn.XLOOKUP(VALINA[[#This Row],[name]],Trans!A:A,Trans!B:B)</f>
        <v>Irondekoit</v>
      </c>
    </row>
    <row r="85" spans="1:17" x14ac:dyDescent="0.25">
      <c r="A85">
        <v>84</v>
      </c>
      <c r="B85" t="s">
        <v>11</v>
      </c>
      <c r="C85" t="s">
        <v>12</v>
      </c>
      <c r="D85" t="s">
        <v>127</v>
      </c>
      <c r="E85" t="s">
        <v>22</v>
      </c>
      <c r="F85" t="s">
        <v>15</v>
      </c>
      <c r="G85" t="s">
        <v>122</v>
      </c>
      <c r="H85" t="s">
        <v>139</v>
      </c>
      <c r="I85" t="s">
        <v>20</v>
      </c>
      <c r="J85" t="s">
        <v>159</v>
      </c>
      <c r="K85">
        <v>5</v>
      </c>
      <c r="L85">
        <v>4</v>
      </c>
      <c r="M85">
        <v>2</v>
      </c>
      <c r="N85">
        <v>0</v>
      </c>
      <c r="O85">
        <f>_xlfn.XLOOKUP(VALINA[[#This Row],[id]],prov_color!A:A,prov_color!C:C)</f>
        <v>21</v>
      </c>
      <c r="P85" t="str">
        <f>_xlfn.XLOOKUP(VALINA[[#This Row],[id]],Table4[id],Table4[name])</f>
        <v>Tuscarora</v>
      </c>
      <c r="Q85" t="str">
        <f>_xlfn.XLOOKUP(VALINA[[#This Row],[name]],Trans!A:A,Trans!B:B)</f>
        <v>Tuscarora</v>
      </c>
    </row>
    <row r="86" spans="1:17" x14ac:dyDescent="0.25">
      <c r="A86">
        <v>85</v>
      </c>
      <c r="B86" t="s">
        <v>11</v>
      </c>
      <c r="C86" t="s">
        <v>12</v>
      </c>
      <c r="D86" t="s">
        <v>127</v>
      </c>
      <c r="E86" t="s">
        <v>22</v>
      </c>
      <c r="F86" t="s">
        <v>15</v>
      </c>
      <c r="G86" t="s">
        <v>122</v>
      </c>
      <c r="H86" t="s">
        <v>139</v>
      </c>
      <c r="I86" t="s">
        <v>43</v>
      </c>
      <c r="J86" t="s">
        <v>160</v>
      </c>
      <c r="K86">
        <v>5</v>
      </c>
      <c r="L86">
        <v>6</v>
      </c>
      <c r="M86">
        <v>2</v>
      </c>
      <c r="N86">
        <v>0</v>
      </c>
      <c r="O86">
        <f>_xlfn.XLOOKUP(VALINA[[#This Row],[id]],prov_color!A:A,prov_color!C:C)</f>
        <v>12</v>
      </c>
      <c r="P86" t="str">
        <f>_xlfn.XLOOKUP(VALINA[[#This Row],[id]],Table4[id],Table4[name])</f>
        <v>Susquehanna</v>
      </c>
      <c r="Q86" t="str">
        <f>_xlfn.XLOOKUP(VALINA[[#This Row],[name]],Trans!A:A,Trans!B:B)</f>
        <v>Susquehanna</v>
      </c>
    </row>
    <row r="87" spans="1:17" x14ac:dyDescent="0.25">
      <c r="A87">
        <v>86</v>
      </c>
      <c r="B87" t="s">
        <v>11</v>
      </c>
      <c r="C87" t="s">
        <v>12</v>
      </c>
      <c r="D87" t="s">
        <v>127</v>
      </c>
      <c r="E87" t="s">
        <v>22</v>
      </c>
      <c r="F87" t="s">
        <v>15</v>
      </c>
      <c r="G87" t="s">
        <v>26</v>
      </c>
      <c r="H87" t="s">
        <v>137</v>
      </c>
      <c r="I87" t="s">
        <v>131</v>
      </c>
      <c r="J87" t="s">
        <v>161</v>
      </c>
      <c r="K87">
        <v>4</v>
      </c>
      <c r="L87">
        <v>6</v>
      </c>
      <c r="M87">
        <v>3</v>
      </c>
      <c r="N87">
        <v>0</v>
      </c>
      <c r="O87">
        <f>_xlfn.XLOOKUP(VALINA[[#This Row],[id]],prov_color!A:A,prov_color!C:C)</f>
        <v>19</v>
      </c>
      <c r="P87" t="str">
        <f>_xlfn.XLOOKUP(VALINA[[#This Row],[id]],Table4[id],Table4[name])</f>
        <v>Delaware</v>
      </c>
      <c r="Q87" t="str">
        <f>_xlfn.XLOOKUP(VALINA[[#This Row],[name]],Trans!A:A,Trans!B:B)</f>
        <v>Delaware</v>
      </c>
    </row>
    <row r="88" spans="1:17" x14ac:dyDescent="0.25">
      <c r="A88">
        <v>87</v>
      </c>
      <c r="B88" t="s">
        <v>11</v>
      </c>
      <c r="C88" t="s">
        <v>12</v>
      </c>
      <c r="D88" t="s">
        <v>127</v>
      </c>
      <c r="E88" t="s">
        <v>22</v>
      </c>
      <c r="F88" t="s">
        <v>15</v>
      </c>
      <c r="G88" t="s">
        <v>26</v>
      </c>
      <c r="H88" t="s">
        <v>137</v>
      </c>
      <c r="I88" t="s">
        <v>20</v>
      </c>
      <c r="J88" t="s">
        <v>162</v>
      </c>
      <c r="K88">
        <v>4</v>
      </c>
      <c r="L88">
        <v>7</v>
      </c>
      <c r="M88">
        <v>2</v>
      </c>
      <c r="N88">
        <v>0</v>
      </c>
      <c r="O88">
        <f>_xlfn.XLOOKUP(VALINA[[#This Row],[id]],prov_color!A:A,prov_color!C:C)</f>
        <v>18</v>
      </c>
      <c r="P88" t="str">
        <f>_xlfn.XLOOKUP(VALINA[[#This Row],[id]],Table4[id],Table4[name])</f>
        <v>Manhattan</v>
      </c>
      <c r="Q88" t="str">
        <f>_xlfn.XLOOKUP(VALINA[[#This Row],[name]],Trans!A:A,Trans!B:B)</f>
        <v>Manhattan</v>
      </c>
    </row>
    <row r="89" spans="1:17" x14ac:dyDescent="0.25">
      <c r="A89">
        <v>88</v>
      </c>
      <c r="B89" t="s">
        <v>11</v>
      </c>
      <c r="C89" t="s">
        <v>12</v>
      </c>
      <c r="D89" t="s">
        <v>127</v>
      </c>
      <c r="E89" t="s">
        <v>14</v>
      </c>
      <c r="F89" t="s">
        <v>15</v>
      </c>
      <c r="G89" t="s">
        <v>122</v>
      </c>
      <c r="H89" t="s">
        <v>139</v>
      </c>
      <c r="I89" t="s">
        <v>20</v>
      </c>
      <c r="J89" t="s">
        <v>163</v>
      </c>
      <c r="K89">
        <v>5</v>
      </c>
      <c r="L89">
        <v>4</v>
      </c>
      <c r="M89">
        <v>1</v>
      </c>
      <c r="N89">
        <v>0</v>
      </c>
      <c r="O89">
        <f>_xlfn.XLOOKUP(VALINA[[#This Row],[id]],prov_color!A:A,prov_color!C:C)</f>
        <v>14</v>
      </c>
      <c r="P89" t="str">
        <f>_xlfn.XLOOKUP(VALINA[[#This Row],[id]],Table4[id],Table4[name])</f>
        <v>Catskill</v>
      </c>
      <c r="Q89" t="str">
        <f>_xlfn.XLOOKUP(VALINA[[#This Row],[name]],Trans!A:A,Trans!B:B)</f>
        <v>Catskill</v>
      </c>
    </row>
    <row r="90" spans="1:17" x14ac:dyDescent="0.25">
      <c r="A90">
        <v>89</v>
      </c>
      <c r="B90" t="s">
        <v>11</v>
      </c>
      <c r="C90" t="s">
        <v>12</v>
      </c>
      <c r="D90" t="s">
        <v>127</v>
      </c>
      <c r="E90" t="s">
        <v>14</v>
      </c>
      <c r="F90" t="s">
        <v>15</v>
      </c>
      <c r="G90" t="s">
        <v>122</v>
      </c>
      <c r="H90" t="s">
        <v>139</v>
      </c>
      <c r="I90" t="s">
        <v>20</v>
      </c>
      <c r="J90" t="s">
        <v>164</v>
      </c>
      <c r="K90">
        <v>6</v>
      </c>
      <c r="L90">
        <v>2</v>
      </c>
      <c r="M90">
        <v>1</v>
      </c>
      <c r="N90">
        <v>0</v>
      </c>
      <c r="O90">
        <f>_xlfn.XLOOKUP(VALINA[[#This Row],[id]],prov_color!A:A,prov_color!C:C)</f>
        <v>17</v>
      </c>
      <c r="P90" t="str">
        <f>_xlfn.XLOOKUP(VALINA[[#This Row],[id]],Table4[id],Table4[name])</f>
        <v>Oswego</v>
      </c>
      <c r="Q90" t="str">
        <f>_xlfn.XLOOKUP(VALINA[[#This Row],[name]],Trans!A:A,Trans!B:B)</f>
        <v>Oswego</v>
      </c>
    </row>
    <row r="91" spans="1:17" x14ac:dyDescent="0.25">
      <c r="A91">
        <v>90</v>
      </c>
      <c r="B91" t="s">
        <v>11</v>
      </c>
      <c r="C91" t="s">
        <v>12</v>
      </c>
      <c r="D91" t="s">
        <v>135</v>
      </c>
      <c r="E91" t="s">
        <v>14</v>
      </c>
      <c r="F91" t="s">
        <v>15</v>
      </c>
      <c r="G91" t="s">
        <v>122</v>
      </c>
      <c r="H91" t="s">
        <v>139</v>
      </c>
      <c r="I91" t="s">
        <v>20</v>
      </c>
      <c r="J91" t="s">
        <v>165</v>
      </c>
      <c r="K91">
        <v>7</v>
      </c>
      <c r="L91">
        <v>3</v>
      </c>
      <c r="M91">
        <v>2</v>
      </c>
      <c r="N91">
        <v>0</v>
      </c>
      <c r="O91">
        <f>_xlfn.XLOOKUP(VALINA[[#This Row],[id]],prov_color!A:A,prov_color!C:C)</f>
        <v>13</v>
      </c>
      <c r="P91" t="str">
        <f>_xlfn.XLOOKUP(VALINA[[#This Row],[id]],Table4[id],Table4[name])</f>
        <v>Mohawk</v>
      </c>
      <c r="Q91" t="str">
        <f>_xlfn.XLOOKUP(VALINA[[#This Row],[name]],Trans!A:A,Trans!B:B)</f>
        <v>Mohawk</v>
      </c>
    </row>
    <row r="92" spans="1:17" x14ac:dyDescent="0.25">
      <c r="A92">
        <v>91</v>
      </c>
      <c r="B92" t="s">
        <v>11</v>
      </c>
      <c r="C92" t="s">
        <v>12</v>
      </c>
      <c r="D92" t="s">
        <v>135</v>
      </c>
      <c r="E92" t="s">
        <v>22</v>
      </c>
      <c r="F92" t="s">
        <v>15</v>
      </c>
      <c r="G92" t="s">
        <v>122</v>
      </c>
      <c r="H92" t="s">
        <v>139</v>
      </c>
      <c r="I92" t="s">
        <v>20</v>
      </c>
      <c r="J92" t="s">
        <v>166</v>
      </c>
      <c r="K92">
        <v>7</v>
      </c>
      <c r="L92">
        <v>3</v>
      </c>
      <c r="M92">
        <v>2</v>
      </c>
      <c r="N92">
        <v>0</v>
      </c>
      <c r="O92">
        <f>_xlfn.XLOOKUP(VALINA[[#This Row],[id]],prov_color!A:A,prov_color!C:C)</f>
        <v>13</v>
      </c>
      <c r="P92" t="str">
        <f>_xlfn.XLOOKUP(VALINA[[#This Row],[id]],Table4[id],Table4[name])</f>
        <v>Onondaga</v>
      </c>
      <c r="Q92" t="str">
        <f>_xlfn.XLOOKUP(VALINA[[#This Row],[name]],Trans!A:A,Trans!B:B)</f>
        <v>Onondaga</v>
      </c>
    </row>
    <row r="93" spans="1:17" x14ac:dyDescent="0.25">
      <c r="A93">
        <v>92</v>
      </c>
      <c r="B93" t="s">
        <v>11</v>
      </c>
      <c r="C93" t="s">
        <v>12</v>
      </c>
      <c r="D93" t="s">
        <v>144</v>
      </c>
      <c r="E93" t="s">
        <v>22</v>
      </c>
      <c r="F93" t="s">
        <v>15</v>
      </c>
      <c r="G93" t="s">
        <v>122</v>
      </c>
      <c r="H93" t="s">
        <v>167</v>
      </c>
      <c r="I93" t="s">
        <v>20</v>
      </c>
      <c r="J93" t="s">
        <v>168</v>
      </c>
      <c r="K93">
        <v>4</v>
      </c>
      <c r="L93">
        <v>4</v>
      </c>
      <c r="M93">
        <v>2</v>
      </c>
      <c r="N93">
        <v>0</v>
      </c>
      <c r="O93">
        <f>_xlfn.XLOOKUP(VALINA[[#This Row],[id]],prov_color!A:A,prov_color!C:C)</f>
        <v>29</v>
      </c>
      <c r="P93" t="str">
        <f>_xlfn.XLOOKUP(VALINA[[#This Row],[id]],Table4[id],Table4[name])</f>
        <v>Niagara</v>
      </c>
      <c r="Q93" t="str">
        <f>_xlfn.XLOOKUP(VALINA[[#This Row],[name]],Trans!A:A,Trans!B:B)</f>
        <v>Niagara</v>
      </c>
    </row>
    <row r="94" spans="1:17" x14ac:dyDescent="0.25">
      <c r="A94">
        <v>93</v>
      </c>
      <c r="B94" t="s">
        <v>11</v>
      </c>
      <c r="C94" t="s">
        <v>12</v>
      </c>
      <c r="D94" t="s">
        <v>144</v>
      </c>
      <c r="E94" t="s">
        <v>22</v>
      </c>
      <c r="F94" t="s">
        <v>15</v>
      </c>
      <c r="G94" t="s">
        <v>122</v>
      </c>
      <c r="H94" t="s">
        <v>147</v>
      </c>
      <c r="I94" t="s">
        <v>20</v>
      </c>
      <c r="J94" t="s">
        <v>169</v>
      </c>
      <c r="K94">
        <v>7</v>
      </c>
      <c r="L94">
        <v>3</v>
      </c>
      <c r="M94">
        <v>1</v>
      </c>
      <c r="N94">
        <v>0</v>
      </c>
      <c r="O94">
        <f>_xlfn.XLOOKUP(VALINA[[#This Row],[id]],prov_color!A:A,prov_color!C:C)</f>
        <v>38</v>
      </c>
      <c r="P94" t="str">
        <f>_xlfn.XLOOKUP(VALINA[[#This Row],[id]],Table4[id],Table4[name])</f>
        <v>Sault</v>
      </c>
      <c r="Q94" t="str">
        <f>_xlfn.XLOOKUP(VALINA[[#This Row],[name]],Trans!A:A,Trans!B:B)</f>
        <v>Sault</v>
      </c>
    </row>
    <row r="95" spans="1:17" x14ac:dyDescent="0.25">
      <c r="A95">
        <v>94</v>
      </c>
      <c r="B95" t="s">
        <v>11</v>
      </c>
      <c r="C95" t="s">
        <v>12</v>
      </c>
      <c r="D95" t="s">
        <v>151</v>
      </c>
      <c r="E95" t="s">
        <v>22</v>
      </c>
      <c r="F95" t="s">
        <v>15</v>
      </c>
      <c r="G95" t="s">
        <v>16</v>
      </c>
      <c r="H95" t="s">
        <v>167</v>
      </c>
      <c r="I95" t="s">
        <v>1612</v>
      </c>
      <c r="J95" t="s">
        <v>170</v>
      </c>
      <c r="K95">
        <v>8</v>
      </c>
      <c r="L95">
        <v>2</v>
      </c>
      <c r="M95">
        <v>2</v>
      </c>
      <c r="N95">
        <v>0</v>
      </c>
      <c r="O95">
        <f>_xlfn.XLOOKUP(VALINA[[#This Row],[id]],prov_color!A:A,prov_color!C:C)</f>
        <v>61</v>
      </c>
      <c r="P95" t="str">
        <f>_xlfn.XLOOKUP(VALINA[[#This Row],[id]],Table4[id],Table4[name])</f>
        <v>Superior</v>
      </c>
      <c r="Q95" t="str">
        <f>_xlfn.XLOOKUP(VALINA[[#This Row],[name]],Trans!A:A,Trans!B:B)</f>
        <v>Superior</v>
      </c>
    </row>
    <row r="96" spans="1:17" x14ac:dyDescent="0.25">
      <c r="A96">
        <v>95</v>
      </c>
      <c r="B96" t="s">
        <v>11</v>
      </c>
      <c r="C96" t="s">
        <v>12</v>
      </c>
      <c r="D96" t="s">
        <v>144</v>
      </c>
      <c r="E96" t="s">
        <v>22</v>
      </c>
      <c r="F96" t="s">
        <v>15</v>
      </c>
      <c r="G96" t="s">
        <v>16</v>
      </c>
      <c r="H96" t="s">
        <v>167</v>
      </c>
      <c r="I96" t="s">
        <v>20</v>
      </c>
      <c r="J96" t="s">
        <v>171</v>
      </c>
      <c r="K96">
        <v>7</v>
      </c>
      <c r="L96">
        <v>2</v>
      </c>
      <c r="M96">
        <v>1</v>
      </c>
      <c r="N96">
        <v>0</v>
      </c>
      <c r="O96">
        <f>_xlfn.XLOOKUP(VALINA[[#This Row],[id]],prov_color!A:A,prov_color!C:C)</f>
        <v>54</v>
      </c>
      <c r="P96" t="str">
        <f>_xlfn.XLOOKUP(VALINA[[#This Row],[id]],Table4[id],Table4[name])</f>
        <v>Nipigon</v>
      </c>
      <c r="Q96" t="str">
        <f>_xlfn.XLOOKUP(VALINA[[#This Row],[name]],Trans!A:A,Trans!B:B)</f>
        <v>Nipigon</v>
      </c>
    </row>
    <row r="97" spans="1:17" x14ac:dyDescent="0.25">
      <c r="A97">
        <v>96</v>
      </c>
      <c r="B97" t="s">
        <v>11</v>
      </c>
      <c r="C97" t="s">
        <v>12</v>
      </c>
      <c r="D97" t="s">
        <v>144</v>
      </c>
      <c r="E97" t="s">
        <v>22</v>
      </c>
      <c r="F97" t="s">
        <v>15</v>
      </c>
      <c r="G97" t="s">
        <v>16</v>
      </c>
      <c r="H97" t="s">
        <v>167</v>
      </c>
      <c r="I97" t="s">
        <v>20</v>
      </c>
      <c r="J97" t="s">
        <v>172</v>
      </c>
      <c r="K97">
        <v>7</v>
      </c>
      <c r="L97">
        <v>2</v>
      </c>
      <c r="M97">
        <v>1</v>
      </c>
      <c r="N97">
        <v>0</v>
      </c>
      <c r="O97">
        <f>_xlfn.XLOOKUP(VALINA[[#This Row],[id]],prov_color!A:A,prov_color!C:C)</f>
        <v>64</v>
      </c>
      <c r="P97" t="str">
        <f>_xlfn.XLOOKUP(VALINA[[#This Row],[id]],Table4[id],Table4[name])</f>
        <v>Nipissing</v>
      </c>
      <c r="Q97" t="str">
        <f>_xlfn.XLOOKUP(VALINA[[#This Row],[name]],Trans!A:A,Trans!B:B)</f>
        <v>Nipissing</v>
      </c>
    </row>
    <row r="98" spans="1:17" x14ac:dyDescent="0.25">
      <c r="A98">
        <v>97</v>
      </c>
      <c r="B98" t="s">
        <v>11</v>
      </c>
      <c r="C98" t="s">
        <v>12</v>
      </c>
      <c r="D98" t="s">
        <v>144</v>
      </c>
      <c r="E98" t="s">
        <v>22</v>
      </c>
      <c r="F98" t="s">
        <v>15</v>
      </c>
      <c r="G98" t="s">
        <v>122</v>
      </c>
      <c r="H98" t="s">
        <v>167</v>
      </c>
      <c r="I98" t="s">
        <v>43</v>
      </c>
      <c r="J98" t="s">
        <v>173</v>
      </c>
      <c r="K98">
        <v>4</v>
      </c>
      <c r="L98">
        <v>3</v>
      </c>
      <c r="M98">
        <v>2</v>
      </c>
      <c r="N98">
        <v>0</v>
      </c>
      <c r="O98">
        <f>_xlfn.XLOOKUP(VALINA[[#This Row],[id]],prov_color!A:A,prov_color!C:C)</f>
        <v>26</v>
      </c>
      <c r="P98" t="str">
        <f>_xlfn.XLOOKUP(VALINA[[#This Row],[id]],Table4[id],Table4[name])</f>
        <v>Oshawa</v>
      </c>
      <c r="Q98" t="str">
        <f>_xlfn.XLOOKUP(VALINA[[#This Row],[name]],Trans!A:A,Trans!B:B)</f>
        <v>Oshawa</v>
      </c>
    </row>
    <row r="99" spans="1:17" x14ac:dyDescent="0.25">
      <c r="A99">
        <v>98</v>
      </c>
      <c r="B99" t="s">
        <v>11</v>
      </c>
      <c r="C99" t="s">
        <v>12</v>
      </c>
      <c r="D99" t="s">
        <v>144</v>
      </c>
      <c r="E99" t="s">
        <v>22</v>
      </c>
      <c r="F99" t="s">
        <v>15</v>
      </c>
      <c r="G99" t="s">
        <v>122</v>
      </c>
      <c r="H99" t="s">
        <v>167</v>
      </c>
      <c r="I99" t="s">
        <v>20</v>
      </c>
      <c r="J99" t="s">
        <v>174</v>
      </c>
      <c r="K99">
        <v>5</v>
      </c>
      <c r="L99">
        <v>5</v>
      </c>
      <c r="M99">
        <v>4</v>
      </c>
      <c r="N99">
        <v>0</v>
      </c>
      <c r="O99">
        <f>_xlfn.XLOOKUP(VALINA[[#This Row],[id]],prov_color!A:A,prov_color!C:C)</f>
        <v>29</v>
      </c>
      <c r="P99" t="str">
        <f>_xlfn.XLOOKUP(VALINA[[#This Row],[id]],Table4[id],Table4[name])</f>
        <v>Huron</v>
      </c>
      <c r="Q99" t="str">
        <f>_xlfn.XLOOKUP(VALINA[[#This Row],[name]],Trans!A:A,Trans!B:B)</f>
        <v>Huron</v>
      </c>
    </row>
    <row r="100" spans="1:17" x14ac:dyDescent="0.25">
      <c r="A100">
        <v>99</v>
      </c>
      <c r="B100" t="s">
        <v>11</v>
      </c>
      <c r="C100" t="s">
        <v>12</v>
      </c>
      <c r="D100" t="s">
        <v>127</v>
      </c>
      <c r="E100" t="s">
        <v>22</v>
      </c>
      <c r="F100" t="s">
        <v>15</v>
      </c>
      <c r="G100" t="s">
        <v>122</v>
      </c>
      <c r="H100" t="s">
        <v>167</v>
      </c>
      <c r="I100" t="s">
        <v>20</v>
      </c>
      <c r="J100" t="s">
        <v>175</v>
      </c>
      <c r="K100">
        <v>5</v>
      </c>
      <c r="L100">
        <v>5</v>
      </c>
      <c r="M100">
        <v>2</v>
      </c>
      <c r="N100">
        <v>0</v>
      </c>
      <c r="O100">
        <f>_xlfn.XLOOKUP(VALINA[[#This Row],[id]],prov_color!A:A,prov_color!C:C)</f>
        <v>19</v>
      </c>
      <c r="P100" t="str">
        <f>_xlfn.XLOOKUP(VALINA[[#This Row],[id]],Table4[id],Table4[name])</f>
        <v>Ticonderoga</v>
      </c>
      <c r="Q100" t="str">
        <f>_xlfn.XLOOKUP(VALINA[[#This Row],[name]],Trans!A:A,Trans!B:B)</f>
        <v>Ticonderoga</v>
      </c>
    </row>
    <row r="101" spans="1:17" x14ac:dyDescent="0.25">
      <c r="A101">
        <v>100</v>
      </c>
      <c r="B101" t="s">
        <v>11</v>
      </c>
      <c r="C101" t="s">
        <v>12</v>
      </c>
      <c r="D101" t="s">
        <v>127</v>
      </c>
      <c r="E101" t="s">
        <v>22</v>
      </c>
      <c r="F101" t="s">
        <v>15</v>
      </c>
      <c r="G101" t="s">
        <v>122</v>
      </c>
      <c r="H101" t="s">
        <v>139</v>
      </c>
      <c r="I101" t="s">
        <v>20</v>
      </c>
      <c r="J101" t="s">
        <v>176</v>
      </c>
      <c r="K101">
        <v>5</v>
      </c>
      <c r="L101">
        <v>5</v>
      </c>
      <c r="M101">
        <v>2</v>
      </c>
      <c r="N101">
        <v>0</v>
      </c>
      <c r="O101">
        <f>_xlfn.XLOOKUP(VALINA[[#This Row],[id]],prov_color!A:A,prov_color!C:C)</f>
        <v>22</v>
      </c>
      <c r="P101" t="str">
        <f>_xlfn.XLOOKUP(VALINA[[#This Row],[id]],Table4[id],Table4[name])</f>
        <v>Adirondak</v>
      </c>
      <c r="Q101" t="str">
        <f>_xlfn.XLOOKUP(VALINA[[#This Row],[name]],Trans!A:A,Trans!B:B)</f>
        <v>Adirondak</v>
      </c>
    </row>
    <row r="102" spans="1:17" x14ac:dyDescent="0.25">
      <c r="A102">
        <v>101</v>
      </c>
      <c r="B102" t="s">
        <v>11</v>
      </c>
      <c r="C102" t="s">
        <v>12</v>
      </c>
      <c r="D102" t="s">
        <v>177</v>
      </c>
      <c r="E102" t="s">
        <v>22</v>
      </c>
      <c r="F102" t="s">
        <v>15</v>
      </c>
      <c r="G102" t="s">
        <v>122</v>
      </c>
      <c r="H102" t="s">
        <v>139</v>
      </c>
      <c r="I102" t="s">
        <v>1612</v>
      </c>
      <c r="J102" t="s">
        <v>178</v>
      </c>
      <c r="K102">
        <v>6</v>
      </c>
      <c r="L102">
        <v>4</v>
      </c>
      <c r="M102">
        <v>1</v>
      </c>
      <c r="N102">
        <v>0</v>
      </c>
      <c r="O102">
        <f>_xlfn.XLOOKUP(VALINA[[#This Row],[id]],prov_color!A:A,prov_color!C:C)</f>
        <v>19</v>
      </c>
      <c r="P102" t="str">
        <f>_xlfn.XLOOKUP(VALINA[[#This Row],[id]],Table4[id],Table4[name])</f>
        <v>Sebago</v>
      </c>
      <c r="Q102" t="str">
        <f>_xlfn.XLOOKUP(VALINA[[#This Row],[name]],Trans!A:A,Trans!B:B)</f>
        <v>Sebago</v>
      </c>
    </row>
    <row r="103" spans="1:17" x14ac:dyDescent="0.25">
      <c r="A103">
        <v>102</v>
      </c>
      <c r="B103" t="s">
        <v>11</v>
      </c>
      <c r="C103" t="s">
        <v>12</v>
      </c>
      <c r="D103" t="s">
        <v>177</v>
      </c>
      <c r="E103" t="s">
        <v>22</v>
      </c>
      <c r="F103" t="s">
        <v>15</v>
      </c>
      <c r="G103" t="s">
        <v>26</v>
      </c>
      <c r="H103" t="s">
        <v>137</v>
      </c>
      <c r="I103" t="s">
        <v>43</v>
      </c>
      <c r="J103" t="s">
        <v>179</v>
      </c>
      <c r="K103">
        <v>5</v>
      </c>
      <c r="L103">
        <v>5</v>
      </c>
      <c r="M103">
        <v>2</v>
      </c>
      <c r="N103">
        <v>0</v>
      </c>
      <c r="O103">
        <f>_xlfn.XLOOKUP(VALINA[[#This Row],[id]],prov_color!A:A,prov_color!C:C)</f>
        <v>21</v>
      </c>
      <c r="P103" t="str">
        <f>_xlfn.XLOOKUP(VALINA[[#This Row],[id]],Table4[id],Table4[name])</f>
        <v>Connecticut</v>
      </c>
      <c r="Q103" t="str">
        <f>_xlfn.XLOOKUP(VALINA[[#This Row],[name]],Trans!A:A,Trans!B:B)</f>
        <v>Connecticut</v>
      </c>
    </row>
    <row r="104" spans="1:17" x14ac:dyDescent="0.25">
      <c r="A104">
        <v>103</v>
      </c>
      <c r="B104" t="s">
        <v>11</v>
      </c>
      <c r="C104" t="s">
        <v>12</v>
      </c>
      <c r="D104" t="s">
        <v>177</v>
      </c>
      <c r="E104" t="s">
        <v>22</v>
      </c>
      <c r="F104" t="s">
        <v>15</v>
      </c>
      <c r="G104" t="s">
        <v>26</v>
      </c>
      <c r="H104" t="s">
        <v>137</v>
      </c>
      <c r="I104" t="s">
        <v>27</v>
      </c>
      <c r="J104" t="s">
        <v>180</v>
      </c>
      <c r="K104">
        <v>5</v>
      </c>
      <c r="L104">
        <v>5</v>
      </c>
      <c r="M104">
        <v>2</v>
      </c>
      <c r="N104">
        <v>0</v>
      </c>
      <c r="O104">
        <f>_xlfn.XLOOKUP(VALINA[[#This Row],[id]],prov_color!A:A,prov_color!C:C)</f>
        <v>22</v>
      </c>
      <c r="P104" t="str">
        <f>_xlfn.XLOOKUP(VALINA[[#This Row],[id]],Table4[id],Table4[name])</f>
        <v>Massachussetts</v>
      </c>
      <c r="Q104" t="str">
        <f>_xlfn.XLOOKUP(VALINA[[#This Row],[name]],Trans!A:A,Trans!B:B)</f>
        <v>Massachussetts</v>
      </c>
    </row>
    <row r="105" spans="1:17" x14ac:dyDescent="0.25">
      <c r="A105">
        <v>104</v>
      </c>
      <c r="B105" t="s">
        <v>11</v>
      </c>
      <c r="C105" t="s">
        <v>12</v>
      </c>
      <c r="D105" t="s">
        <v>177</v>
      </c>
      <c r="E105" t="s">
        <v>22</v>
      </c>
      <c r="F105" t="s">
        <v>15</v>
      </c>
      <c r="G105" t="s">
        <v>122</v>
      </c>
      <c r="H105" t="s">
        <v>181</v>
      </c>
      <c r="I105" t="s">
        <v>1612</v>
      </c>
      <c r="J105" t="s">
        <v>182</v>
      </c>
      <c r="K105">
        <v>6</v>
      </c>
      <c r="L105">
        <v>4</v>
      </c>
      <c r="M105">
        <v>1</v>
      </c>
      <c r="N105">
        <v>0</v>
      </c>
      <c r="O105">
        <f>_xlfn.XLOOKUP(VALINA[[#This Row],[id]],prov_color!A:A,prov_color!C:C)</f>
        <v>31</v>
      </c>
      <c r="P105" t="str">
        <f>_xlfn.XLOOKUP(VALINA[[#This Row],[id]],Table4[id],Table4[name])</f>
        <v>Penobscot</v>
      </c>
      <c r="Q105" t="str">
        <f>_xlfn.XLOOKUP(VALINA[[#This Row],[name]],Trans!A:A,Trans!B:B)</f>
        <v>Penobscot</v>
      </c>
    </row>
    <row r="106" spans="1:17" x14ac:dyDescent="0.25">
      <c r="A106">
        <v>105</v>
      </c>
      <c r="B106" t="s">
        <v>11</v>
      </c>
      <c r="C106" t="s">
        <v>12</v>
      </c>
      <c r="D106" t="s">
        <v>183</v>
      </c>
      <c r="E106" t="s">
        <v>14</v>
      </c>
      <c r="F106" t="s">
        <v>15</v>
      </c>
      <c r="G106" t="s">
        <v>122</v>
      </c>
      <c r="H106" t="s">
        <v>181</v>
      </c>
      <c r="I106" t="s">
        <v>20</v>
      </c>
      <c r="J106" t="s">
        <v>184</v>
      </c>
      <c r="K106">
        <v>5</v>
      </c>
      <c r="L106">
        <v>4</v>
      </c>
      <c r="M106">
        <v>1</v>
      </c>
      <c r="N106">
        <v>0</v>
      </c>
      <c r="O106">
        <f>_xlfn.XLOOKUP(VALINA[[#This Row],[id]],prov_color!A:A,prov_color!C:C)</f>
        <v>22</v>
      </c>
      <c r="P106" t="str">
        <f>_xlfn.XLOOKUP(VALINA[[#This Row],[id]],Table4[id],Table4[name])</f>
        <v>Megantic</v>
      </c>
      <c r="Q106" t="str">
        <f>_xlfn.XLOOKUP(VALINA[[#This Row],[name]],Trans!A:A,Trans!B:B)</f>
        <v>Megantic</v>
      </c>
    </row>
    <row r="107" spans="1:17" x14ac:dyDescent="0.25">
      <c r="A107">
        <v>106</v>
      </c>
      <c r="B107" t="s">
        <v>11</v>
      </c>
      <c r="C107" t="s">
        <v>12</v>
      </c>
      <c r="D107" t="s">
        <v>183</v>
      </c>
      <c r="E107" t="s">
        <v>22</v>
      </c>
      <c r="F107" t="s">
        <v>15</v>
      </c>
      <c r="G107" t="s">
        <v>122</v>
      </c>
      <c r="H107" t="s">
        <v>167</v>
      </c>
      <c r="I107" t="s">
        <v>20</v>
      </c>
      <c r="J107" t="s">
        <v>185</v>
      </c>
      <c r="K107">
        <v>5</v>
      </c>
      <c r="L107">
        <v>4</v>
      </c>
      <c r="M107">
        <v>1</v>
      </c>
      <c r="N107">
        <v>0</v>
      </c>
      <c r="O107">
        <f>_xlfn.XLOOKUP(VALINA[[#This Row],[id]],prov_color!A:A,prov_color!C:C)</f>
        <v>19</v>
      </c>
      <c r="P107" t="str">
        <f>_xlfn.XLOOKUP(VALINA[[#This Row],[id]],Table4[id],Table4[name])</f>
        <v>Hochelaga</v>
      </c>
      <c r="Q107" t="str">
        <f>_xlfn.XLOOKUP(VALINA[[#This Row],[name]],Trans!A:A,Trans!B:B)</f>
        <v>Hochelaga</v>
      </c>
    </row>
    <row r="108" spans="1:17" x14ac:dyDescent="0.25">
      <c r="A108">
        <v>107</v>
      </c>
      <c r="B108" t="s">
        <v>11</v>
      </c>
      <c r="C108" t="s">
        <v>12</v>
      </c>
      <c r="D108" t="s">
        <v>183</v>
      </c>
      <c r="E108" t="s">
        <v>22</v>
      </c>
      <c r="F108" t="s">
        <v>15</v>
      </c>
      <c r="G108" t="s">
        <v>16</v>
      </c>
      <c r="H108" t="s">
        <v>167</v>
      </c>
      <c r="I108" t="s">
        <v>20</v>
      </c>
      <c r="J108" t="s">
        <v>186</v>
      </c>
      <c r="K108">
        <v>5</v>
      </c>
      <c r="L108">
        <v>5</v>
      </c>
      <c r="M108">
        <v>2</v>
      </c>
      <c r="N108">
        <v>0</v>
      </c>
      <c r="O108">
        <f>_xlfn.XLOOKUP(VALINA[[#This Row],[id]],prov_color!A:A,prov_color!C:C)</f>
        <v>43</v>
      </c>
      <c r="P108" t="str">
        <f>_xlfn.XLOOKUP(VALINA[[#This Row],[id]],Table4[id],Table4[name])</f>
        <v>Ottawa</v>
      </c>
      <c r="Q108" t="str">
        <f>_xlfn.XLOOKUP(VALINA[[#This Row],[name]],Trans!A:A,Trans!B:B)</f>
        <v>Ottawa</v>
      </c>
    </row>
    <row r="109" spans="1:17" x14ac:dyDescent="0.25">
      <c r="A109">
        <v>108</v>
      </c>
      <c r="B109" t="s">
        <v>11</v>
      </c>
      <c r="C109" t="s">
        <v>12</v>
      </c>
      <c r="D109" t="s">
        <v>183</v>
      </c>
      <c r="E109" t="s">
        <v>22</v>
      </c>
      <c r="F109" t="s">
        <v>15</v>
      </c>
      <c r="G109" t="s">
        <v>16</v>
      </c>
      <c r="H109" t="s">
        <v>187</v>
      </c>
      <c r="I109" t="s">
        <v>20</v>
      </c>
      <c r="J109" t="s">
        <v>188</v>
      </c>
      <c r="K109">
        <v>5</v>
      </c>
      <c r="L109">
        <v>3</v>
      </c>
      <c r="M109">
        <v>1</v>
      </c>
      <c r="N109">
        <v>0</v>
      </c>
      <c r="O109">
        <f>_xlfn.XLOOKUP(VALINA[[#This Row],[id]],prov_color!A:A,prov_color!C:C)</f>
        <v>47</v>
      </c>
      <c r="P109" t="str">
        <f>_xlfn.XLOOKUP(VALINA[[#This Row],[id]],Table4[id],Table4[name])</f>
        <v>Laurentia</v>
      </c>
      <c r="Q109" t="str">
        <f>_xlfn.XLOOKUP(VALINA[[#This Row],[name]],Trans!A:A,Trans!B:B)</f>
        <v>Laurentia</v>
      </c>
    </row>
    <row r="110" spans="1:17" x14ac:dyDescent="0.25">
      <c r="A110">
        <v>109</v>
      </c>
      <c r="B110" t="s">
        <v>11</v>
      </c>
      <c r="C110" t="s">
        <v>12</v>
      </c>
      <c r="D110" t="s">
        <v>183</v>
      </c>
      <c r="E110" t="s">
        <v>22</v>
      </c>
      <c r="F110" t="s">
        <v>15</v>
      </c>
      <c r="G110" t="s">
        <v>122</v>
      </c>
      <c r="H110" t="s">
        <v>187</v>
      </c>
      <c r="I110" t="s">
        <v>43</v>
      </c>
      <c r="J110" t="s">
        <v>189</v>
      </c>
      <c r="K110">
        <v>5</v>
      </c>
      <c r="L110">
        <v>4</v>
      </c>
      <c r="M110">
        <v>1</v>
      </c>
      <c r="N110">
        <v>0</v>
      </c>
      <c r="O110">
        <f>_xlfn.XLOOKUP(VALINA[[#This Row],[id]],prov_color!A:A,prov_color!C:C)</f>
        <v>21</v>
      </c>
      <c r="P110" t="str">
        <f>_xlfn.XLOOKUP(VALINA[[#This Row],[id]],Table4[id],Table4[name])</f>
        <v>Shawinigan</v>
      </c>
      <c r="Q110" t="str">
        <f>_xlfn.XLOOKUP(VALINA[[#This Row],[name]],Trans!A:A,Trans!B:B)</f>
        <v>Shawinigan</v>
      </c>
    </row>
    <row r="111" spans="1:17" x14ac:dyDescent="0.25">
      <c r="A111">
        <v>110</v>
      </c>
      <c r="B111" t="s">
        <v>11</v>
      </c>
      <c r="C111" t="s">
        <v>12</v>
      </c>
      <c r="D111" t="s">
        <v>183</v>
      </c>
      <c r="E111" t="s">
        <v>22</v>
      </c>
      <c r="F111" t="s">
        <v>15</v>
      </c>
      <c r="G111" t="s">
        <v>122</v>
      </c>
      <c r="H111" t="s">
        <v>187</v>
      </c>
      <c r="I111" t="s">
        <v>1612</v>
      </c>
      <c r="J111" t="s">
        <v>190</v>
      </c>
      <c r="K111">
        <v>5</v>
      </c>
      <c r="L111">
        <v>5</v>
      </c>
      <c r="M111">
        <v>3</v>
      </c>
      <c r="N111">
        <v>0</v>
      </c>
      <c r="O111">
        <f>_xlfn.XLOOKUP(VALINA[[#This Row],[id]],prov_color!A:A,prov_color!C:C)</f>
        <v>25</v>
      </c>
      <c r="P111" t="str">
        <f>_xlfn.XLOOKUP(VALINA[[#This Row],[id]],Table4[id],Table4[name])</f>
        <v>Stadacone</v>
      </c>
      <c r="Q111" t="str">
        <f>_xlfn.XLOOKUP(VALINA[[#This Row],[name]],Trans!A:A,Trans!B:B)</f>
        <v>Stadacone</v>
      </c>
    </row>
    <row r="112" spans="1:17" x14ac:dyDescent="0.25">
      <c r="A112">
        <v>111</v>
      </c>
      <c r="B112" t="s">
        <v>11</v>
      </c>
      <c r="C112" t="s">
        <v>12</v>
      </c>
      <c r="D112" t="s">
        <v>183</v>
      </c>
      <c r="E112" t="s">
        <v>14</v>
      </c>
      <c r="F112" t="s">
        <v>15</v>
      </c>
      <c r="G112" t="s">
        <v>122</v>
      </c>
      <c r="H112" t="s">
        <v>181</v>
      </c>
      <c r="I112" t="s">
        <v>20</v>
      </c>
      <c r="J112" t="s">
        <v>191</v>
      </c>
      <c r="K112">
        <v>5</v>
      </c>
      <c r="L112">
        <v>3</v>
      </c>
      <c r="M112">
        <v>2</v>
      </c>
      <c r="N112">
        <v>0</v>
      </c>
      <c r="O112">
        <f>_xlfn.XLOOKUP(VALINA[[#This Row],[id]],prov_color!A:A,prov_color!C:C)</f>
        <v>28</v>
      </c>
      <c r="P112" t="str">
        <f>_xlfn.XLOOKUP(VALINA[[#This Row],[id]],Table4[id],Table4[name])</f>
        <v>Bas St-Laurent</v>
      </c>
      <c r="Q112" t="str">
        <f>_xlfn.XLOOKUP(VALINA[[#This Row],[name]],Trans!A:A,Trans!B:B)</f>
        <v>Bas St-Laurent</v>
      </c>
    </row>
    <row r="113" spans="1:17" x14ac:dyDescent="0.25">
      <c r="A113">
        <v>112</v>
      </c>
      <c r="B113" t="s">
        <v>11</v>
      </c>
      <c r="C113" t="s">
        <v>12</v>
      </c>
      <c r="D113" t="s">
        <v>177</v>
      </c>
      <c r="E113" t="s">
        <v>22</v>
      </c>
      <c r="F113" t="s">
        <v>15</v>
      </c>
      <c r="G113" t="s">
        <v>122</v>
      </c>
      <c r="H113" t="s">
        <v>181</v>
      </c>
      <c r="I113" t="s">
        <v>1612</v>
      </c>
      <c r="J113" t="s">
        <v>192</v>
      </c>
      <c r="K113">
        <v>4</v>
      </c>
      <c r="L113">
        <v>3</v>
      </c>
      <c r="M113">
        <v>2</v>
      </c>
      <c r="N113">
        <v>0</v>
      </c>
      <c r="O113">
        <f>_xlfn.XLOOKUP(VALINA[[#This Row],[id]],prov_color!A:A,prov_color!C:C)</f>
        <v>26</v>
      </c>
      <c r="P113" t="str">
        <f>_xlfn.XLOOKUP(VALINA[[#This Row],[id]],Table4[id],Table4[name])</f>
        <v>Bangor</v>
      </c>
      <c r="Q113" t="str">
        <f>_xlfn.XLOOKUP(VALINA[[#This Row],[name]],Trans!A:A,Trans!B:B)</f>
        <v>Bangor</v>
      </c>
    </row>
    <row r="114" spans="1:17" x14ac:dyDescent="0.25">
      <c r="A114">
        <v>113</v>
      </c>
      <c r="B114" t="s">
        <v>11</v>
      </c>
      <c r="C114" t="s">
        <v>12</v>
      </c>
      <c r="D114" t="s">
        <v>193</v>
      </c>
      <c r="E114" t="s">
        <v>22</v>
      </c>
      <c r="F114" t="s">
        <v>15</v>
      </c>
      <c r="G114" t="s">
        <v>122</v>
      </c>
      <c r="H114" t="s">
        <v>181</v>
      </c>
      <c r="I114" t="s">
        <v>27</v>
      </c>
      <c r="J114" t="s">
        <v>194</v>
      </c>
      <c r="K114">
        <v>4</v>
      </c>
      <c r="L114">
        <v>3</v>
      </c>
      <c r="M114">
        <v>1</v>
      </c>
      <c r="N114">
        <v>0</v>
      </c>
      <c r="O114">
        <f>_xlfn.XLOOKUP(VALINA[[#This Row],[id]],prov_color!A:A,prov_color!C:C)</f>
        <v>24</v>
      </c>
      <c r="P114" t="str">
        <f>_xlfn.XLOOKUP(VALINA[[#This Row],[id]],Table4[id],Table4[name])</f>
        <v>Micmac</v>
      </c>
      <c r="Q114" t="str">
        <f>_xlfn.XLOOKUP(VALINA[[#This Row],[name]],Trans!A:A,Trans!B:B)</f>
        <v>Micmac</v>
      </c>
    </row>
    <row r="115" spans="1:17" x14ac:dyDescent="0.25">
      <c r="A115">
        <v>114</v>
      </c>
      <c r="B115" t="s">
        <v>11</v>
      </c>
      <c r="C115" t="s">
        <v>12</v>
      </c>
      <c r="D115" t="s">
        <v>193</v>
      </c>
      <c r="E115" t="s">
        <v>14</v>
      </c>
      <c r="F115" t="s">
        <v>15</v>
      </c>
      <c r="G115" t="s">
        <v>122</v>
      </c>
      <c r="H115" t="s">
        <v>181</v>
      </c>
      <c r="I115" t="s">
        <v>27</v>
      </c>
      <c r="J115" t="s">
        <v>1613</v>
      </c>
      <c r="K115">
        <v>5</v>
      </c>
      <c r="L115">
        <v>2</v>
      </c>
      <c r="M115">
        <v>1</v>
      </c>
      <c r="N115">
        <v>0</v>
      </c>
      <c r="O115">
        <f>_xlfn.XLOOKUP(VALINA[[#This Row],[id]],prov_color!A:A,prov_color!C:C)</f>
        <v>42</v>
      </c>
      <c r="P115" t="str">
        <f>_xlfn.XLOOKUP(VALINA[[#This Row],[id]],Table4[id],Table4[name])</f>
        <v>Gaspesie</v>
      </c>
      <c r="Q115" t="str">
        <f>_xlfn.XLOOKUP(VALINA[[#This Row],[name]],Trans!A:A,Trans!B:B)</f>
        <v>Gasp�sie</v>
      </c>
    </row>
    <row r="116" spans="1:17" x14ac:dyDescent="0.25">
      <c r="A116">
        <v>115</v>
      </c>
      <c r="B116" t="s">
        <v>11</v>
      </c>
      <c r="C116" t="s">
        <v>12</v>
      </c>
      <c r="D116" t="s">
        <v>193</v>
      </c>
      <c r="E116" t="s">
        <v>34</v>
      </c>
      <c r="F116" t="s">
        <v>15</v>
      </c>
      <c r="G116" t="s">
        <v>122</v>
      </c>
      <c r="H116" t="s">
        <v>181</v>
      </c>
      <c r="I116" t="s">
        <v>53</v>
      </c>
      <c r="J116" t="s">
        <v>193</v>
      </c>
      <c r="K116">
        <v>4</v>
      </c>
      <c r="L116">
        <v>2</v>
      </c>
      <c r="M116">
        <v>1</v>
      </c>
      <c r="N116">
        <v>0</v>
      </c>
      <c r="O116">
        <f>_xlfn.XLOOKUP(VALINA[[#This Row],[id]],prov_color!A:A,prov_color!C:C)</f>
        <v>19</v>
      </c>
      <c r="P116" t="str">
        <f>_xlfn.XLOOKUP(VALINA[[#This Row],[id]],Table4[id],Table4[name])</f>
        <v>Acadie</v>
      </c>
      <c r="Q116" t="str">
        <f>_xlfn.XLOOKUP(VALINA[[#This Row],[name]],Trans!A:A,Trans!B:B)</f>
        <v>Acadie</v>
      </c>
    </row>
    <row r="117" spans="1:17" x14ac:dyDescent="0.25">
      <c r="A117">
        <v>116</v>
      </c>
      <c r="B117" t="s">
        <v>11</v>
      </c>
      <c r="C117" t="s">
        <v>12</v>
      </c>
      <c r="D117" t="s">
        <v>193</v>
      </c>
      <c r="E117" t="s">
        <v>34</v>
      </c>
      <c r="F117" t="s">
        <v>15</v>
      </c>
      <c r="G117" t="s">
        <v>26</v>
      </c>
      <c r="H117" t="s">
        <v>181</v>
      </c>
      <c r="I117" t="s">
        <v>27</v>
      </c>
      <c r="J117" t="s">
        <v>196</v>
      </c>
      <c r="K117">
        <v>3</v>
      </c>
      <c r="L117">
        <v>3</v>
      </c>
      <c r="M117">
        <v>1</v>
      </c>
      <c r="N117">
        <v>0</v>
      </c>
      <c r="O117">
        <f>_xlfn.XLOOKUP(VALINA[[#This Row],[id]],prov_color!A:A,prov_color!C:C)</f>
        <v>31</v>
      </c>
      <c r="P117" t="str">
        <f>_xlfn.XLOOKUP(VALINA[[#This Row],[id]],Table4[id],Table4[name])</f>
        <v>Nova Scotia</v>
      </c>
      <c r="Q117" t="str">
        <f>_xlfn.XLOOKUP(VALINA[[#This Row],[name]],Trans!A:A,Trans!B:B)</f>
        <v>Nova Scotia</v>
      </c>
    </row>
    <row r="118" spans="1:17" x14ac:dyDescent="0.25">
      <c r="A118">
        <v>117</v>
      </c>
      <c r="B118" t="s">
        <v>11</v>
      </c>
      <c r="C118" t="s">
        <v>12</v>
      </c>
      <c r="D118" t="s">
        <v>193</v>
      </c>
      <c r="E118" t="s">
        <v>22</v>
      </c>
      <c r="F118" t="s">
        <v>15</v>
      </c>
      <c r="G118" t="s">
        <v>26</v>
      </c>
      <c r="H118" t="s">
        <v>181</v>
      </c>
      <c r="I118" t="s">
        <v>1612</v>
      </c>
      <c r="J118" t="s">
        <v>197</v>
      </c>
      <c r="K118">
        <v>4</v>
      </c>
      <c r="L118">
        <v>2</v>
      </c>
      <c r="M118">
        <v>1</v>
      </c>
      <c r="N118">
        <v>0</v>
      </c>
      <c r="O118">
        <f>_xlfn.XLOOKUP(VALINA[[#This Row],[id]],prov_color!A:A,prov_color!C:C)</f>
        <v>14</v>
      </c>
      <c r="P118" t="str">
        <f>_xlfn.XLOOKUP(VALINA[[#This Row],[id]],Table4[id],Table4[name])</f>
        <v>Isle Royale</v>
      </c>
      <c r="Q118" t="str">
        <f>_xlfn.XLOOKUP(VALINA[[#This Row],[name]],Trans!A:A,Trans!B:B)</f>
        <v>Isle Royale</v>
      </c>
    </row>
    <row r="119" spans="1:17" x14ac:dyDescent="0.25">
      <c r="A119">
        <v>118</v>
      </c>
      <c r="B119" t="s">
        <v>11</v>
      </c>
      <c r="C119" t="s">
        <v>12</v>
      </c>
      <c r="D119" t="s">
        <v>198</v>
      </c>
      <c r="E119" t="s">
        <v>14</v>
      </c>
      <c r="F119" t="s">
        <v>15</v>
      </c>
      <c r="G119" t="s">
        <v>122</v>
      </c>
      <c r="H119" t="s">
        <v>181</v>
      </c>
      <c r="I119" t="s">
        <v>27</v>
      </c>
      <c r="J119" t="s">
        <v>199</v>
      </c>
      <c r="K119">
        <v>7</v>
      </c>
      <c r="L119">
        <v>1</v>
      </c>
      <c r="M119">
        <v>1</v>
      </c>
      <c r="N119">
        <v>0</v>
      </c>
      <c r="O119">
        <f>_xlfn.XLOOKUP(VALINA[[#This Row],[id]],prov_color!A:A,prov_color!C:C)</f>
        <v>42</v>
      </c>
      <c r="P119" t="str">
        <f>_xlfn.XLOOKUP(VALINA[[#This Row],[id]],Table4[id],Table4[name])</f>
        <v>Gander</v>
      </c>
      <c r="Q119" t="str">
        <f>_xlfn.XLOOKUP(VALINA[[#This Row],[name]],Trans!A:A,Trans!B:B)</f>
        <v>Gander</v>
      </c>
    </row>
    <row r="120" spans="1:17" x14ac:dyDescent="0.25">
      <c r="A120">
        <v>119</v>
      </c>
      <c r="B120" t="s">
        <v>11</v>
      </c>
      <c r="C120" t="s">
        <v>12</v>
      </c>
      <c r="D120" t="s">
        <v>198</v>
      </c>
      <c r="E120" t="s">
        <v>22</v>
      </c>
      <c r="F120" t="s">
        <v>15</v>
      </c>
      <c r="G120" t="s">
        <v>26</v>
      </c>
      <c r="H120" t="s">
        <v>181</v>
      </c>
      <c r="I120" t="s">
        <v>27</v>
      </c>
      <c r="J120" t="s">
        <v>200</v>
      </c>
      <c r="K120">
        <v>6</v>
      </c>
      <c r="L120">
        <v>2</v>
      </c>
      <c r="M120">
        <v>1</v>
      </c>
      <c r="N120">
        <v>0</v>
      </c>
      <c r="O120">
        <f>_xlfn.XLOOKUP(VALINA[[#This Row],[id]],prov_color!A:A,prov_color!C:C)</f>
        <v>20</v>
      </c>
      <c r="P120" t="str">
        <f>_xlfn.XLOOKUP(VALINA[[#This Row],[id]],Table4[id],Table4[name])</f>
        <v>Placentia</v>
      </c>
      <c r="Q120" t="str">
        <f>_xlfn.XLOOKUP(VALINA[[#This Row],[name]],Trans!A:A,Trans!B:B)</f>
        <v>Placentia</v>
      </c>
    </row>
    <row r="121" spans="1:17" x14ac:dyDescent="0.25">
      <c r="A121">
        <v>120</v>
      </c>
      <c r="B121" t="s">
        <v>11</v>
      </c>
      <c r="C121" t="s">
        <v>12</v>
      </c>
      <c r="D121" t="s">
        <v>198</v>
      </c>
      <c r="E121" t="s">
        <v>22</v>
      </c>
      <c r="F121" t="s">
        <v>15</v>
      </c>
      <c r="G121" t="s">
        <v>122</v>
      </c>
      <c r="H121" t="s">
        <v>181</v>
      </c>
      <c r="I121" t="s">
        <v>27</v>
      </c>
      <c r="J121" t="s">
        <v>201</v>
      </c>
      <c r="K121">
        <v>6</v>
      </c>
      <c r="L121">
        <v>1</v>
      </c>
      <c r="M121">
        <v>1</v>
      </c>
      <c r="N121">
        <v>0</v>
      </c>
      <c r="O121">
        <f>_xlfn.XLOOKUP(VALINA[[#This Row],[id]],prov_color!A:A,prov_color!C:C)</f>
        <v>35</v>
      </c>
      <c r="P121" t="str">
        <f>_xlfn.XLOOKUP(VALINA[[#This Row],[id]],Table4[id],Table4[name])</f>
        <v>Wabana</v>
      </c>
      <c r="Q121" t="str">
        <f>_xlfn.XLOOKUP(VALINA[[#This Row],[name]],Trans!A:A,Trans!B:B)</f>
        <v>Wabana</v>
      </c>
    </row>
    <row r="122" spans="1:17" x14ac:dyDescent="0.25">
      <c r="A122">
        <v>121</v>
      </c>
      <c r="B122" t="s">
        <v>11</v>
      </c>
      <c r="C122" t="s">
        <v>12</v>
      </c>
      <c r="D122" t="s">
        <v>183</v>
      </c>
      <c r="E122" t="s">
        <v>22</v>
      </c>
      <c r="F122" t="s">
        <v>15</v>
      </c>
      <c r="G122" t="s">
        <v>16</v>
      </c>
      <c r="H122" t="s">
        <v>187</v>
      </c>
      <c r="I122" t="s">
        <v>20</v>
      </c>
      <c r="J122" t="s">
        <v>202</v>
      </c>
      <c r="K122">
        <v>6</v>
      </c>
      <c r="L122">
        <v>2</v>
      </c>
      <c r="M122">
        <v>1</v>
      </c>
      <c r="N122">
        <v>0</v>
      </c>
      <c r="O122">
        <f>_xlfn.XLOOKUP(VALINA[[#This Row],[id]],prov_color!A:A,prov_color!C:C)</f>
        <v>56</v>
      </c>
      <c r="P122" t="str">
        <f>_xlfn.XLOOKUP(VALINA[[#This Row],[id]],Table4[id],Table4[name])</f>
        <v>Saguenay</v>
      </c>
      <c r="Q122" t="str">
        <f>_xlfn.XLOOKUP(VALINA[[#This Row],[name]],Trans!A:A,Trans!B:B)</f>
        <v>Saguenay</v>
      </c>
    </row>
    <row r="123" spans="1:17" x14ac:dyDescent="0.25">
      <c r="A123">
        <v>122</v>
      </c>
      <c r="B123" t="s">
        <v>11</v>
      </c>
      <c r="C123" t="s">
        <v>12</v>
      </c>
      <c r="D123" t="s">
        <v>183</v>
      </c>
      <c r="E123" t="s">
        <v>22</v>
      </c>
      <c r="F123" t="s">
        <v>15</v>
      </c>
      <c r="G123" t="s">
        <v>16</v>
      </c>
      <c r="H123" t="s">
        <v>187</v>
      </c>
      <c r="I123" t="s">
        <v>27</v>
      </c>
      <c r="J123" t="s">
        <v>203</v>
      </c>
      <c r="K123">
        <v>6</v>
      </c>
      <c r="L123">
        <v>1</v>
      </c>
      <c r="M123">
        <v>1</v>
      </c>
      <c r="N123">
        <v>0</v>
      </c>
      <c r="O123">
        <f>_xlfn.XLOOKUP(VALINA[[#This Row],[id]],prov_color!A:A,prov_color!C:C)</f>
        <v>54</v>
      </c>
      <c r="P123" t="str">
        <f>_xlfn.XLOOKUP(VALINA[[#This Row],[id]],Table4[id],Table4[name])</f>
        <v>Manicouagan</v>
      </c>
      <c r="Q123" t="str">
        <f>_xlfn.XLOOKUP(VALINA[[#This Row],[name]],Trans!A:A,Trans!B:B)</f>
        <v>Manicouagan</v>
      </c>
    </row>
    <row r="124" spans="1:17" x14ac:dyDescent="0.25">
      <c r="A124">
        <v>123</v>
      </c>
      <c r="B124" t="s">
        <v>11</v>
      </c>
      <c r="C124" t="s">
        <v>12</v>
      </c>
      <c r="D124" t="s">
        <v>204</v>
      </c>
      <c r="E124" t="s">
        <v>22</v>
      </c>
      <c r="F124" t="s">
        <v>15</v>
      </c>
      <c r="G124" t="s">
        <v>16</v>
      </c>
      <c r="H124" t="s">
        <v>187</v>
      </c>
      <c r="I124" t="s">
        <v>27</v>
      </c>
      <c r="J124" t="s">
        <v>205</v>
      </c>
      <c r="K124">
        <v>8</v>
      </c>
      <c r="L124">
        <v>1</v>
      </c>
      <c r="M124">
        <v>1</v>
      </c>
      <c r="N124">
        <v>0</v>
      </c>
      <c r="O124">
        <f>_xlfn.XLOOKUP(VALINA[[#This Row],[id]],prov_color!A:A,prov_color!C:C)</f>
        <v>70</v>
      </c>
      <c r="P124" t="str">
        <f>_xlfn.XLOOKUP(VALINA[[#This Row],[id]],Table4[id],Table4[name])</f>
        <v>Anticosti</v>
      </c>
      <c r="Q124" t="str">
        <f>_xlfn.XLOOKUP(VALINA[[#This Row],[name]],Trans!A:A,Trans!B:B)</f>
        <v>Anticosti</v>
      </c>
    </row>
    <row r="125" spans="1:17" x14ac:dyDescent="0.25">
      <c r="A125">
        <v>124</v>
      </c>
      <c r="B125" t="s">
        <v>11</v>
      </c>
      <c r="C125" t="s">
        <v>12</v>
      </c>
      <c r="D125" t="s">
        <v>204</v>
      </c>
      <c r="E125" t="s">
        <v>22</v>
      </c>
      <c r="F125" t="s">
        <v>15</v>
      </c>
      <c r="G125" t="s">
        <v>16</v>
      </c>
      <c r="H125" t="s">
        <v>187</v>
      </c>
      <c r="I125" t="s">
        <v>27</v>
      </c>
      <c r="J125" t="s">
        <v>206</v>
      </c>
      <c r="K125">
        <v>8</v>
      </c>
      <c r="L125">
        <v>1</v>
      </c>
      <c r="M125">
        <v>1</v>
      </c>
      <c r="N125">
        <v>0</v>
      </c>
      <c r="O125">
        <f>_xlfn.XLOOKUP(VALINA[[#This Row],[id]],prov_color!A:A,prov_color!C:C)</f>
        <v>70</v>
      </c>
      <c r="P125" t="str">
        <f>_xlfn.XLOOKUP(VALINA[[#This Row],[id]],Table4[id],Table4[name])</f>
        <v>Belle Isle</v>
      </c>
      <c r="Q125" t="str">
        <f>_xlfn.XLOOKUP(VALINA[[#This Row],[name]],Trans!A:A,Trans!B:B)</f>
        <v>Belle Isle</v>
      </c>
    </row>
    <row r="126" spans="1:17" x14ac:dyDescent="0.25">
      <c r="A126">
        <v>125</v>
      </c>
      <c r="B126" t="s">
        <v>11</v>
      </c>
      <c r="C126" t="s">
        <v>12</v>
      </c>
      <c r="D126" t="s">
        <v>204</v>
      </c>
      <c r="E126" t="s">
        <v>22</v>
      </c>
      <c r="F126" t="s">
        <v>15</v>
      </c>
      <c r="G126" t="s">
        <v>16</v>
      </c>
      <c r="H126" t="s">
        <v>187</v>
      </c>
      <c r="I126" t="s">
        <v>1612</v>
      </c>
      <c r="J126" t="s">
        <v>207</v>
      </c>
      <c r="K126">
        <v>8</v>
      </c>
      <c r="L126">
        <v>1</v>
      </c>
      <c r="M126">
        <v>1</v>
      </c>
      <c r="N126">
        <v>0</v>
      </c>
      <c r="O126">
        <f>_xlfn.XLOOKUP(VALINA[[#This Row],[id]],prov_color!A:A,prov_color!C:C)</f>
        <v>38</v>
      </c>
      <c r="P126" t="str">
        <f>_xlfn.XLOOKUP(VALINA[[#This Row],[id]],Table4[id],Table4[name])</f>
        <v>Caniapiscau</v>
      </c>
      <c r="Q126" t="str">
        <f>_xlfn.XLOOKUP(VALINA[[#This Row],[name]],Trans!A:A,Trans!B:B)</f>
        <v>Caniapiscau</v>
      </c>
    </row>
    <row r="127" spans="1:17" x14ac:dyDescent="0.25">
      <c r="A127">
        <v>126</v>
      </c>
      <c r="B127" t="s">
        <v>11</v>
      </c>
      <c r="C127" t="s">
        <v>12</v>
      </c>
      <c r="D127" t="s">
        <v>204</v>
      </c>
      <c r="E127" t="s">
        <v>22</v>
      </c>
      <c r="F127" t="s">
        <v>15</v>
      </c>
      <c r="G127" t="s">
        <v>16</v>
      </c>
      <c r="H127" t="s">
        <v>17</v>
      </c>
      <c r="I127" t="s">
        <v>20</v>
      </c>
      <c r="J127" t="s">
        <v>208</v>
      </c>
      <c r="K127">
        <v>8</v>
      </c>
      <c r="L127">
        <v>1</v>
      </c>
      <c r="M127">
        <v>1</v>
      </c>
      <c r="N127">
        <v>0</v>
      </c>
      <c r="O127">
        <f>_xlfn.XLOOKUP(VALINA[[#This Row],[id]],prov_color!A:A,prov_color!C:C)</f>
        <v>67</v>
      </c>
      <c r="P127" t="str">
        <f>_xlfn.XLOOKUP(VALINA[[#This Row],[id]],Table4[id],Table4[name])</f>
        <v>Nain</v>
      </c>
      <c r="Q127" t="str">
        <f>_xlfn.XLOOKUP(VALINA[[#This Row],[name]],Trans!A:A,Trans!B:B)</f>
        <v>Nain</v>
      </c>
    </row>
    <row r="128" spans="1:17" x14ac:dyDescent="0.25">
      <c r="A128">
        <v>127</v>
      </c>
      <c r="B128" t="s">
        <v>11</v>
      </c>
      <c r="C128" t="s">
        <v>12</v>
      </c>
      <c r="D128" t="s">
        <v>204</v>
      </c>
      <c r="E128" t="s">
        <v>14</v>
      </c>
      <c r="F128" t="s">
        <v>15</v>
      </c>
      <c r="G128" t="s">
        <v>16</v>
      </c>
      <c r="H128" t="s">
        <v>17</v>
      </c>
      <c r="I128" t="s">
        <v>20</v>
      </c>
      <c r="J128" t="s">
        <v>209</v>
      </c>
      <c r="K128">
        <v>9</v>
      </c>
      <c r="L128">
        <v>1</v>
      </c>
      <c r="M128">
        <v>1</v>
      </c>
      <c r="N128">
        <v>0</v>
      </c>
      <c r="O128">
        <f>_xlfn.XLOOKUP(VALINA[[#This Row],[id]],prov_color!A:A,prov_color!C:C)</f>
        <v>43</v>
      </c>
      <c r="P128" t="str">
        <f>_xlfn.XLOOKUP(VALINA[[#This Row],[id]],Table4[id],Table4[name])</f>
        <v>Torngat</v>
      </c>
      <c r="Q128" t="str">
        <f>_xlfn.XLOOKUP(VALINA[[#This Row],[name]],Trans!A:A,Trans!B:B)</f>
        <v>Torngat</v>
      </c>
    </row>
    <row r="129" spans="1:17" x14ac:dyDescent="0.25">
      <c r="A129">
        <v>128</v>
      </c>
      <c r="B129" t="s">
        <v>11</v>
      </c>
      <c r="C129" t="s">
        <v>12</v>
      </c>
      <c r="D129" t="s">
        <v>210</v>
      </c>
      <c r="E129" t="s">
        <v>22</v>
      </c>
      <c r="F129" t="s">
        <v>15</v>
      </c>
      <c r="G129" t="s">
        <v>16</v>
      </c>
      <c r="H129" t="s">
        <v>17</v>
      </c>
      <c r="I129" t="s">
        <v>20</v>
      </c>
      <c r="J129" t="s">
        <v>211</v>
      </c>
      <c r="K129">
        <v>9</v>
      </c>
      <c r="L129">
        <v>1</v>
      </c>
      <c r="M129">
        <v>1</v>
      </c>
      <c r="N129">
        <v>0</v>
      </c>
      <c r="O129">
        <f>_xlfn.XLOOKUP(VALINA[[#This Row],[id]],prov_color!A:A,prov_color!C:C)</f>
        <v>89</v>
      </c>
      <c r="P129" t="str">
        <f>_xlfn.XLOOKUP(VALINA[[#This Row],[id]],Table4[id],Table4[name])</f>
        <v>Ungava</v>
      </c>
      <c r="Q129" t="str">
        <f>_xlfn.XLOOKUP(VALINA[[#This Row],[name]],Trans!A:A,Trans!B:B)</f>
        <v>Ungava</v>
      </c>
    </row>
    <row r="130" spans="1:17" x14ac:dyDescent="0.25">
      <c r="A130">
        <v>129</v>
      </c>
      <c r="B130" t="s">
        <v>11</v>
      </c>
      <c r="C130" t="s">
        <v>12</v>
      </c>
      <c r="D130" t="s">
        <v>210</v>
      </c>
      <c r="E130" t="s">
        <v>22</v>
      </c>
      <c r="F130" t="s">
        <v>15</v>
      </c>
      <c r="G130" t="s">
        <v>16</v>
      </c>
      <c r="H130" t="s">
        <v>17</v>
      </c>
      <c r="I130" t="s">
        <v>212</v>
      </c>
      <c r="J130" t="s">
        <v>213</v>
      </c>
      <c r="K130">
        <v>9</v>
      </c>
      <c r="L130">
        <v>1</v>
      </c>
      <c r="M130">
        <v>1</v>
      </c>
      <c r="N130">
        <v>0</v>
      </c>
      <c r="O130">
        <f>_xlfn.XLOOKUP(VALINA[[#This Row],[id]],prov_color!A:A,prov_color!C:C)</f>
        <v>51</v>
      </c>
      <c r="P130" t="str">
        <f>_xlfn.XLOOKUP(VALINA[[#This Row],[id]],Table4[id],Table4[name])</f>
        <v>Minto</v>
      </c>
      <c r="Q130" t="str">
        <f>_xlfn.XLOOKUP(VALINA[[#This Row],[name]],Trans!A:A,Trans!B:B)</f>
        <v>Minto</v>
      </c>
    </row>
    <row r="131" spans="1:17" x14ac:dyDescent="0.25">
      <c r="A131">
        <v>130</v>
      </c>
      <c r="B131" t="s">
        <v>11</v>
      </c>
      <c r="C131" t="s">
        <v>12</v>
      </c>
      <c r="D131" t="s">
        <v>210</v>
      </c>
      <c r="E131" t="s">
        <v>22</v>
      </c>
      <c r="F131" t="s">
        <v>15</v>
      </c>
      <c r="G131" t="s">
        <v>16</v>
      </c>
      <c r="H131" t="s">
        <v>17</v>
      </c>
      <c r="I131" t="s">
        <v>27</v>
      </c>
      <c r="J131" t="s">
        <v>214</v>
      </c>
      <c r="K131">
        <v>8</v>
      </c>
      <c r="L131">
        <v>1</v>
      </c>
      <c r="M131">
        <v>1</v>
      </c>
      <c r="N131">
        <v>0</v>
      </c>
      <c r="O131">
        <f>_xlfn.XLOOKUP(VALINA[[#This Row],[id]],prov_color!A:A,prov_color!C:C)</f>
        <v>61</v>
      </c>
      <c r="P131" t="str">
        <f>_xlfn.XLOOKUP(VALINA[[#This Row],[id]],Table4[id],Table4[name])</f>
        <v>Chisasibi</v>
      </c>
      <c r="Q131" t="str">
        <f>_xlfn.XLOOKUP(VALINA[[#This Row],[name]],Trans!A:A,Trans!B:B)</f>
        <v>Chisasibi</v>
      </c>
    </row>
    <row r="132" spans="1:17" x14ac:dyDescent="0.25">
      <c r="A132">
        <v>131</v>
      </c>
      <c r="B132" t="s">
        <v>11</v>
      </c>
      <c r="C132" t="s">
        <v>12</v>
      </c>
      <c r="D132" t="s">
        <v>210</v>
      </c>
      <c r="E132" t="s">
        <v>22</v>
      </c>
      <c r="F132" t="s">
        <v>15</v>
      </c>
      <c r="G132" t="s">
        <v>16</v>
      </c>
      <c r="H132" t="s">
        <v>17</v>
      </c>
      <c r="I132" t="s">
        <v>20</v>
      </c>
      <c r="J132" t="s">
        <v>215</v>
      </c>
      <c r="K132">
        <v>8</v>
      </c>
      <c r="L132">
        <v>1</v>
      </c>
      <c r="M132">
        <v>1</v>
      </c>
      <c r="N132">
        <v>0</v>
      </c>
      <c r="O132">
        <f>_xlfn.XLOOKUP(VALINA[[#This Row],[id]],prov_color!A:A,prov_color!C:C)</f>
        <v>52</v>
      </c>
      <c r="P132" t="str">
        <f>_xlfn.XLOOKUP(VALINA[[#This Row],[id]],Table4[id],Table4[name])</f>
        <v>Attawapiskat</v>
      </c>
      <c r="Q132" t="str">
        <f>_xlfn.XLOOKUP(VALINA[[#This Row],[name]],Trans!A:A,Trans!B:B)</f>
        <v>Attawapiskat</v>
      </c>
    </row>
    <row r="133" spans="1:17" x14ac:dyDescent="0.25">
      <c r="A133">
        <v>132</v>
      </c>
      <c r="B133" t="s">
        <v>11</v>
      </c>
      <c r="C133" t="s">
        <v>12</v>
      </c>
      <c r="D133" t="s">
        <v>210</v>
      </c>
      <c r="E133" t="s">
        <v>22</v>
      </c>
      <c r="F133" t="s">
        <v>15</v>
      </c>
      <c r="G133" t="s">
        <v>16</v>
      </c>
      <c r="H133" t="s">
        <v>216</v>
      </c>
      <c r="I133" t="s">
        <v>20</v>
      </c>
      <c r="J133" t="s">
        <v>217</v>
      </c>
      <c r="K133">
        <v>7</v>
      </c>
      <c r="L133">
        <v>1</v>
      </c>
      <c r="M133">
        <v>1</v>
      </c>
      <c r="N133">
        <v>0</v>
      </c>
      <c r="O133">
        <f>_xlfn.XLOOKUP(VALINA[[#This Row],[id]],prov_color!A:A,prov_color!C:C)</f>
        <v>47</v>
      </c>
      <c r="P133" t="str">
        <f>_xlfn.XLOOKUP(VALINA[[#This Row],[id]],Table4[id],Table4[name])</f>
        <v>Winisk</v>
      </c>
      <c r="Q133" t="str">
        <f>_xlfn.XLOOKUP(VALINA[[#This Row],[name]],Trans!A:A,Trans!B:B)</f>
        <v>Winisk</v>
      </c>
    </row>
    <row r="134" spans="1:17" x14ac:dyDescent="0.25">
      <c r="A134">
        <v>133</v>
      </c>
      <c r="B134" t="s">
        <v>11</v>
      </c>
      <c r="C134" t="s">
        <v>12</v>
      </c>
      <c r="D134" t="s">
        <v>151</v>
      </c>
      <c r="E134" t="s">
        <v>22</v>
      </c>
      <c r="F134" t="s">
        <v>15</v>
      </c>
      <c r="G134" t="s">
        <v>16</v>
      </c>
      <c r="H134" t="s">
        <v>216</v>
      </c>
      <c r="I134" t="s">
        <v>20</v>
      </c>
      <c r="J134" t="s">
        <v>218</v>
      </c>
      <c r="K134">
        <v>8</v>
      </c>
      <c r="L134">
        <v>1</v>
      </c>
      <c r="M134">
        <v>1</v>
      </c>
      <c r="N134">
        <v>0</v>
      </c>
      <c r="O134">
        <f>_xlfn.XLOOKUP(VALINA[[#This Row],[id]],prov_color!A:A,prov_color!C:C)</f>
        <v>61</v>
      </c>
      <c r="P134" t="str">
        <f>_xlfn.XLOOKUP(VALINA[[#This Row],[id]],Table4[id],Table4[name])</f>
        <v>Athabaska</v>
      </c>
      <c r="Q134" t="str">
        <f>_xlfn.XLOOKUP(VALINA[[#This Row],[name]],Trans!A:A,Trans!B:B)</f>
        <v>Athabaska</v>
      </c>
    </row>
    <row r="135" spans="1:17" x14ac:dyDescent="0.25">
      <c r="A135">
        <v>134</v>
      </c>
      <c r="B135" t="s">
        <v>11</v>
      </c>
      <c r="C135" t="s">
        <v>12</v>
      </c>
      <c r="D135" t="s">
        <v>210</v>
      </c>
      <c r="E135" t="s">
        <v>22</v>
      </c>
      <c r="F135" t="s">
        <v>15</v>
      </c>
      <c r="G135" t="s">
        <v>16</v>
      </c>
      <c r="H135" t="s">
        <v>216</v>
      </c>
      <c r="I135" t="s">
        <v>20</v>
      </c>
      <c r="J135" t="s">
        <v>219</v>
      </c>
      <c r="K135">
        <v>7</v>
      </c>
      <c r="L135">
        <v>1</v>
      </c>
      <c r="M135">
        <v>1</v>
      </c>
      <c r="N135">
        <v>0</v>
      </c>
      <c r="O135">
        <f>_xlfn.XLOOKUP(VALINA[[#This Row],[id]],prov_color!A:A,prov_color!C:C)</f>
        <v>60</v>
      </c>
      <c r="P135" t="str">
        <f>_xlfn.XLOOKUP(VALINA[[#This Row],[id]],Table4[id],Table4[name])</f>
        <v>Chimo</v>
      </c>
      <c r="Q135" t="str">
        <f>_xlfn.XLOOKUP(VALINA[[#This Row],[name]],Trans!A:A,Trans!B:B)</f>
        <v>Chimo</v>
      </c>
    </row>
    <row r="136" spans="1:17" x14ac:dyDescent="0.25">
      <c r="A136">
        <v>135</v>
      </c>
      <c r="B136" t="s">
        <v>11</v>
      </c>
      <c r="C136" t="s">
        <v>12</v>
      </c>
      <c r="D136" t="s">
        <v>210</v>
      </c>
      <c r="E136" t="s">
        <v>22</v>
      </c>
      <c r="F136" t="s">
        <v>15</v>
      </c>
      <c r="G136" t="s">
        <v>16</v>
      </c>
      <c r="H136" t="s">
        <v>216</v>
      </c>
      <c r="I136" t="s">
        <v>20</v>
      </c>
      <c r="J136" t="s">
        <v>220</v>
      </c>
      <c r="K136">
        <v>8</v>
      </c>
      <c r="L136">
        <v>1</v>
      </c>
      <c r="M136">
        <v>1</v>
      </c>
      <c r="N136">
        <v>0</v>
      </c>
      <c r="O136">
        <f>_xlfn.XLOOKUP(VALINA[[#This Row],[id]],prov_color!A:A,prov_color!C:C)</f>
        <v>36</v>
      </c>
      <c r="P136" t="str">
        <f>_xlfn.XLOOKUP(VALINA[[#This Row],[id]],Table4[id],Table4[name])</f>
        <v>Eskimalt</v>
      </c>
      <c r="Q136" t="str">
        <f>_xlfn.XLOOKUP(VALINA[[#This Row],[name]],Trans!A:A,Trans!B:B)</f>
        <v>Eskimalt</v>
      </c>
    </row>
    <row r="137" spans="1:17" x14ac:dyDescent="0.25">
      <c r="A137">
        <v>136</v>
      </c>
      <c r="B137" t="s">
        <v>11</v>
      </c>
      <c r="C137" t="s">
        <v>12</v>
      </c>
      <c r="D137" t="s">
        <v>210</v>
      </c>
      <c r="E137" t="s">
        <v>22</v>
      </c>
      <c r="F137" t="s">
        <v>15</v>
      </c>
      <c r="G137" t="s">
        <v>16</v>
      </c>
      <c r="H137" t="s">
        <v>216</v>
      </c>
      <c r="I137" t="s">
        <v>20</v>
      </c>
      <c r="J137" t="s">
        <v>221</v>
      </c>
      <c r="K137">
        <v>8</v>
      </c>
      <c r="L137">
        <v>1</v>
      </c>
      <c r="M137">
        <v>1</v>
      </c>
      <c r="N137">
        <v>0</v>
      </c>
      <c r="O137">
        <f>_xlfn.XLOOKUP(VALINA[[#This Row],[id]],prov_color!A:A,prov_color!C:C)</f>
        <v>59</v>
      </c>
      <c r="P137" t="str">
        <f>_xlfn.XLOOKUP(VALINA[[#This Row],[id]],Table4[id],Table4[name])</f>
        <v>Nueltin</v>
      </c>
      <c r="Q137" t="str">
        <f>_xlfn.XLOOKUP(VALINA[[#This Row],[name]],Trans!A:A,Trans!B:B)</f>
        <v>Nueltin</v>
      </c>
    </row>
    <row r="138" spans="1:17" x14ac:dyDescent="0.25">
      <c r="A138">
        <v>137</v>
      </c>
      <c r="B138" t="s">
        <v>11</v>
      </c>
      <c r="C138" t="s">
        <v>222</v>
      </c>
      <c r="D138" t="s">
        <v>223</v>
      </c>
      <c r="E138" t="s">
        <v>22</v>
      </c>
      <c r="F138" t="s">
        <v>15</v>
      </c>
      <c r="G138" t="s">
        <v>75</v>
      </c>
      <c r="H138" t="s">
        <v>224</v>
      </c>
      <c r="I138" t="s">
        <v>131</v>
      </c>
      <c r="J138" t="s">
        <v>225</v>
      </c>
      <c r="K138">
        <v>3</v>
      </c>
      <c r="L138">
        <v>7</v>
      </c>
      <c r="M138">
        <v>1</v>
      </c>
      <c r="N138">
        <v>0</v>
      </c>
      <c r="O138">
        <f>_xlfn.XLOOKUP(VALINA[[#This Row],[id]],prov_color!A:A,prov_color!C:C)</f>
        <v>21</v>
      </c>
      <c r="P138" t="str">
        <f>_xlfn.XLOOKUP(VALINA[[#This Row],[id]],Table4[id],Table4[name])</f>
        <v>Havana</v>
      </c>
      <c r="Q138" t="str">
        <f>_xlfn.XLOOKUP(VALINA[[#This Row],[name]],Trans!A:A,Trans!B:B)</f>
        <v>Havana</v>
      </c>
    </row>
    <row r="139" spans="1:17" x14ac:dyDescent="0.25">
      <c r="A139">
        <v>138</v>
      </c>
      <c r="B139" t="s">
        <v>11</v>
      </c>
      <c r="C139" t="s">
        <v>222</v>
      </c>
      <c r="D139" t="s">
        <v>223</v>
      </c>
      <c r="E139" t="s">
        <v>22</v>
      </c>
      <c r="F139" t="s">
        <v>15</v>
      </c>
      <c r="G139" t="s">
        <v>75</v>
      </c>
      <c r="H139" t="s">
        <v>224</v>
      </c>
      <c r="I139" t="s">
        <v>84</v>
      </c>
      <c r="J139" t="s">
        <v>226</v>
      </c>
      <c r="K139">
        <v>3</v>
      </c>
      <c r="L139">
        <v>5</v>
      </c>
      <c r="M139">
        <v>1</v>
      </c>
      <c r="N139">
        <v>0</v>
      </c>
      <c r="O139">
        <f>_xlfn.XLOOKUP(VALINA[[#This Row],[id]],prov_color!A:A,prov_color!C:C)</f>
        <v>27</v>
      </c>
      <c r="P139" t="str">
        <f>_xlfn.XLOOKUP(VALINA[[#This Row],[id]],Table4[id],Table4[name])</f>
        <v>Moron</v>
      </c>
      <c r="Q139" t="str">
        <f>_xlfn.XLOOKUP(VALINA[[#This Row],[name]],Trans!A:A,Trans!B:B)</f>
        <v>Moron</v>
      </c>
    </row>
    <row r="140" spans="1:17" x14ac:dyDescent="0.25">
      <c r="A140">
        <v>139</v>
      </c>
      <c r="B140" t="s">
        <v>11</v>
      </c>
      <c r="C140" t="s">
        <v>222</v>
      </c>
      <c r="D140" t="s">
        <v>223</v>
      </c>
      <c r="E140" t="s">
        <v>22</v>
      </c>
      <c r="F140" t="s">
        <v>15</v>
      </c>
      <c r="G140" t="s">
        <v>75</v>
      </c>
      <c r="H140" t="s">
        <v>224</v>
      </c>
      <c r="I140" t="s">
        <v>73</v>
      </c>
      <c r="J140" t="s">
        <v>227</v>
      </c>
      <c r="K140">
        <v>3</v>
      </c>
      <c r="L140">
        <v>5</v>
      </c>
      <c r="M140">
        <v>1</v>
      </c>
      <c r="N140">
        <v>0</v>
      </c>
      <c r="O140">
        <f>_xlfn.XLOOKUP(VALINA[[#This Row],[id]],prov_color!A:A,prov_color!C:C)</f>
        <v>22</v>
      </c>
      <c r="P140" t="str">
        <f>_xlfn.XLOOKUP(VALINA[[#This Row],[id]],Table4[id],Table4[name])</f>
        <v>Guantanamo</v>
      </c>
      <c r="Q140" t="str">
        <f>_xlfn.XLOOKUP(VALINA[[#This Row],[name]],Trans!A:A,Trans!B:B)</f>
        <v>Guantanamo</v>
      </c>
    </row>
    <row r="141" spans="1:17" x14ac:dyDescent="0.25">
      <c r="A141">
        <v>140</v>
      </c>
      <c r="B141" t="s">
        <v>11</v>
      </c>
      <c r="C141" t="s">
        <v>222</v>
      </c>
      <c r="D141" t="s">
        <v>223</v>
      </c>
      <c r="E141" t="s">
        <v>22</v>
      </c>
      <c r="F141" t="s">
        <v>15</v>
      </c>
      <c r="G141" t="s">
        <v>75</v>
      </c>
      <c r="H141" t="s">
        <v>224</v>
      </c>
      <c r="I141" t="s">
        <v>73</v>
      </c>
      <c r="J141" t="s">
        <v>228</v>
      </c>
      <c r="K141">
        <v>4</v>
      </c>
      <c r="L141">
        <v>6</v>
      </c>
      <c r="M141">
        <v>1</v>
      </c>
      <c r="N141">
        <v>0</v>
      </c>
      <c r="O141">
        <f>_xlfn.XLOOKUP(VALINA[[#This Row],[id]],prov_color!A:A,prov_color!C:C)</f>
        <v>15</v>
      </c>
      <c r="P141" t="str">
        <f>_xlfn.XLOOKUP(VALINA[[#This Row],[id]],Table4[id],Table4[name])</f>
        <v>Jamaica</v>
      </c>
      <c r="Q141" t="str">
        <f>_xlfn.XLOOKUP(VALINA[[#This Row],[name]],Trans!A:A,Trans!B:B)</f>
        <v>Jamaica</v>
      </c>
    </row>
    <row r="142" spans="1:17" x14ac:dyDescent="0.25">
      <c r="A142">
        <v>141</v>
      </c>
      <c r="B142" t="s">
        <v>11</v>
      </c>
      <c r="C142" t="s">
        <v>222</v>
      </c>
      <c r="D142" t="s">
        <v>229</v>
      </c>
      <c r="E142" t="s">
        <v>80</v>
      </c>
      <c r="F142" t="s">
        <v>15</v>
      </c>
      <c r="G142" t="s">
        <v>75</v>
      </c>
      <c r="H142" t="s">
        <v>224</v>
      </c>
      <c r="I142" t="s">
        <v>73</v>
      </c>
      <c r="J142" t="s">
        <v>230</v>
      </c>
      <c r="K142">
        <v>6</v>
      </c>
      <c r="L142">
        <v>7</v>
      </c>
      <c r="M142">
        <v>1</v>
      </c>
      <c r="N142">
        <v>0</v>
      </c>
      <c r="O142">
        <f>_xlfn.XLOOKUP(VALINA[[#This Row],[id]],prov_color!A:A,prov_color!C:C)</f>
        <v>12</v>
      </c>
      <c r="P142" t="str">
        <f>_xlfn.XLOOKUP(VALINA[[#This Row],[id]],Table4[id],Table4[name])</f>
        <v>Les Cayes</v>
      </c>
      <c r="Q142" t="str">
        <f>_xlfn.XLOOKUP(VALINA[[#This Row],[name]],Trans!A:A,Trans!B:B)</f>
        <v>Les Cayes</v>
      </c>
    </row>
    <row r="143" spans="1:17" x14ac:dyDescent="0.25">
      <c r="A143">
        <v>142</v>
      </c>
      <c r="B143" t="s">
        <v>11</v>
      </c>
      <c r="C143" t="s">
        <v>222</v>
      </c>
      <c r="D143" t="s">
        <v>229</v>
      </c>
      <c r="E143" t="s">
        <v>14</v>
      </c>
      <c r="F143" t="s">
        <v>15</v>
      </c>
      <c r="G143" t="s">
        <v>75</v>
      </c>
      <c r="H143" t="s">
        <v>224</v>
      </c>
      <c r="I143" t="s">
        <v>73</v>
      </c>
      <c r="J143" t="s">
        <v>231</v>
      </c>
      <c r="K143">
        <v>5</v>
      </c>
      <c r="L143">
        <v>4</v>
      </c>
      <c r="M143">
        <v>1</v>
      </c>
      <c r="N143">
        <v>0</v>
      </c>
      <c r="O143">
        <f>_xlfn.XLOOKUP(VALINA[[#This Row],[id]],prov_color!A:A,prov_color!C:C)</f>
        <v>14</v>
      </c>
      <c r="P143" t="str">
        <f>_xlfn.XLOOKUP(VALINA[[#This Row],[id]],Table4[id],Table4[name])</f>
        <v>Tortuga</v>
      </c>
      <c r="Q143" t="str">
        <f>_xlfn.XLOOKUP(VALINA[[#This Row],[name]],Trans!A:A,Trans!B:B)</f>
        <v>Tortuga</v>
      </c>
    </row>
    <row r="144" spans="1:17" x14ac:dyDescent="0.25">
      <c r="A144">
        <v>143</v>
      </c>
      <c r="B144" t="s">
        <v>11</v>
      </c>
      <c r="C144" t="s">
        <v>222</v>
      </c>
      <c r="D144" t="s">
        <v>229</v>
      </c>
      <c r="E144" t="s">
        <v>22</v>
      </c>
      <c r="F144" t="s">
        <v>15</v>
      </c>
      <c r="G144" t="s">
        <v>75</v>
      </c>
      <c r="H144" t="s">
        <v>224</v>
      </c>
      <c r="I144" t="s">
        <v>73</v>
      </c>
      <c r="J144" t="s">
        <v>232</v>
      </c>
      <c r="K144">
        <v>5</v>
      </c>
      <c r="L144">
        <v>5</v>
      </c>
      <c r="M144">
        <v>1</v>
      </c>
      <c r="N144">
        <v>0</v>
      </c>
      <c r="O144">
        <f>_xlfn.XLOOKUP(VALINA[[#This Row],[id]],prov_color!A:A,prov_color!C:C)</f>
        <v>20</v>
      </c>
      <c r="P144" t="str">
        <f>_xlfn.XLOOKUP(VALINA[[#This Row],[id]],Table4[id],Table4[name])</f>
        <v>Barahona</v>
      </c>
      <c r="Q144" t="str">
        <f>_xlfn.XLOOKUP(VALINA[[#This Row],[name]],Trans!A:A,Trans!B:B)</f>
        <v>Barahona</v>
      </c>
    </row>
    <row r="145" spans="1:17" x14ac:dyDescent="0.25">
      <c r="A145">
        <v>144</v>
      </c>
      <c r="B145" t="s">
        <v>11</v>
      </c>
      <c r="C145" t="s">
        <v>222</v>
      </c>
      <c r="D145" t="s">
        <v>233</v>
      </c>
      <c r="E145" t="s">
        <v>22</v>
      </c>
      <c r="F145" t="s">
        <v>15</v>
      </c>
      <c r="G145" t="s">
        <v>75</v>
      </c>
      <c r="H145" t="s">
        <v>224</v>
      </c>
      <c r="I145" t="s">
        <v>73</v>
      </c>
      <c r="J145" t="s">
        <v>234</v>
      </c>
      <c r="K145">
        <v>4</v>
      </c>
      <c r="L145">
        <v>5</v>
      </c>
      <c r="M145">
        <v>1</v>
      </c>
      <c r="N145">
        <v>0</v>
      </c>
      <c r="O145">
        <f>_xlfn.XLOOKUP(VALINA[[#This Row],[id]],prov_color!A:A,prov_color!C:C)</f>
        <v>11</v>
      </c>
      <c r="P145" t="str">
        <f>_xlfn.XLOOKUP(VALINA[[#This Row],[id]],Table4[id],Table4[name])</f>
        <v>Puerto Rico</v>
      </c>
      <c r="Q145" t="str">
        <f>_xlfn.XLOOKUP(VALINA[[#This Row],[name]],Trans!A:A,Trans!B:B)</f>
        <v>Puerto Rico</v>
      </c>
    </row>
    <row r="146" spans="1:17" x14ac:dyDescent="0.25">
      <c r="A146">
        <v>145</v>
      </c>
      <c r="B146" t="s">
        <v>11</v>
      </c>
      <c r="C146" t="s">
        <v>222</v>
      </c>
      <c r="D146" t="s">
        <v>233</v>
      </c>
      <c r="E146" t="s">
        <v>22</v>
      </c>
      <c r="F146" t="s">
        <v>15</v>
      </c>
      <c r="G146" t="s">
        <v>75</v>
      </c>
      <c r="H146" t="s">
        <v>235</v>
      </c>
      <c r="I146" t="s">
        <v>73</v>
      </c>
      <c r="J146" t="s">
        <v>236</v>
      </c>
      <c r="K146">
        <v>2</v>
      </c>
      <c r="L146">
        <v>5</v>
      </c>
      <c r="M146">
        <v>1</v>
      </c>
      <c r="N146">
        <v>0</v>
      </c>
      <c r="O146">
        <f>_xlfn.XLOOKUP(VALINA[[#This Row],[id]],prov_color!A:A,prov_color!C:C)</f>
        <v>6</v>
      </c>
      <c r="P146" t="str">
        <f>_xlfn.XLOOKUP(VALINA[[#This Row],[id]],Table4[id],Table4[name])</f>
        <v>St. Thomas</v>
      </c>
      <c r="Q146" t="str">
        <f>_xlfn.XLOOKUP(VALINA[[#This Row],[name]],Trans!A:A,Trans!B:B)</f>
        <v>St. Thomas</v>
      </c>
    </row>
    <row r="147" spans="1:17" x14ac:dyDescent="0.25">
      <c r="A147">
        <v>146</v>
      </c>
      <c r="B147" t="s">
        <v>11</v>
      </c>
      <c r="C147" t="s">
        <v>222</v>
      </c>
      <c r="D147" t="s">
        <v>233</v>
      </c>
      <c r="E147" t="s">
        <v>22</v>
      </c>
      <c r="F147" t="s">
        <v>15</v>
      </c>
      <c r="G147" t="s">
        <v>75</v>
      </c>
      <c r="H147" t="s">
        <v>235</v>
      </c>
      <c r="I147" t="s">
        <v>73</v>
      </c>
      <c r="J147" t="s">
        <v>237</v>
      </c>
      <c r="K147">
        <v>3</v>
      </c>
      <c r="L147">
        <v>6</v>
      </c>
      <c r="M147">
        <v>1</v>
      </c>
      <c r="N147">
        <v>0</v>
      </c>
      <c r="O147">
        <f>_xlfn.XLOOKUP(VALINA[[#This Row],[id]],prov_color!A:A,prov_color!C:C)</f>
        <v>6</v>
      </c>
      <c r="P147" t="str">
        <f>_xlfn.XLOOKUP(VALINA[[#This Row],[id]],Table4[id],Table4[name])</f>
        <v>St. Martin</v>
      </c>
      <c r="Q147" t="str">
        <f>_xlfn.XLOOKUP(VALINA[[#This Row],[name]],Trans!A:A,Trans!B:B)</f>
        <v>St. Martin</v>
      </c>
    </row>
    <row r="148" spans="1:17" x14ac:dyDescent="0.25">
      <c r="A148">
        <v>147</v>
      </c>
      <c r="B148" t="s">
        <v>11</v>
      </c>
      <c r="C148" t="s">
        <v>222</v>
      </c>
      <c r="D148" t="s">
        <v>233</v>
      </c>
      <c r="E148" t="s">
        <v>22</v>
      </c>
      <c r="F148" t="s">
        <v>15</v>
      </c>
      <c r="G148" t="s">
        <v>75</v>
      </c>
      <c r="H148" t="s">
        <v>235</v>
      </c>
      <c r="I148" t="s">
        <v>73</v>
      </c>
      <c r="J148" t="s">
        <v>238</v>
      </c>
      <c r="K148">
        <v>2</v>
      </c>
      <c r="L148">
        <v>6</v>
      </c>
      <c r="M148">
        <v>1</v>
      </c>
      <c r="N148">
        <v>0</v>
      </c>
      <c r="O148">
        <f>_xlfn.XLOOKUP(VALINA[[#This Row],[id]],prov_color!A:A,prov_color!C:C)</f>
        <v>6</v>
      </c>
      <c r="P148" t="str">
        <f>_xlfn.XLOOKUP(VALINA[[#This Row],[id]],Table4[id],Table4[name])</f>
        <v>Antigua</v>
      </c>
      <c r="Q148" t="str">
        <f>_xlfn.XLOOKUP(VALINA[[#This Row],[name]],Trans!A:A,Trans!B:B)</f>
        <v>Antigua</v>
      </c>
    </row>
    <row r="149" spans="1:17" x14ac:dyDescent="0.25">
      <c r="A149">
        <v>148</v>
      </c>
      <c r="B149" t="s">
        <v>11</v>
      </c>
      <c r="C149" t="s">
        <v>222</v>
      </c>
      <c r="D149" t="s">
        <v>233</v>
      </c>
      <c r="E149" t="s">
        <v>22</v>
      </c>
      <c r="F149" t="s">
        <v>15</v>
      </c>
      <c r="G149" t="s">
        <v>75</v>
      </c>
      <c r="H149" t="s">
        <v>235</v>
      </c>
      <c r="I149" t="s">
        <v>73</v>
      </c>
      <c r="J149" t="s">
        <v>239</v>
      </c>
      <c r="K149">
        <v>3</v>
      </c>
      <c r="L149">
        <v>6</v>
      </c>
      <c r="M149">
        <v>1</v>
      </c>
      <c r="N149">
        <v>0</v>
      </c>
      <c r="O149">
        <f>_xlfn.XLOOKUP(VALINA[[#This Row],[id]],prov_color!A:A,prov_color!C:C)</f>
        <v>6</v>
      </c>
      <c r="P149" t="str">
        <f>_xlfn.XLOOKUP(VALINA[[#This Row],[id]],Table4[id],Table4[name])</f>
        <v>Dominica</v>
      </c>
      <c r="Q149" t="str">
        <f>_xlfn.XLOOKUP(VALINA[[#This Row],[name]],Trans!A:A,Trans!B:B)</f>
        <v>Dominica</v>
      </c>
    </row>
    <row r="150" spans="1:17" x14ac:dyDescent="0.25">
      <c r="A150">
        <v>149</v>
      </c>
      <c r="B150" t="s">
        <v>11</v>
      </c>
      <c r="C150" t="s">
        <v>222</v>
      </c>
      <c r="D150" t="s">
        <v>233</v>
      </c>
      <c r="E150" t="s">
        <v>22</v>
      </c>
      <c r="F150" t="s">
        <v>15</v>
      </c>
      <c r="G150" t="s">
        <v>75</v>
      </c>
      <c r="H150" t="s">
        <v>235</v>
      </c>
      <c r="I150" t="s">
        <v>73</v>
      </c>
      <c r="J150" t="s">
        <v>240</v>
      </c>
      <c r="K150">
        <v>2</v>
      </c>
      <c r="L150">
        <v>6</v>
      </c>
      <c r="M150">
        <v>1</v>
      </c>
      <c r="N150">
        <v>0</v>
      </c>
      <c r="O150">
        <f>_xlfn.XLOOKUP(VALINA[[#This Row],[id]],prov_color!A:A,prov_color!C:C)</f>
        <v>6</v>
      </c>
      <c r="P150" t="str">
        <f>_xlfn.XLOOKUP(VALINA[[#This Row],[id]],Table4[id],Table4[name])</f>
        <v>Guadeloupe</v>
      </c>
      <c r="Q150" t="str">
        <f>_xlfn.XLOOKUP(VALINA[[#This Row],[name]],Trans!A:A,Trans!B:B)</f>
        <v>Guadeloupe</v>
      </c>
    </row>
    <row r="151" spans="1:17" x14ac:dyDescent="0.25">
      <c r="A151">
        <v>150</v>
      </c>
      <c r="B151" t="s">
        <v>11</v>
      </c>
      <c r="C151" t="s">
        <v>222</v>
      </c>
      <c r="D151" t="s">
        <v>233</v>
      </c>
      <c r="E151" t="s">
        <v>22</v>
      </c>
      <c r="F151" t="s">
        <v>15</v>
      </c>
      <c r="G151" t="s">
        <v>75</v>
      </c>
      <c r="H151" t="s">
        <v>235</v>
      </c>
      <c r="I151" t="s">
        <v>73</v>
      </c>
      <c r="J151" t="s">
        <v>241</v>
      </c>
      <c r="K151">
        <v>2</v>
      </c>
      <c r="L151">
        <v>6</v>
      </c>
      <c r="M151">
        <v>1</v>
      </c>
      <c r="N151">
        <v>0</v>
      </c>
      <c r="O151">
        <f>_xlfn.XLOOKUP(VALINA[[#This Row],[id]],prov_color!A:A,prov_color!C:C)</f>
        <v>6</v>
      </c>
      <c r="P151" t="str">
        <f>_xlfn.XLOOKUP(VALINA[[#This Row],[id]],Table4[id],Table4[name])</f>
        <v>Martinique</v>
      </c>
      <c r="Q151" t="str">
        <f>_xlfn.XLOOKUP(VALINA[[#This Row],[name]],Trans!A:A,Trans!B:B)</f>
        <v>Martinique</v>
      </c>
    </row>
    <row r="152" spans="1:17" x14ac:dyDescent="0.25">
      <c r="A152">
        <v>151</v>
      </c>
      <c r="B152" t="s">
        <v>11</v>
      </c>
      <c r="C152" t="s">
        <v>222</v>
      </c>
      <c r="D152" t="s">
        <v>233</v>
      </c>
      <c r="E152" t="s">
        <v>22</v>
      </c>
      <c r="F152" t="s">
        <v>15</v>
      </c>
      <c r="G152" t="s">
        <v>75</v>
      </c>
      <c r="H152" t="s">
        <v>224</v>
      </c>
      <c r="I152" t="s">
        <v>73</v>
      </c>
      <c r="J152" t="s">
        <v>242</v>
      </c>
      <c r="K152">
        <v>3</v>
      </c>
      <c r="L152">
        <v>6</v>
      </c>
      <c r="M152">
        <v>1</v>
      </c>
      <c r="N152">
        <v>0</v>
      </c>
      <c r="O152">
        <f>_xlfn.XLOOKUP(VALINA[[#This Row],[id]],prov_color!A:A,prov_color!C:C)</f>
        <v>11</v>
      </c>
      <c r="P152" t="str">
        <f>_xlfn.XLOOKUP(VALINA[[#This Row],[id]],Table4[id],Table4[name])</f>
        <v>Tobago &amp; Trinidad</v>
      </c>
      <c r="Q152" t="str">
        <f>_xlfn.XLOOKUP(VALINA[[#This Row],[name]],Trans!A:A,Trans!B:B)</f>
        <v>Tobago &amp; Trinidad</v>
      </c>
    </row>
    <row r="153" spans="1:17" x14ac:dyDescent="0.25">
      <c r="A153">
        <v>152</v>
      </c>
      <c r="B153" t="s">
        <v>11</v>
      </c>
      <c r="C153" t="s">
        <v>222</v>
      </c>
      <c r="D153" t="s">
        <v>233</v>
      </c>
      <c r="E153" t="s">
        <v>22</v>
      </c>
      <c r="F153" t="s">
        <v>15</v>
      </c>
      <c r="G153" t="s">
        <v>75</v>
      </c>
      <c r="H153" t="s">
        <v>235</v>
      </c>
      <c r="I153" t="s">
        <v>73</v>
      </c>
      <c r="J153" t="s">
        <v>243</v>
      </c>
      <c r="K153">
        <v>3</v>
      </c>
      <c r="L153">
        <v>6</v>
      </c>
      <c r="M153">
        <v>1</v>
      </c>
      <c r="N153">
        <v>0</v>
      </c>
      <c r="O153">
        <f>_xlfn.XLOOKUP(VALINA[[#This Row],[id]],prov_color!A:A,prov_color!C:C)</f>
        <v>6</v>
      </c>
      <c r="P153" t="str">
        <f>_xlfn.XLOOKUP(VALINA[[#This Row],[id]],Table4[id],Table4[name])</f>
        <v>Barbados</v>
      </c>
      <c r="Q153" t="str">
        <f>_xlfn.XLOOKUP(VALINA[[#This Row],[name]],Trans!A:A,Trans!B:B)</f>
        <v>Barbados</v>
      </c>
    </row>
    <row r="154" spans="1:17" x14ac:dyDescent="0.25">
      <c r="A154">
        <v>153</v>
      </c>
      <c r="B154" t="s">
        <v>11</v>
      </c>
      <c r="C154" t="s">
        <v>244</v>
      </c>
      <c r="D154" t="s">
        <v>245</v>
      </c>
      <c r="E154" t="s">
        <v>22</v>
      </c>
      <c r="F154" t="s">
        <v>15</v>
      </c>
      <c r="G154" t="s">
        <v>75</v>
      </c>
      <c r="H154" t="s">
        <v>224</v>
      </c>
      <c r="I154" t="s">
        <v>73</v>
      </c>
      <c r="J154" t="s">
        <v>246</v>
      </c>
      <c r="K154">
        <v>3</v>
      </c>
      <c r="L154">
        <v>4</v>
      </c>
      <c r="M154">
        <v>1</v>
      </c>
      <c r="N154">
        <v>0</v>
      </c>
      <c r="O154">
        <f>_xlfn.XLOOKUP(VALINA[[#This Row],[id]],prov_color!A:A,prov_color!C:C)</f>
        <v>8</v>
      </c>
      <c r="P154" t="str">
        <f>_xlfn.XLOOKUP(VALINA[[#This Row],[id]],Table4[id],Table4[name])</f>
        <v>Curacao</v>
      </c>
      <c r="Q154" t="str">
        <f>_xlfn.XLOOKUP(VALINA[[#This Row],[name]],Trans!A:A,Trans!B:B)</f>
        <v>Curacao</v>
      </c>
    </row>
    <row r="155" spans="1:17" x14ac:dyDescent="0.25">
      <c r="A155">
        <v>154</v>
      </c>
      <c r="B155" t="s">
        <v>11</v>
      </c>
      <c r="C155" t="s">
        <v>244</v>
      </c>
      <c r="D155" t="s">
        <v>245</v>
      </c>
      <c r="E155" t="s">
        <v>22</v>
      </c>
      <c r="F155" t="s">
        <v>15</v>
      </c>
      <c r="G155" t="s">
        <v>75</v>
      </c>
      <c r="H155" t="s">
        <v>224</v>
      </c>
      <c r="I155" t="s">
        <v>73</v>
      </c>
      <c r="J155" t="s">
        <v>247</v>
      </c>
      <c r="K155">
        <v>7</v>
      </c>
      <c r="L155">
        <v>2</v>
      </c>
      <c r="M155">
        <v>1</v>
      </c>
      <c r="N155">
        <v>0</v>
      </c>
      <c r="O155">
        <f>_xlfn.XLOOKUP(VALINA[[#This Row],[id]],prov_color!A:A,prov_color!C:C)</f>
        <v>55</v>
      </c>
      <c r="P155" t="str">
        <f>_xlfn.XLOOKUP(VALINA[[#This Row],[id]],Table4[id],Table4[name])</f>
        <v>Yaraguay</v>
      </c>
      <c r="Q155" t="str">
        <f>_xlfn.XLOOKUP(VALINA[[#This Row],[name]],Trans!A:A,Trans!B:B)</f>
        <v>Yaraguay</v>
      </c>
    </row>
    <row r="156" spans="1:17" x14ac:dyDescent="0.25">
      <c r="A156">
        <v>155</v>
      </c>
      <c r="B156" t="s">
        <v>11</v>
      </c>
      <c r="C156" t="s">
        <v>244</v>
      </c>
      <c r="D156" t="s">
        <v>245</v>
      </c>
      <c r="E156" t="s">
        <v>80</v>
      </c>
      <c r="F156" t="s">
        <v>15</v>
      </c>
      <c r="G156" t="s">
        <v>75</v>
      </c>
      <c r="H156" t="s">
        <v>224</v>
      </c>
      <c r="I156" t="s">
        <v>41</v>
      </c>
      <c r="J156" t="s">
        <v>248</v>
      </c>
      <c r="K156">
        <v>8</v>
      </c>
      <c r="L156">
        <v>2</v>
      </c>
      <c r="M156">
        <v>1</v>
      </c>
      <c r="N156">
        <v>0</v>
      </c>
      <c r="O156">
        <f>_xlfn.XLOOKUP(VALINA[[#This Row],[id]],prov_color!A:A,prov_color!C:C)</f>
        <v>33</v>
      </c>
      <c r="P156" t="str">
        <f>_xlfn.XLOOKUP(VALINA[[#This Row],[id]],Table4[id],Table4[name])</f>
        <v>Apure</v>
      </c>
      <c r="Q156" t="str">
        <f>_xlfn.XLOOKUP(VALINA[[#This Row],[name]],Trans!A:A,Trans!B:B)</f>
        <v>Apure</v>
      </c>
    </row>
    <row r="157" spans="1:17" x14ac:dyDescent="0.25">
      <c r="A157">
        <v>156</v>
      </c>
      <c r="B157" t="s">
        <v>11</v>
      </c>
      <c r="C157" t="s">
        <v>244</v>
      </c>
      <c r="D157" t="s">
        <v>245</v>
      </c>
      <c r="E157" t="s">
        <v>22</v>
      </c>
      <c r="F157" t="s">
        <v>15</v>
      </c>
      <c r="G157" t="s">
        <v>75</v>
      </c>
      <c r="H157" t="s">
        <v>224</v>
      </c>
      <c r="I157" t="s">
        <v>73</v>
      </c>
      <c r="J157" t="s">
        <v>249</v>
      </c>
      <c r="K157">
        <v>7</v>
      </c>
      <c r="L157">
        <v>3</v>
      </c>
      <c r="M157">
        <v>1</v>
      </c>
      <c r="N157">
        <v>0</v>
      </c>
      <c r="O157">
        <f>_xlfn.XLOOKUP(VALINA[[#This Row],[id]],prov_color!A:A,prov_color!C:C)</f>
        <v>47</v>
      </c>
      <c r="P157" t="str">
        <f>_xlfn.XLOOKUP(VALINA[[#This Row],[id]],Table4[id],Table4[name])</f>
        <v>Tocuvo</v>
      </c>
      <c r="Q157" t="str">
        <f>_xlfn.XLOOKUP(VALINA[[#This Row],[name]],Trans!A:A,Trans!B:B)</f>
        <v>Tocuvo</v>
      </c>
    </row>
    <row r="158" spans="1:17" x14ac:dyDescent="0.25">
      <c r="A158">
        <v>157</v>
      </c>
      <c r="B158" t="s">
        <v>11</v>
      </c>
      <c r="C158" t="s">
        <v>244</v>
      </c>
      <c r="D158" t="s">
        <v>245</v>
      </c>
      <c r="E158" t="s">
        <v>80</v>
      </c>
      <c r="F158" t="s">
        <v>15</v>
      </c>
      <c r="G158" t="s">
        <v>75</v>
      </c>
      <c r="H158" t="s">
        <v>91</v>
      </c>
      <c r="I158" t="s">
        <v>84</v>
      </c>
      <c r="J158" t="s">
        <v>250</v>
      </c>
      <c r="K158">
        <v>6</v>
      </c>
      <c r="L158">
        <v>3</v>
      </c>
      <c r="M158">
        <v>1</v>
      </c>
      <c r="N158">
        <v>0</v>
      </c>
      <c r="O158">
        <f>_xlfn.XLOOKUP(VALINA[[#This Row],[id]],prov_color!A:A,prov_color!C:C)</f>
        <v>54</v>
      </c>
      <c r="P158" t="str">
        <f>_xlfn.XLOOKUP(VALINA[[#This Row],[id]],Table4[id],Table4[name])</f>
        <v>Maracaibo</v>
      </c>
      <c r="Q158" t="str">
        <f>_xlfn.XLOOKUP(VALINA[[#This Row],[name]],Trans!A:A,Trans!B:B)</f>
        <v>Maracaibo</v>
      </c>
    </row>
    <row r="159" spans="1:17" x14ac:dyDescent="0.25">
      <c r="A159">
        <v>158</v>
      </c>
      <c r="B159" t="s">
        <v>11</v>
      </c>
      <c r="C159" t="s">
        <v>244</v>
      </c>
      <c r="D159" t="s">
        <v>245</v>
      </c>
      <c r="E159" t="s">
        <v>80</v>
      </c>
      <c r="F159" t="s">
        <v>15</v>
      </c>
      <c r="G159" t="s">
        <v>75</v>
      </c>
      <c r="H159" t="s">
        <v>91</v>
      </c>
      <c r="I159" t="s">
        <v>84</v>
      </c>
      <c r="J159" t="s">
        <v>251</v>
      </c>
      <c r="K159">
        <v>5</v>
      </c>
      <c r="L159">
        <v>4</v>
      </c>
      <c r="M159">
        <v>1</v>
      </c>
      <c r="N159">
        <v>0</v>
      </c>
      <c r="O159">
        <f>_xlfn.XLOOKUP(VALINA[[#This Row],[id]],prov_color!A:A,prov_color!C:C)</f>
        <v>47</v>
      </c>
      <c r="P159" t="str">
        <f>_xlfn.XLOOKUP(VALINA[[#This Row],[id]],Table4[id],Table4[name])</f>
        <v>Cartagena</v>
      </c>
      <c r="Q159" t="str">
        <f>_xlfn.XLOOKUP(VALINA[[#This Row],[name]],Trans!A:A,Trans!B:B)</f>
        <v>Cartagena</v>
      </c>
    </row>
    <row r="160" spans="1:17" x14ac:dyDescent="0.25">
      <c r="A160">
        <v>159</v>
      </c>
      <c r="B160" t="s">
        <v>11</v>
      </c>
      <c r="C160" t="s">
        <v>244</v>
      </c>
      <c r="D160" t="s">
        <v>245</v>
      </c>
      <c r="E160" t="s">
        <v>14</v>
      </c>
      <c r="F160" t="s">
        <v>15</v>
      </c>
      <c r="G160" t="s">
        <v>75</v>
      </c>
      <c r="H160" t="s">
        <v>91</v>
      </c>
      <c r="I160" t="s">
        <v>18</v>
      </c>
      <c r="J160" t="s">
        <v>252</v>
      </c>
      <c r="K160">
        <v>6</v>
      </c>
      <c r="L160">
        <v>3</v>
      </c>
      <c r="M160">
        <v>1</v>
      </c>
      <c r="N160">
        <v>0</v>
      </c>
      <c r="O160">
        <f>_xlfn.XLOOKUP(VALINA[[#This Row],[id]],prov_color!A:A,prov_color!C:C)</f>
        <v>40</v>
      </c>
      <c r="P160" t="str">
        <f>_xlfn.XLOOKUP(VALINA[[#This Row],[id]],Table4[id],Table4[name])</f>
        <v>Yarumal</v>
      </c>
      <c r="Q160" t="str">
        <f>_xlfn.XLOOKUP(VALINA[[#This Row],[name]],Trans!A:A,Trans!B:B)</f>
        <v>Yarumal</v>
      </c>
    </row>
    <row r="161" spans="1:17" x14ac:dyDescent="0.25">
      <c r="A161">
        <v>160</v>
      </c>
      <c r="B161" t="s">
        <v>11</v>
      </c>
      <c r="C161" t="s">
        <v>244</v>
      </c>
      <c r="D161" t="s">
        <v>245</v>
      </c>
      <c r="E161" t="s">
        <v>14</v>
      </c>
      <c r="F161" t="s">
        <v>15</v>
      </c>
      <c r="G161" t="s">
        <v>75</v>
      </c>
      <c r="H161" t="s">
        <v>91</v>
      </c>
      <c r="I161" t="s">
        <v>84</v>
      </c>
      <c r="J161" t="s">
        <v>253</v>
      </c>
      <c r="K161">
        <v>5</v>
      </c>
      <c r="L161">
        <v>4</v>
      </c>
      <c r="M161">
        <v>1</v>
      </c>
      <c r="N161">
        <v>0</v>
      </c>
      <c r="O161">
        <f>_xlfn.XLOOKUP(VALINA[[#This Row],[id]],prov_color!A:A,prov_color!C:C)</f>
        <v>58</v>
      </c>
      <c r="P161" t="str">
        <f>_xlfn.XLOOKUP(VALINA[[#This Row],[id]],Table4[id],Table4[name])</f>
        <v>Bogota</v>
      </c>
      <c r="Q161" t="str">
        <f>_xlfn.XLOOKUP(VALINA[[#This Row],[name]],Trans!A:A,Trans!B:B)</f>
        <v>Bogota</v>
      </c>
    </row>
    <row r="162" spans="1:17" x14ac:dyDescent="0.25">
      <c r="A162">
        <v>161</v>
      </c>
      <c r="B162" t="s">
        <v>11</v>
      </c>
      <c r="C162" t="s">
        <v>244</v>
      </c>
      <c r="D162" t="s">
        <v>245</v>
      </c>
      <c r="E162" t="s">
        <v>22</v>
      </c>
      <c r="F162" t="s">
        <v>15</v>
      </c>
      <c r="G162" t="s">
        <v>75</v>
      </c>
      <c r="H162" t="s">
        <v>91</v>
      </c>
      <c r="I162" t="s">
        <v>20</v>
      </c>
      <c r="J162" t="s">
        <v>254</v>
      </c>
      <c r="K162">
        <v>6</v>
      </c>
      <c r="L162">
        <v>2</v>
      </c>
      <c r="M162">
        <v>1</v>
      </c>
      <c r="N162">
        <v>0</v>
      </c>
      <c r="O162">
        <f>_xlfn.XLOOKUP(VALINA[[#This Row],[id]],prov_color!A:A,prov_color!C:C)</f>
        <v>34</v>
      </c>
      <c r="P162" t="str">
        <f>_xlfn.XLOOKUP(VALINA[[#This Row],[id]],Table4[id],Table4[name])</f>
        <v>Cupica</v>
      </c>
      <c r="Q162" t="str">
        <f>_xlfn.XLOOKUP(VALINA[[#This Row],[name]],Trans!A:A,Trans!B:B)</f>
        <v>Cupica</v>
      </c>
    </row>
    <row r="163" spans="1:17" x14ac:dyDescent="0.25">
      <c r="A163">
        <v>162</v>
      </c>
      <c r="B163" t="s">
        <v>11</v>
      </c>
      <c r="C163" t="s">
        <v>244</v>
      </c>
      <c r="D163" t="s">
        <v>255</v>
      </c>
      <c r="E163" t="s">
        <v>22</v>
      </c>
      <c r="F163" t="s">
        <v>15</v>
      </c>
      <c r="G163" t="s">
        <v>75</v>
      </c>
      <c r="H163" t="s">
        <v>256</v>
      </c>
      <c r="I163" t="s">
        <v>43</v>
      </c>
      <c r="J163" t="s">
        <v>257</v>
      </c>
      <c r="K163">
        <v>5</v>
      </c>
      <c r="L163">
        <v>2</v>
      </c>
      <c r="M163">
        <v>1</v>
      </c>
      <c r="N163">
        <v>0</v>
      </c>
      <c r="O163">
        <f>_xlfn.XLOOKUP(VALINA[[#This Row],[id]],prov_color!A:A,prov_color!C:C)</f>
        <v>47</v>
      </c>
      <c r="P163" t="str">
        <f>_xlfn.XLOOKUP(VALINA[[#This Row],[id]],Table4[id],Table4[name])</f>
        <v>Cali</v>
      </c>
      <c r="Q163" t="str">
        <f>_xlfn.XLOOKUP(VALINA[[#This Row],[name]],Trans!A:A,Trans!B:B)</f>
        <v>Cali</v>
      </c>
    </row>
    <row r="164" spans="1:17" x14ac:dyDescent="0.25">
      <c r="A164">
        <v>163</v>
      </c>
      <c r="B164" t="s">
        <v>11</v>
      </c>
      <c r="C164" t="s">
        <v>244</v>
      </c>
      <c r="D164" t="s">
        <v>255</v>
      </c>
      <c r="E164" t="s">
        <v>14</v>
      </c>
      <c r="F164" t="s">
        <v>15</v>
      </c>
      <c r="G164" t="s">
        <v>75</v>
      </c>
      <c r="H164" t="s">
        <v>256</v>
      </c>
      <c r="I164" t="s">
        <v>18</v>
      </c>
      <c r="J164" t="s">
        <v>258</v>
      </c>
      <c r="K164">
        <v>6</v>
      </c>
      <c r="L164">
        <v>2</v>
      </c>
      <c r="M164">
        <v>1</v>
      </c>
      <c r="N164">
        <v>0</v>
      </c>
      <c r="O164">
        <f>_xlfn.XLOOKUP(VALINA[[#This Row],[id]],prov_color!A:A,prov_color!C:C)</f>
        <v>57</v>
      </c>
      <c r="P164" t="str">
        <f>_xlfn.XLOOKUP(VALINA[[#This Row],[id]],Table4[id],Table4[name])</f>
        <v>Azuay</v>
      </c>
      <c r="Q164" t="str">
        <f>_xlfn.XLOOKUP(VALINA[[#This Row],[name]],Trans!A:A,Trans!B:B)</f>
        <v>Azuay</v>
      </c>
    </row>
    <row r="165" spans="1:17" x14ac:dyDescent="0.25">
      <c r="A165">
        <v>164</v>
      </c>
      <c r="B165" t="s">
        <v>11</v>
      </c>
      <c r="C165" t="s">
        <v>244</v>
      </c>
      <c r="D165" t="s">
        <v>255</v>
      </c>
      <c r="E165" t="s">
        <v>34</v>
      </c>
      <c r="F165" t="s">
        <v>15</v>
      </c>
      <c r="G165" t="s">
        <v>75</v>
      </c>
      <c r="H165" t="s">
        <v>256</v>
      </c>
      <c r="I165" t="s">
        <v>43</v>
      </c>
      <c r="J165" t="s">
        <v>259</v>
      </c>
      <c r="K165">
        <v>4</v>
      </c>
      <c r="L165">
        <v>3</v>
      </c>
      <c r="M165">
        <v>1</v>
      </c>
      <c r="N165">
        <v>0</v>
      </c>
      <c r="O165">
        <f>_xlfn.XLOOKUP(VALINA[[#This Row],[id]],prov_color!A:A,prov_color!C:C)</f>
        <v>47</v>
      </c>
      <c r="P165" t="str">
        <f>_xlfn.XLOOKUP(VALINA[[#This Row],[id]],Table4[id],Table4[name])</f>
        <v>Guayaquil</v>
      </c>
      <c r="Q165" t="str">
        <f>_xlfn.XLOOKUP(VALINA[[#This Row],[name]],Trans!A:A,Trans!B:B)</f>
        <v>Guayaquil</v>
      </c>
    </row>
    <row r="166" spans="1:17" x14ac:dyDescent="0.25">
      <c r="A166">
        <v>165</v>
      </c>
      <c r="B166" t="s">
        <v>11</v>
      </c>
      <c r="C166" t="s">
        <v>244</v>
      </c>
      <c r="D166" t="s">
        <v>260</v>
      </c>
      <c r="E166" t="s">
        <v>34</v>
      </c>
      <c r="F166" t="s">
        <v>15</v>
      </c>
      <c r="G166" t="s">
        <v>75</v>
      </c>
      <c r="H166" t="s">
        <v>256</v>
      </c>
      <c r="I166" t="s">
        <v>84</v>
      </c>
      <c r="J166" t="s">
        <v>261</v>
      </c>
      <c r="K166">
        <v>3</v>
      </c>
      <c r="L166">
        <v>4</v>
      </c>
      <c r="M166">
        <v>1</v>
      </c>
      <c r="N166">
        <v>0</v>
      </c>
      <c r="O166">
        <f>_xlfn.XLOOKUP(VALINA[[#This Row],[id]],prov_color!A:A,prov_color!C:C)</f>
        <v>45</v>
      </c>
      <c r="P166" t="str">
        <f>_xlfn.XLOOKUP(VALINA[[#This Row],[id]],Table4[id],Table4[name])</f>
        <v>Cajamarca</v>
      </c>
      <c r="Q166" t="str">
        <f>_xlfn.XLOOKUP(VALINA[[#This Row],[name]],Trans!A:A,Trans!B:B)</f>
        <v>Cajamarca</v>
      </c>
    </row>
    <row r="167" spans="1:17" x14ac:dyDescent="0.25">
      <c r="A167">
        <v>166</v>
      </c>
      <c r="B167" t="s">
        <v>11</v>
      </c>
      <c r="C167" t="s">
        <v>244</v>
      </c>
      <c r="D167" t="s">
        <v>260</v>
      </c>
      <c r="E167" t="s">
        <v>34</v>
      </c>
      <c r="F167" t="s">
        <v>15</v>
      </c>
      <c r="G167" t="s">
        <v>75</v>
      </c>
      <c r="H167" t="s">
        <v>256</v>
      </c>
      <c r="I167" t="s">
        <v>43</v>
      </c>
      <c r="J167" t="s">
        <v>262</v>
      </c>
      <c r="K167">
        <v>4</v>
      </c>
      <c r="L167">
        <v>4</v>
      </c>
      <c r="M167">
        <v>1</v>
      </c>
      <c r="N167">
        <v>0</v>
      </c>
      <c r="O167">
        <f>_xlfn.XLOOKUP(VALINA[[#This Row],[id]],prov_color!A:A,prov_color!C:C)</f>
        <v>35</v>
      </c>
      <c r="P167" t="str">
        <f>_xlfn.XLOOKUP(VALINA[[#This Row],[id]],Table4[id],Table4[name])</f>
        <v>Huanuco</v>
      </c>
      <c r="Q167" t="str">
        <f>_xlfn.XLOOKUP(VALINA[[#This Row],[name]],Trans!A:A,Trans!B:B)</f>
        <v>Huanuco</v>
      </c>
    </row>
    <row r="168" spans="1:17" x14ac:dyDescent="0.25">
      <c r="A168">
        <v>167</v>
      </c>
      <c r="B168" t="s">
        <v>11</v>
      </c>
      <c r="C168" t="s">
        <v>244</v>
      </c>
      <c r="D168" t="s">
        <v>260</v>
      </c>
      <c r="E168" t="s">
        <v>14</v>
      </c>
      <c r="F168" t="s">
        <v>15</v>
      </c>
      <c r="G168" t="s">
        <v>35</v>
      </c>
      <c r="H168" t="s">
        <v>256</v>
      </c>
      <c r="I168" t="s">
        <v>18</v>
      </c>
      <c r="J168" t="s">
        <v>263</v>
      </c>
      <c r="K168">
        <v>4</v>
      </c>
      <c r="L168">
        <v>3</v>
      </c>
      <c r="M168">
        <v>1</v>
      </c>
      <c r="N168">
        <v>0</v>
      </c>
      <c r="O168">
        <f>_xlfn.XLOOKUP(VALINA[[#This Row],[id]],prov_color!A:A,prov_color!C:C)</f>
        <v>28</v>
      </c>
      <c r="P168" t="str">
        <f>_xlfn.XLOOKUP(VALINA[[#This Row],[id]],Table4[id],Table4[name])</f>
        <v>Ayacucho</v>
      </c>
      <c r="Q168" t="str">
        <f>_xlfn.XLOOKUP(VALINA[[#This Row],[name]],Trans!A:A,Trans!B:B)</f>
        <v>Ayacucho</v>
      </c>
    </row>
    <row r="169" spans="1:17" x14ac:dyDescent="0.25">
      <c r="A169">
        <v>168</v>
      </c>
      <c r="B169" t="s">
        <v>11</v>
      </c>
      <c r="C169" t="s">
        <v>244</v>
      </c>
      <c r="D169" t="s">
        <v>260</v>
      </c>
      <c r="E169" t="s">
        <v>34</v>
      </c>
      <c r="F169" t="s">
        <v>15</v>
      </c>
      <c r="G169" t="s">
        <v>35</v>
      </c>
      <c r="H169" t="s">
        <v>256</v>
      </c>
      <c r="I169" t="s">
        <v>27</v>
      </c>
      <c r="J169" t="s">
        <v>264</v>
      </c>
      <c r="K169">
        <v>4</v>
      </c>
      <c r="L169">
        <v>6</v>
      </c>
      <c r="M169">
        <v>1</v>
      </c>
      <c r="N169">
        <v>0</v>
      </c>
      <c r="O169">
        <f>_xlfn.XLOOKUP(VALINA[[#This Row],[id]],prov_color!A:A,prov_color!C:C)</f>
        <v>40</v>
      </c>
      <c r="P169" t="str">
        <f>_xlfn.XLOOKUP(VALINA[[#This Row],[id]],Table4[id],Table4[name])</f>
        <v>Lima</v>
      </c>
      <c r="Q169" t="str">
        <f>_xlfn.XLOOKUP(VALINA[[#This Row],[name]],Trans!A:A,Trans!B:B)</f>
        <v>Lima</v>
      </c>
    </row>
    <row r="170" spans="1:17" x14ac:dyDescent="0.25">
      <c r="A170">
        <v>169</v>
      </c>
      <c r="B170" t="s">
        <v>11</v>
      </c>
      <c r="C170" t="s">
        <v>244</v>
      </c>
      <c r="D170" t="s">
        <v>260</v>
      </c>
      <c r="E170" t="s">
        <v>14</v>
      </c>
      <c r="F170" t="s">
        <v>15</v>
      </c>
      <c r="G170" t="s">
        <v>35</v>
      </c>
      <c r="H170" t="s">
        <v>256</v>
      </c>
      <c r="I170" t="s">
        <v>18</v>
      </c>
      <c r="J170" t="s">
        <v>265</v>
      </c>
      <c r="K170">
        <v>4</v>
      </c>
      <c r="L170">
        <v>5</v>
      </c>
      <c r="M170">
        <v>3</v>
      </c>
      <c r="N170">
        <v>0</v>
      </c>
      <c r="O170">
        <f>_xlfn.XLOOKUP(VALINA[[#This Row],[id]],prov_color!A:A,prov_color!C:C)</f>
        <v>34</v>
      </c>
      <c r="P170" t="str">
        <f>_xlfn.XLOOKUP(VALINA[[#This Row],[id]],Table4[id],Table4[name])</f>
        <v>Cuzco</v>
      </c>
      <c r="Q170" t="str">
        <f>_xlfn.XLOOKUP(VALINA[[#This Row],[name]],Trans!A:A,Trans!B:B)</f>
        <v>Cuzco</v>
      </c>
    </row>
    <row r="171" spans="1:17" x14ac:dyDescent="0.25">
      <c r="A171">
        <v>170</v>
      </c>
      <c r="B171" t="s">
        <v>11</v>
      </c>
      <c r="C171" t="s">
        <v>244</v>
      </c>
      <c r="D171" t="s">
        <v>260</v>
      </c>
      <c r="E171" t="s">
        <v>14</v>
      </c>
      <c r="F171" t="s">
        <v>15</v>
      </c>
      <c r="G171" t="s">
        <v>35</v>
      </c>
      <c r="H171" t="s">
        <v>266</v>
      </c>
      <c r="I171" t="s">
        <v>43</v>
      </c>
      <c r="J171" t="s">
        <v>267</v>
      </c>
      <c r="K171">
        <v>4</v>
      </c>
      <c r="L171">
        <v>5</v>
      </c>
      <c r="M171">
        <v>1</v>
      </c>
      <c r="N171">
        <v>0</v>
      </c>
      <c r="O171">
        <f>_xlfn.XLOOKUP(VALINA[[#This Row],[id]],prov_color!A:A,prov_color!C:C)</f>
        <v>41</v>
      </c>
      <c r="P171" t="str">
        <f>_xlfn.XLOOKUP(VALINA[[#This Row],[id]],Table4[id],Table4[name])</f>
        <v>Arequipa</v>
      </c>
      <c r="Q171" t="str">
        <f>_xlfn.XLOOKUP(VALINA[[#This Row],[name]],Trans!A:A,Trans!B:B)</f>
        <v>Arequipa</v>
      </c>
    </row>
    <row r="172" spans="1:17" x14ac:dyDescent="0.25">
      <c r="A172">
        <v>171</v>
      </c>
      <c r="B172" t="s">
        <v>11</v>
      </c>
      <c r="C172" t="s">
        <v>244</v>
      </c>
      <c r="D172" t="s">
        <v>260</v>
      </c>
      <c r="E172" t="s">
        <v>14</v>
      </c>
      <c r="F172" t="s">
        <v>15</v>
      </c>
      <c r="G172" t="s">
        <v>35</v>
      </c>
      <c r="H172" t="s">
        <v>266</v>
      </c>
      <c r="I172" t="s">
        <v>84</v>
      </c>
      <c r="J172" t="s">
        <v>268</v>
      </c>
      <c r="K172">
        <v>7</v>
      </c>
      <c r="L172">
        <v>3</v>
      </c>
      <c r="M172">
        <v>1</v>
      </c>
      <c r="N172">
        <v>0</v>
      </c>
      <c r="O172">
        <f>_xlfn.XLOOKUP(VALINA[[#This Row],[id]],prov_color!A:A,prov_color!C:C)</f>
        <v>56</v>
      </c>
      <c r="P172" t="str">
        <f>_xlfn.XLOOKUP(VALINA[[#This Row],[id]],Table4[id],Table4[name])</f>
        <v>Moquega</v>
      </c>
      <c r="Q172" t="str">
        <f>_xlfn.XLOOKUP(VALINA[[#This Row],[name]],Trans!A:A,Trans!B:B)</f>
        <v>Moquega</v>
      </c>
    </row>
    <row r="173" spans="1:17" x14ac:dyDescent="0.25">
      <c r="A173">
        <v>172</v>
      </c>
      <c r="B173" t="s">
        <v>11</v>
      </c>
      <c r="C173" t="s">
        <v>244</v>
      </c>
      <c r="D173" t="s">
        <v>260</v>
      </c>
      <c r="E173" t="s">
        <v>52</v>
      </c>
      <c r="F173" t="s">
        <v>15</v>
      </c>
      <c r="G173" t="s">
        <v>47</v>
      </c>
      <c r="H173" t="s">
        <v>266</v>
      </c>
      <c r="I173" t="s">
        <v>212</v>
      </c>
      <c r="J173" t="s">
        <v>269</v>
      </c>
      <c r="K173">
        <v>8</v>
      </c>
      <c r="L173">
        <v>1</v>
      </c>
      <c r="M173">
        <v>1</v>
      </c>
      <c r="N173">
        <v>0</v>
      </c>
      <c r="O173">
        <f>_xlfn.XLOOKUP(VALINA[[#This Row],[id]],prov_color!A:A,prov_color!C:C)</f>
        <v>54</v>
      </c>
      <c r="P173" t="str">
        <f>_xlfn.XLOOKUP(VALINA[[#This Row],[id]],Table4[id],Table4[name])</f>
        <v>Arica</v>
      </c>
      <c r="Q173" t="str">
        <f>_xlfn.XLOOKUP(VALINA[[#This Row],[name]],Trans!A:A,Trans!B:B)</f>
        <v>Arica</v>
      </c>
    </row>
    <row r="174" spans="1:17" x14ac:dyDescent="0.25">
      <c r="A174">
        <v>173</v>
      </c>
      <c r="B174" t="s">
        <v>11</v>
      </c>
      <c r="C174" t="s">
        <v>244</v>
      </c>
      <c r="D174" t="s">
        <v>270</v>
      </c>
      <c r="E174" t="s">
        <v>34</v>
      </c>
      <c r="F174" t="s">
        <v>15</v>
      </c>
      <c r="G174" t="s">
        <v>47</v>
      </c>
      <c r="H174" t="s">
        <v>271</v>
      </c>
      <c r="I174" t="s">
        <v>212</v>
      </c>
      <c r="J174" t="s">
        <v>272</v>
      </c>
      <c r="K174">
        <v>6</v>
      </c>
      <c r="L174">
        <v>2</v>
      </c>
      <c r="M174">
        <v>1</v>
      </c>
      <c r="N174">
        <v>0</v>
      </c>
      <c r="O174">
        <f>_xlfn.XLOOKUP(VALINA[[#This Row],[id]],prov_color!A:A,prov_color!C:C)</f>
        <v>48</v>
      </c>
      <c r="P174" t="str">
        <f>_xlfn.XLOOKUP(VALINA[[#This Row],[id]],Table4[id],Table4[name])</f>
        <v>Atacama</v>
      </c>
      <c r="Q174" t="str">
        <f>_xlfn.XLOOKUP(VALINA[[#This Row],[name]],Trans!A:A,Trans!B:B)</f>
        <v>Atacama</v>
      </c>
    </row>
    <row r="175" spans="1:17" x14ac:dyDescent="0.25">
      <c r="A175">
        <v>174</v>
      </c>
      <c r="B175" t="s">
        <v>11</v>
      </c>
      <c r="C175" t="s">
        <v>244</v>
      </c>
      <c r="D175" t="s">
        <v>270</v>
      </c>
      <c r="E175" t="s">
        <v>22</v>
      </c>
      <c r="F175" t="s">
        <v>15</v>
      </c>
      <c r="G175" t="s">
        <v>35</v>
      </c>
      <c r="H175" t="s">
        <v>271</v>
      </c>
      <c r="I175" t="s">
        <v>43</v>
      </c>
      <c r="J175" t="s">
        <v>273</v>
      </c>
      <c r="K175">
        <v>5</v>
      </c>
      <c r="L175">
        <v>3</v>
      </c>
      <c r="M175">
        <v>1</v>
      </c>
      <c r="N175">
        <v>0</v>
      </c>
      <c r="O175">
        <f>_xlfn.XLOOKUP(VALINA[[#This Row],[id]],prov_color!A:A,prov_color!C:C)</f>
        <v>53</v>
      </c>
      <c r="P175" t="str">
        <f>_xlfn.XLOOKUP(VALINA[[#This Row],[id]],Table4[id],Table4[name])</f>
        <v>Coquimbo</v>
      </c>
      <c r="Q175" t="str">
        <f>_xlfn.XLOOKUP(VALINA[[#This Row],[name]],Trans!A:A,Trans!B:B)</f>
        <v>Coquimbo</v>
      </c>
    </row>
    <row r="176" spans="1:17" x14ac:dyDescent="0.25">
      <c r="A176">
        <v>175</v>
      </c>
      <c r="B176" t="s">
        <v>11</v>
      </c>
      <c r="C176" t="s">
        <v>244</v>
      </c>
      <c r="D176" t="s">
        <v>270</v>
      </c>
      <c r="E176" t="s">
        <v>22</v>
      </c>
      <c r="F176" t="s">
        <v>15</v>
      </c>
      <c r="G176" t="s">
        <v>35</v>
      </c>
      <c r="H176" t="s">
        <v>271</v>
      </c>
      <c r="I176" t="s">
        <v>27</v>
      </c>
      <c r="J176" t="s">
        <v>274</v>
      </c>
      <c r="K176">
        <v>4</v>
      </c>
      <c r="L176">
        <v>6</v>
      </c>
      <c r="M176">
        <v>1</v>
      </c>
      <c r="N176">
        <v>0</v>
      </c>
      <c r="O176">
        <f>_xlfn.XLOOKUP(VALINA[[#This Row],[id]],prov_color!A:A,prov_color!C:C)</f>
        <v>51</v>
      </c>
      <c r="P176" t="str">
        <f>_xlfn.XLOOKUP(VALINA[[#This Row],[id]],Table4[id],Table4[name])</f>
        <v>Valparaiso</v>
      </c>
      <c r="Q176" t="str">
        <f>_xlfn.XLOOKUP(VALINA[[#This Row],[name]],Trans!A:A,Trans!B:B)</f>
        <v>Valparaiso</v>
      </c>
    </row>
    <row r="177" spans="1:17" x14ac:dyDescent="0.25">
      <c r="A177">
        <v>176</v>
      </c>
      <c r="B177" t="s">
        <v>11</v>
      </c>
      <c r="C177" t="s">
        <v>244</v>
      </c>
      <c r="D177" t="s">
        <v>270</v>
      </c>
      <c r="E177" t="s">
        <v>22</v>
      </c>
      <c r="F177" t="s">
        <v>15</v>
      </c>
      <c r="G177" t="s">
        <v>35</v>
      </c>
      <c r="H177" t="s">
        <v>271</v>
      </c>
      <c r="I177" t="s">
        <v>1612</v>
      </c>
      <c r="J177" t="s">
        <v>275</v>
      </c>
      <c r="K177">
        <v>5</v>
      </c>
      <c r="L177">
        <v>4</v>
      </c>
      <c r="M177">
        <v>1</v>
      </c>
      <c r="N177">
        <v>0</v>
      </c>
      <c r="O177">
        <f>_xlfn.XLOOKUP(VALINA[[#This Row],[id]],prov_color!A:A,prov_color!C:C)</f>
        <v>57</v>
      </c>
      <c r="P177" t="str">
        <f>_xlfn.XLOOKUP(VALINA[[#This Row],[id]],Table4[id],Table4[name])</f>
        <v>Talca</v>
      </c>
      <c r="Q177" t="str">
        <f>_xlfn.XLOOKUP(VALINA[[#This Row],[name]],Trans!A:A,Trans!B:B)</f>
        <v>Talca</v>
      </c>
    </row>
    <row r="178" spans="1:17" x14ac:dyDescent="0.25">
      <c r="A178">
        <v>177</v>
      </c>
      <c r="B178" t="s">
        <v>11</v>
      </c>
      <c r="C178" t="s">
        <v>244</v>
      </c>
      <c r="D178" t="s">
        <v>270</v>
      </c>
      <c r="E178" t="s">
        <v>14</v>
      </c>
      <c r="F178" t="s">
        <v>15</v>
      </c>
      <c r="G178" t="s">
        <v>276</v>
      </c>
      <c r="H178" t="s">
        <v>271</v>
      </c>
      <c r="I178" t="s">
        <v>27</v>
      </c>
      <c r="J178" t="s">
        <v>277</v>
      </c>
      <c r="K178">
        <v>7</v>
      </c>
      <c r="L178">
        <v>2</v>
      </c>
      <c r="M178">
        <v>1</v>
      </c>
      <c r="N178">
        <v>0</v>
      </c>
      <c r="O178">
        <f>_xlfn.XLOOKUP(VALINA[[#This Row],[id]],prov_color!A:A,prov_color!C:C)</f>
        <v>40</v>
      </c>
      <c r="P178" t="str">
        <f>_xlfn.XLOOKUP(VALINA[[#This Row],[id]],Table4[id],Table4[name])</f>
        <v>Aisen</v>
      </c>
      <c r="Q178" t="str">
        <f>_xlfn.XLOOKUP(VALINA[[#This Row],[name]],Trans!A:A,Trans!B:B)</f>
        <v>Aisen</v>
      </c>
    </row>
    <row r="179" spans="1:17" x14ac:dyDescent="0.25">
      <c r="A179">
        <v>178</v>
      </c>
      <c r="B179" t="s">
        <v>11</v>
      </c>
      <c r="C179" t="s">
        <v>244</v>
      </c>
      <c r="D179" t="s">
        <v>245</v>
      </c>
      <c r="E179" t="s">
        <v>80</v>
      </c>
      <c r="F179" t="s">
        <v>15</v>
      </c>
      <c r="G179" t="s">
        <v>75</v>
      </c>
      <c r="H179" t="s">
        <v>224</v>
      </c>
      <c r="I179" t="s">
        <v>41</v>
      </c>
      <c r="J179" t="s">
        <v>278</v>
      </c>
      <c r="K179">
        <v>8</v>
      </c>
      <c r="L179">
        <v>2</v>
      </c>
      <c r="M179">
        <v>1</v>
      </c>
      <c r="N179">
        <v>0</v>
      </c>
      <c r="O179">
        <f>_xlfn.XLOOKUP(VALINA[[#This Row],[id]],prov_color!A:A,prov_color!C:C)</f>
        <v>44</v>
      </c>
      <c r="P179" t="str">
        <f>_xlfn.XLOOKUP(VALINA[[#This Row],[id]],Table4[id],Table4[name])</f>
        <v>Caribe</v>
      </c>
      <c r="Q179" t="str">
        <f>_xlfn.XLOOKUP(VALINA[[#This Row],[name]],Trans!A:A,Trans!B:B)</f>
        <v>Caribe</v>
      </c>
    </row>
    <row r="180" spans="1:17" x14ac:dyDescent="0.25">
      <c r="A180">
        <v>179</v>
      </c>
      <c r="B180" t="s">
        <v>11</v>
      </c>
      <c r="C180" t="s">
        <v>244</v>
      </c>
      <c r="D180" t="s">
        <v>279</v>
      </c>
      <c r="E180" t="s">
        <v>80</v>
      </c>
      <c r="F180" t="s">
        <v>15</v>
      </c>
      <c r="G180" t="s">
        <v>75</v>
      </c>
      <c r="H180" t="s">
        <v>224</v>
      </c>
      <c r="I180" t="s">
        <v>27</v>
      </c>
      <c r="J180" t="s">
        <v>280</v>
      </c>
      <c r="K180">
        <v>8</v>
      </c>
      <c r="L180">
        <v>2</v>
      </c>
      <c r="M180">
        <v>1</v>
      </c>
      <c r="N180">
        <v>0</v>
      </c>
      <c r="O180">
        <f>_xlfn.XLOOKUP(VALINA[[#This Row],[id]],prov_color!A:A,prov_color!C:C)</f>
        <v>39</v>
      </c>
      <c r="P180" t="str">
        <f>_xlfn.XLOOKUP(VALINA[[#This Row],[id]],Table4[id],Table4[name])</f>
        <v>Cuyuni</v>
      </c>
      <c r="Q180" t="str">
        <f>_xlfn.XLOOKUP(VALINA[[#This Row],[name]],Trans!A:A,Trans!B:B)</f>
        <v>Cuyuni</v>
      </c>
    </row>
    <row r="181" spans="1:17" x14ac:dyDescent="0.25">
      <c r="A181">
        <v>180</v>
      </c>
      <c r="B181" t="s">
        <v>11</v>
      </c>
      <c r="C181" t="s">
        <v>244</v>
      </c>
      <c r="D181" t="s">
        <v>279</v>
      </c>
      <c r="E181" t="s">
        <v>22</v>
      </c>
      <c r="F181" t="s">
        <v>15</v>
      </c>
      <c r="G181" t="s">
        <v>75</v>
      </c>
      <c r="H181" t="s">
        <v>224</v>
      </c>
      <c r="I181" t="s">
        <v>18</v>
      </c>
      <c r="J181" t="s">
        <v>281</v>
      </c>
      <c r="K181">
        <v>9</v>
      </c>
      <c r="L181">
        <v>1</v>
      </c>
      <c r="M181">
        <v>1</v>
      </c>
      <c r="N181">
        <v>0</v>
      </c>
      <c r="O181">
        <f>_xlfn.XLOOKUP(VALINA[[#This Row],[id]],prov_color!A:A,prov_color!C:C)</f>
        <v>36</v>
      </c>
      <c r="P181" t="str">
        <f>_xlfn.XLOOKUP(VALINA[[#This Row],[id]],Table4[id],Table4[name])</f>
        <v>Guyana</v>
      </c>
      <c r="Q181" t="str">
        <f>_xlfn.XLOOKUP(VALINA[[#This Row],[name]],Trans!A:A,Trans!B:B)</f>
        <v>Guyana</v>
      </c>
    </row>
    <row r="182" spans="1:17" x14ac:dyDescent="0.25">
      <c r="A182">
        <v>181</v>
      </c>
      <c r="B182" t="s">
        <v>11</v>
      </c>
      <c r="C182" t="s">
        <v>244</v>
      </c>
      <c r="D182" t="s">
        <v>279</v>
      </c>
      <c r="E182" t="s">
        <v>80</v>
      </c>
      <c r="F182" t="s">
        <v>15</v>
      </c>
      <c r="G182" t="s">
        <v>75</v>
      </c>
      <c r="H182" t="s">
        <v>224</v>
      </c>
      <c r="I182" t="s">
        <v>73</v>
      </c>
      <c r="J182" t="s">
        <v>282</v>
      </c>
      <c r="K182">
        <v>7</v>
      </c>
      <c r="L182">
        <v>2</v>
      </c>
      <c r="M182">
        <v>1</v>
      </c>
      <c r="N182">
        <v>0</v>
      </c>
      <c r="O182">
        <f>_xlfn.XLOOKUP(VALINA[[#This Row],[id]],prov_color!A:A,prov_color!C:C)</f>
        <v>42</v>
      </c>
      <c r="P182" t="str">
        <f>_xlfn.XLOOKUP(VALINA[[#This Row],[id]],Table4[id],Table4[name])</f>
        <v>Surinam</v>
      </c>
      <c r="Q182" t="str">
        <f>_xlfn.XLOOKUP(VALINA[[#This Row],[name]],Trans!A:A,Trans!B:B)</f>
        <v>Surinam</v>
      </c>
    </row>
    <row r="183" spans="1:17" x14ac:dyDescent="0.25">
      <c r="A183">
        <v>182</v>
      </c>
      <c r="B183" t="s">
        <v>11</v>
      </c>
      <c r="C183" t="s">
        <v>244</v>
      </c>
      <c r="D183" t="s">
        <v>279</v>
      </c>
      <c r="E183" t="s">
        <v>80</v>
      </c>
      <c r="F183" t="s">
        <v>15</v>
      </c>
      <c r="G183" t="s">
        <v>75</v>
      </c>
      <c r="H183" t="s">
        <v>224</v>
      </c>
      <c r="I183" t="s">
        <v>73</v>
      </c>
      <c r="J183" t="s">
        <v>283</v>
      </c>
      <c r="K183">
        <v>7</v>
      </c>
      <c r="L183">
        <v>2</v>
      </c>
      <c r="M183">
        <v>1</v>
      </c>
      <c r="N183">
        <v>0</v>
      </c>
      <c r="O183">
        <f>_xlfn.XLOOKUP(VALINA[[#This Row],[id]],prov_color!A:A,prov_color!C:C)</f>
        <v>45</v>
      </c>
      <c r="P183" t="str">
        <f>_xlfn.XLOOKUP(VALINA[[#This Row],[id]],Table4[id],Table4[name])</f>
        <v>Maroni</v>
      </c>
      <c r="Q183" t="str">
        <f>_xlfn.XLOOKUP(VALINA[[#This Row],[name]],Trans!A:A,Trans!B:B)</f>
        <v>Maroni</v>
      </c>
    </row>
    <row r="184" spans="1:17" x14ac:dyDescent="0.25">
      <c r="A184">
        <v>183</v>
      </c>
      <c r="B184" t="s">
        <v>11</v>
      </c>
      <c r="C184" t="s">
        <v>244</v>
      </c>
      <c r="D184" t="s">
        <v>279</v>
      </c>
      <c r="E184" t="s">
        <v>80</v>
      </c>
      <c r="F184" t="s">
        <v>15</v>
      </c>
      <c r="G184" t="s">
        <v>75</v>
      </c>
      <c r="H184" t="s">
        <v>224</v>
      </c>
      <c r="I184" t="s">
        <v>27</v>
      </c>
      <c r="J184" t="s">
        <v>284</v>
      </c>
      <c r="K184">
        <v>7</v>
      </c>
      <c r="L184">
        <v>2</v>
      </c>
      <c r="M184">
        <v>1</v>
      </c>
      <c r="N184">
        <v>0</v>
      </c>
      <c r="O184">
        <f>_xlfn.XLOOKUP(VALINA[[#This Row],[id]],prov_color!A:A,prov_color!C:C)</f>
        <v>45</v>
      </c>
      <c r="P184" t="str">
        <f>_xlfn.XLOOKUP(VALINA[[#This Row],[id]],Table4[id],Table4[name])</f>
        <v>Amapa</v>
      </c>
      <c r="Q184" t="str">
        <f>_xlfn.XLOOKUP(VALINA[[#This Row],[name]],Trans!A:A,Trans!B:B)</f>
        <v>Amapa</v>
      </c>
    </row>
    <row r="185" spans="1:17" x14ac:dyDescent="0.25">
      <c r="A185">
        <v>184</v>
      </c>
      <c r="B185" t="s">
        <v>11</v>
      </c>
      <c r="C185" t="s">
        <v>244</v>
      </c>
      <c r="D185" t="s">
        <v>285</v>
      </c>
      <c r="E185" t="s">
        <v>22</v>
      </c>
      <c r="F185" t="s">
        <v>15</v>
      </c>
      <c r="G185" t="s">
        <v>75</v>
      </c>
      <c r="H185" t="s">
        <v>286</v>
      </c>
      <c r="I185" t="s">
        <v>20</v>
      </c>
      <c r="J185" t="s">
        <v>287</v>
      </c>
      <c r="K185">
        <v>9</v>
      </c>
      <c r="L185">
        <v>1</v>
      </c>
      <c r="M185">
        <v>1</v>
      </c>
      <c r="N185">
        <v>0</v>
      </c>
      <c r="O185">
        <f>_xlfn.XLOOKUP(VALINA[[#This Row],[id]],prov_color!A:A,prov_color!C:C)</f>
        <v>49</v>
      </c>
      <c r="P185" t="str">
        <f>_xlfn.XLOOKUP(VALINA[[#This Row],[id]],Table4[id],Table4[name])</f>
        <v>Manaus</v>
      </c>
      <c r="Q185" t="str">
        <f>_xlfn.XLOOKUP(VALINA[[#This Row],[name]],Trans!A:A,Trans!B:B)</f>
        <v>Manaus</v>
      </c>
    </row>
    <row r="186" spans="1:17" x14ac:dyDescent="0.25">
      <c r="A186">
        <v>185</v>
      </c>
      <c r="B186" t="s">
        <v>11</v>
      </c>
      <c r="C186" t="s">
        <v>244</v>
      </c>
      <c r="D186" t="s">
        <v>285</v>
      </c>
      <c r="E186" t="s">
        <v>22</v>
      </c>
      <c r="F186" t="s">
        <v>15</v>
      </c>
      <c r="G186" t="s">
        <v>75</v>
      </c>
      <c r="H186" t="s">
        <v>286</v>
      </c>
      <c r="I186" t="s">
        <v>41</v>
      </c>
      <c r="J186" t="s">
        <v>288</v>
      </c>
      <c r="K186">
        <v>9</v>
      </c>
      <c r="L186">
        <v>1</v>
      </c>
      <c r="M186">
        <v>1</v>
      </c>
      <c r="N186">
        <v>0</v>
      </c>
      <c r="O186">
        <f>_xlfn.XLOOKUP(VALINA[[#This Row],[id]],prov_color!A:A,prov_color!C:C)</f>
        <v>55</v>
      </c>
      <c r="P186" t="str">
        <f>_xlfn.XLOOKUP(VALINA[[#This Row],[id]],Table4[id],Table4[name])</f>
        <v>Solimoes</v>
      </c>
      <c r="Q186" t="str">
        <f>_xlfn.XLOOKUP(VALINA[[#This Row],[name]],Trans!A:A,Trans!B:B)</f>
        <v>Solimoes</v>
      </c>
    </row>
    <row r="187" spans="1:17" x14ac:dyDescent="0.25">
      <c r="A187">
        <v>186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20</v>
      </c>
      <c r="J187" t="s">
        <v>289</v>
      </c>
      <c r="K187">
        <v>8</v>
      </c>
      <c r="L187">
        <v>1</v>
      </c>
      <c r="M187">
        <v>1</v>
      </c>
      <c r="N187">
        <v>0</v>
      </c>
      <c r="O187">
        <f>_xlfn.XLOOKUP(VALINA[[#This Row],[id]],prov_color!A:A,prov_color!C:C)</f>
        <v>15</v>
      </c>
      <c r="P187" t="str">
        <f>_xlfn.XLOOKUP(VALINA[[#This Row],[id]],Table4[id],Table4[name])</f>
        <v>Aleutes</v>
      </c>
      <c r="Q187" t="str">
        <f>_xlfn.XLOOKUP(VALINA[[#This Row],[name]],Trans!A:A,Trans!B:B)</f>
        <v>Aleutes</v>
      </c>
    </row>
    <row r="188" spans="1:17" x14ac:dyDescent="0.25">
      <c r="A188">
        <v>187</v>
      </c>
      <c r="B188" t="s">
        <v>11</v>
      </c>
      <c r="C188" t="s">
        <v>244</v>
      </c>
      <c r="D188" t="s">
        <v>255</v>
      </c>
      <c r="E188" t="s">
        <v>22</v>
      </c>
      <c r="F188" t="s">
        <v>15</v>
      </c>
      <c r="G188" t="s">
        <v>75</v>
      </c>
      <c r="H188" t="s">
        <v>286</v>
      </c>
      <c r="I188" t="s">
        <v>212</v>
      </c>
      <c r="J188" t="s">
        <v>290</v>
      </c>
      <c r="K188">
        <v>5</v>
      </c>
      <c r="L188">
        <v>3</v>
      </c>
      <c r="M188">
        <v>1</v>
      </c>
      <c r="N188">
        <v>0</v>
      </c>
      <c r="O188">
        <f>_xlfn.XLOOKUP(VALINA[[#This Row],[id]],prov_color!A:A,prov_color!C:C)</f>
        <v>49</v>
      </c>
      <c r="P188" t="str">
        <f>_xlfn.XLOOKUP(VALINA[[#This Row],[id]],Table4[id],Table4[name])</f>
        <v>Pastaza</v>
      </c>
      <c r="Q188" t="str">
        <f>_xlfn.XLOOKUP(VALINA[[#This Row],[name]],Trans!A:A,Trans!B:B)</f>
        <v>Pastaza</v>
      </c>
    </row>
    <row r="189" spans="1:17" x14ac:dyDescent="0.25">
      <c r="A189">
        <v>188</v>
      </c>
      <c r="B189" t="s">
        <v>11</v>
      </c>
      <c r="C189" t="s">
        <v>244</v>
      </c>
      <c r="D189" t="s">
        <v>285</v>
      </c>
      <c r="E189" t="s">
        <v>80</v>
      </c>
      <c r="F189" t="s">
        <v>15</v>
      </c>
      <c r="G189" t="s">
        <v>75</v>
      </c>
      <c r="H189" t="s">
        <v>286</v>
      </c>
      <c r="I189" t="s">
        <v>1612</v>
      </c>
      <c r="J189" t="s">
        <v>291</v>
      </c>
      <c r="K189">
        <v>9</v>
      </c>
      <c r="L189">
        <v>1</v>
      </c>
      <c r="M189">
        <v>1</v>
      </c>
      <c r="N189">
        <v>0</v>
      </c>
      <c r="O189">
        <f>_xlfn.XLOOKUP(VALINA[[#This Row],[id]],prov_color!A:A,prov_color!C:C)</f>
        <v>46</v>
      </c>
      <c r="P189" t="str">
        <f>_xlfn.XLOOKUP(VALINA[[#This Row],[id]],Table4[id],Table4[name])</f>
        <v>Mirim</v>
      </c>
      <c r="Q189" t="str">
        <f>_xlfn.XLOOKUP(VALINA[[#This Row],[name]],Trans!A:A,Trans!B:B)</f>
        <v>Mirim</v>
      </c>
    </row>
    <row r="190" spans="1:17" x14ac:dyDescent="0.25">
      <c r="A190">
        <v>189</v>
      </c>
      <c r="B190" t="s">
        <v>11</v>
      </c>
      <c r="C190" t="s">
        <v>244</v>
      </c>
      <c r="D190" t="s">
        <v>285</v>
      </c>
      <c r="E190" t="s">
        <v>22</v>
      </c>
      <c r="F190" t="s">
        <v>15</v>
      </c>
      <c r="G190" t="s">
        <v>75</v>
      </c>
      <c r="H190" t="s">
        <v>286</v>
      </c>
      <c r="I190" t="s">
        <v>1612</v>
      </c>
      <c r="J190" t="s">
        <v>292</v>
      </c>
      <c r="K190">
        <v>9</v>
      </c>
      <c r="L190">
        <v>1</v>
      </c>
      <c r="M190">
        <v>1</v>
      </c>
      <c r="N190">
        <v>0</v>
      </c>
      <c r="O190">
        <f>_xlfn.XLOOKUP(VALINA[[#This Row],[id]],prov_color!A:A,prov_color!C:C)</f>
        <v>57</v>
      </c>
      <c r="P190" t="str">
        <f>_xlfn.XLOOKUP(VALINA[[#This Row],[id]],Table4[id],Table4[name])</f>
        <v>Macacos</v>
      </c>
      <c r="Q190" t="str">
        <f>_xlfn.XLOOKUP(VALINA[[#This Row],[name]],Trans!A:A,Trans!B:B)</f>
        <v>Macacos</v>
      </c>
    </row>
    <row r="191" spans="1:17" x14ac:dyDescent="0.25">
      <c r="A191">
        <v>190</v>
      </c>
      <c r="B191" t="s">
        <v>11</v>
      </c>
      <c r="C191" t="s">
        <v>244</v>
      </c>
      <c r="D191" t="s">
        <v>285</v>
      </c>
      <c r="E191" t="s">
        <v>22</v>
      </c>
      <c r="F191" t="s">
        <v>15</v>
      </c>
      <c r="G191" t="s">
        <v>75</v>
      </c>
      <c r="H191" t="s">
        <v>286</v>
      </c>
      <c r="I191" t="s">
        <v>20</v>
      </c>
      <c r="J191" t="s">
        <v>293</v>
      </c>
      <c r="K191">
        <v>9</v>
      </c>
      <c r="L191">
        <v>1</v>
      </c>
      <c r="M191">
        <v>1</v>
      </c>
      <c r="N191">
        <v>0</v>
      </c>
      <c r="O191">
        <f>_xlfn.XLOOKUP(VALINA[[#This Row],[id]],prov_color!A:A,prov_color!C:C)</f>
        <v>36</v>
      </c>
      <c r="P191" t="str">
        <f>_xlfn.XLOOKUP(VALINA[[#This Row],[id]],Table4[id],Table4[name])</f>
        <v>Japura</v>
      </c>
      <c r="Q191" t="str">
        <f>_xlfn.XLOOKUP(VALINA[[#This Row],[name]],Trans!A:A,Trans!B:B)</f>
        <v>Japura</v>
      </c>
    </row>
    <row r="192" spans="1:17" x14ac:dyDescent="0.25">
      <c r="A192">
        <v>191</v>
      </c>
      <c r="B192" t="s">
        <v>11</v>
      </c>
      <c r="C192" t="s">
        <v>244</v>
      </c>
      <c r="D192" t="s">
        <v>285</v>
      </c>
      <c r="E192" t="s">
        <v>22</v>
      </c>
      <c r="F192" t="s">
        <v>15</v>
      </c>
      <c r="G192" t="s">
        <v>75</v>
      </c>
      <c r="H192" t="s">
        <v>286</v>
      </c>
      <c r="I192" t="s">
        <v>1612</v>
      </c>
      <c r="J192" t="s">
        <v>294</v>
      </c>
      <c r="K192">
        <v>9</v>
      </c>
      <c r="L192">
        <v>1</v>
      </c>
      <c r="M192">
        <v>1</v>
      </c>
      <c r="N192">
        <v>0</v>
      </c>
      <c r="O192">
        <f>_xlfn.XLOOKUP(VALINA[[#This Row],[id]],prov_color!A:A,prov_color!C:C)</f>
        <v>42</v>
      </c>
      <c r="P192" t="str">
        <f>_xlfn.XLOOKUP(VALINA[[#This Row],[id]],Table4[id],Table4[name])</f>
        <v>Canuma</v>
      </c>
      <c r="Q192" t="str">
        <f>_xlfn.XLOOKUP(VALINA[[#This Row],[name]],Trans!A:A,Trans!B:B)</f>
        <v>Canuma</v>
      </c>
    </row>
    <row r="193" spans="1:17" x14ac:dyDescent="0.25">
      <c r="A193">
        <v>192</v>
      </c>
      <c r="B193" t="s">
        <v>11</v>
      </c>
      <c r="C193" t="s">
        <v>244</v>
      </c>
      <c r="D193" t="s">
        <v>285</v>
      </c>
      <c r="E193" t="s">
        <v>22</v>
      </c>
      <c r="F193" t="s">
        <v>15</v>
      </c>
      <c r="G193" t="s">
        <v>75</v>
      </c>
      <c r="H193" t="s">
        <v>266</v>
      </c>
      <c r="I193" t="s">
        <v>43</v>
      </c>
      <c r="J193" t="s">
        <v>295</v>
      </c>
      <c r="K193">
        <v>9</v>
      </c>
      <c r="L193">
        <v>1</v>
      </c>
      <c r="M193">
        <v>1</v>
      </c>
      <c r="N193">
        <v>0</v>
      </c>
      <c r="O193">
        <f>_xlfn.XLOOKUP(VALINA[[#This Row],[id]],prov_color!A:A,prov_color!C:C)</f>
        <v>55</v>
      </c>
      <c r="P193" t="str">
        <f>_xlfn.XLOOKUP(VALINA[[#This Row],[id]],Table4[id],Table4[name])</f>
        <v>Taqari</v>
      </c>
      <c r="Q193" t="str">
        <f>_xlfn.XLOOKUP(VALINA[[#This Row],[name]],Trans!A:A,Trans!B:B)</f>
        <v>Taqari</v>
      </c>
    </row>
    <row r="194" spans="1:17" x14ac:dyDescent="0.25">
      <c r="A194">
        <v>193</v>
      </c>
      <c r="B194" t="s">
        <v>11</v>
      </c>
      <c r="C194" t="s">
        <v>244</v>
      </c>
      <c r="D194" t="s">
        <v>260</v>
      </c>
      <c r="E194" t="s">
        <v>14</v>
      </c>
      <c r="F194" t="s">
        <v>15</v>
      </c>
      <c r="G194" t="s">
        <v>35</v>
      </c>
      <c r="H194" t="s">
        <v>266</v>
      </c>
      <c r="I194" t="s">
        <v>41</v>
      </c>
      <c r="J194" t="s">
        <v>296</v>
      </c>
      <c r="K194">
        <v>6</v>
      </c>
      <c r="L194">
        <v>3</v>
      </c>
      <c r="M194">
        <v>1</v>
      </c>
      <c r="N194">
        <v>0</v>
      </c>
      <c r="O194">
        <f>_xlfn.XLOOKUP(VALINA[[#This Row],[id]],prov_color!A:A,prov_color!C:C)</f>
        <v>28</v>
      </c>
      <c r="P194" t="str">
        <f>_xlfn.XLOOKUP(VALINA[[#This Row],[id]],Table4[id],Table4[name])</f>
        <v>Titicaca</v>
      </c>
      <c r="Q194" t="str">
        <f>_xlfn.XLOOKUP(VALINA[[#This Row],[name]],Trans!A:A,Trans!B:B)</f>
        <v>Titicaca</v>
      </c>
    </row>
    <row r="195" spans="1:17" x14ac:dyDescent="0.25">
      <c r="A195">
        <v>194</v>
      </c>
      <c r="B195" t="s">
        <v>11</v>
      </c>
      <c r="C195" t="s">
        <v>244</v>
      </c>
      <c r="D195" t="s">
        <v>260</v>
      </c>
      <c r="E195" t="s">
        <v>14</v>
      </c>
      <c r="F195" t="s">
        <v>15</v>
      </c>
      <c r="G195" t="s">
        <v>35</v>
      </c>
      <c r="H195" t="s">
        <v>266</v>
      </c>
      <c r="I195" t="s">
        <v>18</v>
      </c>
      <c r="J195" t="s">
        <v>297</v>
      </c>
      <c r="K195">
        <v>5</v>
      </c>
      <c r="L195">
        <v>3</v>
      </c>
      <c r="M195">
        <v>1</v>
      </c>
      <c r="N195">
        <v>0</v>
      </c>
      <c r="O195">
        <f>_xlfn.XLOOKUP(VALINA[[#This Row],[id]],prov_color!A:A,prov_color!C:C)</f>
        <v>40</v>
      </c>
      <c r="P195" t="str">
        <f>_xlfn.XLOOKUP(VALINA[[#This Row],[id]],Table4[id],Table4[name])</f>
        <v>Potosi</v>
      </c>
      <c r="Q195" t="str">
        <f>_xlfn.XLOOKUP(VALINA[[#This Row],[name]],Trans!A:A,Trans!B:B)</f>
        <v>Potosi</v>
      </c>
    </row>
    <row r="196" spans="1:17" x14ac:dyDescent="0.25">
      <c r="A196">
        <v>195</v>
      </c>
      <c r="B196" t="s">
        <v>11</v>
      </c>
      <c r="C196" t="s">
        <v>244</v>
      </c>
      <c r="D196" t="s">
        <v>285</v>
      </c>
      <c r="E196" t="s">
        <v>22</v>
      </c>
      <c r="F196" t="s">
        <v>15</v>
      </c>
      <c r="G196" t="s">
        <v>75</v>
      </c>
      <c r="H196" t="s">
        <v>298</v>
      </c>
      <c r="I196" t="s">
        <v>18</v>
      </c>
      <c r="J196" t="s">
        <v>299</v>
      </c>
      <c r="K196">
        <v>9</v>
      </c>
      <c r="L196">
        <v>1</v>
      </c>
      <c r="M196">
        <v>1</v>
      </c>
      <c r="N196">
        <v>0</v>
      </c>
      <c r="O196">
        <f>_xlfn.XLOOKUP(VALINA[[#This Row],[id]],prov_color!A:A,prov_color!C:C)</f>
        <v>38</v>
      </c>
      <c r="P196" t="str">
        <f>_xlfn.XLOOKUP(VALINA[[#This Row],[id]],Table4[id],Table4[name])</f>
        <v>Mato Grosso</v>
      </c>
      <c r="Q196" t="str">
        <f>_xlfn.XLOOKUP(VALINA[[#This Row],[name]],Trans!A:A,Trans!B:B)</f>
        <v>Mato Grosso</v>
      </c>
    </row>
    <row r="197" spans="1:17" x14ac:dyDescent="0.25">
      <c r="A197">
        <v>196</v>
      </c>
      <c r="B197" t="s">
        <v>11</v>
      </c>
      <c r="C197" t="s">
        <v>244</v>
      </c>
      <c r="D197" t="s">
        <v>285</v>
      </c>
      <c r="E197" t="s">
        <v>22</v>
      </c>
      <c r="F197" t="s">
        <v>15</v>
      </c>
      <c r="G197" t="s">
        <v>75</v>
      </c>
      <c r="H197" t="s">
        <v>298</v>
      </c>
      <c r="I197" t="s">
        <v>43</v>
      </c>
      <c r="J197" t="s">
        <v>300</v>
      </c>
      <c r="K197">
        <v>9</v>
      </c>
      <c r="L197">
        <v>1</v>
      </c>
      <c r="M197">
        <v>1</v>
      </c>
      <c r="N197">
        <v>0</v>
      </c>
      <c r="O197">
        <f>_xlfn.XLOOKUP(VALINA[[#This Row],[id]],prov_color!A:A,prov_color!C:C)</f>
        <v>34</v>
      </c>
      <c r="P197" t="str">
        <f>_xlfn.XLOOKUP(VALINA[[#This Row],[id]],Table4[id],Table4[name])</f>
        <v>Goias</v>
      </c>
      <c r="Q197" t="str">
        <f>_xlfn.XLOOKUP(VALINA[[#This Row],[name]],Trans!A:A,Trans!B:B)</f>
        <v>Goias</v>
      </c>
    </row>
    <row r="198" spans="1:17" x14ac:dyDescent="0.25">
      <c r="A198">
        <v>197</v>
      </c>
      <c r="B198" t="s">
        <v>11</v>
      </c>
      <c r="C198" t="s">
        <v>244</v>
      </c>
      <c r="D198" t="s">
        <v>285</v>
      </c>
      <c r="E198" t="s">
        <v>80</v>
      </c>
      <c r="F198" t="s">
        <v>15</v>
      </c>
      <c r="G198" t="s">
        <v>75</v>
      </c>
      <c r="H198" t="s">
        <v>298</v>
      </c>
      <c r="I198" t="s">
        <v>20</v>
      </c>
      <c r="J198" t="s">
        <v>301</v>
      </c>
      <c r="K198">
        <v>9</v>
      </c>
      <c r="L198">
        <v>1</v>
      </c>
      <c r="M198">
        <v>1</v>
      </c>
      <c r="N198">
        <v>0</v>
      </c>
      <c r="O198">
        <f>_xlfn.XLOOKUP(VALINA[[#This Row],[id]],prov_color!A:A,prov_color!C:C)</f>
        <v>34</v>
      </c>
      <c r="P198" t="str">
        <f>_xlfn.XLOOKUP(VALINA[[#This Row],[id]],Table4[id],Table4[name])</f>
        <v>Caracas</v>
      </c>
      <c r="Q198" t="str">
        <f>_xlfn.XLOOKUP(VALINA[[#This Row],[name]],Trans!A:A,Trans!B:B)</f>
        <v>Caracas</v>
      </c>
    </row>
    <row r="199" spans="1:17" x14ac:dyDescent="0.25">
      <c r="A199">
        <v>198</v>
      </c>
      <c r="B199" t="s">
        <v>11</v>
      </c>
      <c r="C199" t="s">
        <v>244</v>
      </c>
      <c r="D199" t="s">
        <v>302</v>
      </c>
      <c r="E199" t="s">
        <v>80</v>
      </c>
      <c r="F199" t="s">
        <v>15</v>
      </c>
      <c r="G199" t="s">
        <v>75</v>
      </c>
      <c r="H199" t="s">
        <v>303</v>
      </c>
      <c r="I199" t="s">
        <v>73</v>
      </c>
      <c r="J199" t="s">
        <v>304</v>
      </c>
      <c r="K199">
        <v>7</v>
      </c>
      <c r="L199">
        <v>4</v>
      </c>
      <c r="M199">
        <v>1</v>
      </c>
      <c r="N199">
        <v>0</v>
      </c>
      <c r="O199">
        <f>_xlfn.XLOOKUP(VALINA[[#This Row],[id]],prov_color!A:A,prov_color!C:C)</f>
        <v>48</v>
      </c>
      <c r="P199" t="str">
        <f>_xlfn.XLOOKUP(VALINA[[#This Row],[id]],Table4[id],Table4[name])</f>
        <v>Marajo</v>
      </c>
      <c r="Q199" t="str">
        <f>_xlfn.XLOOKUP(VALINA[[#This Row],[name]],Trans!A:A,Trans!B:B)</f>
        <v>Marajo</v>
      </c>
    </row>
    <row r="200" spans="1:17" x14ac:dyDescent="0.25">
      <c r="A200">
        <v>199</v>
      </c>
      <c r="B200" t="s">
        <v>11</v>
      </c>
      <c r="C200" t="s">
        <v>244</v>
      </c>
      <c r="D200" t="s">
        <v>302</v>
      </c>
      <c r="E200" t="s">
        <v>22</v>
      </c>
      <c r="F200" t="s">
        <v>15</v>
      </c>
      <c r="G200" t="s">
        <v>75</v>
      </c>
      <c r="H200" t="s">
        <v>303</v>
      </c>
      <c r="I200" t="s">
        <v>131</v>
      </c>
      <c r="J200" t="s">
        <v>305</v>
      </c>
      <c r="K200">
        <v>6</v>
      </c>
      <c r="L200">
        <v>2</v>
      </c>
      <c r="M200">
        <v>1</v>
      </c>
      <c r="N200">
        <v>0</v>
      </c>
      <c r="O200">
        <f>_xlfn.XLOOKUP(VALINA[[#This Row],[id]],prov_color!A:A,prov_color!C:C)</f>
        <v>64</v>
      </c>
      <c r="P200" t="str">
        <f>_xlfn.XLOOKUP(VALINA[[#This Row],[id]],Table4[id],Table4[name])</f>
        <v>Para</v>
      </c>
      <c r="Q200" t="str">
        <f>_xlfn.XLOOKUP(VALINA[[#This Row],[name]],Trans!A:A,Trans!B:B)</f>
        <v>Para</v>
      </c>
    </row>
    <row r="201" spans="1:17" x14ac:dyDescent="0.25">
      <c r="A201">
        <v>200</v>
      </c>
      <c r="B201" t="s">
        <v>11</v>
      </c>
      <c r="C201" t="s">
        <v>244</v>
      </c>
      <c r="D201" t="s">
        <v>306</v>
      </c>
      <c r="E201" t="s">
        <v>22</v>
      </c>
      <c r="F201" t="s">
        <v>15</v>
      </c>
      <c r="G201" t="s">
        <v>75</v>
      </c>
      <c r="H201" t="s">
        <v>298</v>
      </c>
      <c r="I201" t="s">
        <v>73</v>
      </c>
      <c r="J201" t="s">
        <v>307</v>
      </c>
      <c r="K201">
        <v>5</v>
      </c>
      <c r="L201">
        <v>4</v>
      </c>
      <c r="M201">
        <v>1</v>
      </c>
      <c r="N201">
        <v>0</v>
      </c>
      <c r="O201">
        <f>_xlfn.XLOOKUP(VALINA[[#This Row],[id]],prov_color!A:A,prov_color!C:C)</f>
        <v>36</v>
      </c>
      <c r="P201" t="str">
        <f>_xlfn.XLOOKUP(VALINA[[#This Row],[id]],Table4[id],Table4[name])</f>
        <v>Tiracambu</v>
      </c>
      <c r="Q201" t="str">
        <f>_xlfn.XLOOKUP(VALINA[[#This Row],[name]],Trans!A:A,Trans!B:B)</f>
        <v>Tiracambu</v>
      </c>
    </row>
    <row r="202" spans="1:17" x14ac:dyDescent="0.25">
      <c r="A202">
        <v>201</v>
      </c>
      <c r="B202" t="s">
        <v>11</v>
      </c>
      <c r="C202" t="s">
        <v>244</v>
      </c>
      <c r="D202" t="s">
        <v>306</v>
      </c>
      <c r="E202" t="s">
        <v>22</v>
      </c>
      <c r="F202" t="s">
        <v>15</v>
      </c>
      <c r="G202" t="s">
        <v>75</v>
      </c>
      <c r="H202" t="s">
        <v>298</v>
      </c>
      <c r="I202" t="s">
        <v>43</v>
      </c>
      <c r="J202" t="s">
        <v>308</v>
      </c>
      <c r="K202">
        <v>5</v>
      </c>
      <c r="L202">
        <v>3</v>
      </c>
      <c r="M202">
        <v>1</v>
      </c>
      <c r="N202">
        <v>0</v>
      </c>
      <c r="O202">
        <f>_xlfn.XLOOKUP(VALINA[[#This Row],[id]],prov_color!A:A,prov_color!C:C)</f>
        <v>39</v>
      </c>
      <c r="P202" t="str">
        <f>_xlfn.XLOOKUP(VALINA[[#This Row],[id]],Table4[id],Table4[name])</f>
        <v>Maranhao</v>
      </c>
      <c r="Q202" t="str">
        <f>_xlfn.XLOOKUP(VALINA[[#This Row],[name]],Trans!A:A,Trans!B:B)</f>
        <v>Maranhao</v>
      </c>
    </row>
    <row r="203" spans="1:17" x14ac:dyDescent="0.25">
      <c r="A203">
        <v>202</v>
      </c>
      <c r="B203" t="s">
        <v>11</v>
      </c>
      <c r="C203" t="s">
        <v>244</v>
      </c>
      <c r="D203" t="s">
        <v>306</v>
      </c>
      <c r="E203" t="s">
        <v>22</v>
      </c>
      <c r="F203" t="s">
        <v>15</v>
      </c>
      <c r="G203" t="s">
        <v>75</v>
      </c>
      <c r="H203" t="s">
        <v>303</v>
      </c>
      <c r="I203" t="s">
        <v>73</v>
      </c>
      <c r="J203" t="s">
        <v>309</v>
      </c>
      <c r="K203">
        <v>5</v>
      </c>
      <c r="L203">
        <v>4</v>
      </c>
      <c r="M203">
        <v>1</v>
      </c>
      <c r="N203">
        <v>0</v>
      </c>
      <c r="O203">
        <f>_xlfn.XLOOKUP(VALINA[[#This Row],[id]],prov_color!A:A,prov_color!C:C)</f>
        <v>39</v>
      </c>
      <c r="P203" t="str">
        <f>_xlfn.XLOOKUP(VALINA[[#This Row],[id]],Table4[id],Table4[name])</f>
        <v>Parnaiba</v>
      </c>
      <c r="Q203" t="str">
        <f>_xlfn.XLOOKUP(VALINA[[#This Row],[name]],Trans!A:A,Trans!B:B)</f>
        <v>Parnaiba</v>
      </c>
    </row>
    <row r="204" spans="1:17" x14ac:dyDescent="0.25">
      <c r="A204">
        <v>203</v>
      </c>
      <c r="B204" t="s">
        <v>11</v>
      </c>
      <c r="C204" t="s">
        <v>244</v>
      </c>
      <c r="D204" t="s">
        <v>306</v>
      </c>
      <c r="E204" t="s">
        <v>22</v>
      </c>
      <c r="F204" t="s">
        <v>15</v>
      </c>
      <c r="G204" t="s">
        <v>75</v>
      </c>
      <c r="H204" t="s">
        <v>303</v>
      </c>
      <c r="I204" t="s">
        <v>73</v>
      </c>
      <c r="J204" t="s">
        <v>306</v>
      </c>
      <c r="K204">
        <v>5</v>
      </c>
      <c r="L204">
        <v>5</v>
      </c>
      <c r="M204">
        <v>1</v>
      </c>
      <c r="N204">
        <v>0</v>
      </c>
      <c r="O204">
        <f>_xlfn.XLOOKUP(VALINA[[#This Row],[id]],prov_color!A:A,prov_color!C:C)</f>
        <v>49</v>
      </c>
      <c r="P204" t="str">
        <f>_xlfn.XLOOKUP(VALINA[[#This Row],[id]],Table4[id],Table4[name])</f>
        <v>Recife</v>
      </c>
      <c r="Q204" t="str">
        <f>_xlfn.XLOOKUP(VALINA[[#This Row],[name]],Trans!A:A,Trans!B:B)</f>
        <v>Recife</v>
      </c>
    </row>
    <row r="205" spans="1:17" x14ac:dyDescent="0.25">
      <c r="A205">
        <v>204</v>
      </c>
      <c r="B205" t="s">
        <v>11</v>
      </c>
      <c r="C205" t="s">
        <v>244</v>
      </c>
      <c r="D205" t="s">
        <v>306</v>
      </c>
      <c r="E205" t="s">
        <v>22</v>
      </c>
      <c r="F205" t="s">
        <v>15</v>
      </c>
      <c r="G205" t="s">
        <v>75</v>
      </c>
      <c r="H205" t="s">
        <v>298</v>
      </c>
      <c r="I205" t="s">
        <v>131</v>
      </c>
      <c r="J205" t="s">
        <v>310</v>
      </c>
      <c r="K205">
        <v>5</v>
      </c>
      <c r="L205">
        <v>3</v>
      </c>
      <c r="M205">
        <v>1</v>
      </c>
      <c r="N205">
        <v>0</v>
      </c>
      <c r="O205">
        <f>_xlfn.XLOOKUP(VALINA[[#This Row],[id]],prov_color!A:A,prov_color!C:C)</f>
        <v>58</v>
      </c>
      <c r="P205" t="str">
        <f>_xlfn.XLOOKUP(VALINA[[#This Row],[id]],Table4[id],Table4[name])</f>
        <v>Iguato</v>
      </c>
      <c r="Q205" t="str">
        <f>_xlfn.XLOOKUP(VALINA[[#This Row],[name]],Trans!A:A,Trans!B:B)</f>
        <v>Iguato</v>
      </c>
    </row>
    <row r="206" spans="1:17" x14ac:dyDescent="0.25">
      <c r="A206">
        <v>205</v>
      </c>
      <c r="B206" t="s">
        <v>11</v>
      </c>
      <c r="C206" t="s">
        <v>244</v>
      </c>
      <c r="D206" t="s">
        <v>306</v>
      </c>
      <c r="E206" t="s">
        <v>22</v>
      </c>
      <c r="F206" t="s">
        <v>15</v>
      </c>
      <c r="G206" t="s">
        <v>75</v>
      </c>
      <c r="H206" t="s">
        <v>303</v>
      </c>
      <c r="I206" t="s">
        <v>131</v>
      </c>
      <c r="J206" t="s">
        <v>311</v>
      </c>
      <c r="K206">
        <v>5</v>
      </c>
      <c r="L206">
        <v>6</v>
      </c>
      <c r="M206">
        <v>1</v>
      </c>
      <c r="N206">
        <v>0</v>
      </c>
      <c r="O206">
        <f>_xlfn.XLOOKUP(VALINA[[#This Row],[id]],prov_color!A:A,prov_color!C:C)</f>
        <v>31</v>
      </c>
      <c r="P206" t="str">
        <f>_xlfn.XLOOKUP(VALINA[[#This Row],[id]],Table4[id],Table4[name])</f>
        <v>Pernambuc</v>
      </c>
      <c r="Q206" t="str">
        <f>_xlfn.XLOOKUP(VALINA[[#This Row],[name]],Trans!A:A,Trans!B:B)</f>
        <v>Pernambuc</v>
      </c>
    </row>
    <row r="207" spans="1:17" x14ac:dyDescent="0.25">
      <c r="A207">
        <v>206</v>
      </c>
      <c r="B207" t="s">
        <v>11</v>
      </c>
      <c r="C207" t="s">
        <v>244</v>
      </c>
      <c r="D207" t="s">
        <v>312</v>
      </c>
      <c r="E207" t="s">
        <v>22</v>
      </c>
      <c r="F207" t="s">
        <v>15</v>
      </c>
      <c r="G207" t="s">
        <v>75</v>
      </c>
      <c r="H207" t="s">
        <v>298</v>
      </c>
      <c r="I207" t="s">
        <v>43</v>
      </c>
      <c r="J207" t="s">
        <v>313</v>
      </c>
      <c r="K207">
        <v>5</v>
      </c>
      <c r="L207">
        <v>3</v>
      </c>
      <c r="M207">
        <v>1</v>
      </c>
      <c r="N207">
        <v>0</v>
      </c>
      <c r="O207">
        <f>_xlfn.XLOOKUP(VALINA[[#This Row],[id]],prov_color!A:A,prov_color!C:C)</f>
        <v>32</v>
      </c>
      <c r="P207" t="str">
        <f>_xlfn.XLOOKUP(VALINA[[#This Row],[id]],Table4[id],Table4[name])</f>
        <v>Alagoas</v>
      </c>
      <c r="Q207" t="str">
        <f>_xlfn.XLOOKUP(VALINA[[#This Row],[name]],Trans!A:A,Trans!B:B)</f>
        <v>Alagoas</v>
      </c>
    </row>
    <row r="208" spans="1:17" x14ac:dyDescent="0.25">
      <c r="A208">
        <v>207</v>
      </c>
      <c r="B208" t="s">
        <v>11</v>
      </c>
      <c r="C208" t="s">
        <v>244</v>
      </c>
      <c r="D208" t="s">
        <v>312</v>
      </c>
      <c r="E208" t="s">
        <v>22</v>
      </c>
      <c r="F208" t="s">
        <v>15</v>
      </c>
      <c r="G208" t="s">
        <v>75</v>
      </c>
      <c r="H208" t="s">
        <v>303</v>
      </c>
      <c r="I208" t="s">
        <v>73</v>
      </c>
      <c r="J208" t="s">
        <v>314</v>
      </c>
      <c r="K208">
        <v>5</v>
      </c>
      <c r="L208">
        <v>2</v>
      </c>
      <c r="M208">
        <v>1</v>
      </c>
      <c r="N208">
        <v>0</v>
      </c>
      <c r="O208">
        <f>_xlfn.XLOOKUP(VALINA[[#This Row],[id]],prov_color!A:A,prov_color!C:C)</f>
        <v>38</v>
      </c>
      <c r="P208" t="str">
        <f>_xlfn.XLOOKUP(VALINA[[#This Row],[id]],Table4[id],Table4[name])</f>
        <v>Diamentina</v>
      </c>
      <c r="Q208" t="str">
        <f>_xlfn.XLOOKUP(VALINA[[#This Row],[name]],Trans!A:A,Trans!B:B)</f>
        <v>Diamentina</v>
      </c>
    </row>
    <row r="209" spans="1:17" x14ac:dyDescent="0.25">
      <c r="A209">
        <v>208</v>
      </c>
      <c r="B209" t="s">
        <v>11</v>
      </c>
      <c r="C209" t="s">
        <v>244</v>
      </c>
      <c r="D209" t="s">
        <v>312</v>
      </c>
      <c r="E209" t="s">
        <v>22</v>
      </c>
      <c r="F209" t="s">
        <v>15</v>
      </c>
      <c r="G209" t="s">
        <v>75</v>
      </c>
      <c r="H209" t="s">
        <v>298</v>
      </c>
      <c r="I209" t="s">
        <v>212</v>
      </c>
      <c r="J209" t="s">
        <v>315</v>
      </c>
      <c r="K209">
        <v>5</v>
      </c>
      <c r="L209">
        <v>2</v>
      </c>
      <c r="M209">
        <v>1</v>
      </c>
      <c r="N209">
        <v>0</v>
      </c>
      <c r="O209">
        <f>_xlfn.XLOOKUP(VALINA[[#This Row],[id]],prov_color!A:A,prov_color!C:C)</f>
        <v>41</v>
      </c>
      <c r="P209" t="str">
        <f>_xlfn.XLOOKUP(VALINA[[#This Row],[id]],Table4[id],Table4[name])</f>
        <v>Minas Gerais</v>
      </c>
      <c r="Q209" t="str">
        <f>_xlfn.XLOOKUP(VALINA[[#This Row],[name]],Trans!A:A,Trans!B:B)</f>
        <v>Minas Gerais</v>
      </c>
    </row>
    <row r="210" spans="1:17" x14ac:dyDescent="0.25">
      <c r="A210">
        <v>209</v>
      </c>
      <c r="B210" t="s">
        <v>11</v>
      </c>
      <c r="C210" t="s">
        <v>244</v>
      </c>
      <c r="D210" t="s">
        <v>312</v>
      </c>
      <c r="E210" t="s">
        <v>22</v>
      </c>
      <c r="F210" t="s">
        <v>15</v>
      </c>
      <c r="G210" t="s">
        <v>75</v>
      </c>
      <c r="H210" t="s">
        <v>298</v>
      </c>
      <c r="I210" t="s">
        <v>73</v>
      </c>
      <c r="J210" t="s">
        <v>316</v>
      </c>
      <c r="K210">
        <v>4</v>
      </c>
      <c r="L210">
        <v>3</v>
      </c>
      <c r="M210">
        <v>1</v>
      </c>
      <c r="N210">
        <v>0</v>
      </c>
      <c r="O210">
        <f>_xlfn.XLOOKUP(VALINA[[#This Row],[id]],prov_color!A:A,prov_color!C:C)</f>
        <v>55</v>
      </c>
      <c r="P210" t="str">
        <f>_xlfn.XLOOKUP(VALINA[[#This Row],[id]],Table4[id],Table4[name])</f>
        <v>Salvador</v>
      </c>
      <c r="Q210" t="str">
        <f>_xlfn.XLOOKUP(VALINA[[#This Row],[name]],Trans!A:A,Trans!B:B)</f>
        <v>Salvador</v>
      </c>
    </row>
    <row r="211" spans="1:17" x14ac:dyDescent="0.25">
      <c r="A211">
        <v>210</v>
      </c>
      <c r="B211" t="s">
        <v>11</v>
      </c>
      <c r="C211" t="s">
        <v>244</v>
      </c>
      <c r="D211" t="s">
        <v>312</v>
      </c>
      <c r="E211" t="s">
        <v>22</v>
      </c>
      <c r="F211" t="s">
        <v>15</v>
      </c>
      <c r="G211" t="s">
        <v>75</v>
      </c>
      <c r="H211" t="s">
        <v>303</v>
      </c>
      <c r="I211" t="s">
        <v>131</v>
      </c>
      <c r="J211" t="s">
        <v>317</v>
      </c>
      <c r="K211">
        <v>4</v>
      </c>
      <c r="L211">
        <v>4</v>
      </c>
      <c r="M211">
        <v>1</v>
      </c>
      <c r="N211">
        <v>0</v>
      </c>
      <c r="O211">
        <f>_xlfn.XLOOKUP(VALINA[[#This Row],[id]],prov_color!A:A,prov_color!C:C)</f>
        <v>70</v>
      </c>
      <c r="P211" t="str">
        <f>_xlfn.XLOOKUP(VALINA[[#This Row],[id]],Table4[id],Table4[name])</f>
        <v>Itaimas</v>
      </c>
      <c r="Q211" t="str">
        <f>_xlfn.XLOOKUP(VALINA[[#This Row],[name]],Trans!A:A,Trans!B:B)</f>
        <v>Itaimas</v>
      </c>
    </row>
    <row r="212" spans="1:17" x14ac:dyDescent="0.25">
      <c r="A212">
        <v>211</v>
      </c>
      <c r="B212" t="s">
        <v>11</v>
      </c>
      <c r="C212" t="s">
        <v>244</v>
      </c>
      <c r="D212" t="s">
        <v>318</v>
      </c>
      <c r="E212" t="s">
        <v>22</v>
      </c>
      <c r="F212" t="s">
        <v>15</v>
      </c>
      <c r="G212" t="s">
        <v>75</v>
      </c>
      <c r="H212" t="s">
        <v>303</v>
      </c>
      <c r="I212" t="s">
        <v>73</v>
      </c>
      <c r="J212" t="s">
        <v>319</v>
      </c>
      <c r="K212">
        <v>5</v>
      </c>
      <c r="L212">
        <v>5</v>
      </c>
      <c r="M212">
        <v>1</v>
      </c>
      <c r="N212">
        <v>0</v>
      </c>
      <c r="O212">
        <f>_xlfn.XLOOKUP(VALINA[[#This Row],[id]],prov_color!A:A,prov_color!C:C)</f>
        <v>39</v>
      </c>
      <c r="P212" t="str">
        <f>_xlfn.XLOOKUP(VALINA[[#This Row],[id]],Table4[id],Table4[name])</f>
        <v>Niteroi</v>
      </c>
      <c r="Q212" t="str">
        <f>_xlfn.XLOOKUP(VALINA[[#This Row],[name]],Trans!A:A,Trans!B:B)</f>
        <v>Niteroi</v>
      </c>
    </row>
    <row r="213" spans="1:17" x14ac:dyDescent="0.25">
      <c r="A213">
        <v>212</v>
      </c>
      <c r="B213" t="s">
        <v>11</v>
      </c>
      <c r="C213" t="s">
        <v>244</v>
      </c>
      <c r="D213" t="s">
        <v>318</v>
      </c>
      <c r="E213" t="s">
        <v>34</v>
      </c>
      <c r="F213" t="s">
        <v>15</v>
      </c>
      <c r="G213" t="s">
        <v>75</v>
      </c>
      <c r="H213" t="s">
        <v>298</v>
      </c>
      <c r="I213" t="s">
        <v>43</v>
      </c>
      <c r="J213" t="s">
        <v>320</v>
      </c>
      <c r="K213">
        <v>6</v>
      </c>
      <c r="L213">
        <v>2</v>
      </c>
      <c r="M213">
        <v>1</v>
      </c>
      <c r="N213">
        <v>0</v>
      </c>
      <c r="O213">
        <f>_xlfn.XLOOKUP(VALINA[[#This Row],[id]],prov_color!A:A,prov_color!C:C)</f>
        <v>52</v>
      </c>
      <c r="P213" t="str">
        <f>_xlfn.XLOOKUP(VALINA[[#This Row],[id]],Table4[id],Table4[name])</f>
        <v>Araxa</v>
      </c>
      <c r="Q213" t="str">
        <f>_xlfn.XLOOKUP(VALINA[[#This Row],[name]],Trans!A:A,Trans!B:B)</f>
        <v>Araxa</v>
      </c>
    </row>
    <row r="214" spans="1:17" x14ac:dyDescent="0.25">
      <c r="A214">
        <v>213</v>
      </c>
      <c r="B214" t="s">
        <v>11</v>
      </c>
      <c r="C214" t="s">
        <v>244</v>
      </c>
      <c r="D214" t="s">
        <v>318</v>
      </c>
      <c r="E214" t="s">
        <v>34</v>
      </c>
      <c r="F214" t="s">
        <v>15</v>
      </c>
      <c r="G214" t="s">
        <v>75</v>
      </c>
      <c r="H214" t="s">
        <v>303</v>
      </c>
      <c r="I214" t="s">
        <v>43</v>
      </c>
      <c r="J214" t="s">
        <v>321</v>
      </c>
      <c r="K214">
        <v>4</v>
      </c>
      <c r="L214">
        <v>5</v>
      </c>
      <c r="M214">
        <v>1</v>
      </c>
      <c r="N214">
        <v>0</v>
      </c>
      <c r="O214">
        <f>_xlfn.XLOOKUP(VALINA[[#This Row],[id]],prov_color!A:A,prov_color!C:C)</f>
        <v>43</v>
      </c>
      <c r="P214" t="str">
        <f>_xlfn.XLOOKUP(VALINA[[#This Row],[id]],Table4[id],Table4[name])</f>
        <v>Curitiba</v>
      </c>
      <c r="Q214" t="str">
        <f>_xlfn.XLOOKUP(VALINA[[#This Row],[name]],Trans!A:A,Trans!B:B)</f>
        <v>Curitiba</v>
      </c>
    </row>
    <row r="215" spans="1:17" x14ac:dyDescent="0.25">
      <c r="A215">
        <v>214</v>
      </c>
      <c r="B215" t="s">
        <v>11</v>
      </c>
      <c r="C215" t="s">
        <v>244</v>
      </c>
      <c r="D215" t="s">
        <v>318</v>
      </c>
      <c r="E215" t="s">
        <v>22</v>
      </c>
      <c r="F215" t="s">
        <v>15</v>
      </c>
      <c r="G215" t="s">
        <v>75</v>
      </c>
      <c r="H215" t="s">
        <v>298</v>
      </c>
      <c r="I215" t="s">
        <v>43</v>
      </c>
      <c r="J215" t="s">
        <v>322</v>
      </c>
      <c r="K215">
        <v>4</v>
      </c>
      <c r="L215">
        <v>3</v>
      </c>
      <c r="M215">
        <v>1</v>
      </c>
      <c r="N215">
        <v>0</v>
      </c>
      <c r="O215">
        <f>_xlfn.XLOOKUP(VALINA[[#This Row],[id]],prov_color!A:A,prov_color!C:C)</f>
        <v>54</v>
      </c>
      <c r="P215" t="str">
        <f>_xlfn.XLOOKUP(VALINA[[#This Row],[id]],Table4[id],Table4[name])</f>
        <v>Cangucu</v>
      </c>
      <c r="Q215" t="str">
        <f>_xlfn.XLOOKUP(VALINA[[#This Row],[name]],Trans!A:A,Trans!B:B)</f>
        <v>Cangucu</v>
      </c>
    </row>
    <row r="216" spans="1:17" x14ac:dyDescent="0.25">
      <c r="A216">
        <v>215</v>
      </c>
      <c r="B216" t="s">
        <v>11</v>
      </c>
      <c r="C216" t="s">
        <v>244</v>
      </c>
      <c r="D216" t="s">
        <v>323</v>
      </c>
      <c r="E216" t="s">
        <v>34</v>
      </c>
      <c r="F216" t="s">
        <v>15</v>
      </c>
      <c r="G216" t="s">
        <v>35</v>
      </c>
      <c r="H216" t="s">
        <v>298</v>
      </c>
      <c r="I216" t="s">
        <v>43</v>
      </c>
      <c r="J216" t="s">
        <v>324</v>
      </c>
      <c r="K216">
        <v>3</v>
      </c>
      <c r="L216">
        <v>6</v>
      </c>
      <c r="M216">
        <v>1</v>
      </c>
      <c r="N216">
        <v>0</v>
      </c>
      <c r="O216">
        <f>_xlfn.XLOOKUP(VALINA[[#This Row],[id]],prov_color!A:A,prov_color!C:C)</f>
        <v>48</v>
      </c>
      <c r="P216" t="str">
        <f>_xlfn.XLOOKUP(VALINA[[#This Row],[id]],Table4[id],Table4[name])</f>
        <v>Uruguay</v>
      </c>
      <c r="Q216" t="str">
        <f>_xlfn.XLOOKUP(VALINA[[#This Row],[name]],Trans!A:A,Trans!B:B)</f>
        <v>Uruguay</v>
      </c>
    </row>
    <row r="217" spans="1:17" x14ac:dyDescent="0.25">
      <c r="A217">
        <v>216</v>
      </c>
      <c r="B217" t="s">
        <v>11</v>
      </c>
      <c r="C217" t="s">
        <v>244</v>
      </c>
      <c r="D217" t="s">
        <v>325</v>
      </c>
      <c r="E217" t="s">
        <v>22</v>
      </c>
      <c r="F217" t="s">
        <v>15</v>
      </c>
      <c r="G217" t="s">
        <v>75</v>
      </c>
      <c r="H217" t="s">
        <v>326</v>
      </c>
      <c r="I217" t="s">
        <v>43</v>
      </c>
      <c r="J217" t="s">
        <v>327</v>
      </c>
      <c r="K217">
        <v>6</v>
      </c>
      <c r="L217">
        <v>2</v>
      </c>
      <c r="M217">
        <v>1</v>
      </c>
      <c r="N217">
        <v>0</v>
      </c>
      <c r="O217">
        <f>_xlfn.XLOOKUP(VALINA[[#This Row],[id]],prov_color!A:A,prov_color!C:C)</f>
        <v>67</v>
      </c>
      <c r="P217" t="str">
        <f>_xlfn.XLOOKUP(VALINA[[#This Row],[id]],Table4[id],Table4[name])</f>
        <v>Artigas</v>
      </c>
      <c r="Q217" t="str">
        <f>_xlfn.XLOOKUP(VALINA[[#This Row],[name]],Trans!A:A,Trans!B:B)</f>
        <v>Artigas</v>
      </c>
    </row>
    <row r="218" spans="1:17" x14ac:dyDescent="0.25">
      <c r="A218">
        <v>217</v>
      </c>
      <c r="B218" t="s">
        <v>11</v>
      </c>
      <c r="C218" t="s">
        <v>244</v>
      </c>
      <c r="D218" t="s">
        <v>323</v>
      </c>
      <c r="E218" t="s">
        <v>22</v>
      </c>
      <c r="F218" t="s">
        <v>15</v>
      </c>
      <c r="G218" t="s">
        <v>35</v>
      </c>
      <c r="H218" t="s">
        <v>326</v>
      </c>
      <c r="I218" t="s">
        <v>41</v>
      </c>
      <c r="J218" t="s">
        <v>328</v>
      </c>
      <c r="K218">
        <v>4</v>
      </c>
      <c r="L218">
        <v>5</v>
      </c>
      <c r="M218">
        <v>1</v>
      </c>
      <c r="N218">
        <v>0</v>
      </c>
      <c r="O218">
        <f>_xlfn.XLOOKUP(VALINA[[#This Row],[id]],prov_color!A:A,prov_color!C:C)</f>
        <v>32</v>
      </c>
      <c r="P218" t="str">
        <f>_xlfn.XLOOKUP(VALINA[[#This Row],[id]],Table4[id],Table4[name])</f>
        <v>Parana</v>
      </c>
      <c r="Q218" t="str">
        <f>_xlfn.XLOOKUP(VALINA[[#This Row],[name]],Trans!A:A,Trans!B:B)</f>
        <v>Parana</v>
      </c>
    </row>
    <row r="219" spans="1:17" x14ac:dyDescent="0.25">
      <c r="A219">
        <v>218</v>
      </c>
      <c r="B219" t="s">
        <v>11</v>
      </c>
      <c r="C219" t="s">
        <v>244</v>
      </c>
      <c r="D219" t="s">
        <v>325</v>
      </c>
      <c r="E219" t="s">
        <v>22</v>
      </c>
      <c r="F219" t="s">
        <v>15</v>
      </c>
      <c r="G219" t="s">
        <v>75</v>
      </c>
      <c r="H219" t="s">
        <v>326</v>
      </c>
      <c r="I219" t="s">
        <v>43</v>
      </c>
      <c r="J219" t="s">
        <v>329</v>
      </c>
      <c r="K219">
        <v>5</v>
      </c>
      <c r="L219">
        <v>4</v>
      </c>
      <c r="M219">
        <v>1</v>
      </c>
      <c r="N219">
        <v>0</v>
      </c>
      <c r="O219">
        <f>_xlfn.XLOOKUP(VALINA[[#This Row],[id]],prov_color!A:A,prov_color!C:C)</f>
        <v>41</v>
      </c>
      <c r="P219" t="str">
        <f>_xlfn.XLOOKUP(VALINA[[#This Row],[id]],Table4[id],Table4[name])</f>
        <v>Neembucu</v>
      </c>
      <c r="Q219" t="str">
        <f>_xlfn.XLOOKUP(VALINA[[#This Row],[name]],Trans!A:A,Trans!B:B)</f>
        <v>Neembucu</v>
      </c>
    </row>
    <row r="220" spans="1:17" x14ac:dyDescent="0.25">
      <c r="A220">
        <v>219</v>
      </c>
      <c r="B220" t="s">
        <v>11</v>
      </c>
      <c r="C220" t="s">
        <v>244</v>
      </c>
      <c r="D220" t="s">
        <v>260</v>
      </c>
      <c r="E220" t="s">
        <v>14</v>
      </c>
      <c r="F220" t="s">
        <v>15</v>
      </c>
      <c r="G220" t="s">
        <v>35</v>
      </c>
      <c r="H220" t="s">
        <v>330</v>
      </c>
      <c r="I220" t="s">
        <v>18</v>
      </c>
      <c r="J220" t="s">
        <v>331</v>
      </c>
      <c r="K220">
        <v>5</v>
      </c>
      <c r="L220">
        <v>2</v>
      </c>
      <c r="M220">
        <v>1</v>
      </c>
      <c r="N220">
        <v>0</v>
      </c>
      <c r="O220">
        <f>_xlfn.XLOOKUP(VALINA[[#This Row],[id]],prov_color!A:A,prov_color!C:C)</f>
        <v>42</v>
      </c>
      <c r="P220" t="str">
        <f>_xlfn.XLOOKUP(VALINA[[#This Row],[id]],Table4[id],Table4[name])</f>
        <v>Tucuman</v>
      </c>
      <c r="Q220" t="str">
        <f>_xlfn.XLOOKUP(VALINA[[#This Row],[name]],Trans!A:A,Trans!B:B)</f>
        <v>Tucuman</v>
      </c>
    </row>
    <row r="221" spans="1:17" x14ac:dyDescent="0.25">
      <c r="A221">
        <v>220</v>
      </c>
      <c r="B221" t="s">
        <v>11</v>
      </c>
      <c r="C221" t="s">
        <v>244</v>
      </c>
      <c r="D221" t="s">
        <v>260</v>
      </c>
      <c r="E221" t="s">
        <v>34</v>
      </c>
      <c r="F221" t="s">
        <v>15</v>
      </c>
      <c r="G221" t="s">
        <v>75</v>
      </c>
      <c r="H221" t="s">
        <v>330</v>
      </c>
      <c r="I221" t="s">
        <v>41</v>
      </c>
      <c r="J221" t="s">
        <v>332</v>
      </c>
      <c r="K221">
        <v>7</v>
      </c>
      <c r="L221">
        <v>3</v>
      </c>
      <c r="M221">
        <v>1</v>
      </c>
      <c r="N221">
        <v>0</v>
      </c>
      <c r="O221">
        <f>_xlfn.XLOOKUP(VALINA[[#This Row],[id]],prov_color!A:A,prov_color!C:C)</f>
        <v>46</v>
      </c>
      <c r="P221" t="str">
        <f>_xlfn.XLOOKUP(VALINA[[#This Row],[id]],Table4[id],Table4[name])</f>
        <v>Jujuy</v>
      </c>
      <c r="Q221" t="str">
        <f>_xlfn.XLOOKUP(VALINA[[#This Row],[name]],Trans!A:A,Trans!B:B)</f>
        <v>Jujuy</v>
      </c>
    </row>
    <row r="222" spans="1:17" x14ac:dyDescent="0.25">
      <c r="A222">
        <v>221</v>
      </c>
      <c r="B222" t="s">
        <v>11</v>
      </c>
      <c r="C222" t="s">
        <v>244</v>
      </c>
      <c r="D222" t="s">
        <v>325</v>
      </c>
      <c r="E222" t="s">
        <v>22</v>
      </c>
      <c r="F222" t="s">
        <v>15</v>
      </c>
      <c r="G222" t="s">
        <v>35</v>
      </c>
      <c r="H222" t="s">
        <v>330</v>
      </c>
      <c r="I222" t="s">
        <v>43</v>
      </c>
      <c r="J222" t="s">
        <v>333</v>
      </c>
      <c r="K222">
        <v>5</v>
      </c>
      <c r="L222">
        <v>3</v>
      </c>
      <c r="M222">
        <v>1</v>
      </c>
      <c r="N222">
        <v>0</v>
      </c>
      <c r="O222">
        <f>_xlfn.XLOOKUP(VALINA[[#This Row],[id]],prov_color!A:A,prov_color!C:C)</f>
        <v>51</v>
      </c>
      <c r="P222" t="str">
        <f>_xlfn.XLOOKUP(VALINA[[#This Row],[id]],Table4[id],Table4[name])</f>
        <v>Corrientes</v>
      </c>
      <c r="Q222" t="str">
        <f>_xlfn.XLOOKUP(VALINA[[#This Row],[name]],Trans!A:A,Trans!B:B)</f>
        <v>Corrientes</v>
      </c>
    </row>
    <row r="223" spans="1:17" x14ac:dyDescent="0.25">
      <c r="A223">
        <v>222</v>
      </c>
      <c r="B223" t="s">
        <v>11</v>
      </c>
      <c r="C223" t="s">
        <v>244</v>
      </c>
      <c r="D223" t="s">
        <v>323</v>
      </c>
      <c r="E223" t="s">
        <v>34</v>
      </c>
      <c r="F223" t="s">
        <v>15</v>
      </c>
      <c r="G223" t="s">
        <v>35</v>
      </c>
      <c r="H223" t="s">
        <v>326</v>
      </c>
      <c r="I223" t="s">
        <v>43</v>
      </c>
      <c r="J223" t="s">
        <v>334</v>
      </c>
      <c r="K223">
        <v>3</v>
      </c>
      <c r="L223">
        <v>5</v>
      </c>
      <c r="M223">
        <v>1</v>
      </c>
      <c r="N223">
        <v>0</v>
      </c>
      <c r="O223">
        <f>_xlfn.XLOOKUP(VALINA[[#This Row],[id]],prov_color!A:A,prov_color!C:C)</f>
        <v>34</v>
      </c>
      <c r="P223" t="str">
        <f>_xlfn.XLOOKUP(VALINA[[#This Row],[id]],Table4[id],Table4[name])</f>
        <v>Rosario</v>
      </c>
      <c r="Q223" t="str">
        <f>_xlfn.XLOOKUP(VALINA[[#This Row],[name]],Trans!A:A,Trans!B:B)</f>
        <v>Rosario</v>
      </c>
    </row>
    <row r="224" spans="1:17" x14ac:dyDescent="0.25">
      <c r="A224">
        <v>223</v>
      </c>
      <c r="B224" t="s">
        <v>11</v>
      </c>
      <c r="C224" t="s">
        <v>244</v>
      </c>
      <c r="D224" t="s">
        <v>323</v>
      </c>
      <c r="E224" t="s">
        <v>34</v>
      </c>
      <c r="F224" t="s">
        <v>15</v>
      </c>
      <c r="G224" t="s">
        <v>35</v>
      </c>
      <c r="H224" t="s">
        <v>326</v>
      </c>
      <c r="I224" t="s">
        <v>27</v>
      </c>
      <c r="J224" t="s">
        <v>335</v>
      </c>
      <c r="K224">
        <v>3</v>
      </c>
      <c r="L224">
        <v>6</v>
      </c>
      <c r="M224">
        <v>1</v>
      </c>
      <c r="N224">
        <v>0</v>
      </c>
      <c r="O224">
        <f>_xlfn.XLOOKUP(VALINA[[#This Row],[id]],prov_color!A:A,prov_color!C:C)</f>
        <v>48</v>
      </c>
      <c r="P224" t="str">
        <f>_xlfn.XLOOKUP(VALINA[[#This Row],[id]],Table4[id],Table4[name])</f>
        <v>Aires</v>
      </c>
      <c r="Q224" t="str">
        <f>_xlfn.XLOOKUP(VALINA[[#This Row],[name]],Trans!A:A,Trans!B:B)</f>
        <v>Aires</v>
      </c>
    </row>
    <row r="225" spans="1:17" x14ac:dyDescent="0.25">
      <c r="A225">
        <v>224</v>
      </c>
      <c r="B225" t="s">
        <v>11</v>
      </c>
      <c r="C225" t="s">
        <v>244</v>
      </c>
      <c r="D225" t="s">
        <v>323</v>
      </c>
      <c r="E225" t="s">
        <v>34</v>
      </c>
      <c r="F225" t="s">
        <v>15</v>
      </c>
      <c r="G225" t="s">
        <v>35</v>
      </c>
      <c r="H225" t="s">
        <v>326</v>
      </c>
      <c r="I225" t="s">
        <v>43</v>
      </c>
      <c r="J225" t="s">
        <v>336</v>
      </c>
      <c r="K225">
        <v>3</v>
      </c>
      <c r="L225">
        <v>4</v>
      </c>
      <c r="M225">
        <v>1</v>
      </c>
      <c r="N225">
        <v>0</v>
      </c>
      <c r="O225">
        <f>_xlfn.XLOOKUP(VALINA[[#This Row],[id]],prov_color!A:A,prov_color!C:C)</f>
        <v>52</v>
      </c>
      <c r="P225" t="str">
        <f>_xlfn.XLOOKUP(VALINA[[#This Row],[id]],Table4[id],Table4[name])</f>
        <v>Copetonas</v>
      </c>
      <c r="Q225" t="str">
        <f>_xlfn.XLOOKUP(VALINA[[#This Row],[name]],Trans!A:A,Trans!B:B)</f>
        <v>Copetonas</v>
      </c>
    </row>
    <row r="226" spans="1:17" x14ac:dyDescent="0.25">
      <c r="A226">
        <v>225</v>
      </c>
      <c r="B226" t="s">
        <v>11</v>
      </c>
      <c r="C226" t="s">
        <v>244</v>
      </c>
      <c r="D226" t="s">
        <v>337</v>
      </c>
      <c r="E226" t="s">
        <v>34</v>
      </c>
      <c r="F226" t="s">
        <v>15</v>
      </c>
      <c r="G226" t="s">
        <v>35</v>
      </c>
      <c r="H226" t="s">
        <v>338</v>
      </c>
      <c r="I226" t="s">
        <v>43</v>
      </c>
      <c r="J226" t="s">
        <v>339</v>
      </c>
      <c r="K226">
        <v>7</v>
      </c>
      <c r="L226">
        <v>2</v>
      </c>
      <c r="M226">
        <v>1</v>
      </c>
      <c r="N226">
        <v>0</v>
      </c>
      <c r="O226">
        <f>_xlfn.XLOOKUP(VALINA[[#This Row],[id]],prov_color!A:A,prov_color!C:C)</f>
        <v>59</v>
      </c>
      <c r="P226" t="str">
        <f>_xlfn.XLOOKUP(VALINA[[#This Row],[id]],Table4[id],Table4[name])</f>
        <v>San Matias</v>
      </c>
      <c r="Q226" t="str">
        <f>_xlfn.XLOOKUP(VALINA[[#This Row],[name]],Trans!A:A,Trans!B:B)</f>
        <v>San Matias</v>
      </c>
    </row>
    <row r="227" spans="1:17" x14ac:dyDescent="0.25">
      <c r="A227">
        <v>226</v>
      </c>
      <c r="B227" t="s">
        <v>11</v>
      </c>
      <c r="C227" t="s">
        <v>244</v>
      </c>
      <c r="D227" t="s">
        <v>337</v>
      </c>
      <c r="E227" t="s">
        <v>34</v>
      </c>
      <c r="F227" t="s">
        <v>15</v>
      </c>
      <c r="G227" t="s">
        <v>35</v>
      </c>
      <c r="H227" t="s">
        <v>338</v>
      </c>
      <c r="I227" t="s">
        <v>43</v>
      </c>
      <c r="J227" t="s">
        <v>340</v>
      </c>
      <c r="K227">
        <v>8</v>
      </c>
      <c r="L227">
        <v>2</v>
      </c>
      <c r="M227">
        <v>1</v>
      </c>
      <c r="N227">
        <v>0</v>
      </c>
      <c r="O227">
        <f>_xlfn.XLOOKUP(VALINA[[#This Row],[id]],prov_color!A:A,prov_color!C:C)</f>
        <v>50</v>
      </c>
      <c r="P227" t="str">
        <f>_xlfn.XLOOKUP(VALINA[[#This Row],[id]],Table4[id],Table4[name])</f>
        <v>Chubut</v>
      </c>
      <c r="Q227" t="str">
        <f>_xlfn.XLOOKUP(VALINA[[#This Row],[name]],Trans!A:A,Trans!B:B)</f>
        <v>Chubut</v>
      </c>
    </row>
    <row r="228" spans="1:17" x14ac:dyDescent="0.25">
      <c r="A228">
        <v>227</v>
      </c>
      <c r="B228" t="s">
        <v>11</v>
      </c>
      <c r="C228" t="s">
        <v>244</v>
      </c>
      <c r="D228" t="s">
        <v>337</v>
      </c>
      <c r="E228" t="s">
        <v>34</v>
      </c>
      <c r="F228" t="s">
        <v>15</v>
      </c>
      <c r="G228" t="s">
        <v>35</v>
      </c>
      <c r="H228" t="s">
        <v>338</v>
      </c>
      <c r="I228" t="s">
        <v>27</v>
      </c>
      <c r="J228" t="s">
        <v>341</v>
      </c>
      <c r="K228">
        <v>8</v>
      </c>
      <c r="L228">
        <v>1</v>
      </c>
      <c r="M228">
        <v>1</v>
      </c>
      <c r="N228">
        <v>0</v>
      </c>
      <c r="O228">
        <f>_xlfn.XLOOKUP(VALINA[[#This Row],[id]],prov_color!A:A,prov_color!C:C)</f>
        <v>42</v>
      </c>
      <c r="P228" t="str">
        <f>_xlfn.XLOOKUP(VALINA[[#This Row],[id]],Table4[id],Table4[name])</f>
        <v>Santa Cruz</v>
      </c>
      <c r="Q228" t="str">
        <f>_xlfn.XLOOKUP(VALINA[[#This Row],[name]],Trans!A:A,Trans!B:B)</f>
        <v>Santa Cruz</v>
      </c>
    </row>
    <row r="229" spans="1:17" x14ac:dyDescent="0.25">
      <c r="A229">
        <v>228</v>
      </c>
      <c r="B229" t="s">
        <v>11</v>
      </c>
      <c r="C229" t="s">
        <v>244</v>
      </c>
      <c r="D229" t="s">
        <v>337</v>
      </c>
      <c r="E229" t="s">
        <v>14</v>
      </c>
      <c r="F229" t="s">
        <v>15</v>
      </c>
      <c r="G229" t="s">
        <v>276</v>
      </c>
      <c r="H229" t="s">
        <v>338</v>
      </c>
      <c r="I229" t="s">
        <v>27</v>
      </c>
      <c r="J229" t="s">
        <v>342</v>
      </c>
      <c r="K229">
        <v>9</v>
      </c>
      <c r="L229">
        <v>1</v>
      </c>
      <c r="M229">
        <v>1</v>
      </c>
      <c r="N229">
        <v>0</v>
      </c>
      <c r="O229">
        <f>_xlfn.XLOOKUP(VALINA[[#This Row],[id]],prov_color!A:A,prov_color!C:C)</f>
        <v>59</v>
      </c>
      <c r="P229" t="str">
        <f>_xlfn.XLOOKUP(VALINA[[#This Row],[id]],Table4[id],Table4[name])</f>
        <v>Magallanes</v>
      </c>
      <c r="Q229" t="str">
        <f>_xlfn.XLOOKUP(VALINA[[#This Row],[name]],Trans!A:A,Trans!B:B)</f>
        <v>Magallanes</v>
      </c>
    </row>
    <row r="230" spans="1:17" x14ac:dyDescent="0.25">
      <c r="A230">
        <v>229</v>
      </c>
      <c r="B230" t="s">
        <v>11</v>
      </c>
      <c r="C230" t="s">
        <v>244</v>
      </c>
      <c r="D230" t="s">
        <v>337</v>
      </c>
      <c r="E230" t="s">
        <v>14</v>
      </c>
      <c r="F230" t="s">
        <v>15</v>
      </c>
      <c r="G230" t="s">
        <v>276</v>
      </c>
      <c r="H230" t="s">
        <v>338</v>
      </c>
      <c r="I230" t="s">
        <v>27</v>
      </c>
      <c r="J230" t="s">
        <v>343</v>
      </c>
      <c r="K230">
        <v>9</v>
      </c>
      <c r="L230">
        <v>1</v>
      </c>
      <c r="M230">
        <v>1</v>
      </c>
      <c r="N230">
        <v>0</v>
      </c>
      <c r="O230">
        <f>_xlfn.XLOOKUP(VALINA[[#This Row],[id]],prov_color!A:A,prov_color!C:C)</f>
        <v>38</v>
      </c>
      <c r="P230" t="str">
        <f>_xlfn.XLOOKUP(VALINA[[#This Row],[id]],Table4[id],Table4[name])</f>
        <v>Tierra del Fuego</v>
      </c>
      <c r="Q230" t="str">
        <f>_xlfn.XLOOKUP(VALINA[[#This Row],[name]],Trans!A:A,Trans!B:B)</f>
        <v>Tierra del Fuego</v>
      </c>
    </row>
    <row r="231" spans="1:17" x14ac:dyDescent="0.25">
      <c r="A231">
        <v>230</v>
      </c>
      <c r="B231" t="s">
        <v>11</v>
      </c>
      <c r="C231" t="s">
        <v>244</v>
      </c>
      <c r="D231" t="s">
        <v>344</v>
      </c>
      <c r="E231" t="s">
        <v>34</v>
      </c>
      <c r="F231" t="s">
        <v>15</v>
      </c>
      <c r="G231" t="s">
        <v>276</v>
      </c>
      <c r="H231" t="s">
        <v>338</v>
      </c>
      <c r="I231" t="s">
        <v>27</v>
      </c>
      <c r="J231" t="s">
        <v>345</v>
      </c>
      <c r="K231">
        <v>8</v>
      </c>
      <c r="L231">
        <v>1</v>
      </c>
      <c r="M231">
        <v>1</v>
      </c>
      <c r="N231">
        <v>0</v>
      </c>
      <c r="O231">
        <f>_xlfn.XLOOKUP(VALINA[[#This Row],[id]],prov_color!A:A,prov_color!C:C)</f>
        <v>14</v>
      </c>
      <c r="P231" t="str">
        <f>_xlfn.XLOOKUP(VALINA[[#This Row],[id]],Table4[id],Table4[name])</f>
        <v>The Falklands</v>
      </c>
      <c r="Q231" t="str">
        <f>_xlfn.XLOOKUP(VALINA[[#This Row],[name]],Trans!A:A,Trans!B:B)</f>
        <v>The Falklands</v>
      </c>
    </row>
    <row r="232" spans="1:17" x14ac:dyDescent="0.25">
      <c r="A232">
        <v>231</v>
      </c>
      <c r="B232" t="s">
        <v>346</v>
      </c>
      <c r="C232" t="s">
        <v>347</v>
      </c>
      <c r="D232" t="s">
        <v>348</v>
      </c>
      <c r="E232" t="s">
        <v>80</v>
      </c>
      <c r="F232" t="s">
        <v>349</v>
      </c>
      <c r="G232" t="s">
        <v>35</v>
      </c>
      <c r="H232" t="s">
        <v>350</v>
      </c>
      <c r="I232" t="s">
        <v>27</v>
      </c>
      <c r="J232" t="s">
        <v>351</v>
      </c>
      <c r="K232">
        <v>0</v>
      </c>
      <c r="L232">
        <v>5</v>
      </c>
      <c r="M232">
        <v>1</v>
      </c>
      <c r="N232">
        <v>0</v>
      </c>
      <c r="O232">
        <f>_xlfn.XLOOKUP(VALINA[[#This Row],[id]],prov_color!A:A,prov_color!C:C)</f>
        <v>20</v>
      </c>
      <c r="P232" t="str">
        <f>_xlfn.XLOOKUP(VALINA[[#This Row],[id]],Table4[id],Table4[name])</f>
        <v>Connaught</v>
      </c>
      <c r="Q232" t="str">
        <f>_xlfn.XLOOKUP(VALINA[[#This Row],[name]],Trans!A:A,Trans!B:B)</f>
        <v>Connaught</v>
      </c>
    </row>
    <row r="233" spans="1:17" x14ac:dyDescent="0.25">
      <c r="A233">
        <v>232</v>
      </c>
      <c r="B233" t="s">
        <v>346</v>
      </c>
      <c r="C233" t="s">
        <v>347</v>
      </c>
      <c r="D233" t="s">
        <v>348</v>
      </c>
      <c r="E233" t="s">
        <v>14</v>
      </c>
      <c r="F233" t="s">
        <v>349</v>
      </c>
      <c r="G233" t="s">
        <v>35</v>
      </c>
      <c r="H233" t="s">
        <v>350</v>
      </c>
      <c r="I233" t="s">
        <v>352</v>
      </c>
      <c r="J233" t="s">
        <v>353</v>
      </c>
      <c r="K233">
        <v>0</v>
      </c>
      <c r="L233">
        <v>7</v>
      </c>
      <c r="M233">
        <v>2</v>
      </c>
      <c r="N233">
        <v>0</v>
      </c>
      <c r="O233">
        <f>_xlfn.XLOOKUP(VALINA[[#This Row],[id]],prov_color!A:A,prov_color!C:C)</f>
        <v>14</v>
      </c>
      <c r="P233" t="str">
        <f>_xlfn.XLOOKUP(VALINA[[#This Row],[id]],Table4[id],Table4[name])</f>
        <v>Ulster</v>
      </c>
      <c r="Q233" t="str">
        <f>_xlfn.XLOOKUP(VALINA[[#This Row],[name]],Trans!A:A,Trans!B:B)</f>
        <v>Ulster</v>
      </c>
    </row>
    <row r="234" spans="1:17" x14ac:dyDescent="0.25">
      <c r="A234">
        <v>233</v>
      </c>
      <c r="B234" t="s">
        <v>346</v>
      </c>
      <c r="C234" t="s">
        <v>347</v>
      </c>
      <c r="D234" t="s">
        <v>348</v>
      </c>
      <c r="E234" t="s">
        <v>80</v>
      </c>
      <c r="F234" t="s">
        <v>349</v>
      </c>
      <c r="G234" t="s">
        <v>35</v>
      </c>
      <c r="H234" t="s">
        <v>350</v>
      </c>
      <c r="I234" t="s">
        <v>43</v>
      </c>
      <c r="J234" t="s">
        <v>354</v>
      </c>
      <c r="K234">
        <v>0</v>
      </c>
      <c r="L234">
        <v>5</v>
      </c>
      <c r="M234">
        <v>2</v>
      </c>
      <c r="N234">
        <v>0</v>
      </c>
      <c r="O234">
        <f>_xlfn.XLOOKUP(VALINA[[#This Row],[id]],prov_color!A:A,prov_color!C:C)</f>
        <v>12</v>
      </c>
      <c r="P234" t="str">
        <f>_xlfn.XLOOKUP(VALINA[[#This Row],[id]],Table4[id],Table4[name])</f>
        <v>Meath</v>
      </c>
      <c r="Q234" t="str">
        <f>_xlfn.XLOOKUP(VALINA[[#This Row],[name]],Trans!A:A,Trans!B:B)</f>
        <v>Meath</v>
      </c>
    </row>
    <row r="235" spans="1:17" x14ac:dyDescent="0.25">
      <c r="A235">
        <v>234</v>
      </c>
      <c r="B235" t="s">
        <v>346</v>
      </c>
      <c r="C235" t="s">
        <v>347</v>
      </c>
      <c r="D235" t="s">
        <v>348</v>
      </c>
      <c r="E235" t="s">
        <v>14</v>
      </c>
      <c r="F235" t="s">
        <v>349</v>
      </c>
      <c r="G235" t="s">
        <v>35</v>
      </c>
      <c r="H235" t="s">
        <v>350</v>
      </c>
      <c r="I235" t="s">
        <v>27</v>
      </c>
      <c r="J235" t="s">
        <v>355</v>
      </c>
      <c r="K235">
        <v>0</v>
      </c>
      <c r="L235">
        <v>6</v>
      </c>
      <c r="M235">
        <v>2</v>
      </c>
      <c r="N235">
        <v>0</v>
      </c>
      <c r="O235">
        <f>_xlfn.XLOOKUP(VALINA[[#This Row],[id]],prov_color!A:A,prov_color!C:C)</f>
        <v>13</v>
      </c>
      <c r="P235" t="str">
        <f>_xlfn.XLOOKUP(VALINA[[#This Row],[id]],Table4[id],Table4[name])</f>
        <v>Leinster</v>
      </c>
      <c r="Q235" t="str">
        <f>_xlfn.XLOOKUP(VALINA[[#This Row],[name]],Trans!A:A,Trans!B:B)</f>
        <v>Leinster</v>
      </c>
    </row>
    <row r="236" spans="1:17" x14ac:dyDescent="0.25">
      <c r="A236">
        <v>235</v>
      </c>
      <c r="B236" t="s">
        <v>346</v>
      </c>
      <c r="C236" t="s">
        <v>347</v>
      </c>
      <c r="D236" t="s">
        <v>348</v>
      </c>
      <c r="E236" t="s">
        <v>14</v>
      </c>
      <c r="F236" t="s">
        <v>349</v>
      </c>
      <c r="G236" t="s">
        <v>35</v>
      </c>
      <c r="H236" t="s">
        <v>350</v>
      </c>
      <c r="I236" t="s">
        <v>27</v>
      </c>
      <c r="J236" t="s">
        <v>356</v>
      </c>
      <c r="K236">
        <v>0</v>
      </c>
      <c r="L236">
        <v>5</v>
      </c>
      <c r="M236">
        <v>2</v>
      </c>
      <c r="N236">
        <v>0</v>
      </c>
      <c r="O236">
        <f>_xlfn.XLOOKUP(VALINA[[#This Row],[id]],prov_color!A:A,prov_color!C:C)</f>
        <v>20</v>
      </c>
      <c r="P236" t="str">
        <f>_xlfn.XLOOKUP(VALINA[[#This Row],[id]],Table4[id],Table4[name])</f>
        <v>Munster</v>
      </c>
      <c r="Q236" t="str">
        <f>_xlfn.XLOOKUP(VALINA[[#This Row],[name]],Trans!A:A,Trans!B:B)</f>
        <v>Munster</v>
      </c>
    </row>
    <row r="237" spans="1:17" x14ac:dyDescent="0.25">
      <c r="A237">
        <v>236</v>
      </c>
      <c r="B237" t="s">
        <v>346</v>
      </c>
      <c r="C237" t="s">
        <v>347</v>
      </c>
      <c r="D237" t="s">
        <v>357</v>
      </c>
      <c r="E237" t="s">
        <v>14</v>
      </c>
      <c r="F237" t="s">
        <v>349</v>
      </c>
      <c r="G237" t="s">
        <v>35</v>
      </c>
      <c r="H237" t="s">
        <v>350</v>
      </c>
      <c r="I237" t="s">
        <v>27</v>
      </c>
      <c r="J237" t="s">
        <v>358</v>
      </c>
      <c r="K237">
        <v>0</v>
      </c>
      <c r="L237">
        <v>3</v>
      </c>
      <c r="M237">
        <v>3</v>
      </c>
      <c r="N237">
        <v>0</v>
      </c>
      <c r="O237">
        <f>_xlfn.XLOOKUP(VALINA[[#This Row],[id]],prov_color!A:A,prov_color!C:C)</f>
        <v>26</v>
      </c>
      <c r="P237" t="str">
        <f>_xlfn.XLOOKUP(VALINA[[#This Row],[id]],Table4[id],Table4[name])</f>
        <v>The Highlands</v>
      </c>
      <c r="Q237" t="str">
        <f>_xlfn.XLOOKUP(VALINA[[#This Row],[name]],Trans!A:A,Trans!B:B)</f>
        <v>The Highlands</v>
      </c>
    </row>
    <row r="238" spans="1:17" x14ac:dyDescent="0.25">
      <c r="A238">
        <v>237</v>
      </c>
      <c r="B238" t="s">
        <v>346</v>
      </c>
      <c r="C238" t="s">
        <v>347</v>
      </c>
      <c r="D238" t="s">
        <v>357</v>
      </c>
      <c r="E238" t="s">
        <v>14</v>
      </c>
      <c r="F238" t="s">
        <v>349</v>
      </c>
      <c r="G238" t="s">
        <v>35</v>
      </c>
      <c r="H238" t="s">
        <v>350</v>
      </c>
      <c r="I238" t="s">
        <v>41</v>
      </c>
      <c r="J238" t="s">
        <v>359</v>
      </c>
      <c r="K238">
        <v>0</v>
      </c>
      <c r="L238">
        <v>5</v>
      </c>
      <c r="M238">
        <v>2</v>
      </c>
      <c r="N238">
        <v>0</v>
      </c>
      <c r="O238">
        <f>_xlfn.XLOOKUP(VALINA[[#This Row],[id]],prov_color!A:A,prov_color!C:C)</f>
        <v>20</v>
      </c>
      <c r="P238" t="str">
        <f>_xlfn.XLOOKUP(VALINA[[#This Row],[id]],Table4[id],Table4[name])</f>
        <v>The Grampians</v>
      </c>
      <c r="Q238" t="str">
        <f>_xlfn.XLOOKUP(VALINA[[#This Row],[name]],Trans!A:A,Trans!B:B)</f>
        <v>The Grampians</v>
      </c>
    </row>
    <row r="239" spans="1:17" x14ac:dyDescent="0.25">
      <c r="A239">
        <v>238</v>
      </c>
      <c r="B239" t="s">
        <v>346</v>
      </c>
      <c r="C239" t="s">
        <v>347</v>
      </c>
      <c r="D239" t="s">
        <v>357</v>
      </c>
      <c r="E239" t="s">
        <v>34</v>
      </c>
      <c r="F239" t="s">
        <v>349</v>
      </c>
      <c r="G239" t="s">
        <v>35</v>
      </c>
      <c r="H239" t="s">
        <v>360</v>
      </c>
      <c r="I239" t="s">
        <v>27</v>
      </c>
      <c r="J239" t="s">
        <v>361</v>
      </c>
      <c r="K239">
        <v>0</v>
      </c>
      <c r="L239">
        <v>6</v>
      </c>
      <c r="M239">
        <v>3</v>
      </c>
      <c r="N239">
        <v>0</v>
      </c>
      <c r="O239">
        <f>_xlfn.XLOOKUP(VALINA[[#This Row],[id]],prov_color!A:A,prov_color!C:C)</f>
        <v>10</v>
      </c>
      <c r="P239" t="str">
        <f>_xlfn.XLOOKUP(VALINA[[#This Row],[id]],Table4[id],Table4[name])</f>
        <v>Lothian</v>
      </c>
      <c r="Q239" t="str">
        <f>_xlfn.XLOOKUP(VALINA[[#This Row],[name]],Trans!A:A,Trans!B:B)</f>
        <v>Lothian</v>
      </c>
    </row>
    <row r="240" spans="1:17" x14ac:dyDescent="0.25">
      <c r="A240">
        <v>239</v>
      </c>
      <c r="B240" t="s">
        <v>346</v>
      </c>
      <c r="C240" t="s">
        <v>347</v>
      </c>
      <c r="D240" t="s">
        <v>357</v>
      </c>
      <c r="E240" t="s">
        <v>14</v>
      </c>
      <c r="F240" t="s">
        <v>349</v>
      </c>
      <c r="G240" t="s">
        <v>35</v>
      </c>
      <c r="H240" t="s">
        <v>360</v>
      </c>
      <c r="I240" t="s">
        <v>141</v>
      </c>
      <c r="J240" t="s">
        <v>362</v>
      </c>
      <c r="K240">
        <v>0</v>
      </c>
      <c r="L240">
        <v>7</v>
      </c>
      <c r="M240">
        <v>2</v>
      </c>
      <c r="N240">
        <v>0</v>
      </c>
      <c r="O240">
        <f>_xlfn.XLOOKUP(VALINA[[#This Row],[id]],prov_color!A:A,prov_color!C:C)</f>
        <v>11</v>
      </c>
      <c r="P240" t="str">
        <f>_xlfn.XLOOKUP(VALINA[[#This Row],[id]],Table4[id],Table4[name])</f>
        <v>Strathclyde</v>
      </c>
      <c r="Q240" t="str">
        <f>_xlfn.XLOOKUP(VALINA[[#This Row],[name]],Trans!A:A,Trans!B:B)</f>
        <v>Strathclyde</v>
      </c>
    </row>
    <row r="241" spans="1:17" x14ac:dyDescent="0.25">
      <c r="A241">
        <v>240</v>
      </c>
      <c r="B241" t="s">
        <v>346</v>
      </c>
      <c r="C241" t="s">
        <v>347</v>
      </c>
      <c r="D241" t="s">
        <v>363</v>
      </c>
      <c r="E241" t="s">
        <v>14</v>
      </c>
      <c r="F241" t="s">
        <v>349</v>
      </c>
      <c r="G241" t="s">
        <v>35</v>
      </c>
      <c r="H241" t="s">
        <v>360</v>
      </c>
      <c r="I241" t="s">
        <v>352</v>
      </c>
      <c r="J241" t="s">
        <v>364</v>
      </c>
      <c r="K241">
        <v>0</v>
      </c>
      <c r="L241">
        <v>7</v>
      </c>
      <c r="M241">
        <v>2</v>
      </c>
      <c r="N241">
        <v>0</v>
      </c>
      <c r="O241">
        <f>_xlfn.XLOOKUP(VALINA[[#This Row],[id]],prov_color!A:A,prov_color!C:C)</f>
        <v>13</v>
      </c>
      <c r="P241" t="str">
        <f>_xlfn.XLOOKUP(VALINA[[#This Row],[id]],Table4[id],Table4[name])</f>
        <v>Northumberland</v>
      </c>
      <c r="Q241" t="str">
        <f>_xlfn.XLOOKUP(VALINA[[#This Row],[name]],Trans!A:A,Trans!B:B)</f>
        <v>Northumberland</v>
      </c>
    </row>
    <row r="242" spans="1:17" x14ac:dyDescent="0.25">
      <c r="A242">
        <v>241</v>
      </c>
      <c r="B242" t="s">
        <v>346</v>
      </c>
      <c r="C242" t="s">
        <v>347</v>
      </c>
      <c r="D242" t="s">
        <v>363</v>
      </c>
      <c r="E242" t="s">
        <v>34</v>
      </c>
      <c r="F242" t="s">
        <v>349</v>
      </c>
      <c r="G242" t="s">
        <v>35</v>
      </c>
      <c r="H242" t="s">
        <v>360</v>
      </c>
      <c r="I242" t="s">
        <v>352</v>
      </c>
      <c r="J242" t="s">
        <v>365</v>
      </c>
      <c r="K242">
        <v>0</v>
      </c>
      <c r="L242">
        <v>9</v>
      </c>
      <c r="M242">
        <v>3</v>
      </c>
      <c r="N242">
        <v>0</v>
      </c>
      <c r="O242">
        <f>_xlfn.XLOOKUP(VALINA[[#This Row],[id]],prov_color!A:A,prov_color!C:C)</f>
        <v>12</v>
      </c>
      <c r="P242" t="str">
        <f>_xlfn.XLOOKUP(VALINA[[#This Row],[id]],Table4[id],Table4[name])</f>
        <v>Yorkshire</v>
      </c>
      <c r="Q242" t="str">
        <f>_xlfn.XLOOKUP(VALINA[[#This Row],[name]],Trans!A:A,Trans!B:B)</f>
        <v>Yorkshire</v>
      </c>
    </row>
    <row r="243" spans="1:17" x14ac:dyDescent="0.25">
      <c r="A243">
        <v>242</v>
      </c>
      <c r="B243" t="s">
        <v>346</v>
      </c>
      <c r="C243" t="s">
        <v>347</v>
      </c>
      <c r="D243" t="s">
        <v>363</v>
      </c>
      <c r="E243" t="s">
        <v>22</v>
      </c>
      <c r="F243" t="s">
        <v>349</v>
      </c>
      <c r="G243" t="s">
        <v>35</v>
      </c>
      <c r="H243" t="s">
        <v>360</v>
      </c>
      <c r="I243" t="s">
        <v>141</v>
      </c>
      <c r="J243" t="s">
        <v>366</v>
      </c>
      <c r="K243">
        <v>0</v>
      </c>
      <c r="L243">
        <v>11</v>
      </c>
      <c r="M243">
        <v>5</v>
      </c>
      <c r="N243">
        <v>0</v>
      </c>
      <c r="O243">
        <f>_xlfn.XLOOKUP(VALINA[[#This Row],[id]],prov_color!A:A,prov_color!C:C)</f>
        <v>11</v>
      </c>
      <c r="P243" t="str">
        <f>_xlfn.XLOOKUP(VALINA[[#This Row],[id]],Table4[id],Table4[name])</f>
        <v>Lancashire</v>
      </c>
      <c r="Q243" t="str">
        <f>_xlfn.XLOOKUP(VALINA[[#This Row],[name]],Trans!A:A,Trans!B:B)</f>
        <v>Lancashire</v>
      </c>
    </row>
    <row r="244" spans="1:17" x14ac:dyDescent="0.25">
      <c r="A244">
        <v>243</v>
      </c>
      <c r="B244" t="s">
        <v>346</v>
      </c>
      <c r="C244" t="s">
        <v>347</v>
      </c>
      <c r="D244" t="s">
        <v>363</v>
      </c>
      <c r="E244" t="s">
        <v>14</v>
      </c>
      <c r="F244" t="s">
        <v>349</v>
      </c>
      <c r="G244" t="s">
        <v>35</v>
      </c>
      <c r="H244" t="s">
        <v>350</v>
      </c>
      <c r="I244" t="s">
        <v>141</v>
      </c>
      <c r="J244" t="s">
        <v>367</v>
      </c>
      <c r="K244">
        <v>0</v>
      </c>
      <c r="L244">
        <v>7</v>
      </c>
      <c r="M244">
        <v>3</v>
      </c>
      <c r="N244">
        <v>0</v>
      </c>
      <c r="O244">
        <f>_xlfn.XLOOKUP(VALINA[[#This Row],[id]],prov_color!A:A,prov_color!C:C)</f>
        <v>20</v>
      </c>
      <c r="P244" t="str">
        <f>_xlfn.XLOOKUP(VALINA[[#This Row],[id]],Table4[id],Table4[name])</f>
        <v>Wales</v>
      </c>
      <c r="Q244" t="str">
        <f>_xlfn.XLOOKUP(VALINA[[#This Row],[name]],Trans!A:A,Trans!B:B)</f>
        <v>Wales</v>
      </c>
    </row>
    <row r="245" spans="1:17" x14ac:dyDescent="0.25">
      <c r="A245">
        <v>244</v>
      </c>
      <c r="B245" t="s">
        <v>346</v>
      </c>
      <c r="C245" t="s">
        <v>347</v>
      </c>
      <c r="D245" t="s">
        <v>363</v>
      </c>
      <c r="E245" t="s">
        <v>34</v>
      </c>
      <c r="F245" t="s">
        <v>349</v>
      </c>
      <c r="G245" t="s">
        <v>35</v>
      </c>
      <c r="H245" t="s">
        <v>360</v>
      </c>
      <c r="I245" t="s">
        <v>141</v>
      </c>
      <c r="J245" t="s">
        <v>368</v>
      </c>
      <c r="K245">
        <v>0</v>
      </c>
      <c r="L245">
        <v>11</v>
      </c>
      <c r="M245">
        <v>5</v>
      </c>
      <c r="N245">
        <v>0</v>
      </c>
      <c r="O245">
        <f>_xlfn.XLOOKUP(VALINA[[#This Row],[id]],prov_color!A:A,prov_color!C:C)</f>
        <v>14</v>
      </c>
      <c r="P245" t="str">
        <f>_xlfn.XLOOKUP(VALINA[[#This Row],[id]],Table4[id],Table4[name])</f>
        <v>Midlands</v>
      </c>
      <c r="Q245" t="str">
        <f>_xlfn.XLOOKUP(VALINA[[#This Row],[name]],Trans!A:A,Trans!B:B)</f>
        <v>Midlands</v>
      </c>
    </row>
    <row r="246" spans="1:17" x14ac:dyDescent="0.25">
      <c r="A246">
        <v>245</v>
      </c>
      <c r="B246" t="s">
        <v>346</v>
      </c>
      <c r="C246" t="s">
        <v>347</v>
      </c>
      <c r="D246" t="s">
        <v>363</v>
      </c>
      <c r="E246" t="s">
        <v>34</v>
      </c>
      <c r="F246" t="s">
        <v>349</v>
      </c>
      <c r="G246" t="s">
        <v>35</v>
      </c>
      <c r="H246" t="s">
        <v>360</v>
      </c>
      <c r="I246" t="s">
        <v>352</v>
      </c>
      <c r="J246" t="s">
        <v>369</v>
      </c>
      <c r="K246">
        <v>0</v>
      </c>
      <c r="L246">
        <v>8</v>
      </c>
      <c r="M246">
        <v>4</v>
      </c>
      <c r="N246">
        <v>0</v>
      </c>
      <c r="O246">
        <f>_xlfn.XLOOKUP(VALINA[[#This Row],[id]],prov_color!A:A,prov_color!C:C)</f>
        <v>13</v>
      </c>
      <c r="P246" t="str">
        <f>_xlfn.XLOOKUP(VALINA[[#This Row],[id]],Table4[id],Table4[name])</f>
        <v>Lincoln</v>
      </c>
      <c r="Q246" t="str">
        <f>_xlfn.XLOOKUP(VALINA[[#This Row],[name]],Trans!A:A,Trans!B:B)</f>
        <v>Lincoln</v>
      </c>
    </row>
    <row r="247" spans="1:17" x14ac:dyDescent="0.25">
      <c r="A247">
        <v>246</v>
      </c>
      <c r="B247" t="s">
        <v>346</v>
      </c>
      <c r="C247" t="s">
        <v>347</v>
      </c>
      <c r="D247" t="s">
        <v>363</v>
      </c>
      <c r="E247" t="s">
        <v>34</v>
      </c>
      <c r="F247" t="s">
        <v>349</v>
      </c>
      <c r="G247" t="s">
        <v>35</v>
      </c>
      <c r="H247" t="s">
        <v>360</v>
      </c>
      <c r="I247" t="s">
        <v>27</v>
      </c>
      <c r="J247" t="s">
        <v>370</v>
      </c>
      <c r="K247">
        <v>0</v>
      </c>
      <c r="L247">
        <v>9</v>
      </c>
      <c r="M247">
        <v>4</v>
      </c>
      <c r="N247">
        <v>0</v>
      </c>
      <c r="O247">
        <f>_xlfn.XLOOKUP(VALINA[[#This Row],[id]],prov_color!A:A,prov_color!C:C)</f>
        <v>10</v>
      </c>
      <c r="P247" t="str">
        <f>_xlfn.XLOOKUP(VALINA[[#This Row],[id]],Table4[id],Table4[name])</f>
        <v>Bristol</v>
      </c>
      <c r="Q247" t="str">
        <f>_xlfn.XLOOKUP(VALINA[[#This Row],[name]],Trans!A:A,Trans!B:B)</f>
        <v>Bristol</v>
      </c>
    </row>
    <row r="248" spans="1:17" x14ac:dyDescent="0.25">
      <c r="A248">
        <v>247</v>
      </c>
      <c r="B248" t="s">
        <v>346</v>
      </c>
      <c r="C248" t="s">
        <v>347</v>
      </c>
      <c r="D248" t="s">
        <v>363</v>
      </c>
      <c r="E248" t="s">
        <v>80</v>
      </c>
      <c r="F248" t="s">
        <v>349</v>
      </c>
      <c r="G248" t="s">
        <v>35</v>
      </c>
      <c r="H248" t="s">
        <v>360</v>
      </c>
      <c r="I248" t="s">
        <v>43</v>
      </c>
      <c r="J248" t="s">
        <v>371</v>
      </c>
      <c r="K248">
        <v>0</v>
      </c>
      <c r="L248">
        <v>16</v>
      </c>
      <c r="M248">
        <v>8</v>
      </c>
      <c r="N248">
        <v>0</v>
      </c>
      <c r="O248">
        <f>_xlfn.XLOOKUP(VALINA[[#This Row],[id]],prov_color!A:A,prov_color!C:C)</f>
        <v>14</v>
      </c>
      <c r="P248" t="str">
        <f>_xlfn.XLOOKUP(VALINA[[#This Row],[id]],Table4[id],Table4[name])</f>
        <v>Anglia</v>
      </c>
      <c r="Q248" t="str">
        <f>_xlfn.XLOOKUP(VALINA[[#This Row],[name]],Trans!A:A,Trans!B:B)</f>
        <v>Anglia</v>
      </c>
    </row>
    <row r="249" spans="1:17" x14ac:dyDescent="0.25">
      <c r="A249">
        <v>248</v>
      </c>
      <c r="B249" t="s">
        <v>346</v>
      </c>
      <c r="C249" t="s">
        <v>347</v>
      </c>
      <c r="D249" t="s">
        <v>363</v>
      </c>
      <c r="E249" t="s">
        <v>34</v>
      </c>
      <c r="F249" t="s">
        <v>349</v>
      </c>
      <c r="G249" t="s">
        <v>35</v>
      </c>
      <c r="H249" t="s">
        <v>360</v>
      </c>
      <c r="I249" t="s">
        <v>43</v>
      </c>
      <c r="J249" t="s">
        <v>372</v>
      </c>
      <c r="K249">
        <v>0</v>
      </c>
      <c r="L249">
        <v>9</v>
      </c>
      <c r="M249">
        <v>4</v>
      </c>
      <c r="N249">
        <v>0</v>
      </c>
      <c r="O249">
        <f>_xlfn.XLOOKUP(VALINA[[#This Row],[id]],prov_color!A:A,prov_color!C:C)</f>
        <v>13</v>
      </c>
      <c r="P249" t="str">
        <f>_xlfn.XLOOKUP(VALINA[[#This Row],[id]],Table4[id],Table4[name])</f>
        <v>Kent</v>
      </c>
      <c r="Q249" t="str">
        <f>_xlfn.XLOOKUP(VALINA[[#This Row],[name]],Trans!A:A,Trans!B:B)</f>
        <v>Kent</v>
      </c>
    </row>
    <row r="250" spans="1:17" x14ac:dyDescent="0.25">
      <c r="A250">
        <v>249</v>
      </c>
      <c r="B250" t="s">
        <v>346</v>
      </c>
      <c r="C250" t="s">
        <v>347</v>
      </c>
      <c r="D250" t="s">
        <v>363</v>
      </c>
      <c r="E250" t="s">
        <v>22</v>
      </c>
      <c r="F250" t="s">
        <v>349</v>
      </c>
      <c r="G250" t="s">
        <v>35</v>
      </c>
      <c r="H250" t="s">
        <v>360</v>
      </c>
      <c r="I250" t="s">
        <v>43</v>
      </c>
      <c r="J250" t="s">
        <v>373</v>
      </c>
      <c r="K250">
        <v>0</v>
      </c>
      <c r="L250">
        <v>8</v>
      </c>
      <c r="M250">
        <v>3</v>
      </c>
      <c r="N250">
        <v>0</v>
      </c>
      <c r="O250">
        <f>_xlfn.XLOOKUP(VALINA[[#This Row],[id]],prov_color!A:A,prov_color!C:C)</f>
        <v>11</v>
      </c>
      <c r="P250" t="str">
        <f>_xlfn.XLOOKUP(VALINA[[#This Row],[id]],Table4[id],Table4[name])</f>
        <v>Wessex</v>
      </c>
      <c r="Q250" t="str">
        <f>_xlfn.XLOOKUP(VALINA[[#This Row],[name]],Trans!A:A,Trans!B:B)</f>
        <v>Wessex</v>
      </c>
    </row>
    <row r="251" spans="1:17" x14ac:dyDescent="0.25">
      <c r="A251">
        <v>250</v>
      </c>
      <c r="B251" t="s">
        <v>346</v>
      </c>
      <c r="C251" t="s">
        <v>347</v>
      </c>
      <c r="D251" t="s">
        <v>363</v>
      </c>
      <c r="E251" t="s">
        <v>34</v>
      </c>
      <c r="F251" t="s">
        <v>349</v>
      </c>
      <c r="G251" t="s">
        <v>35</v>
      </c>
      <c r="H251" t="s">
        <v>350</v>
      </c>
      <c r="I251" t="s">
        <v>27</v>
      </c>
      <c r="J251" t="s">
        <v>374</v>
      </c>
      <c r="K251">
        <v>0</v>
      </c>
      <c r="L251">
        <v>8</v>
      </c>
      <c r="M251">
        <v>2</v>
      </c>
      <c r="N251">
        <v>0</v>
      </c>
      <c r="O251">
        <f>_xlfn.XLOOKUP(VALINA[[#This Row],[id]],prov_color!A:A,prov_color!C:C)</f>
        <v>15</v>
      </c>
      <c r="P251" t="str">
        <f>_xlfn.XLOOKUP(VALINA[[#This Row],[id]],Table4[id],Table4[name])</f>
        <v>Cornwall</v>
      </c>
      <c r="Q251" t="str">
        <f>_xlfn.XLOOKUP(VALINA[[#This Row],[name]],Trans!A:A,Trans!B:B)</f>
        <v>Cornwall</v>
      </c>
    </row>
    <row r="252" spans="1:17" x14ac:dyDescent="0.25">
      <c r="A252">
        <v>251</v>
      </c>
      <c r="B252" t="s">
        <v>346</v>
      </c>
      <c r="C252" t="s">
        <v>375</v>
      </c>
      <c r="D252" t="s">
        <v>376</v>
      </c>
      <c r="E252" t="s">
        <v>34</v>
      </c>
      <c r="F252" t="s">
        <v>349</v>
      </c>
      <c r="G252" t="s">
        <v>35</v>
      </c>
      <c r="H252" t="s">
        <v>377</v>
      </c>
      <c r="I252" t="s">
        <v>43</v>
      </c>
      <c r="J252" t="s">
        <v>1614</v>
      </c>
      <c r="K252">
        <v>0</v>
      </c>
      <c r="L252">
        <v>15</v>
      </c>
      <c r="M252">
        <v>5</v>
      </c>
      <c r="N252">
        <v>0</v>
      </c>
      <c r="O252">
        <f>_xlfn.XLOOKUP(VALINA[[#This Row],[id]],prov_color!A:A,prov_color!C:C)</f>
        <v>16</v>
      </c>
      <c r="P252" t="str">
        <f>_xlfn.XLOOKUP(VALINA[[#This Row],[id]],Table4[id],Table4[name])</f>
        <v>Skane</v>
      </c>
      <c r="Q252" t="str">
        <f>_xlfn.XLOOKUP(VALINA[[#This Row],[name]],Trans!A:A,Trans!B:B)</f>
        <v>Sk�ne</v>
      </c>
    </row>
    <row r="253" spans="1:17" x14ac:dyDescent="0.25">
      <c r="A253">
        <v>252</v>
      </c>
      <c r="B253" t="s">
        <v>346</v>
      </c>
      <c r="C253" t="s">
        <v>375</v>
      </c>
      <c r="D253" t="s">
        <v>379</v>
      </c>
      <c r="E253" t="s">
        <v>22</v>
      </c>
      <c r="F253" t="s">
        <v>349</v>
      </c>
      <c r="G253" t="s">
        <v>26</v>
      </c>
      <c r="H253" t="s">
        <v>377</v>
      </c>
      <c r="I253" t="s">
        <v>1612</v>
      </c>
      <c r="J253" t="s">
        <v>1615</v>
      </c>
      <c r="K253">
        <v>0</v>
      </c>
      <c r="L253">
        <v>4</v>
      </c>
      <c r="M253">
        <v>2</v>
      </c>
      <c r="N253">
        <v>0</v>
      </c>
      <c r="O253">
        <f>_xlfn.XLOOKUP(VALINA[[#This Row],[id]],prov_color!A:A,prov_color!C:C)</f>
        <v>26</v>
      </c>
      <c r="P253" t="str">
        <f>_xlfn.XLOOKUP(VALINA[[#This Row],[id]],Table4[id],Table4[name])</f>
        <v>Smaland</v>
      </c>
      <c r="Q253" t="str">
        <f>_xlfn.XLOOKUP(VALINA[[#This Row],[name]],Trans!A:A,Trans!B:B)</f>
        <v>Sm�land</v>
      </c>
    </row>
    <row r="254" spans="1:17" x14ac:dyDescent="0.25">
      <c r="A254">
        <v>253</v>
      </c>
      <c r="B254" t="s">
        <v>346</v>
      </c>
      <c r="C254" t="s">
        <v>375</v>
      </c>
      <c r="D254" t="s">
        <v>379</v>
      </c>
      <c r="E254" t="s">
        <v>22</v>
      </c>
      <c r="F254" t="s">
        <v>349</v>
      </c>
      <c r="G254" t="s">
        <v>26</v>
      </c>
      <c r="H254" t="s">
        <v>377</v>
      </c>
      <c r="I254" t="s">
        <v>43</v>
      </c>
      <c r="J254" t="s">
        <v>1616</v>
      </c>
      <c r="K254">
        <v>0</v>
      </c>
      <c r="L254">
        <v>6</v>
      </c>
      <c r="M254">
        <v>2</v>
      </c>
      <c r="N254">
        <v>0</v>
      </c>
      <c r="O254">
        <f>_xlfn.XLOOKUP(VALINA[[#This Row],[id]],prov_color!A:A,prov_color!C:C)</f>
        <v>31</v>
      </c>
      <c r="P254" t="str">
        <f>_xlfn.XLOOKUP(VALINA[[#This Row],[id]],Table4[id],Table4[name])</f>
        <v>Vaster gotland</v>
      </c>
      <c r="Q254" t="str">
        <f>_xlfn.XLOOKUP(VALINA[[#This Row],[name]],Trans!A:A,Trans!B:B)</f>
        <v>V�sterg�tland</v>
      </c>
    </row>
    <row r="255" spans="1:17" x14ac:dyDescent="0.25">
      <c r="A255">
        <v>254</v>
      </c>
      <c r="B255" t="s">
        <v>346</v>
      </c>
      <c r="C255" t="s">
        <v>375</v>
      </c>
      <c r="D255" t="s">
        <v>379</v>
      </c>
      <c r="E255" t="s">
        <v>22</v>
      </c>
      <c r="F255" t="s">
        <v>349</v>
      </c>
      <c r="G255" t="s">
        <v>26</v>
      </c>
      <c r="H255" t="s">
        <v>377</v>
      </c>
      <c r="I255" t="s">
        <v>27</v>
      </c>
      <c r="J255" t="s">
        <v>382</v>
      </c>
      <c r="K255">
        <v>0</v>
      </c>
      <c r="L255">
        <v>10</v>
      </c>
      <c r="M255">
        <v>5</v>
      </c>
      <c r="N255">
        <v>0</v>
      </c>
      <c r="O255">
        <f>_xlfn.XLOOKUP(VALINA[[#This Row],[id]],prov_color!A:A,prov_color!C:C)</f>
        <v>34</v>
      </c>
      <c r="P255" t="str">
        <f>_xlfn.XLOOKUP(VALINA[[#This Row],[id]],Table4[id],Table4[name])</f>
        <v>Svealand</v>
      </c>
      <c r="Q255" t="str">
        <f>_xlfn.XLOOKUP(VALINA[[#This Row],[name]],Trans!A:A,Trans!B:B)</f>
        <v>Svealand</v>
      </c>
    </row>
    <row r="256" spans="1:17" x14ac:dyDescent="0.25">
      <c r="A256">
        <v>255</v>
      </c>
      <c r="B256" t="s">
        <v>346</v>
      </c>
      <c r="C256" t="s">
        <v>375</v>
      </c>
      <c r="D256" t="s">
        <v>383</v>
      </c>
      <c r="E256" t="s">
        <v>14</v>
      </c>
      <c r="F256" t="s">
        <v>349</v>
      </c>
      <c r="G256" t="s">
        <v>26</v>
      </c>
      <c r="H256" t="s">
        <v>377</v>
      </c>
      <c r="I256" t="s">
        <v>1612</v>
      </c>
      <c r="J256" t="s">
        <v>1617</v>
      </c>
      <c r="K256">
        <v>0</v>
      </c>
      <c r="L256">
        <v>7</v>
      </c>
      <c r="M256">
        <v>2</v>
      </c>
      <c r="N256">
        <v>0</v>
      </c>
      <c r="O256">
        <f>_xlfn.XLOOKUP(VALINA[[#This Row],[id]],prov_color!A:A,prov_color!C:C)</f>
        <v>40</v>
      </c>
      <c r="P256" t="str">
        <f>_xlfn.XLOOKUP(VALINA[[#This Row],[id]],Table4[id],Table4[name])</f>
        <v>Ostlandet</v>
      </c>
      <c r="Q256" t="str">
        <f>_xlfn.XLOOKUP(VALINA[[#This Row],[name]],Trans!A:A,Trans!B:B)</f>
        <v>�stlandet</v>
      </c>
    </row>
    <row r="257" spans="1:17" x14ac:dyDescent="0.25">
      <c r="A257">
        <v>256</v>
      </c>
      <c r="B257" t="s">
        <v>346</v>
      </c>
      <c r="C257" t="s">
        <v>375</v>
      </c>
      <c r="D257" t="s">
        <v>383</v>
      </c>
      <c r="E257" t="s">
        <v>14</v>
      </c>
      <c r="F257" t="s">
        <v>349</v>
      </c>
      <c r="G257" t="s">
        <v>122</v>
      </c>
      <c r="H257" t="s">
        <v>377</v>
      </c>
      <c r="I257" t="s">
        <v>27</v>
      </c>
      <c r="J257" t="s">
        <v>385</v>
      </c>
      <c r="K257">
        <v>0</v>
      </c>
      <c r="L257">
        <v>6</v>
      </c>
      <c r="M257">
        <v>2</v>
      </c>
      <c r="N257">
        <v>0</v>
      </c>
      <c r="O257">
        <f>_xlfn.XLOOKUP(VALINA[[#This Row],[id]],prov_color!A:A,prov_color!C:C)</f>
        <v>43</v>
      </c>
      <c r="P257" t="str">
        <f>_xlfn.XLOOKUP(VALINA[[#This Row],[id]],Table4[id],Table4[name])</f>
        <v>Bergenshus</v>
      </c>
      <c r="Q257" t="str">
        <f>_xlfn.XLOOKUP(VALINA[[#This Row],[name]],Trans!A:A,Trans!B:B)</f>
        <v>Bergenshus</v>
      </c>
    </row>
    <row r="258" spans="1:17" x14ac:dyDescent="0.25">
      <c r="A258">
        <v>257</v>
      </c>
      <c r="B258" t="s">
        <v>346</v>
      </c>
      <c r="C258" t="s">
        <v>375</v>
      </c>
      <c r="D258" t="s">
        <v>379</v>
      </c>
      <c r="E258" t="s">
        <v>22</v>
      </c>
      <c r="F258" t="s">
        <v>349</v>
      </c>
      <c r="G258" t="s">
        <v>122</v>
      </c>
      <c r="H258" t="s">
        <v>377</v>
      </c>
      <c r="I258" t="s">
        <v>212</v>
      </c>
      <c r="J258" t="s">
        <v>386</v>
      </c>
      <c r="K258">
        <v>0</v>
      </c>
      <c r="L258">
        <v>8</v>
      </c>
      <c r="M258">
        <v>2</v>
      </c>
      <c r="N258">
        <v>0</v>
      </c>
      <c r="O258">
        <f>_xlfn.XLOOKUP(VALINA[[#This Row],[id]],prov_color!A:A,prov_color!C:C)</f>
        <v>36</v>
      </c>
      <c r="P258" t="str">
        <f>_xlfn.XLOOKUP(VALINA[[#This Row],[id]],Table4[id],Table4[name])</f>
        <v>Bergslagen</v>
      </c>
      <c r="Q258" t="str">
        <f>_xlfn.XLOOKUP(VALINA[[#This Row],[name]],Trans!A:A,Trans!B:B)</f>
        <v>Bergslagen</v>
      </c>
    </row>
    <row r="259" spans="1:17" x14ac:dyDescent="0.25">
      <c r="A259">
        <v>258</v>
      </c>
      <c r="B259" t="s">
        <v>346</v>
      </c>
      <c r="C259" t="s">
        <v>375</v>
      </c>
      <c r="D259" t="s">
        <v>383</v>
      </c>
      <c r="E259" t="s">
        <v>14</v>
      </c>
      <c r="F259" t="s">
        <v>349</v>
      </c>
      <c r="G259" t="s">
        <v>122</v>
      </c>
      <c r="H259" t="s">
        <v>377</v>
      </c>
      <c r="I259" t="s">
        <v>27</v>
      </c>
      <c r="J259" t="s">
        <v>1618</v>
      </c>
      <c r="K259">
        <v>0</v>
      </c>
      <c r="L259">
        <v>5</v>
      </c>
      <c r="M259">
        <v>2</v>
      </c>
      <c r="N259">
        <v>0</v>
      </c>
      <c r="O259">
        <f>_xlfn.XLOOKUP(VALINA[[#This Row],[id]],prov_color!A:A,prov_color!C:C)</f>
        <v>37</v>
      </c>
      <c r="P259" t="str">
        <f>_xlfn.XLOOKUP(VALINA[[#This Row],[id]],Table4[id],Table4[name])</f>
        <v>Trondelag</v>
      </c>
      <c r="Q259" t="str">
        <f>_xlfn.XLOOKUP(VALINA[[#This Row],[name]],Trans!A:A,Trans!B:B)</f>
        <v>Tr�ndelag</v>
      </c>
    </row>
    <row r="260" spans="1:17" x14ac:dyDescent="0.25">
      <c r="A260">
        <v>259</v>
      </c>
      <c r="B260" t="s">
        <v>346</v>
      </c>
      <c r="C260" t="s">
        <v>375</v>
      </c>
      <c r="D260" t="s">
        <v>383</v>
      </c>
      <c r="E260" t="s">
        <v>14</v>
      </c>
      <c r="F260" t="s">
        <v>349</v>
      </c>
      <c r="G260" t="s">
        <v>122</v>
      </c>
      <c r="H260" t="s">
        <v>388</v>
      </c>
      <c r="I260" t="s">
        <v>27</v>
      </c>
      <c r="J260" t="s">
        <v>389</v>
      </c>
      <c r="K260">
        <v>0</v>
      </c>
      <c r="L260">
        <v>2</v>
      </c>
      <c r="M260">
        <v>1</v>
      </c>
      <c r="N260">
        <v>0</v>
      </c>
      <c r="O260">
        <f>_xlfn.XLOOKUP(VALINA[[#This Row],[id]],prov_color!A:A,prov_color!C:C)</f>
        <v>29</v>
      </c>
      <c r="P260" t="str">
        <f>_xlfn.XLOOKUP(VALINA[[#This Row],[id]],Table4[id],Table4[name])</f>
        <v>Narvik</v>
      </c>
      <c r="Q260" t="str">
        <f>_xlfn.XLOOKUP(VALINA[[#This Row],[name]],Trans!A:A,Trans!B:B)</f>
        <v>Narvik</v>
      </c>
    </row>
    <row r="261" spans="1:17" x14ac:dyDescent="0.25">
      <c r="A261">
        <v>260</v>
      </c>
      <c r="B261" t="s">
        <v>346</v>
      </c>
      <c r="C261" t="s">
        <v>375</v>
      </c>
      <c r="D261" t="s">
        <v>379</v>
      </c>
      <c r="E261" t="s">
        <v>80</v>
      </c>
      <c r="F261" t="s">
        <v>349</v>
      </c>
      <c r="G261" t="s">
        <v>122</v>
      </c>
      <c r="H261" t="s">
        <v>388</v>
      </c>
      <c r="I261" t="s">
        <v>141</v>
      </c>
      <c r="J261" t="s">
        <v>390</v>
      </c>
      <c r="K261">
        <v>0</v>
      </c>
      <c r="L261">
        <v>1</v>
      </c>
      <c r="M261">
        <v>1</v>
      </c>
      <c r="N261">
        <v>0</v>
      </c>
      <c r="O261">
        <f>_xlfn.XLOOKUP(VALINA[[#This Row],[id]],prov_color!A:A,prov_color!C:C)</f>
        <v>41</v>
      </c>
      <c r="P261" t="str">
        <f>_xlfn.XLOOKUP(VALINA[[#This Row],[id]],Table4[id],Table4[name])</f>
        <v>Lappland</v>
      </c>
      <c r="Q261" t="str">
        <f>_xlfn.XLOOKUP(VALINA[[#This Row],[name]],Trans!A:A,Trans!B:B)</f>
        <v>Lappland</v>
      </c>
    </row>
    <row r="262" spans="1:17" x14ac:dyDescent="0.25">
      <c r="A262">
        <v>261</v>
      </c>
      <c r="B262" t="s">
        <v>346</v>
      </c>
      <c r="C262" t="s">
        <v>375</v>
      </c>
      <c r="D262" t="s">
        <v>383</v>
      </c>
      <c r="E262" t="s">
        <v>14</v>
      </c>
      <c r="F262" t="s">
        <v>349</v>
      </c>
      <c r="G262" t="s">
        <v>122</v>
      </c>
      <c r="H262" t="s">
        <v>388</v>
      </c>
      <c r="I262" t="s">
        <v>27</v>
      </c>
      <c r="J262" t="s">
        <v>391</v>
      </c>
      <c r="K262">
        <v>0</v>
      </c>
      <c r="L262">
        <v>1</v>
      </c>
      <c r="M262">
        <v>1</v>
      </c>
      <c r="N262">
        <v>0</v>
      </c>
      <c r="O262">
        <f>_xlfn.XLOOKUP(VALINA[[#This Row],[id]],prov_color!A:A,prov_color!C:C)</f>
        <v>41</v>
      </c>
      <c r="P262" t="str">
        <f>_xlfn.XLOOKUP(VALINA[[#This Row],[id]],Table4[id],Table4[name])</f>
        <v>Finnmark</v>
      </c>
      <c r="Q262" t="str">
        <f>_xlfn.XLOOKUP(VALINA[[#This Row],[name]],Trans!A:A,Trans!B:B)</f>
        <v>Finnmark</v>
      </c>
    </row>
    <row r="263" spans="1:17" x14ac:dyDescent="0.25">
      <c r="A263">
        <v>262</v>
      </c>
      <c r="B263" t="s">
        <v>346</v>
      </c>
      <c r="C263" t="s">
        <v>392</v>
      </c>
      <c r="D263" t="s">
        <v>393</v>
      </c>
      <c r="E263" t="s">
        <v>14</v>
      </c>
      <c r="F263" t="s">
        <v>394</v>
      </c>
      <c r="G263" t="s">
        <v>122</v>
      </c>
      <c r="H263" t="s">
        <v>388</v>
      </c>
      <c r="I263" t="s">
        <v>20</v>
      </c>
      <c r="J263" t="s">
        <v>395</v>
      </c>
      <c r="K263">
        <v>0</v>
      </c>
      <c r="L263">
        <v>4</v>
      </c>
      <c r="M263">
        <v>1</v>
      </c>
      <c r="N263">
        <v>0</v>
      </c>
      <c r="O263">
        <f>_xlfn.XLOOKUP(VALINA[[#This Row],[id]],prov_color!A:A,prov_color!C:C)</f>
        <v>82</v>
      </c>
      <c r="P263" t="str">
        <f>_xlfn.XLOOKUP(VALINA[[#This Row],[id]],Table4[id],Table4[name])</f>
        <v>Kola</v>
      </c>
      <c r="Q263" t="str">
        <f>_xlfn.XLOOKUP(VALINA[[#This Row],[name]],Trans!A:A,Trans!B:B)</f>
        <v>Kola</v>
      </c>
    </row>
    <row r="264" spans="1:17" x14ac:dyDescent="0.25">
      <c r="A264">
        <v>263</v>
      </c>
      <c r="B264" t="s">
        <v>346</v>
      </c>
      <c r="C264" t="s">
        <v>375</v>
      </c>
      <c r="D264" t="s">
        <v>396</v>
      </c>
      <c r="E264" t="s">
        <v>22</v>
      </c>
      <c r="F264" t="s">
        <v>349</v>
      </c>
      <c r="G264" t="s">
        <v>122</v>
      </c>
      <c r="H264" t="s">
        <v>388</v>
      </c>
      <c r="I264" t="s">
        <v>20</v>
      </c>
      <c r="J264" t="s">
        <v>1619</v>
      </c>
      <c r="K264">
        <v>0</v>
      </c>
      <c r="L264">
        <v>1</v>
      </c>
      <c r="M264">
        <v>1</v>
      </c>
      <c r="N264">
        <v>0</v>
      </c>
      <c r="O264">
        <f>_xlfn.XLOOKUP(VALINA[[#This Row],[id]],prov_color!A:A,prov_color!C:C)</f>
        <v>50</v>
      </c>
      <c r="P264" t="str">
        <f>_xlfn.XLOOKUP(VALINA[[#This Row],[id]],Table4[id],Table4[name])</f>
        <v>Osterbotten</v>
      </c>
      <c r="Q264" t="str">
        <f>_xlfn.XLOOKUP(VALINA[[#This Row],[name]],Trans!A:A,Trans!B:B)</f>
        <v>�sterbotten</v>
      </c>
    </row>
    <row r="265" spans="1:17" x14ac:dyDescent="0.25">
      <c r="A265">
        <v>264</v>
      </c>
      <c r="B265" t="s">
        <v>346</v>
      </c>
      <c r="C265" t="s">
        <v>375</v>
      </c>
      <c r="D265" t="s">
        <v>396</v>
      </c>
      <c r="E265" t="s">
        <v>22</v>
      </c>
      <c r="F265" t="s">
        <v>349</v>
      </c>
      <c r="G265" t="s">
        <v>122</v>
      </c>
      <c r="H265" t="s">
        <v>388</v>
      </c>
      <c r="I265" t="s">
        <v>1612</v>
      </c>
      <c r="J265" t="s">
        <v>398</v>
      </c>
      <c r="K265">
        <v>0</v>
      </c>
      <c r="L265">
        <v>1</v>
      </c>
      <c r="M265">
        <v>1</v>
      </c>
      <c r="N265">
        <v>0</v>
      </c>
      <c r="O265">
        <f>_xlfn.XLOOKUP(VALINA[[#This Row],[id]],prov_color!A:A,prov_color!C:C)</f>
        <v>30</v>
      </c>
      <c r="P265" t="str">
        <f>_xlfn.XLOOKUP(VALINA[[#This Row],[id]],Table4[id],Table4[name])</f>
        <v>Tavastland</v>
      </c>
      <c r="Q265" t="str">
        <f>_xlfn.XLOOKUP(VALINA[[#This Row],[name]],Trans!A:A,Trans!B:B)</f>
        <v>Tavastland</v>
      </c>
    </row>
    <row r="266" spans="1:17" x14ac:dyDescent="0.25">
      <c r="A266">
        <v>265</v>
      </c>
      <c r="B266" t="s">
        <v>346</v>
      </c>
      <c r="C266" t="s">
        <v>375</v>
      </c>
      <c r="D266" t="s">
        <v>396</v>
      </c>
      <c r="E266" t="s">
        <v>22</v>
      </c>
      <c r="F266" t="s">
        <v>349</v>
      </c>
      <c r="G266" t="s">
        <v>122</v>
      </c>
      <c r="H266" t="s">
        <v>388</v>
      </c>
      <c r="I266" t="s">
        <v>1612</v>
      </c>
      <c r="J266" t="s">
        <v>399</v>
      </c>
      <c r="K266">
        <v>0</v>
      </c>
      <c r="L266">
        <v>4</v>
      </c>
      <c r="M266">
        <v>2</v>
      </c>
      <c r="N266">
        <v>0</v>
      </c>
      <c r="O266">
        <f>_xlfn.XLOOKUP(VALINA[[#This Row],[id]],prov_color!A:A,prov_color!C:C)</f>
        <v>25</v>
      </c>
      <c r="P266" t="str">
        <f>_xlfn.XLOOKUP(VALINA[[#This Row],[id]],Table4[id],Table4[name])</f>
        <v>Nyland</v>
      </c>
      <c r="Q266" t="str">
        <f>_xlfn.XLOOKUP(VALINA[[#This Row],[name]],Trans!A:A,Trans!B:B)</f>
        <v>Nyland</v>
      </c>
    </row>
    <row r="267" spans="1:17" x14ac:dyDescent="0.25">
      <c r="A267">
        <v>266</v>
      </c>
      <c r="B267" t="s">
        <v>346</v>
      </c>
      <c r="C267" t="s">
        <v>392</v>
      </c>
      <c r="D267" t="s">
        <v>393</v>
      </c>
      <c r="E267" t="s">
        <v>80</v>
      </c>
      <c r="F267" t="s">
        <v>394</v>
      </c>
      <c r="G267" t="s">
        <v>122</v>
      </c>
      <c r="H267" t="s">
        <v>388</v>
      </c>
      <c r="I267" t="s">
        <v>1612</v>
      </c>
      <c r="J267" t="s">
        <v>400</v>
      </c>
      <c r="K267">
        <v>0</v>
      </c>
      <c r="L267">
        <v>5</v>
      </c>
      <c r="M267">
        <v>2</v>
      </c>
      <c r="N267">
        <v>0</v>
      </c>
      <c r="O267">
        <f>_xlfn.XLOOKUP(VALINA[[#This Row],[id]],prov_color!A:A,prov_color!C:C)</f>
        <v>36</v>
      </c>
      <c r="P267" t="str">
        <f>_xlfn.XLOOKUP(VALINA[[#This Row],[id]],Table4[id],Table4[name])</f>
        <v>Kexholm</v>
      </c>
      <c r="Q267" t="str">
        <f>_xlfn.XLOOKUP(VALINA[[#This Row],[name]],Trans!A:A,Trans!B:B)</f>
        <v>Kexholm</v>
      </c>
    </row>
    <row r="268" spans="1:17" x14ac:dyDescent="0.25">
      <c r="A268">
        <v>267</v>
      </c>
      <c r="B268" t="s">
        <v>346</v>
      </c>
      <c r="C268" t="s">
        <v>392</v>
      </c>
      <c r="D268" t="s">
        <v>393</v>
      </c>
      <c r="E268" t="s">
        <v>22</v>
      </c>
      <c r="F268" t="s">
        <v>394</v>
      </c>
      <c r="G268" t="s">
        <v>122</v>
      </c>
      <c r="H268" t="s">
        <v>388</v>
      </c>
      <c r="I268" t="s">
        <v>20</v>
      </c>
      <c r="J268" t="s">
        <v>401</v>
      </c>
      <c r="K268">
        <v>0</v>
      </c>
      <c r="L268">
        <v>5</v>
      </c>
      <c r="M268">
        <v>4</v>
      </c>
      <c r="N268">
        <v>0</v>
      </c>
      <c r="O268">
        <f>_xlfn.XLOOKUP(VALINA[[#This Row],[id]],prov_color!A:A,prov_color!C:C)</f>
        <v>65</v>
      </c>
      <c r="P268" t="str">
        <f>_xlfn.XLOOKUP(VALINA[[#This Row],[id]],Table4[id],Table4[name])</f>
        <v>Olonets</v>
      </c>
      <c r="Q268" t="str">
        <f>_xlfn.XLOOKUP(VALINA[[#This Row],[name]],Trans!A:A,Trans!B:B)</f>
        <v>Olonets</v>
      </c>
    </row>
    <row r="269" spans="1:17" x14ac:dyDescent="0.25">
      <c r="A269">
        <v>268</v>
      </c>
      <c r="B269" t="s">
        <v>346</v>
      </c>
      <c r="C269" t="s">
        <v>392</v>
      </c>
      <c r="D269" t="s">
        <v>402</v>
      </c>
      <c r="E269" t="s">
        <v>22</v>
      </c>
      <c r="F269" t="s">
        <v>394</v>
      </c>
      <c r="G269" t="s">
        <v>122</v>
      </c>
      <c r="H269" t="s">
        <v>403</v>
      </c>
      <c r="I269" t="s">
        <v>1612</v>
      </c>
      <c r="J269" t="s">
        <v>404</v>
      </c>
      <c r="K269">
        <v>0</v>
      </c>
      <c r="L269">
        <v>6</v>
      </c>
      <c r="M269">
        <v>4</v>
      </c>
      <c r="N269">
        <v>0</v>
      </c>
      <c r="O269">
        <f>_xlfn.XLOOKUP(VALINA[[#This Row],[id]],prov_color!A:A,prov_color!C:C)</f>
        <v>77</v>
      </c>
      <c r="P269" t="str">
        <f>_xlfn.XLOOKUP(VALINA[[#This Row],[id]],Table4[id],Table4[name])</f>
        <v>Vologda</v>
      </c>
      <c r="Q269" t="str">
        <f>_xlfn.XLOOKUP(VALINA[[#This Row],[name]],Trans!A:A,Trans!B:B)</f>
        <v>Vologda</v>
      </c>
    </row>
    <row r="270" spans="1:17" x14ac:dyDescent="0.25">
      <c r="A270">
        <v>269</v>
      </c>
      <c r="B270" t="s">
        <v>346</v>
      </c>
      <c r="C270" t="s">
        <v>392</v>
      </c>
      <c r="D270" t="s">
        <v>393</v>
      </c>
      <c r="E270" t="s">
        <v>22</v>
      </c>
      <c r="F270" t="s">
        <v>394</v>
      </c>
      <c r="G270" t="s">
        <v>122</v>
      </c>
      <c r="H270" t="s">
        <v>388</v>
      </c>
      <c r="I270" t="s">
        <v>20</v>
      </c>
      <c r="J270" t="s">
        <v>405</v>
      </c>
      <c r="K270">
        <v>0</v>
      </c>
      <c r="L270">
        <v>9</v>
      </c>
      <c r="M270">
        <v>2</v>
      </c>
      <c r="N270">
        <v>0</v>
      </c>
      <c r="O270">
        <f>_xlfn.XLOOKUP(VALINA[[#This Row],[id]],prov_color!A:A,prov_color!C:C)</f>
        <v>102</v>
      </c>
      <c r="P270" t="str">
        <f>_xlfn.XLOOKUP(VALINA[[#This Row],[id]],Table4[id],Table4[name])</f>
        <v>Arkhangelsk</v>
      </c>
      <c r="Q270" t="str">
        <f>_xlfn.XLOOKUP(VALINA[[#This Row],[name]],Trans!A:A,Trans!B:B)</f>
        <v>Arkhangelsk</v>
      </c>
    </row>
    <row r="271" spans="1:17" x14ac:dyDescent="0.25">
      <c r="A271">
        <v>270</v>
      </c>
      <c r="B271" t="s">
        <v>346</v>
      </c>
      <c r="C271" t="s">
        <v>392</v>
      </c>
      <c r="D271" t="s">
        <v>402</v>
      </c>
      <c r="E271" t="s">
        <v>22</v>
      </c>
      <c r="F271" t="s">
        <v>394</v>
      </c>
      <c r="G271" t="s">
        <v>122</v>
      </c>
      <c r="H271" t="s">
        <v>403</v>
      </c>
      <c r="I271" t="s">
        <v>43</v>
      </c>
      <c r="J271" t="s">
        <v>406</v>
      </c>
      <c r="K271">
        <v>0</v>
      </c>
      <c r="L271">
        <v>13</v>
      </c>
      <c r="M271">
        <v>12</v>
      </c>
      <c r="N271">
        <v>0</v>
      </c>
      <c r="O271">
        <f>_xlfn.XLOOKUP(VALINA[[#This Row],[id]],prov_color!A:A,prov_color!C:C)</f>
        <v>47</v>
      </c>
      <c r="P271" t="str">
        <f>_xlfn.XLOOKUP(VALINA[[#This Row],[id]],Table4[id],Table4[name])</f>
        <v>Moscow</v>
      </c>
      <c r="Q271" t="str">
        <f>_xlfn.XLOOKUP(VALINA[[#This Row],[name]],Trans!A:A,Trans!B:B)</f>
        <v>Moskva</v>
      </c>
    </row>
    <row r="272" spans="1:17" x14ac:dyDescent="0.25">
      <c r="A272">
        <v>271</v>
      </c>
      <c r="B272" t="s">
        <v>346</v>
      </c>
      <c r="C272" t="s">
        <v>392</v>
      </c>
      <c r="D272" t="s">
        <v>402</v>
      </c>
      <c r="E272" t="s">
        <v>22</v>
      </c>
      <c r="F272" t="s">
        <v>394</v>
      </c>
      <c r="G272" t="s">
        <v>122</v>
      </c>
      <c r="H272" t="s">
        <v>403</v>
      </c>
      <c r="I272" t="s">
        <v>212</v>
      </c>
      <c r="J272" t="s">
        <v>407</v>
      </c>
      <c r="K272">
        <v>0</v>
      </c>
      <c r="L272">
        <v>8</v>
      </c>
      <c r="M272">
        <v>8</v>
      </c>
      <c r="N272">
        <v>0</v>
      </c>
      <c r="O272">
        <f>_xlfn.XLOOKUP(VALINA[[#This Row],[id]],prov_color!A:A,prov_color!C:C)</f>
        <v>104</v>
      </c>
      <c r="P272" t="str">
        <f>_xlfn.XLOOKUP(VALINA[[#This Row],[id]],Table4[id],Table4[name])</f>
        <v>Vladimir</v>
      </c>
      <c r="Q272" t="str">
        <f>_xlfn.XLOOKUP(VALINA[[#This Row],[name]],Trans!A:A,Trans!B:B)</f>
        <v>Vladimir</v>
      </c>
    </row>
    <row r="273" spans="1:17" x14ac:dyDescent="0.25">
      <c r="A273">
        <v>272</v>
      </c>
      <c r="B273" t="s">
        <v>346</v>
      </c>
      <c r="C273" t="s">
        <v>392</v>
      </c>
      <c r="D273" t="s">
        <v>402</v>
      </c>
      <c r="E273" t="s">
        <v>22</v>
      </c>
      <c r="F273" t="s">
        <v>394</v>
      </c>
      <c r="G273" t="s">
        <v>122</v>
      </c>
      <c r="H273" t="s">
        <v>403</v>
      </c>
      <c r="I273" t="s">
        <v>43</v>
      </c>
      <c r="J273" t="s">
        <v>408</v>
      </c>
      <c r="K273">
        <v>0</v>
      </c>
      <c r="L273">
        <v>6</v>
      </c>
      <c r="M273">
        <v>6</v>
      </c>
      <c r="N273">
        <v>0</v>
      </c>
      <c r="O273">
        <f>_xlfn.XLOOKUP(VALINA[[#This Row],[id]],prov_color!A:A,prov_color!C:C)</f>
        <v>48</v>
      </c>
      <c r="P273" t="str">
        <f>_xlfn.XLOOKUP(VALINA[[#This Row],[id]],Table4[id],Table4[name])</f>
        <v>Nizhgorod</v>
      </c>
      <c r="Q273" t="str">
        <f>_xlfn.XLOOKUP(VALINA[[#This Row],[name]],Trans!A:A,Trans!B:B)</f>
        <v>Nizhgorod</v>
      </c>
    </row>
    <row r="274" spans="1:17" x14ac:dyDescent="0.25">
      <c r="A274">
        <v>273</v>
      </c>
      <c r="B274" t="s">
        <v>346</v>
      </c>
      <c r="C274" t="s">
        <v>375</v>
      </c>
      <c r="D274" t="s">
        <v>396</v>
      </c>
      <c r="E274" t="s">
        <v>22</v>
      </c>
      <c r="F274" t="s">
        <v>394</v>
      </c>
      <c r="G274" t="s">
        <v>122</v>
      </c>
      <c r="H274" t="s">
        <v>388</v>
      </c>
      <c r="I274" t="s">
        <v>141</v>
      </c>
      <c r="J274" t="s">
        <v>409</v>
      </c>
      <c r="K274">
        <v>0</v>
      </c>
      <c r="L274">
        <v>2</v>
      </c>
      <c r="M274">
        <v>1</v>
      </c>
      <c r="N274">
        <v>0</v>
      </c>
      <c r="O274">
        <f>_xlfn.XLOOKUP(VALINA[[#This Row],[id]],prov_color!A:A,prov_color!C:C)</f>
        <v>33</v>
      </c>
      <c r="P274" t="str">
        <f>_xlfn.XLOOKUP(VALINA[[#This Row],[id]],Table4[id],Table4[name])</f>
        <v>Savolaks</v>
      </c>
      <c r="Q274" t="str">
        <f>_xlfn.XLOOKUP(VALINA[[#This Row],[name]],Trans!A:A,Trans!B:B)</f>
        <v>Savolaks</v>
      </c>
    </row>
    <row r="275" spans="1:17" x14ac:dyDescent="0.25">
      <c r="A275">
        <v>274</v>
      </c>
      <c r="B275" t="s">
        <v>346</v>
      </c>
      <c r="C275" t="s">
        <v>392</v>
      </c>
      <c r="D275" t="s">
        <v>402</v>
      </c>
      <c r="E275" t="s">
        <v>22</v>
      </c>
      <c r="F275" t="s">
        <v>394</v>
      </c>
      <c r="G275" t="s">
        <v>122</v>
      </c>
      <c r="H275" t="s">
        <v>403</v>
      </c>
      <c r="I275" t="s">
        <v>20</v>
      </c>
      <c r="J275" t="s">
        <v>410</v>
      </c>
      <c r="K275">
        <v>0</v>
      </c>
      <c r="L275">
        <v>14</v>
      </c>
      <c r="M275">
        <v>8</v>
      </c>
      <c r="N275">
        <v>0</v>
      </c>
      <c r="O275">
        <f>_xlfn.XLOOKUP(VALINA[[#This Row],[id]],prov_color!A:A,prov_color!C:C)</f>
        <v>42</v>
      </c>
      <c r="P275" t="str">
        <f>_xlfn.XLOOKUP(VALINA[[#This Row],[id]],Table4[id],Table4[name])</f>
        <v>Novgorod</v>
      </c>
      <c r="Q275" t="str">
        <f>_xlfn.XLOOKUP(VALINA[[#This Row],[name]],Trans!A:A,Trans!B:B)</f>
        <v>Novgorod</v>
      </c>
    </row>
    <row r="276" spans="1:17" x14ac:dyDescent="0.25">
      <c r="A276">
        <v>275</v>
      </c>
      <c r="B276" t="s">
        <v>346</v>
      </c>
      <c r="C276" t="s">
        <v>392</v>
      </c>
      <c r="D276" t="s">
        <v>411</v>
      </c>
      <c r="E276" t="s">
        <v>80</v>
      </c>
      <c r="F276" t="s">
        <v>394</v>
      </c>
      <c r="G276" t="s">
        <v>122</v>
      </c>
      <c r="H276" t="s">
        <v>388</v>
      </c>
      <c r="I276" t="s">
        <v>141</v>
      </c>
      <c r="J276" t="s">
        <v>412</v>
      </c>
      <c r="K276">
        <v>0</v>
      </c>
      <c r="L276">
        <v>7</v>
      </c>
      <c r="M276">
        <v>3</v>
      </c>
      <c r="N276">
        <v>0</v>
      </c>
      <c r="O276">
        <f>_xlfn.XLOOKUP(VALINA[[#This Row],[id]],prov_color!A:A,prov_color!C:C)</f>
        <v>17</v>
      </c>
      <c r="P276" t="str">
        <f>_xlfn.XLOOKUP(VALINA[[#This Row],[id]],Table4[id],Table4[name])</f>
        <v>Ingermanland</v>
      </c>
      <c r="Q276" t="str">
        <f>_xlfn.XLOOKUP(VALINA[[#This Row],[name]],Trans!A:A,Trans!B:B)</f>
        <v>Ingermanland</v>
      </c>
    </row>
    <row r="277" spans="1:17" x14ac:dyDescent="0.25">
      <c r="A277">
        <v>276</v>
      </c>
      <c r="B277" t="s">
        <v>346</v>
      </c>
      <c r="C277" t="s">
        <v>392</v>
      </c>
      <c r="D277" t="s">
        <v>411</v>
      </c>
      <c r="E277" t="s">
        <v>22</v>
      </c>
      <c r="F277" t="s">
        <v>349</v>
      </c>
      <c r="G277" t="s">
        <v>122</v>
      </c>
      <c r="H277" t="s">
        <v>388</v>
      </c>
      <c r="I277" t="s">
        <v>43</v>
      </c>
      <c r="J277" t="s">
        <v>413</v>
      </c>
      <c r="K277">
        <v>0</v>
      </c>
      <c r="L277">
        <v>6</v>
      </c>
      <c r="M277">
        <v>3</v>
      </c>
      <c r="N277">
        <v>0</v>
      </c>
      <c r="O277">
        <f>_xlfn.XLOOKUP(VALINA[[#This Row],[id]],prov_color!A:A,prov_color!C:C)</f>
        <v>19</v>
      </c>
      <c r="P277" t="str">
        <f>_xlfn.XLOOKUP(VALINA[[#This Row],[id]],Table4[id],Table4[name])</f>
        <v>Estland</v>
      </c>
      <c r="Q277" t="str">
        <f>_xlfn.XLOOKUP(VALINA[[#This Row],[name]],Trans!A:A,Trans!B:B)</f>
        <v>Estland</v>
      </c>
    </row>
    <row r="278" spans="1:17" x14ac:dyDescent="0.25">
      <c r="A278">
        <v>277</v>
      </c>
      <c r="B278" t="s">
        <v>346</v>
      </c>
      <c r="C278" t="s">
        <v>392</v>
      </c>
      <c r="D278" t="s">
        <v>402</v>
      </c>
      <c r="E278" t="s">
        <v>22</v>
      </c>
      <c r="F278" t="s">
        <v>394</v>
      </c>
      <c r="G278" t="s">
        <v>122</v>
      </c>
      <c r="H278" t="s">
        <v>403</v>
      </c>
      <c r="I278" t="s">
        <v>43</v>
      </c>
      <c r="J278" t="s">
        <v>414</v>
      </c>
      <c r="K278">
        <v>0</v>
      </c>
      <c r="L278">
        <v>5</v>
      </c>
      <c r="M278">
        <v>5</v>
      </c>
      <c r="N278">
        <v>0</v>
      </c>
      <c r="O278">
        <f>_xlfn.XLOOKUP(VALINA[[#This Row],[id]],prov_color!A:A,prov_color!C:C)</f>
        <v>20</v>
      </c>
      <c r="P278" t="str">
        <f>_xlfn.XLOOKUP(VALINA[[#This Row],[id]],Table4[id],Table4[name])</f>
        <v>Pskov</v>
      </c>
      <c r="Q278" t="str">
        <f>_xlfn.XLOOKUP(VALINA[[#This Row],[name]],Trans!A:A,Trans!B:B)</f>
        <v>Pskov</v>
      </c>
    </row>
    <row r="279" spans="1:17" x14ac:dyDescent="0.25">
      <c r="A279">
        <v>278</v>
      </c>
      <c r="B279" t="s">
        <v>346</v>
      </c>
      <c r="C279" t="s">
        <v>392</v>
      </c>
      <c r="D279" t="s">
        <v>402</v>
      </c>
      <c r="E279" t="s">
        <v>22</v>
      </c>
      <c r="F279" t="s">
        <v>394</v>
      </c>
      <c r="G279" t="s">
        <v>122</v>
      </c>
      <c r="H279" t="s">
        <v>403</v>
      </c>
      <c r="I279" t="s">
        <v>43</v>
      </c>
      <c r="J279" t="s">
        <v>415</v>
      </c>
      <c r="K279">
        <v>0</v>
      </c>
      <c r="L279">
        <v>5</v>
      </c>
      <c r="M279">
        <v>5</v>
      </c>
      <c r="N279">
        <v>0</v>
      </c>
      <c r="O279">
        <f>_xlfn.XLOOKUP(VALINA[[#This Row],[id]],prov_color!A:A,prov_color!C:C)</f>
        <v>28</v>
      </c>
      <c r="P279" t="str">
        <f>_xlfn.XLOOKUP(VALINA[[#This Row],[id]],Table4[id],Table4[name])</f>
        <v>Tver</v>
      </c>
      <c r="Q279" t="str">
        <f>_xlfn.XLOOKUP(VALINA[[#This Row],[name]],Trans!A:A,Trans!B:B)</f>
        <v>Tver</v>
      </c>
    </row>
    <row r="280" spans="1:17" x14ac:dyDescent="0.25">
      <c r="A280">
        <v>279</v>
      </c>
      <c r="B280" t="s">
        <v>346</v>
      </c>
      <c r="C280" t="s">
        <v>392</v>
      </c>
      <c r="D280" t="s">
        <v>402</v>
      </c>
      <c r="E280" t="s">
        <v>22</v>
      </c>
      <c r="F280" t="s">
        <v>394</v>
      </c>
      <c r="G280" t="s">
        <v>122</v>
      </c>
      <c r="H280" t="s">
        <v>403</v>
      </c>
      <c r="I280" t="s">
        <v>43</v>
      </c>
      <c r="J280" t="s">
        <v>416</v>
      </c>
      <c r="K280">
        <v>0</v>
      </c>
      <c r="L280">
        <v>6</v>
      </c>
      <c r="M280">
        <v>6</v>
      </c>
      <c r="N280">
        <v>0</v>
      </c>
      <c r="O280">
        <f>_xlfn.XLOOKUP(VALINA[[#This Row],[id]],prov_color!A:A,prov_color!C:C)</f>
        <v>38</v>
      </c>
      <c r="P280" t="str">
        <f>_xlfn.XLOOKUP(VALINA[[#This Row],[id]],Table4[id],Table4[name])</f>
        <v>Tula</v>
      </c>
      <c r="Q280" t="str">
        <f>_xlfn.XLOOKUP(VALINA[[#This Row],[name]],Trans!A:A,Trans!B:B)</f>
        <v>Tula</v>
      </c>
    </row>
    <row r="281" spans="1:17" x14ac:dyDescent="0.25">
      <c r="A281">
        <v>280</v>
      </c>
      <c r="B281" t="s">
        <v>346</v>
      </c>
      <c r="C281" t="s">
        <v>392</v>
      </c>
      <c r="D281" t="s">
        <v>402</v>
      </c>
      <c r="E281" t="s">
        <v>22</v>
      </c>
      <c r="F281" t="s">
        <v>394</v>
      </c>
      <c r="G281" t="s">
        <v>122</v>
      </c>
      <c r="H281" t="s">
        <v>403</v>
      </c>
      <c r="I281" t="s">
        <v>43</v>
      </c>
      <c r="J281" t="s">
        <v>417</v>
      </c>
      <c r="K281">
        <v>0</v>
      </c>
      <c r="L281">
        <v>6</v>
      </c>
      <c r="M281">
        <v>5</v>
      </c>
      <c r="N281">
        <v>0</v>
      </c>
      <c r="O281">
        <f>_xlfn.XLOOKUP(VALINA[[#This Row],[id]],prov_color!A:A,prov_color!C:C)</f>
        <v>33</v>
      </c>
      <c r="P281" t="str">
        <f>_xlfn.XLOOKUP(VALINA[[#This Row],[id]],Table4[id],Table4[name])</f>
        <v>Welikia</v>
      </c>
      <c r="Q281" t="str">
        <f>_xlfn.XLOOKUP(VALINA[[#This Row],[name]],Trans!A:A,Trans!B:B)</f>
        <v>Welikia</v>
      </c>
    </row>
    <row r="282" spans="1:17" x14ac:dyDescent="0.25">
      <c r="A282">
        <v>281</v>
      </c>
      <c r="B282" t="s">
        <v>346</v>
      </c>
      <c r="C282" t="s">
        <v>392</v>
      </c>
      <c r="D282" t="s">
        <v>402</v>
      </c>
      <c r="E282" t="s">
        <v>22</v>
      </c>
      <c r="F282" t="s">
        <v>394</v>
      </c>
      <c r="G282" t="s">
        <v>122</v>
      </c>
      <c r="H282" t="s">
        <v>418</v>
      </c>
      <c r="I282" t="s">
        <v>141</v>
      </c>
      <c r="J282" t="s">
        <v>419</v>
      </c>
      <c r="K282">
        <v>0</v>
      </c>
      <c r="L282">
        <v>5</v>
      </c>
      <c r="M282">
        <v>5</v>
      </c>
      <c r="N282">
        <v>0</v>
      </c>
      <c r="O282">
        <f>_xlfn.XLOOKUP(VALINA[[#This Row],[id]],prov_color!A:A,prov_color!C:C)</f>
        <v>23</v>
      </c>
      <c r="P282" t="str">
        <f>_xlfn.XLOOKUP(VALINA[[#This Row],[id]],Table4[id],Table4[name])</f>
        <v>Polotsk</v>
      </c>
      <c r="Q282" t="str">
        <f>_xlfn.XLOOKUP(VALINA[[#This Row],[name]],Trans!A:A,Trans!B:B)</f>
        <v>Polotsk</v>
      </c>
    </row>
    <row r="283" spans="1:17" x14ac:dyDescent="0.25">
      <c r="A283">
        <v>282</v>
      </c>
      <c r="B283" t="s">
        <v>346</v>
      </c>
      <c r="C283" t="s">
        <v>392</v>
      </c>
      <c r="D283" t="s">
        <v>411</v>
      </c>
      <c r="E283" t="s">
        <v>80</v>
      </c>
      <c r="F283" t="s">
        <v>349</v>
      </c>
      <c r="G283" t="s">
        <v>26</v>
      </c>
      <c r="H283" t="s">
        <v>388</v>
      </c>
      <c r="I283" t="s">
        <v>43</v>
      </c>
      <c r="J283" t="s">
        <v>420</v>
      </c>
      <c r="K283">
        <v>0</v>
      </c>
      <c r="L283">
        <v>6</v>
      </c>
      <c r="M283">
        <v>5</v>
      </c>
      <c r="N283">
        <v>0</v>
      </c>
      <c r="O283">
        <f>_xlfn.XLOOKUP(VALINA[[#This Row],[id]],prov_color!A:A,prov_color!C:C)</f>
        <v>24</v>
      </c>
      <c r="P283" t="str">
        <f>_xlfn.XLOOKUP(VALINA[[#This Row],[id]],Table4[id],Table4[name])</f>
        <v>Livland</v>
      </c>
      <c r="Q283" t="str">
        <f>_xlfn.XLOOKUP(VALINA[[#This Row],[name]],Trans!A:A,Trans!B:B)</f>
        <v>Livland</v>
      </c>
    </row>
    <row r="284" spans="1:17" x14ac:dyDescent="0.25">
      <c r="A284">
        <v>283</v>
      </c>
      <c r="B284" t="s">
        <v>346</v>
      </c>
      <c r="C284" t="s">
        <v>392</v>
      </c>
      <c r="D284" t="s">
        <v>411</v>
      </c>
      <c r="E284" t="s">
        <v>22</v>
      </c>
      <c r="F284" t="s">
        <v>349</v>
      </c>
      <c r="G284" t="s">
        <v>26</v>
      </c>
      <c r="H284" t="s">
        <v>421</v>
      </c>
      <c r="I284" t="s">
        <v>43</v>
      </c>
      <c r="J284" t="s">
        <v>422</v>
      </c>
      <c r="K284">
        <v>0</v>
      </c>
      <c r="L284">
        <v>7</v>
      </c>
      <c r="M284">
        <v>4</v>
      </c>
      <c r="N284">
        <v>0</v>
      </c>
      <c r="O284">
        <f>_xlfn.XLOOKUP(VALINA[[#This Row],[id]],prov_color!A:A,prov_color!C:C)</f>
        <v>24</v>
      </c>
      <c r="P284" t="str">
        <f>_xlfn.XLOOKUP(VALINA[[#This Row],[id]],Table4[id],Table4[name])</f>
        <v>Kurland</v>
      </c>
      <c r="Q284" t="str">
        <f>_xlfn.XLOOKUP(VALINA[[#This Row],[name]],Trans!A:A,Trans!B:B)</f>
        <v>Kurland</v>
      </c>
    </row>
    <row r="285" spans="1:17" x14ac:dyDescent="0.25">
      <c r="A285">
        <v>284</v>
      </c>
      <c r="B285" t="s">
        <v>346</v>
      </c>
      <c r="C285" t="s">
        <v>392</v>
      </c>
      <c r="D285" t="s">
        <v>402</v>
      </c>
      <c r="E285" t="s">
        <v>22</v>
      </c>
      <c r="F285" t="s">
        <v>394</v>
      </c>
      <c r="G285" t="s">
        <v>122</v>
      </c>
      <c r="H285" t="s">
        <v>418</v>
      </c>
      <c r="I285" t="s">
        <v>1612</v>
      </c>
      <c r="J285" t="s">
        <v>423</v>
      </c>
      <c r="K285">
        <v>0</v>
      </c>
      <c r="L285">
        <v>8</v>
      </c>
      <c r="M285">
        <v>5</v>
      </c>
      <c r="N285">
        <v>0</v>
      </c>
      <c r="O285">
        <f>_xlfn.XLOOKUP(VALINA[[#This Row],[id]],prov_color!A:A,prov_color!C:C)</f>
        <v>35</v>
      </c>
      <c r="P285" t="str">
        <f>_xlfn.XLOOKUP(VALINA[[#This Row],[id]],Table4[id],Table4[name])</f>
        <v>Belarus</v>
      </c>
      <c r="Q285" t="str">
        <f>_xlfn.XLOOKUP(VALINA[[#This Row],[name]],Trans!A:A,Trans!B:B)</f>
        <v>Belarus</v>
      </c>
    </row>
    <row r="286" spans="1:17" x14ac:dyDescent="0.25">
      <c r="A286">
        <v>285</v>
      </c>
      <c r="B286" t="s">
        <v>346</v>
      </c>
      <c r="C286" t="s">
        <v>392</v>
      </c>
      <c r="D286" t="s">
        <v>402</v>
      </c>
      <c r="E286" t="s">
        <v>34</v>
      </c>
      <c r="F286" t="s">
        <v>394</v>
      </c>
      <c r="G286" t="s">
        <v>122</v>
      </c>
      <c r="H286" t="s">
        <v>403</v>
      </c>
      <c r="I286" t="s">
        <v>43</v>
      </c>
      <c r="J286" t="s">
        <v>424</v>
      </c>
      <c r="K286">
        <v>0</v>
      </c>
      <c r="L286">
        <v>6</v>
      </c>
      <c r="M286">
        <v>5</v>
      </c>
      <c r="N286">
        <v>0</v>
      </c>
      <c r="O286">
        <f>_xlfn.XLOOKUP(VALINA[[#This Row],[id]],prov_color!A:A,prov_color!C:C)</f>
        <v>29</v>
      </c>
      <c r="P286" t="str">
        <f>_xlfn.XLOOKUP(VALINA[[#This Row],[id]],Table4[id],Table4[name])</f>
        <v>Smolensk</v>
      </c>
      <c r="Q286" t="str">
        <f>_xlfn.XLOOKUP(VALINA[[#This Row],[name]],Trans!A:A,Trans!B:B)</f>
        <v>Smolensk</v>
      </c>
    </row>
    <row r="287" spans="1:17" x14ac:dyDescent="0.25">
      <c r="A287">
        <v>286</v>
      </c>
      <c r="B287" t="s">
        <v>346</v>
      </c>
      <c r="C287" t="s">
        <v>392</v>
      </c>
      <c r="D287" t="s">
        <v>402</v>
      </c>
      <c r="E287" t="s">
        <v>34</v>
      </c>
      <c r="F287" t="s">
        <v>394</v>
      </c>
      <c r="G287" t="s">
        <v>122</v>
      </c>
      <c r="H287" t="s">
        <v>403</v>
      </c>
      <c r="I287" t="s">
        <v>43</v>
      </c>
      <c r="J287" t="s">
        <v>425</v>
      </c>
      <c r="K287">
        <v>0</v>
      </c>
      <c r="L287">
        <v>4</v>
      </c>
      <c r="M287">
        <v>5</v>
      </c>
      <c r="N287">
        <v>0</v>
      </c>
      <c r="O287">
        <f>_xlfn.XLOOKUP(VALINA[[#This Row],[id]],prov_color!A:A,prov_color!C:C)</f>
        <v>47</v>
      </c>
      <c r="P287" t="str">
        <f>_xlfn.XLOOKUP(VALINA[[#This Row],[id]],Table4[id],Table4[name])</f>
        <v>Kursk</v>
      </c>
      <c r="Q287" t="str">
        <f>_xlfn.XLOOKUP(VALINA[[#This Row],[name]],Trans!A:A,Trans!B:B)</f>
        <v>Kursk</v>
      </c>
    </row>
    <row r="288" spans="1:17" x14ac:dyDescent="0.25">
      <c r="A288">
        <v>287</v>
      </c>
      <c r="B288" t="s">
        <v>346</v>
      </c>
      <c r="C288" t="s">
        <v>392</v>
      </c>
      <c r="D288" t="s">
        <v>402</v>
      </c>
      <c r="E288" t="s">
        <v>34</v>
      </c>
      <c r="F288" t="s">
        <v>394</v>
      </c>
      <c r="G288" t="s">
        <v>122</v>
      </c>
      <c r="H288" t="s">
        <v>418</v>
      </c>
      <c r="I288" t="s">
        <v>41</v>
      </c>
      <c r="J288" t="s">
        <v>426</v>
      </c>
      <c r="K288">
        <v>0</v>
      </c>
      <c r="L288">
        <v>3</v>
      </c>
      <c r="M288">
        <v>5</v>
      </c>
      <c r="N288">
        <v>0</v>
      </c>
      <c r="O288">
        <f>_xlfn.XLOOKUP(VALINA[[#This Row],[id]],prov_color!A:A,prov_color!C:C)</f>
        <v>36</v>
      </c>
      <c r="P288" t="str">
        <f>_xlfn.XLOOKUP(VALINA[[#This Row],[id]],Table4[id],Table4[name])</f>
        <v>Mozyr</v>
      </c>
      <c r="Q288" t="str">
        <f>_xlfn.XLOOKUP(VALINA[[#This Row],[name]],Trans!A:A,Trans!B:B)</f>
        <v>Mozyr</v>
      </c>
    </row>
    <row r="289" spans="1:17" x14ac:dyDescent="0.25">
      <c r="A289">
        <v>288</v>
      </c>
      <c r="B289" t="s">
        <v>346</v>
      </c>
      <c r="C289" t="s">
        <v>392</v>
      </c>
      <c r="D289" t="s">
        <v>427</v>
      </c>
      <c r="E289" t="s">
        <v>22</v>
      </c>
      <c r="F289" t="s">
        <v>349</v>
      </c>
      <c r="G289" t="s">
        <v>122</v>
      </c>
      <c r="H289" t="s">
        <v>418</v>
      </c>
      <c r="I289" t="s">
        <v>43</v>
      </c>
      <c r="J289" t="s">
        <v>428</v>
      </c>
      <c r="K289">
        <v>0</v>
      </c>
      <c r="L289">
        <v>8</v>
      </c>
      <c r="M289">
        <v>5</v>
      </c>
      <c r="N289">
        <v>0</v>
      </c>
      <c r="O289">
        <f>_xlfn.XLOOKUP(VALINA[[#This Row],[id]],prov_color!A:A,prov_color!C:C)</f>
        <v>40</v>
      </c>
      <c r="P289" t="str">
        <f>_xlfn.XLOOKUP(VALINA[[#This Row],[id]],Table4[id],Table4[name])</f>
        <v>Lithuania</v>
      </c>
      <c r="Q289" t="str">
        <f>_xlfn.XLOOKUP(VALINA[[#This Row],[name]],Trans!A:A,Trans!B:B)</f>
        <v>Lithuania</v>
      </c>
    </row>
    <row r="290" spans="1:17" x14ac:dyDescent="0.25">
      <c r="A290">
        <v>289</v>
      </c>
      <c r="B290" t="s">
        <v>346</v>
      </c>
      <c r="C290" t="s">
        <v>392</v>
      </c>
      <c r="D290" t="s">
        <v>411</v>
      </c>
      <c r="E290" t="s">
        <v>80</v>
      </c>
      <c r="F290" t="s">
        <v>349</v>
      </c>
      <c r="G290" t="s">
        <v>26</v>
      </c>
      <c r="H290" t="s">
        <v>421</v>
      </c>
      <c r="I290" t="s">
        <v>43</v>
      </c>
      <c r="J290" t="s">
        <v>429</v>
      </c>
      <c r="K290">
        <v>0</v>
      </c>
      <c r="L290">
        <v>6</v>
      </c>
      <c r="M290">
        <v>4</v>
      </c>
      <c r="N290">
        <v>0</v>
      </c>
      <c r="O290">
        <f>_xlfn.XLOOKUP(VALINA[[#This Row],[id]],prov_color!A:A,prov_color!C:C)</f>
        <v>26</v>
      </c>
      <c r="P290" t="str">
        <f>_xlfn.XLOOKUP(VALINA[[#This Row],[id]],Table4[id],Table4[name])</f>
        <v>Memel</v>
      </c>
      <c r="Q290" t="str">
        <f>_xlfn.XLOOKUP(VALINA[[#This Row],[name]],Trans!A:A,Trans!B:B)</f>
        <v>Memel</v>
      </c>
    </row>
    <row r="291" spans="1:17" x14ac:dyDescent="0.25">
      <c r="A291">
        <v>290</v>
      </c>
      <c r="B291" t="s">
        <v>346</v>
      </c>
      <c r="C291" t="s">
        <v>392</v>
      </c>
      <c r="D291" t="s">
        <v>411</v>
      </c>
      <c r="E291" t="s">
        <v>22</v>
      </c>
      <c r="F291" t="s">
        <v>349</v>
      </c>
      <c r="G291" t="s">
        <v>26</v>
      </c>
      <c r="H291" t="s">
        <v>421</v>
      </c>
      <c r="I291" t="s">
        <v>1612</v>
      </c>
      <c r="J291" t="s">
        <v>430</v>
      </c>
      <c r="K291">
        <v>0</v>
      </c>
      <c r="L291">
        <v>8</v>
      </c>
      <c r="M291">
        <v>4</v>
      </c>
      <c r="N291">
        <v>0</v>
      </c>
      <c r="O291">
        <f>_xlfn.XLOOKUP(VALINA[[#This Row],[id]],prov_color!A:A,prov_color!C:C)</f>
        <v>20</v>
      </c>
      <c r="P291" t="str">
        <f>_xlfn.XLOOKUP(VALINA[[#This Row],[id]],Table4[id],Table4[name])</f>
        <v>Prussia</v>
      </c>
      <c r="Q291" t="str">
        <f>_xlfn.XLOOKUP(VALINA[[#This Row],[name]],Trans!A:A,Trans!B:B)</f>
        <v>Prussia</v>
      </c>
    </row>
    <row r="292" spans="1:17" x14ac:dyDescent="0.25">
      <c r="A292">
        <v>291</v>
      </c>
      <c r="B292" t="s">
        <v>346</v>
      </c>
      <c r="C292" t="s">
        <v>392</v>
      </c>
      <c r="D292" t="s">
        <v>427</v>
      </c>
      <c r="E292" t="s">
        <v>22</v>
      </c>
      <c r="F292" t="s">
        <v>349</v>
      </c>
      <c r="G292" t="s">
        <v>26</v>
      </c>
      <c r="H292" t="s">
        <v>431</v>
      </c>
      <c r="I292" t="s">
        <v>352</v>
      </c>
      <c r="J292" t="s">
        <v>432</v>
      </c>
      <c r="K292">
        <v>0</v>
      </c>
      <c r="L292">
        <v>10</v>
      </c>
      <c r="M292">
        <v>6</v>
      </c>
      <c r="N292">
        <v>0</v>
      </c>
      <c r="O292">
        <f>_xlfn.XLOOKUP(VALINA[[#This Row],[id]],prov_color!A:A,prov_color!C:C)</f>
        <v>23</v>
      </c>
      <c r="P292" t="str">
        <f>_xlfn.XLOOKUP(VALINA[[#This Row],[id]],Table4[id],Table4[name])</f>
        <v>Mazovia</v>
      </c>
      <c r="Q292" t="str">
        <f>_xlfn.XLOOKUP(VALINA[[#This Row],[name]],Trans!A:A,Trans!B:B)</f>
        <v>Masovia</v>
      </c>
    </row>
    <row r="293" spans="1:17" x14ac:dyDescent="0.25">
      <c r="A293">
        <v>292</v>
      </c>
      <c r="B293" t="s">
        <v>346</v>
      </c>
      <c r="C293" t="s">
        <v>392</v>
      </c>
      <c r="D293" t="s">
        <v>427</v>
      </c>
      <c r="E293" t="s">
        <v>80</v>
      </c>
      <c r="F293" t="s">
        <v>349</v>
      </c>
      <c r="G293" t="s">
        <v>122</v>
      </c>
      <c r="H293" t="s">
        <v>431</v>
      </c>
      <c r="I293" t="s">
        <v>43</v>
      </c>
      <c r="J293" t="s">
        <v>433</v>
      </c>
      <c r="K293">
        <v>0</v>
      </c>
      <c r="L293">
        <v>6</v>
      </c>
      <c r="M293">
        <v>4</v>
      </c>
      <c r="N293">
        <v>0</v>
      </c>
      <c r="O293">
        <f>_xlfn.XLOOKUP(VALINA[[#This Row],[id]],prov_color!A:A,prov_color!C:C)</f>
        <v>31</v>
      </c>
      <c r="P293" t="str">
        <f>_xlfn.XLOOKUP(VALINA[[#This Row],[id]],Table4[id],Table4[name])</f>
        <v>Podlasia</v>
      </c>
      <c r="Q293" t="str">
        <f>_xlfn.XLOOKUP(VALINA[[#This Row],[name]],Trans!A:A,Trans!B:B)</f>
        <v>Podlasia</v>
      </c>
    </row>
    <row r="294" spans="1:17" x14ac:dyDescent="0.25">
      <c r="A294">
        <v>293</v>
      </c>
      <c r="B294" t="s">
        <v>346</v>
      </c>
      <c r="C294" t="s">
        <v>392</v>
      </c>
      <c r="D294" t="s">
        <v>427</v>
      </c>
      <c r="E294" t="s">
        <v>80</v>
      </c>
      <c r="F294" t="s">
        <v>349</v>
      </c>
      <c r="G294" t="s">
        <v>122</v>
      </c>
      <c r="H294" t="s">
        <v>418</v>
      </c>
      <c r="I294" t="s">
        <v>41</v>
      </c>
      <c r="J294" t="s">
        <v>434</v>
      </c>
      <c r="K294">
        <v>0</v>
      </c>
      <c r="L294">
        <v>3</v>
      </c>
      <c r="M294">
        <v>4</v>
      </c>
      <c r="N294">
        <v>0</v>
      </c>
      <c r="O294">
        <f>_xlfn.XLOOKUP(VALINA[[#This Row],[id]],prov_color!A:A,prov_color!C:C)</f>
        <v>32</v>
      </c>
      <c r="P294" t="str">
        <f>_xlfn.XLOOKUP(VALINA[[#This Row],[id]],Table4[id],Table4[name])</f>
        <v>Volyn</v>
      </c>
      <c r="Q294" t="str">
        <f>_xlfn.XLOOKUP(VALINA[[#This Row],[name]],Trans!A:A,Trans!B:B)</f>
        <v>Volyn</v>
      </c>
    </row>
    <row r="295" spans="1:17" x14ac:dyDescent="0.25">
      <c r="A295">
        <v>294</v>
      </c>
      <c r="B295" t="s">
        <v>346</v>
      </c>
      <c r="C295" t="s">
        <v>392</v>
      </c>
      <c r="D295" t="s">
        <v>435</v>
      </c>
      <c r="E295" t="s">
        <v>34</v>
      </c>
      <c r="F295" t="s">
        <v>394</v>
      </c>
      <c r="G295" t="s">
        <v>122</v>
      </c>
      <c r="H295" t="s">
        <v>436</v>
      </c>
      <c r="I295" t="s">
        <v>141</v>
      </c>
      <c r="J295" t="s">
        <v>437</v>
      </c>
      <c r="K295">
        <v>0</v>
      </c>
      <c r="L295">
        <v>6</v>
      </c>
      <c r="M295">
        <v>4</v>
      </c>
      <c r="N295">
        <v>0</v>
      </c>
      <c r="O295">
        <f>_xlfn.XLOOKUP(VALINA[[#This Row],[id]],prov_color!A:A,prov_color!C:C)</f>
        <v>32</v>
      </c>
      <c r="P295" t="str">
        <f>_xlfn.XLOOKUP(VALINA[[#This Row],[id]],Table4[id],Table4[name])</f>
        <v>Chernigov</v>
      </c>
      <c r="Q295" t="str">
        <f>_xlfn.XLOOKUP(VALINA[[#This Row],[name]],Trans!A:A,Trans!B:B)</f>
        <v>Chernigov</v>
      </c>
    </row>
    <row r="296" spans="1:17" x14ac:dyDescent="0.25">
      <c r="A296">
        <v>295</v>
      </c>
      <c r="B296" t="s">
        <v>346</v>
      </c>
      <c r="C296" t="s">
        <v>392</v>
      </c>
      <c r="D296" t="s">
        <v>435</v>
      </c>
      <c r="E296" t="s">
        <v>34</v>
      </c>
      <c r="F296" t="s">
        <v>394</v>
      </c>
      <c r="G296" t="s">
        <v>122</v>
      </c>
      <c r="H296" t="s">
        <v>436</v>
      </c>
      <c r="I296" t="s">
        <v>43</v>
      </c>
      <c r="J296" t="s">
        <v>438</v>
      </c>
      <c r="K296">
        <v>0</v>
      </c>
      <c r="L296">
        <v>14</v>
      </c>
      <c r="M296">
        <v>8</v>
      </c>
      <c r="N296">
        <v>0</v>
      </c>
      <c r="O296">
        <f>_xlfn.XLOOKUP(VALINA[[#This Row],[id]],prov_color!A:A,prov_color!C:C)</f>
        <v>45</v>
      </c>
      <c r="P296" t="str">
        <f>_xlfn.XLOOKUP(VALINA[[#This Row],[id]],Table4[id],Table4[name])</f>
        <v>Ukraina</v>
      </c>
      <c r="Q296" t="str">
        <f>_xlfn.XLOOKUP(VALINA[[#This Row],[name]],Trans!A:A,Trans!B:B)</f>
        <v>Ukraina</v>
      </c>
    </row>
    <row r="297" spans="1:17" x14ac:dyDescent="0.25">
      <c r="A297">
        <v>296</v>
      </c>
      <c r="B297" t="s">
        <v>346</v>
      </c>
      <c r="C297" t="s">
        <v>392</v>
      </c>
      <c r="D297" t="s">
        <v>435</v>
      </c>
      <c r="E297" t="s">
        <v>34</v>
      </c>
      <c r="F297" t="s">
        <v>394</v>
      </c>
      <c r="G297" t="s">
        <v>35</v>
      </c>
      <c r="H297" t="s">
        <v>439</v>
      </c>
      <c r="I297" t="s">
        <v>41</v>
      </c>
      <c r="J297" t="s">
        <v>440</v>
      </c>
      <c r="K297">
        <v>0</v>
      </c>
      <c r="L297">
        <v>5</v>
      </c>
      <c r="M297">
        <v>5</v>
      </c>
      <c r="N297">
        <v>0</v>
      </c>
      <c r="O297">
        <f>_xlfn.XLOOKUP(VALINA[[#This Row],[id]],prov_color!A:A,prov_color!C:C)</f>
        <v>32</v>
      </c>
      <c r="P297" t="str">
        <f>_xlfn.XLOOKUP(VALINA[[#This Row],[id]],Table4[id],Table4[name])</f>
        <v>Jedisan</v>
      </c>
      <c r="Q297" t="str">
        <f>_xlfn.XLOOKUP(VALINA[[#This Row],[name]],Trans!A:A,Trans!B:B)</f>
        <v>Jedisan</v>
      </c>
    </row>
    <row r="298" spans="1:17" x14ac:dyDescent="0.25">
      <c r="A298">
        <v>297</v>
      </c>
      <c r="B298" t="s">
        <v>346</v>
      </c>
      <c r="C298" t="s">
        <v>392</v>
      </c>
      <c r="D298" t="s">
        <v>435</v>
      </c>
      <c r="E298" t="s">
        <v>34</v>
      </c>
      <c r="F298" t="s">
        <v>394</v>
      </c>
      <c r="G298" t="s">
        <v>122</v>
      </c>
      <c r="H298" t="s">
        <v>436</v>
      </c>
      <c r="I298" t="s">
        <v>43</v>
      </c>
      <c r="J298" t="s">
        <v>441</v>
      </c>
      <c r="K298">
        <v>0</v>
      </c>
      <c r="L298">
        <v>12</v>
      </c>
      <c r="M298">
        <v>8</v>
      </c>
      <c r="N298">
        <v>0</v>
      </c>
      <c r="O298">
        <f>_xlfn.XLOOKUP(VALINA[[#This Row],[id]],prov_color!A:A,prov_color!C:C)</f>
        <v>31</v>
      </c>
      <c r="P298" t="str">
        <f>_xlfn.XLOOKUP(VALINA[[#This Row],[id]],Table4[id],Table4[name])</f>
        <v>Podolia</v>
      </c>
      <c r="Q298" t="str">
        <f>_xlfn.XLOOKUP(VALINA[[#This Row],[name]],Trans!A:A,Trans!B:B)</f>
        <v>Podolia</v>
      </c>
    </row>
    <row r="299" spans="1:17" x14ac:dyDescent="0.25">
      <c r="A299">
        <v>298</v>
      </c>
      <c r="B299" t="s">
        <v>346</v>
      </c>
      <c r="C299" t="s">
        <v>392</v>
      </c>
      <c r="D299" t="s">
        <v>427</v>
      </c>
      <c r="E299" t="s">
        <v>34</v>
      </c>
      <c r="F299" t="s">
        <v>349</v>
      </c>
      <c r="G299" t="s">
        <v>122</v>
      </c>
      <c r="H299" t="s">
        <v>431</v>
      </c>
      <c r="I299" t="s">
        <v>43</v>
      </c>
      <c r="J299" t="s">
        <v>442</v>
      </c>
      <c r="K299">
        <v>0</v>
      </c>
      <c r="L299">
        <v>9</v>
      </c>
      <c r="M299">
        <v>5</v>
      </c>
      <c r="N299">
        <v>0</v>
      </c>
      <c r="O299">
        <f>_xlfn.XLOOKUP(VALINA[[#This Row],[id]],prov_color!A:A,prov_color!C:C)</f>
        <v>40</v>
      </c>
      <c r="P299" t="str">
        <f>_xlfn.XLOOKUP(VALINA[[#This Row],[id]],Table4[id],Table4[name])</f>
        <v>Galizien</v>
      </c>
      <c r="Q299" t="str">
        <f>_xlfn.XLOOKUP(VALINA[[#This Row],[name]],Trans!A:A,Trans!B:B)</f>
        <v>Galizien</v>
      </c>
    </row>
    <row r="300" spans="1:17" x14ac:dyDescent="0.25">
      <c r="A300">
        <v>299</v>
      </c>
      <c r="B300" t="s">
        <v>346</v>
      </c>
      <c r="C300" t="s">
        <v>392</v>
      </c>
      <c r="D300" t="s">
        <v>427</v>
      </c>
      <c r="E300" t="s">
        <v>22</v>
      </c>
      <c r="F300" t="s">
        <v>349</v>
      </c>
      <c r="G300" t="s">
        <v>26</v>
      </c>
      <c r="H300" t="s">
        <v>431</v>
      </c>
      <c r="I300" t="s">
        <v>352</v>
      </c>
      <c r="J300" t="s">
        <v>443</v>
      </c>
      <c r="K300">
        <v>0</v>
      </c>
      <c r="L300">
        <v>13</v>
      </c>
      <c r="M300">
        <v>7</v>
      </c>
      <c r="N300">
        <v>0</v>
      </c>
      <c r="O300">
        <f>_xlfn.XLOOKUP(VALINA[[#This Row],[id]],prov_color!A:A,prov_color!C:C)</f>
        <v>23</v>
      </c>
      <c r="P300" t="str">
        <f>_xlfn.XLOOKUP(VALINA[[#This Row],[id]],Table4[id],Table4[name])</f>
        <v>Krakow</v>
      </c>
      <c r="Q300" t="str">
        <f>_xlfn.XLOOKUP(VALINA[[#This Row],[name]],Trans!A:A,Trans!B:B)</f>
        <v>Krakow</v>
      </c>
    </row>
    <row r="301" spans="1:17" x14ac:dyDescent="0.25">
      <c r="A301">
        <v>300</v>
      </c>
      <c r="B301" t="s">
        <v>346</v>
      </c>
      <c r="C301" t="s">
        <v>392</v>
      </c>
      <c r="D301" t="s">
        <v>427</v>
      </c>
      <c r="E301" t="s">
        <v>34</v>
      </c>
      <c r="F301" t="s">
        <v>349</v>
      </c>
      <c r="G301" t="s">
        <v>26</v>
      </c>
      <c r="H301" t="s">
        <v>431</v>
      </c>
      <c r="I301" t="s">
        <v>352</v>
      </c>
      <c r="J301" t="s">
        <v>444</v>
      </c>
      <c r="K301">
        <v>0</v>
      </c>
      <c r="L301">
        <v>12</v>
      </c>
      <c r="M301">
        <v>6</v>
      </c>
      <c r="N301">
        <v>0</v>
      </c>
      <c r="O301">
        <f>_xlfn.XLOOKUP(VALINA[[#This Row],[id]],prov_color!A:A,prov_color!C:C)</f>
        <v>32</v>
      </c>
      <c r="P301" t="str">
        <f>_xlfn.XLOOKUP(VALINA[[#This Row],[id]],Table4[id],Table4[name])</f>
        <v>Wielkopolska</v>
      </c>
      <c r="Q301" t="str">
        <f>_xlfn.XLOOKUP(VALINA[[#This Row],[name]],Trans!A:A,Trans!B:B)</f>
        <v>Wielkopolska</v>
      </c>
    </row>
    <row r="302" spans="1:17" x14ac:dyDescent="0.25">
      <c r="A302">
        <v>301</v>
      </c>
      <c r="B302" t="s">
        <v>346</v>
      </c>
      <c r="C302" t="s">
        <v>392</v>
      </c>
      <c r="D302" t="s">
        <v>411</v>
      </c>
      <c r="E302" t="s">
        <v>80</v>
      </c>
      <c r="F302" t="s">
        <v>349</v>
      </c>
      <c r="G302" t="s">
        <v>26</v>
      </c>
      <c r="H302" t="s">
        <v>445</v>
      </c>
      <c r="I302" t="s">
        <v>43</v>
      </c>
      <c r="J302" t="s">
        <v>446</v>
      </c>
      <c r="K302">
        <v>0</v>
      </c>
      <c r="L302">
        <v>12</v>
      </c>
      <c r="M302">
        <v>5</v>
      </c>
      <c r="N302">
        <v>0</v>
      </c>
      <c r="O302">
        <f>_xlfn.XLOOKUP(VALINA[[#This Row],[id]],prov_color!A:A,prov_color!C:C)</f>
        <v>15</v>
      </c>
      <c r="P302" t="str">
        <f>_xlfn.XLOOKUP(VALINA[[#This Row],[id]],Table4[id],Table4[name])</f>
        <v>Danzig</v>
      </c>
      <c r="Q302" t="str">
        <f>_xlfn.XLOOKUP(VALINA[[#This Row],[name]],Trans!A:A,Trans!B:B)</f>
        <v>Danzig</v>
      </c>
    </row>
    <row r="303" spans="1:17" x14ac:dyDescent="0.25">
      <c r="A303">
        <v>302</v>
      </c>
      <c r="B303" t="s">
        <v>346</v>
      </c>
      <c r="C303" t="s">
        <v>447</v>
      </c>
      <c r="D303" t="s">
        <v>448</v>
      </c>
      <c r="E303" t="s">
        <v>80</v>
      </c>
      <c r="F303" t="s">
        <v>349</v>
      </c>
      <c r="G303" t="s">
        <v>26</v>
      </c>
      <c r="H303" t="s">
        <v>445</v>
      </c>
      <c r="I303" t="s">
        <v>53</v>
      </c>
      <c r="J303" t="s">
        <v>449</v>
      </c>
      <c r="K303">
        <v>0</v>
      </c>
      <c r="L303">
        <v>6</v>
      </c>
      <c r="M303">
        <v>4</v>
      </c>
      <c r="N303">
        <v>0</v>
      </c>
      <c r="O303">
        <f>_xlfn.XLOOKUP(VALINA[[#This Row],[id]],prov_color!A:A,prov_color!C:C)</f>
        <v>16</v>
      </c>
      <c r="P303" t="str">
        <f>_xlfn.XLOOKUP(VALINA[[#This Row],[id]],Table4[id],Table4[name])</f>
        <v>Hinterpommern</v>
      </c>
      <c r="Q303" t="str">
        <f>_xlfn.XLOOKUP(VALINA[[#This Row],[name]],Trans!A:A,Trans!B:B)</f>
        <v>Hinterpommern</v>
      </c>
    </row>
    <row r="304" spans="1:17" x14ac:dyDescent="0.25">
      <c r="A304">
        <v>303</v>
      </c>
      <c r="B304" t="s">
        <v>346</v>
      </c>
      <c r="C304" t="s">
        <v>392</v>
      </c>
      <c r="D304" t="s">
        <v>427</v>
      </c>
      <c r="E304" t="s">
        <v>22</v>
      </c>
      <c r="F304" t="s">
        <v>349</v>
      </c>
      <c r="G304" t="s">
        <v>26</v>
      </c>
      <c r="H304" t="s">
        <v>431</v>
      </c>
      <c r="I304" t="s">
        <v>53</v>
      </c>
      <c r="J304" t="s">
        <v>450</v>
      </c>
      <c r="K304">
        <v>0</v>
      </c>
      <c r="L304">
        <v>7</v>
      </c>
      <c r="M304">
        <v>5</v>
      </c>
      <c r="N304">
        <v>0</v>
      </c>
      <c r="O304">
        <f>_xlfn.XLOOKUP(VALINA[[#This Row],[id]],prov_color!A:A,prov_color!C:C)</f>
        <v>32</v>
      </c>
      <c r="P304" t="str">
        <f>_xlfn.XLOOKUP(VALINA[[#This Row],[id]],Table4[id],Table4[name])</f>
        <v>Poznan</v>
      </c>
      <c r="Q304" t="str">
        <f>_xlfn.XLOOKUP(VALINA[[#This Row],[name]],Trans!A:A,Trans!B:B)</f>
        <v>Poznan</v>
      </c>
    </row>
    <row r="305" spans="1:17" x14ac:dyDescent="0.25">
      <c r="A305">
        <v>304</v>
      </c>
      <c r="B305" t="s">
        <v>346</v>
      </c>
      <c r="C305" t="s">
        <v>447</v>
      </c>
      <c r="D305" t="s">
        <v>448</v>
      </c>
      <c r="E305" t="s">
        <v>80</v>
      </c>
      <c r="F305" t="s">
        <v>349</v>
      </c>
      <c r="G305" t="s">
        <v>26</v>
      </c>
      <c r="H305" t="s">
        <v>445</v>
      </c>
      <c r="I305" t="s">
        <v>1612</v>
      </c>
      <c r="J305" t="s">
        <v>451</v>
      </c>
      <c r="K305">
        <v>0</v>
      </c>
      <c r="L305">
        <v>7</v>
      </c>
      <c r="M305">
        <v>4</v>
      </c>
      <c r="N305">
        <v>0</v>
      </c>
      <c r="O305">
        <f>_xlfn.XLOOKUP(VALINA[[#This Row],[id]],prov_color!A:A,prov_color!C:C)</f>
        <v>14</v>
      </c>
      <c r="P305" t="str">
        <f>_xlfn.XLOOKUP(VALINA[[#This Row],[id]],Table4[id],Table4[name])</f>
        <v>Vorpommern</v>
      </c>
      <c r="Q305" t="str">
        <f>_xlfn.XLOOKUP(VALINA[[#This Row],[name]],Trans!A:A,Trans!B:B)</f>
        <v>Vorpommern</v>
      </c>
    </row>
    <row r="306" spans="1:17" x14ac:dyDescent="0.25">
      <c r="A306">
        <v>305</v>
      </c>
      <c r="B306" t="s">
        <v>346</v>
      </c>
      <c r="C306" t="s">
        <v>447</v>
      </c>
      <c r="D306" t="s">
        <v>448</v>
      </c>
      <c r="E306" t="s">
        <v>34</v>
      </c>
      <c r="F306" t="s">
        <v>349</v>
      </c>
      <c r="G306" t="s">
        <v>35</v>
      </c>
      <c r="H306" t="s">
        <v>445</v>
      </c>
      <c r="I306" t="s">
        <v>1612</v>
      </c>
      <c r="J306" t="s">
        <v>452</v>
      </c>
      <c r="K306">
        <v>0</v>
      </c>
      <c r="L306">
        <v>10</v>
      </c>
      <c r="M306">
        <v>6</v>
      </c>
      <c r="N306">
        <v>0</v>
      </c>
      <c r="O306">
        <f>_xlfn.XLOOKUP(VALINA[[#This Row],[id]],prov_color!A:A,prov_color!C:C)</f>
        <v>11</v>
      </c>
      <c r="P306" t="str">
        <f>_xlfn.XLOOKUP(VALINA[[#This Row],[id]],Table4[id],Table4[name])</f>
        <v>Mecklemburg</v>
      </c>
      <c r="Q306" t="str">
        <f>_xlfn.XLOOKUP(VALINA[[#This Row],[name]],Trans!A:A,Trans!B:B)</f>
        <v>Mecklemburg</v>
      </c>
    </row>
    <row r="307" spans="1:17" x14ac:dyDescent="0.25">
      <c r="A307">
        <v>306</v>
      </c>
      <c r="B307" t="s">
        <v>346</v>
      </c>
      <c r="C307" t="s">
        <v>447</v>
      </c>
      <c r="D307" t="s">
        <v>448</v>
      </c>
      <c r="E307" t="s">
        <v>34</v>
      </c>
      <c r="F307" t="s">
        <v>349</v>
      </c>
      <c r="G307" t="s">
        <v>26</v>
      </c>
      <c r="H307" t="s">
        <v>445</v>
      </c>
      <c r="I307" t="s">
        <v>27</v>
      </c>
      <c r="J307" t="s">
        <v>453</v>
      </c>
      <c r="K307">
        <v>0</v>
      </c>
      <c r="L307">
        <v>13</v>
      </c>
      <c r="M307">
        <v>5</v>
      </c>
      <c r="N307">
        <v>0</v>
      </c>
      <c r="O307">
        <f>_xlfn.XLOOKUP(VALINA[[#This Row],[id]],prov_color!A:A,prov_color!C:C)</f>
        <v>12</v>
      </c>
      <c r="P307" t="str">
        <f>_xlfn.XLOOKUP(VALINA[[#This Row],[id]],Table4[id],Table4[name])</f>
        <v>Holstein</v>
      </c>
      <c r="Q307" t="str">
        <f>_xlfn.XLOOKUP(VALINA[[#This Row],[name]],Trans!A:A,Trans!B:B)</f>
        <v>Holstein</v>
      </c>
    </row>
    <row r="308" spans="1:17" x14ac:dyDescent="0.25">
      <c r="A308">
        <v>307</v>
      </c>
      <c r="B308" t="s">
        <v>346</v>
      </c>
      <c r="C308" t="s">
        <v>375</v>
      </c>
      <c r="D308" t="s">
        <v>376</v>
      </c>
      <c r="E308" t="s">
        <v>34</v>
      </c>
      <c r="F308" t="s">
        <v>349</v>
      </c>
      <c r="G308" t="s">
        <v>35</v>
      </c>
      <c r="H308" t="s">
        <v>377</v>
      </c>
      <c r="I308" t="s">
        <v>27</v>
      </c>
      <c r="J308" t="s">
        <v>1620</v>
      </c>
      <c r="K308">
        <v>0</v>
      </c>
      <c r="L308">
        <v>16</v>
      </c>
      <c r="M308">
        <v>6</v>
      </c>
      <c r="N308">
        <v>0</v>
      </c>
      <c r="O308">
        <f>_xlfn.XLOOKUP(VALINA[[#This Row],[id]],prov_color!A:A,prov_color!C:C)</f>
        <v>8</v>
      </c>
      <c r="P308" t="str">
        <f>_xlfn.XLOOKUP(VALINA[[#This Row],[id]],Table4[id],Table4[name])</f>
        <v>Sjalland</v>
      </c>
      <c r="Q308" t="str">
        <f>_xlfn.XLOOKUP(VALINA[[#This Row],[name]],Trans!A:A,Trans!B:B)</f>
        <v>Sj�lland</v>
      </c>
    </row>
    <row r="309" spans="1:17" x14ac:dyDescent="0.25">
      <c r="A309">
        <v>308</v>
      </c>
      <c r="B309" t="s">
        <v>346</v>
      </c>
      <c r="C309" t="s">
        <v>375</v>
      </c>
      <c r="D309" t="s">
        <v>376</v>
      </c>
      <c r="E309" t="s">
        <v>22</v>
      </c>
      <c r="F309" t="s">
        <v>349</v>
      </c>
      <c r="G309" t="s">
        <v>26</v>
      </c>
      <c r="H309" t="s">
        <v>377</v>
      </c>
      <c r="I309" t="s">
        <v>27</v>
      </c>
      <c r="J309" t="s">
        <v>455</v>
      </c>
      <c r="K309">
        <v>0</v>
      </c>
      <c r="L309">
        <v>8</v>
      </c>
      <c r="M309">
        <v>2</v>
      </c>
      <c r="N309">
        <v>0</v>
      </c>
      <c r="O309">
        <f>_xlfn.XLOOKUP(VALINA[[#This Row],[id]],prov_color!A:A,prov_color!C:C)</f>
        <v>6</v>
      </c>
      <c r="P309" t="str">
        <f>_xlfn.XLOOKUP(VALINA[[#This Row],[id]],Table4[id],Table4[name])</f>
        <v>Gotland</v>
      </c>
      <c r="Q309" t="str">
        <f>_xlfn.XLOOKUP(VALINA[[#This Row],[name]],Trans!A:A,Trans!B:B)</f>
        <v>Gotland</v>
      </c>
    </row>
    <row r="310" spans="1:17" x14ac:dyDescent="0.25">
      <c r="A310">
        <v>309</v>
      </c>
      <c r="B310" t="s">
        <v>346</v>
      </c>
      <c r="C310" t="s">
        <v>375</v>
      </c>
      <c r="D310" t="s">
        <v>376</v>
      </c>
      <c r="E310" t="s">
        <v>34</v>
      </c>
      <c r="F310" t="s">
        <v>349</v>
      </c>
      <c r="G310" t="s">
        <v>35</v>
      </c>
      <c r="H310" t="s">
        <v>377</v>
      </c>
      <c r="I310" t="s">
        <v>43</v>
      </c>
      <c r="J310" t="s">
        <v>456</v>
      </c>
      <c r="K310">
        <v>0</v>
      </c>
      <c r="L310">
        <v>15</v>
      </c>
      <c r="M310">
        <v>5</v>
      </c>
      <c r="N310">
        <v>0</v>
      </c>
      <c r="O310">
        <f>_xlfn.XLOOKUP(VALINA[[#This Row],[id]],prov_color!A:A,prov_color!C:C)</f>
        <v>19</v>
      </c>
      <c r="P310" t="str">
        <f>_xlfn.XLOOKUP(VALINA[[#This Row],[id]],Table4[id],Table4[name])</f>
        <v>Jylland</v>
      </c>
      <c r="Q310" t="str">
        <f>_xlfn.XLOOKUP(VALINA[[#This Row],[name]],Trans!A:A,Trans!B:B)</f>
        <v>Jutland</v>
      </c>
    </row>
    <row r="311" spans="1:17" x14ac:dyDescent="0.25">
      <c r="A311">
        <v>310</v>
      </c>
      <c r="B311" t="s">
        <v>346</v>
      </c>
      <c r="C311" t="s">
        <v>447</v>
      </c>
      <c r="D311" t="s">
        <v>457</v>
      </c>
      <c r="E311" t="s">
        <v>34</v>
      </c>
      <c r="F311" t="s">
        <v>349</v>
      </c>
      <c r="G311" t="s">
        <v>26</v>
      </c>
      <c r="H311" t="s">
        <v>445</v>
      </c>
      <c r="I311" t="s">
        <v>352</v>
      </c>
      <c r="J311" t="s">
        <v>458</v>
      </c>
      <c r="K311">
        <v>0</v>
      </c>
      <c r="L311">
        <v>12</v>
      </c>
      <c r="M311">
        <v>5</v>
      </c>
      <c r="N311">
        <v>0</v>
      </c>
      <c r="O311">
        <f>_xlfn.XLOOKUP(VALINA[[#This Row],[id]],prov_color!A:A,prov_color!C:C)</f>
        <v>13</v>
      </c>
      <c r="P311" t="str">
        <f>_xlfn.XLOOKUP(VALINA[[#This Row],[id]],Table4[id],Table4[name])</f>
        <v>Hannover</v>
      </c>
      <c r="Q311" t="str">
        <f>_xlfn.XLOOKUP(VALINA[[#This Row],[name]],Trans!A:A,Trans!B:B)</f>
        <v>Hannover</v>
      </c>
    </row>
    <row r="312" spans="1:17" x14ac:dyDescent="0.25">
      <c r="A312">
        <v>311</v>
      </c>
      <c r="B312" t="s">
        <v>346</v>
      </c>
      <c r="C312" t="s">
        <v>447</v>
      </c>
      <c r="D312" t="s">
        <v>457</v>
      </c>
      <c r="E312" t="s">
        <v>34</v>
      </c>
      <c r="F312" t="s">
        <v>349</v>
      </c>
      <c r="G312" t="s">
        <v>26</v>
      </c>
      <c r="H312" t="s">
        <v>445</v>
      </c>
      <c r="I312" t="s">
        <v>352</v>
      </c>
      <c r="J312" t="s">
        <v>459</v>
      </c>
      <c r="K312">
        <v>0</v>
      </c>
      <c r="L312">
        <v>14</v>
      </c>
      <c r="M312">
        <v>4</v>
      </c>
      <c r="N312">
        <v>0</v>
      </c>
      <c r="O312">
        <f>_xlfn.XLOOKUP(VALINA[[#This Row],[id]],prov_color!A:A,prov_color!C:C)</f>
        <v>18</v>
      </c>
      <c r="P312" t="str">
        <f>_xlfn.XLOOKUP(VALINA[[#This Row],[id]],Table4[id],Table4[name])</f>
        <v>Magdeburg</v>
      </c>
      <c r="Q312" t="str">
        <f>_xlfn.XLOOKUP(VALINA[[#This Row],[name]],Trans!A:A,Trans!B:B)</f>
        <v>Magdeburg</v>
      </c>
    </row>
    <row r="313" spans="1:17" x14ac:dyDescent="0.25">
      <c r="A313">
        <v>312</v>
      </c>
      <c r="B313" t="s">
        <v>346</v>
      </c>
      <c r="C313" t="s">
        <v>447</v>
      </c>
      <c r="D313" t="s">
        <v>457</v>
      </c>
      <c r="E313" t="s">
        <v>22</v>
      </c>
      <c r="F313" t="s">
        <v>349</v>
      </c>
      <c r="G313" t="s">
        <v>26</v>
      </c>
      <c r="H313" t="s">
        <v>445</v>
      </c>
      <c r="I313" t="s">
        <v>41</v>
      </c>
      <c r="J313" t="s">
        <v>460</v>
      </c>
      <c r="K313">
        <v>0</v>
      </c>
      <c r="L313">
        <v>12</v>
      </c>
      <c r="M313">
        <v>8</v>
      </c>
      <c r="N313">
        <v>0</v>
      </c>
      <c r="O313">
        <f>_xlfn.XLOOKUP(VALINA[[#This Row],[id]],prov_color!A:A,prov_color!C:C)</f>
        <v>22</v>
      </c>
      <c r="P313" t="str">
        <f>_xlfn.XLOOKUP(VALINA[[#This Row],[id]],Table4[id],Table4[name])</f>
        <v>Brandenburg</v>
      </c>
      <c r="Q313" t="str">
        <f>_xlfn.XLOOKUP(VALINA[[#This Row],[name]],Trans!A:A,Trans!B:B)</f>
        <v>Brandenburg</v>
      </c>
    </row>
    <row r="314" spans="1:17" x14ac:dyDescent="0.25">
      <c r="A314">
        <v>313</v>
      </c>
      <c r="B314" t="s">
        <v>346</v>
      </c>
      <c r="C314" t="s">
        <v>447</v>
      </c>
      <c r="D314" t="s">
        <v>457</v>
      </c>
      <c r="E314" t="s">
        <v>22</v>
      </c>
      <c r="F314" t="s">
        <v>349</v>
      </c>
      <c r="G314" t="s">
        <v>26</v>
      </c>
      <c r="H314" t="s">
        <v>445</v>
      </c>
      <c r="I314" t="s">
        <v>41</v>
      </c>
      <c r="J314" t="s">
        <v>1621</v>
      </c>
      <c r="K314">
        <v>0</v>
      </c>
      <c r="L314">
        <v>6</v>
      </c>
      <c r="M314">
        <v>4</v>
      </c>
      <c r="N314">
        <v>0</v>
      </c>
      <c r="O314">
        <f>_xlfn.XLOOKUP(VALINA[[#This Row],[id]],prov_color!A:A,prov_color!C:C)</f>
        <v>15</v>
      </c>
      <c r="P314" t="str">
        <f>_xlfn.XLOOKUP(VALINA[[#This Row],[id]],Table4[id],Table4[name])</f>
        <v>Kustrin</v>
      </c>
      <c r="Q314" t="str">
        <f>_xlfn.XLOOKUP(VALINA[[#This Row],[name]],Trans!A:A,Trans!B:B)</f>
        <v>K�strin</v>
      </c>
    </row>
    <row r="315" spans="1:17" x14ac:dyDescent="0.25">
      <c r="A315">
        <v>314</v>
      </c>
      <c r="B315" t="s">
        <v>346</v>
      </c>
      <c r="C315" t="s">
        <v>447</v>
      </c>
      <c r="D315" t="s">
        <v>457</v>
      </c>
      <c r="E315" t="s">
        <v>34</v>
      </c>
      <c r="F315" t="s">
        <v>349</v>
      </c>
      <c r="G315" t="s">
        <v>26</v>
      </c>
      <c r="H315" t="s">
        <v>445</v>
      </c>
      <c r="I315" t="s">
        <v>141</v>
      </c>
      <c r="J315" t="s">
        <v>462</v>
      </c>
      <c r="K315">
        <v>0</v>
      </c>
      <c r="L315">
        <v>10</v>
      </c>
      <c r="M315">
        <v>6</v>
      </c>
      <c r="N315">
        <v>0</v>
      </c>
      <c r="O315">
        <f>_xlfn.XLOOKUP(VALINA[[#This Row],[id]],prov_color!A:A,prov_color!C:C)</f>
        <v>21</v>
      </c>
      <c r="P315" t="str">
        <f>_xlfn.XLOOKUP(VALINA[[#This Row],[id]],Table4[id],Table4[name])</f>
        <v>Silesia</v>
      </c>
      <c r="Q315" t="str">
        <f>_xlfn.XLOOKUP(VALINA[[#This Row],[name]],Trans!A:A,Trans!B:B)</f>
        <v>Silesia</v>
      </c>
    </row>
    <row r="316" spans="1:17" x14ac:dyDescent="0.25">
      <c r="A316">
        <v>315</v>
      </c>
      <c r="B316" t="s">
        <v>346</v>
      </c>
      <c r="C316" t="s">
        <v>463</v>
      </c>
      <c r="D316" t="s">
        <v>464</v>
      </c>
      <c r="E316" t="s">
        <v>22</v>
      </c>
      <c r="F316" t="s">
        <v>349</v>
      </c>
      <c r="G316" t="s">
        <v>26</v>
      </c>
      <c r="H316" t="s">
        <v>465</v>
      </c>
      <c r="I316" t="s">
        <v>37</v>
      </c>
      <c r="J316" t="s">
        <v>466</v>
      </c>
      <c r="K316">
        <v>0</v>
      </c>
      <c r="L316">
        <v>6</v>
      </c>
      <c r="M316">
        <v>5</v>
      </c>
      <c r="N316">
        <v>0</v>
      </c>
      <c r="O316">
        <f>_xlfn.XLOOKUP(VALINA[[#This Row],[id]],prov_color!A:A,prov_color!C:C)</f>
        <v>17</v>
      </c>
      <c r="P316" t="str">
        <f>_xlfn.XLOOKUP(VALINA[[#This Row],[id]],Table4[id],Table4[name])</f>
        <v>Moravia</v>
      </c>
      <c r="Q316" t="str">
        <f>_xlfn.XLOOKUP(VALINA[[#This Row],[name]],Trans!A:A,Trans!B:B)</f>
        <v>Moravia</v>
      </c>
    </row>
    <row r="317" spans="1:17" x14ac:dyDescent="0.25">
      <c r="A317">
        <v>316</v>
      </c>
      <c r="B317" t="s">
        <v>346</v>
      </c>
      <c r="C317" t="s">
        <v>463</v>
      </c>
      <c r="D317" t="s">
        <v>464</v>
      </c>
      <c r="E317" t="s">
        <v>14</v>
      </c>
      <c r="F317" t="s">
        <v>349</v>
      </c>
      <c r="G317" t="s">
        <v>26</v>
      </c>
      <c r="H317" t="s">
        <v>467</v>
      </c>
      <c r="I317" t="s">
        <v>1612</v>
      </c>
      <c r="J317" t="s">
        <v>468</v>
      </c>
      <c r="K317">
        <v>0</v>
      </c>
      <c r="L317">
        <v>3</v>
      </c>
      <c r="M317">
        <v>3</v>
      </c>
      <c r="N317">
        <v>0</v>
      </c>
      <c r="O317">
        <f>_xlfn.XLOOKUP(VALINA[[#This Row],[id]],prov_color!A:A,prov_color!C:C)</f>
        <v>25</v>
      </c>
      <c r="P317" t="str">
        <f>_xlfn.XLOOKUP(VALINA[[#This Row],[id]],Table4[id],Table4[name])</f>
        <v>Carpathia</v>
      </c>
      <c r="Q317" t="str">
        <f>_xlfn.XLOOKUP(VALINA[[#This Row],[name]],Trans!A:A,Trans!B:B)</f>
        <v>Carpathia</v>
      </c>
    </row>
    <row r="318" spans="1:17" x14ac:dyDescent="0.25">
      <c r="A318">
        <v>317</v>
      </c>
      <c r="B318" t="s">
        <v>346</v>
      </c>
      <c r="C318" t="s">
        <v>463</v>
      </c>
      <c r="D318" t="s">
        <v>464</v>
      </c>
      <c r="E318" t="s">
        <v>14</v>
      </c>
      <c r="F318" t="s">
        <v>394</v>
      </c>
      <c r="G318" t="s">
        <v>26</v>
      </c>
      <c r="H318" t="s">
        <v>469</v>
      </c>
      <c r="I318" t="s">
        <v>43</v>
      </c>
      <c r="J318" t="s">
        <v>470</v>
      </c>
      <c r="K318">
        <v>0</v>
      </c>
      <c r="L318">
        <v>3</v>
      </c>
      <c r="M318">
        <v>3</v>
      </c>
      <c r="N318">
        <v>0</v>
      </c>
      <c r="O318">
        <f>_xlfn.XLOOKUP(VALINA[[#This Row],[id]],prov_color!A:A,prov_color!C:C)</f>
        <v>28</v>
      </c>
      <c r="P318" t="str">
        <f>_xlfn.XLOOKUP(VALINA[[#This Row],[id]],Table4[id],Table4[name])</f>
        <v>Ruthenia</v>
      </c>
      <c r="Q318" t="str">
        <f>_xlfn.XLOOKUP(VALINA[[#This Row],[name]],Trans!A:A,Trans!B:B)</f>
        <v>Ruthenia</v>
      </c>
    </row>
    <row r="319" spans="1:17" x14ac:dyDescent="0.25">
      <c r="A319">
        <v>318</v>
      </c>
      <c r="B319" t="s">
        <v>346</v>
      </c>
      <c r="C319" t="s">
        <v>463</v>
      </c>
      <c r="D319" t="s">
        <v>464</v>
      </c>
      <c r="E319" t="s">
        <v>22</v>
      </c>
      <c r="F319" t="s">
        <v>394</v>
      </c>
      <c r="G319" t="s">
        <v>26</v>
      </c>
      <c r="H319" t="s">
        <v>439</v>
      </c>
      <c r="I319" t="s">
        <v>41</v>
      </c>
      <c r="J319" t="s">
        <v>471</v>
      </c>
      <c r="K319">
        <v>0</v>
      </c>
      <c r="L319">
        <v>6</v>
      </c>
      <c r="M319">
        <v>3</v>
      </c>
      <c r="N319">
        <v>0</v>
      </c>
      <c r="O319">
        <f>_xlfn.XLOOKUP(VALINA[[#This Row],[id]],prov_color!A:A,prov_color!C:C)</f>
        <v>28</v>
      </c>
      <c r="P319" t="str">
        <f>_xlfn.XLOOKUP(VALINA[[#This Row],[id]],Table4[id],Table4[name])</f>
        <v>Moldova</v>
      </c>
      <c r="Q319" t="str">
        <f>_xlfn.XLOOKUP(VALINA[[#This Row],[name]],Trans!A:A,Trans!B:B)</f>
        <v>Moldova</v>
      </c>
    </row>
    <row r="320" spans="1:17" x14ac:dyDescent="0.25">
      <c r="A320">
        <v>319</v>
      </c>
      <c r="B320" t="s">
        <v>346</v>
      </c>
      <c r="C320" t="s">
        <v>463</v>
      </c>
      <c r="D320" t="s">
        <v>464</v>
      </c>
      <c r="E320" t="s">
        <v>80</v>
      </c>
      <c r="F320" t="s">
        <v>394</v>
      </c>
      <c r="G320" t="s">
        <v>35</v>
      </c>
      <c r="H320" t="s">
        <v>439</v>
      </c>
      <c r="I320" t="s">
        <v>41</v>
      </c>
      <c r="J320" t="s">
        <v>472</v>
      </c>
      <c r="K320">
        <v>0</v>
      </c>
      <c r="L320">
        <v>5</v>
      </c>
      <c r="M320">
        <v>3</v>
      </c>
      <c r="N320">
        <v>0</v>
      </c>
      <c r="O320">
        <f>_xlfn.XLOOKUP(VALINA[[#This Row],[id]],prov_color!A:A,prov_color!C:C)</f>
        <v>22</v>
      </c>
      <c r="P320" t="str">
        <f>_xlfn.XLOOKUP(VALINA[[#This Row],[id]],Table4[id],Table4[name])</f>
        <v>Bujak</v>
      </c>
      <c r="Q320" t="str">
        <f>_xlfn.XLOOKUP(VALINA[[#This Row],[name]],Trans!A:A,Trans!B:B)</f>
        <v>Bujak</v>
      </c>
    </row>
    <row r="321" spans="1:17" x14ac:dyDescent="0.25">
      <c r="A321">
        <v>320</v>
      </c>
      <c r="B321" t="s">
        <v>346</v>
      </c>
      <c r="C321" t="s">
        <v>463</v>
      </c>
      <c r="D321" t="s">
        <v>464</v>
      </c>
      <c r="E321" t="s">
        <v>80</v>
      </c>
      <c r="F321" t="s">
        <v>394</v>
      </c>
      <c r="G321" t="s">
        <v>35</v>
      </c>
      <c r="H321" t="s">
        <v>473</v>
      </c>
      <c r="I321" t="s">
        <v>27</v>
      </c>
      <c r="J321" t="s">
        <v>474</v>
      </c>
      <c r="K321">
        <v>0</v>
      </c>
      <c r="L321">
        <v>3</v>
      </c>
      <c r="M321">
        <v>3</v>
      </c>
      <c r="N321">
        <v>0</v>
      </c>
      <c r="O321">
        <f>_xlfn.XLOOKUP(VALINA[[#This Row],[id]],prov_color!A:A,prov_color!C:C)</f>
        <v>24</v>
      </c>
      <c r="P321" t="str">
        <f>_xlfn.XLOOKUP(VALINA[[#This Row],[id]],Table4[id],Table4[name])</f>
        <v>Dobrudja</v>
      </c>
      <c r="Q321" t="str">
        <f>_xlfn.XLOOKUP(VALINA[[#This Row],[name]],Trans!A:A,Trans!B:B)</f>
        <v>Dobrudja</v>
      </c>
    </row>
    <row r="322" spans="1:17" x14ac:dyDescent="0.25">
      <c r="A322">
        <v>321</v>
      </c>
      <c r="B322" t="s">
        <v>346</v>
      </c>
      <c r="C322" t="s">
        <v>463</v>
      </c>
      <c r="D322" t="s">
        <v>475</v>
      </c>
      <c r="E322" t="s">
        <v>22</v>
      </c>
      <c r="F322" t="s">
        <v>394</v>
      </c>
      <c r="G322" t="s">
        <v>35</v>
      </c>
      <c r="H322" t="s">
        <v>473</v>
      </c>
      <c r="I322" t="s">
        <v>1612</v>
      </c>
      <c r="J322" t="s">
        <v>476</v>
      </c>
      <c r="K322">
        <v>0</v>
      </c>
      <c r="L322">
        <v>6</v>
      </c>
      <c r="M322">
        <v>3</v>
      </c>
      <c r="N322">
        <v>0</v>
      </c>
      <c r="O322">
        <f>_xlfn.XLOOKUP(VALINA[[#This Row],[id]],prov_color!A:A,prov_color!C:C)</f>
        <v>25</v>
      </c>
      <c r="P322" t="str">
        <f>_xlfn.XLOOKUP(VALINA[[#This Row],[id]],Table4[id],Table4[name])</f>
        <v>Rumelia</v>
      </c>
      <c r="Q322" t="str">
        <f>_xlfn.XLOOKUP(VALINA[[#This Row],[name]],Trans!A:A,Trans!B:B)</f>
        <v>Rumelia</v>
      </c>
    </row>
    <row r="323" spans="1:17" x14ac:dyDescent="0.25">
      <c r="A323">
        <v>322</v>
      </c>
      <c r="B323" t="s">
        <v>346</v>
      </c>
      <c r="C323" t="s">
        <v>463</v>
      </c>
      <c r="D323" t="s">
        <v>464</v>
      </c>
      <c r="E323" t="s">
        <v>22</v>
      </c>
      <c r="F323" t="s">
        <v>394</v>
      </c>
      <c r="G323" t="s">
        <v>26</v>
      </c>
      <c r="H323" t="s">
        <v>439</v>
      </c>
      <c r="I323" t="s">
        <v>43</v>
      </c>
      <c r="J323" t="s">
        <v>477</v>
      </c>
      <c r="K323">
        <v>0</v>
      </c>
      <c r="L323">
        <v>8</v>
      </c>
      <c r="M323">
        <v>3</v>
      </c>
      <c r="N323">
        <v>0</v>
      </c>
      <c r="O323">
        <f>_xlfn.XLOOKUP(VALINA[[#This Row],[id]],prov_color!A:A,prov_color!C:C)</f>
        <v>33</v>
      </c>
      <c r="P323" t="str">
        <f>_xlfn.XLOOKUP(VALINA[[#This Row],[id]],Table4[id],Table4[name])</f>
        <v>Wallachia</v>
      </c>
      <c r="Q323" t="str">
        <f>_xlfn.XLOOKUP(VALINA[[#This Row],[name]],Trans!A:A,Trans!B:B)</f>
        <v>Wallachia</v>
      </c>
    </row>
    <row r="324" spans="1:17" x14ac:dyDescent="0.25">
      <c r="A324">
        <v>323</v>
      </c>
      <c r="B324" t="s">
        <v>346</v>
      </c>
      <c r="C324" t="s">
        <v>463</v>
      </c>
      <c r="D324" t="s">
        <v>464</v>
      </c>
      <c r="E324" t="s">
        <v>14</v>
      </c>
      <c r="F324" t="s">
        <v>349</v>
      </c>
      <c r="G324" t="s">
        <v>26</v>
      </c>
      <c r="H324" t="s">
        <v>469</v>
      </c>
      <c r="I324" t="s">
        <v>41</v>
      </c>
      <c r="J324" t="s">
        <v>478</v>
      </c>
      <c r="K324">
        <v>0</v>
      </c>
      <c r="L324">
        <v>6</v>
      </c>
      <c r="M324">
        <v>3</v>
      </c>
      <c r="N324">
        <v>0</v>
      </c>
      <c r="O324">
        <f>_xlfn.XLOOKUP(VALINA[[#This Row],[id]],prov_color!A:A,prov_color!C:C)</f>
        <v>38</v>
      </c>
      <c r="P324" t="str">
        <f>_xlfn.XLOOKUP(VALINA[[#This Row],[id]],Table4[id],Table4[name])</f>
        <v>Transylvania</v>
      </c>
      <c r="Q324" t="str">
        <f>_xlfn.XLOOKUP(VALINA[[#This Row],[name]],Trans!A:A,Trans!B:B)</f>
        <v>Transylvania</v>
      </c>
    </row>
    <row r="325" spans="1:17" x14ac:dyDescent="0.25">
      <c r="A325">
        <v>324</v>
      </c>
      <c r="B325" t="s">
        <v>346</v>
      </c>
      <c r="C325" t="s">
        <v>463</v>
      </c>
      <c r="D325" t="s">
        <v>464</v>
      </c>
      <c r="E325" t="s">
        <v>22</v>
      </c>
      <c r="F325" t="s">
        <v>349</v>
      </c>
      <c r="G325" t="s">
        <v>26</v>
      </c>
      <c r="H325" t="s">
        <v>469</v>
      </c>
      <c r="I325" t="s">
        <v>1612</v>
      </c>
      <c r="J325" t="s">
        <v>479</v>
      </c>
      <c r="K325">
        <v>0</v>
      </c>
      <c r="L325">
        <v>6</v>
      </c>
      <c r="M325">
        <v>4</v>
      </c>
      <c r="N325">
        <v>0</v>
      </c>
      <c r="O325">
        <f>_xlfn.XLOOKUP(VALINA[[#This Row],[id]],prov_color!A:A,prov_color!C:C)</f>
        <v>33</v>
      </c>
      <c r="P325" t="str">
        <f>_xlfn.XLOOKUP(VALINA[[#This Row],[id]],Table4[id],Table4[name])</f>
        <v>Maros</v>
      </c>
      <c r="Q325" t="str">
        <f>_xlfn.XLOOKUP(VALINA[[#This Row],[name]],Trans!A:A,Trans!B:B)</f>
        <v>Maros</v>
      </c>
    </row>
    <row r="326" spans="1:17" x14ac:dyDescent="0.25">
      <c r="A326">
        <v>325</v>
      </c>
      <c r="B326" t="s">
        <v>346</v>
      </c>
      <c r="C326" t="s">
        <v>463</v>
      </c>
      <c r="D326" t="s">
        <v>464</v>
      </c>
      <c r="E326" t="s">
        <v>34</v>
      </c>
      <c r="F326" t="s">
        <v>349</v>
      </c>
      <c r="G326" t="s">
        <v>26</v>
      </c>
      <c r="H326" t="s">
        <v>469</v>
      </c>
      <c r="I326" t="s">
        <v>43</v>
      </c>
      <c r="J326" t="s">
        <v>480</v>
      </c>
      <c r="K326">
        <v>0</v>
      </c>
      <c r="L326">
        <v>11</v>
      </c>
      <c r="M326">
        <v>3</v>
      </c>
      <c r="N326">
        <v>0</v>
      </c>
      <c r="O326">
        <f>_xlfn.XLOOKUP(VALINA[[#This Row],[id]],prov_color!A:A,prov_color!C:C)</f>
        <v>32</v>
      </c>
      <c r="P326" t="str">
        <f>_xlfn.XLOOKUP(VALINA[[#This Row],[id]],Table4[id],Table4[name])</f>
        <v>Magyar</v>
      </c>
      <c r="Q326" t="str">
        <f>_xlfn.XLOOKUP(VALINA[[#This Row],[name]],Trans!A:A,Trans!B:B)</f>
        <v>Magyar</v>
      </c>
    </row>
    <row r="327" spans="1:17" x14ac:dyDescent="0.25">
      <c r="A327">
        <v>326</v>
      </c>
      <c r="B327" t="s">
        <v>346</v>
      </c>
      <c r="C327" t="s">
        <v>463</v>
      </c>
      <c r="D327" t="s">
        <v>464</v>
      </c>
      <c r="E327" t="s">
        <v>34</v>
      </c>
      <c r="F327" t="s">
        <v>349</v>
      </c>
      <c r="G327" t="s">
        <v>26</v>
      </c>
      <c r="H327" t="s">
        <v>469</v>
      </c>
      <c r="I327" t="s">
        <v>43</v>
      </c>
      <c r="J327" t="s">
        <v>481</v>
      </c>
      <c r="K327">
        <v>0</v>
      </c>
      <c r="L327">
        <v>6</v>
      </c>
      <c r="M327">
        <v>4</v>
      </c>
      <c r="N327">
        <v>0</v>
      </c>
      <c r="O327">
        <f>_xlfn.XLOOKUP(VALINA[[#This Row],[id]],prov_color!A:A,prov_color!C:C)</f>
        <v>13</v>
      </c>
      <c r="P327" t="str">
        <f>_xlfn.XLOOKUP(VALINA[[#This Row],[id]],Table4[id],Table4[name])</f>
        <v>Presburg</v>
      </c>
      <c r="Q327" t="str">
        <f>_xlfn.XLOOKUP(VALINA[[#This Row],[name]],Trans!A:A,Trans!B:B)</f>
        <v>Presburg</v>
      </c>
    </row>
    <row r="328" spans="1:17" x14ac:dyDescent="0.25">
      <c r="A328">
        <v>327</v>
      </c>
      <c r="B328" t="s">
        <v>346</v>
      </c>
      <c r="C328" t="s">
        <v>463</v>
      </c>
      <c r="D328" t="s">
        <v>464</v>
      </c>
      <c r="E328" t="s">
        <v>22</v>
      </c>
      <c r="F328" t="s">
        <v>349</v>
      </c>
      <c r="G328" t="s">
        <v>26</v>
      </c>
      <c r="H328" t="s">
        <v>445</v>
      </c>
      <c r="I328" t="s">
        <v>141</v>
      </c>
      <c r="J328" t="s">
        <v>482</v>
      </c>
      <c r="K328">
        <v>0</v>
      </c>
      <c r="L328">
        <v>8</v>
      </c>
      <c r="M328">
        <v>4</v>
      </c>
      <c r="N328">
        <v>0</v>
      </c>
      <c r="O328">
        <f>_xlfn.XLOOKUP(VALINA[[#This Row],[id]],prov_color!A:A,prov_color!C:C)</f>
        <v>13</v>
      </c>
      <c r="P328" t="str">
        <f>_xlfn.XLOOKUP(VALINA[[#This Row],[id]],Table4[id],Table4[name])</f>
        <v>Ostmarch</v>
      </c>
      <c r="Q328" t="str">
        <f>_xlfn.XLOOKUP(VALINA[[#This Row],[name]],Trans!A:A,Trans!B:B)</f>
        <v>Ostmarch</v>
      </c>
    </row>
    <row r="329" spans="1:17" x14ac:dyDescent="0.25">
      <c r="A329">
        <v>328</v>
      </c>
      <c r="B329" t="s">
        <v>346</v>
      </c>
      <c r="C329" t="s">
        <v>463</v>
      </c>
      <c r="D329" t="s">
        <v>464</v>
      </c>
      <c r="E329" t="s">
        <v>22</v>
      </c>
      <c r="F329" t="s">
        <v>349</v>
      </c>
      <c r="G329" t="s">
        <v>26</v>
      </c>
      <c r="H329" t="s">
        <v>465</v>
      </c>
      <c r="I329" t="s">
        <v>43</v>
      </c>
      <c r="J329" t="s">
        <v>483</v>
      </c>
      <c r="K329">
        <v>0</v>
      </c>
      <c r="L329">
        <v>13</v>
      </c>
      <c r="M329">
        <v>4</v>
      </c>
      <c r="N329">
        <v>0</v>
      </c>
      <c r="O329">
        <f>_xlfn.XLOOKUP(VALINA[[#This Row],[id]],prov_color!A:A,prov_color!C:C)</f>
        <v>24</v>
      </c>
      <c r="P329" t="str">
        <f>_xlfn.XLOOKUP(VALINA[[#This Row],[id]],Table4[id],Table4[name])</f>
        <v>Bohemia</v>
      </c>
      <c r="Q329" t="str">
        <f>_xlfn.XLOOKUP(VALINA[[#This Row],[name]],Trans!A:A,Trans!B:B)</f>
        <v>Bohemia</v>
      </c>
    </row>
    <row r="330" spans="1:17" x14ac:dyDescent="0.25">
      <c r="A330">
        <v>329</v>
      </c>
      <c r="B330" t="s">
        <v>346</v>
      </c>
      <c r="C330" t="s">
        <v>463</v>
      </c>
      <c r="D330" t="s">
        <v>464</v>
      </c>
      <c r="E330" t="s">
        <v>14</v>
      </c>
      <c r="F330" t="s">
        <v>349</v>
      </c>
      <c r="G330" t="s">
        <v>26</v>
      </c>
      <c r="H330" t="s">
        <v>465</v>
      </c>
      <c r="I330" t="s">
        <v>141</v>
      </c>
      <c r="J330" t="s">
        <v>484</v>
      </c>
      <c r="K330">
        <v>0</v>
      </c>
      <c r="L330">
        <v>5</v>
      </c>
      <c r="M330">
        <v>3</v>
      </c>
      <c r="N330">
        <v>0</v>
      </c>
      <c r="O330">
        <f>_xlfn.XLOOKUP(VALINA[[#This Row],[id]],prov_color!A:A,prov_color!C:C)</f>
        <v>19</v>
      </c>
      <c r="P330" t="str">
        <f>_xlfn.XLOOKUP(VALINA[[#This Row],[id]],Table4[id],Table4[name])</f>
        <v>Erz</v>
      </c>
      <c r="Q330" t="str">
        <f>_xlfn.XLOOKUP(VALINA[[#This Row],[name]],Trans!A:A,Trans!B:B)</f>
        <v>Erz</v>
      </c>
    </row>
    <row r="331" spans="1:17" x14ac:dyDescent="0.25">
      <c r="A331">
        <v>330</v>
      </c>
      <c r="B331" t="s">
        <v>346</v>
      </c>
      <c r="C331" t="s">
        <v>463</v>
      </c>
      <c r="D331" t="s">
        <v>464</v>
      </c>
      <c r="E331" t="s">
        <v>14</v>
      </c>
      <c r="F331" t="s">
        <v>349</v>
      </c>
      <c r="G331" t="s">
        <v>26</v>
      </c>
      <c r="H331" t="s">
        <v>465</v>
      </c>
      <c r="I331" t="s">
        <v>212</v>
      </c>
      <c r="J331" t="s">
        <v>485</v>
      </c>
      <c r="K331">
        <v>0</v>
      </c>
      <c r="L331">
        <v>6</v>
      </c>
      <c r="M331">
        <v>3</v>
      </c>
      <c r="N331">
        <v>0</v>
      </c>
      <c r="O331">
        <f>_xlfn.XLOOKUP(VALINA[[#This Row],[id]],prov_color!A:A,prov_color!C:C)</f>
        <v>16</v>
      </c>
      <c r="P331" t="str">
        <f>_xlfn.XLOOKUP(VALINA[[#This Row],[id]],Table4[id],Table4[name])</f>
        <v>Sudeten</v>
      </c>
      <c r="Q331" t="str">
        <f>_xlfn.XLOOKUP(VALINA[[#This Row],[name]],Trans!A:A,Trans!B:B)</f>
        <v>Sudeten</v>
      </c>
    </row>
    <row r="332" spans="1:17" x14ac:dyDescent="0.25">
      <c r="A332">
        <v>331</v>
      </c>
      <c r="B332" t="s">
        <v>346</v>
      </c>
      <c r="C332" t="s">
        <v>447</v>
      </c>
      <c r="D332" t="s">
        <v>457</v>
      </c>
      <c r="E332" t="s">
        <v>22</v>
      </c>
      <c r="F332" t="s">
        <v>349</v>
      </c>
      <c r="G332" t="s">
        <v>26</v>
      </c>
      <c r="H332" t="s">
        <v>445</v>
      </c>
      <c r="I332" t="s">
        <v>141</v>
      </c>
      <c r="J332" t="s">
        <v>486</v>
      </c>
      <c r="K332">
        <v>0</v>
      </c>
      <c r="L332">
        <v>11</v>
      </c>
      <c r="M332">
        <v>4</v>
      </c>
      <c r="N332">
        <v>0</v>
      </c>
      <c r="O332">
        <f>_xlfn.XLOOKUP(VALINA[[#This Row],[id]],prov_color!A:A,prov_color!C:C)</f>
        <v>17</v>
      </c>
      <c r="P332" t="str">
        <f>_xlfn.XLOOKUP(VALINA[[#This Row],[id]],Table4[id],Table4[name])</f>
        <v>Sachsen</v>
      </c>
      <c r="Q332" t="str">
        <f>_xlfn.XLOOKUP(VALINA[[#This Row],[name]],Trans!A:A,Trans!B:B)</f>
        <v>Sachsen</v>
      </c>
    </row>
    <row r="333" spans="1:17" x14ac:dyDescent="0.25">
      <c r="A333">
        <v>332</v>
      </c>
      <c r="B333" t="s">
        <v>346</v>
      </c>
      <c r="C333" t="s">
        <v>447</v>
      </c>
      <c r="D333" t="s">
        <v>457</v>
      </c>
      <c r="E333" t="s">
        <v>34</v>
      </c>
      <c r="F333" t="s">
        <v>349</v>
      </c>
      <c r="G333" t="s">
        <v>26</v>
      </c>
      <c r="H333" t="s">
        <v>445</v>
      </c>
      <c r="I333" t="s">
        <v>41</v>
      </c>
      <c r="J333" t="s">
        <v>487</v>
      </c>
      <c r="K333">
        <v>0</v>
      </c>
      <c r="L333">
        <v>9</v>
      </c>
      <c r="M333">
        <v>4</v>
      </c>
      <c r="N333">
        <v>0</v>
      </c>
      <c r="O333">
        <f>_xlfn.XLOOKUP(VALINA[[#This Row],[id]],prov_color!A:A,prov_color!C:C)</f>
        <v>16</v>
      </c>
      <c r="P333" t="str">
        <f>_xlfn.XLOOKUP(VALINA[[#This Row],[id]],Table4[id],Table4[name])</f>
        <v>Anhalt</v>
      </c>
      <c r="Q333" t="str">
        <f>_xlfn.XLOOKUP(VALINA[[#This Row],[name]],Trans!A:A,Trans!B:B)</f>
        <v>Anhalt</v>
      </c>
    </row>
    <row r="334" spans="1:17" x14ac:dyDescent="0.25">
      <c r="A334">
        <v>333</v>
      </c>
      <c r="B334" t="s">
        <v>346</v>
      </c>
      <c r="C334" t="s">
        <v>447</v>
      </c>
      <c r="D334" t="s">
        <v>457</v>
      </c>
      <c r="E334" t="s">
        <v>22</v>
      </c>
      <c r="F334" t="s">
        <v>349</v>
      </c>
      <c r="G334" t="s">
        <v>26</v>
      </c>
      <c r="H334" t="s">
        <v>445</v>
      </c>
      <c r="I334" t="s">
        <v>352</v>
      </c>
      <c r="J334" t="s">
        <v>488</v>
      </c>
      <c r="K334">
        <v>0</v>
      </c>
      <c r="L334">
        <v>11</v>
      </c>
      <c r="M334">
        <v>4</v>
      </c>
      <c r="N334">
        <v>0</v>
      </c>
      <c r="O334">
        <f>_xlfn.XLOOKUP(VALINA[[#This Row],[id]],prov_color!A:A,prov_color!C:C)</f>
        <v>14</v>
      </c>
      <c r="P334" t="str">
        <f>_xlfn.XLOOKUP(VALINA[[#This Row],[id]],Table4[id],Table4[name])</f>
        <v>Hessen</v>
      </c>
      <c r="Q334" t="str">
        <f>_xlfn.XLOOKUP(VALINA[[#This Row],[name]],Trans!A:A,Trans!B:B)</f>
        <v>Hessen</v>
      </c>
    </row>
    <row r="335" spans="1:17" x14ac:dyDescent="0.25">
      <c r="A335">
        <v>334</v>
      </c>
      <c r="B335" t="s">
        <v>346</v>
      </c>
      <c r="C335" t="s">
        <v>447</v>
      </c>
      <c r="D335" t="s">
        <v>457</v>
      </c>
      <c r="E335" t="s">
        <v>34</v>
      </c>
      <c r="F335" t="s">
        <v>349</v>
      </c>
      <c r="G335" t="s">
        <v>26</v>
      </c>
      <c r="H335" t="s">
        <v>445</v>
      </c>
      <c r="I335" t="s">
        <v>53</v>
      </c>
      <c r="J335" t="s">
        <v>1622</v>
      </c>
      <c r="K335">
        <v>0</v>
      </c>
      <c r="L335">
        <v>7</v>
      </c>
      <c r="M335">
        <v>4</v>
      </c>
      <c r="N335">
        <v>0</v>
      </c>
      <c r="O335">
        <f>_xlfn.XLOOKUP(VALINA[[#This Row],[id]],prov_color!A:A,prov_color!C:C)</f>
        <v>11</v>
      </c>
      <c r="P335" t="str">
        <f>_xlfn.XLOOKUP(VALINA[[#This Row],[id]],Table4[id],Table4[name])</f>
        <v>Muunster</v>
      </c>
      <c r="Q335" t="str">
        <f>_xlfn.XLOOKUP(VALINA[[#This Row],[name]],Trans!A:A,Trans!B:B)</f>
        <v>M�nster</v>
      </c>
    </row>
    <row r="336" spans="1:17" x14ac:dyDescent="0.25">
      <c r="A336">
        <v>335</v>
      </c>
      <c r="B336" t="s">
        <v>346</v>
      </c>
      <c r="C336" t="s">
        <v>447</v>
      </c>
      <c r="D336" t="s">
        <v>448</v>
      </c>
      <c r="E336" t="s">
        <v>34</v>
      </c>
      <c r="F336" t="s">
        <v>349</v>
      </c>
      <c r="G336" t="s">
        <v>26</v>
      </c>
      <c r="H336" t="s">
        <v>445</v>
      </c>
      <c r="I336" t="s">
        <v>53</v>
      </c>
      <c r="J336" t="s">
        <v>489</v>
      </c>
      <c r="K336">
        <v>0</v>
      </c>
      <c r="L336">
        <v>6</v>
      </c>
      <c r="M336">
        <v>4</v>
      </c>
      <c r="N336">
        <v>0</v>
      </c>
      <c r="O336">
        <f>_xlfn.XLOOKUP(VALINA[[#This Row],[id]],prov_color!A:A,prov_color!C:C)</f>
        <v>14</v>
      </c>
      <c r="P336" t="str">
        <f>_xlfn.XLOOKUP(VALINA[[#This Row],[id]],Table4[id],Table4[name])</f>
        <v>Oldenburg</v>
      </c>
      <c r="Q336" t="str">
        <f>_xlfn.XLOOKUP(VALINA[[#This Row],[name]],Trans!A:A,Trans!B:B)</f>
        <v>Oldenburg</v>
      </c>
    </row>
    <row r="337" spans="1:17" x14ac:dyDescent="0.25">
      <c r="A337">
        <v>336</v>
      </c>
      <c r="B337" t="s">
        <v>346</v>
      </c>
      <c r="C337" t="s">
        <v>447</v>
      </c>
      <c r="D337" t="s">
        <v>448</v>
      </c>
      <c r="E337" t="s">
        <v>34</v>
      </c>
      <c r="F337" t="s">
        <v>349</v>
      </c>
      <c r="G337" t="s">
        <v>35</v>
      </c>
      <c r="H337" t="s">
        <v>445</v>
      </c>
      <c r="I337" t="s">
        <v>27</v>
      </c>
      <c r="J337" t="s">
        <v>490</v>
      </c>
      <c r="K337">
        <v>0</v>
      </c>
      <c r="L337">
        <v>9</v>
      </c>
      <c r="M337">
        <v>4</v>
      </c>
      <c r="N337">
        <v>0</v>
      </c>
      <c r="O337">
        <f>_xlfn.XLOOKUP(VALINA[[#This Row],[id]],prov_color!A:A,prov_color!C:C)</f>
        <v>11</v>
      </c>
      <c r="P337" t="str">
        <f>_xlfn.XLOOKUP(VALINA[[#This Row],[id]],Table4[id],Table4[name])</f>
        <v>Bremen</v>
      </c>
      <c r="Q337" t="str">
        <f>_xlfn.XLOOKUP(VALINA[[#This Row],[name]],Trans!A:A,Trans!B:B)</f>
        <v>Bremen</v>
      </c>
    </row>
    <row r="338" spans="1:17" x14ac:dyDescent="0.25">
      <c r="A338">
        <v>337</v>
      </c>
      <c r="B338" t="s">
        <v>346</v>
      </c>
      <c r="C338" t="s">
        <v>491</v>
      </c>
      <c r="D338" t="s">
        <v>492</v>
      </c>
      <c r="E338" t="s">
        <v>80</v>
      </c>
      <c r="F338" t="s">
        <v>349</v>
      </c>
      <c r="G338" t="s">
        <v>35</v>
      </c>
      <c r="H338" t="s">
        <v>493</v>
      </c>
      <c r="I338" t="s">
        <v>27</v>
      </c>
      <c r="J338" t="s">
        <v>494</v>
      </c>
      <c r="K338">
        <v>0</v>
      </c>
      <c r="L338">
        <v>11</v>
      </c>
      <c r="M338">
        <v>4</v>
      </c>
      <c r="N338">
        <v>0</v>
      </c>
      <c r="O338">
        <f>_xlfn.XLOOKUP(VALINA[[#This Row],[id]],prov_color!A:A,prov_color!C:C)</f>
        <v>10</v>
      </c>
      <c r="P338" t="str">
        <f>_xlfn.XLOOKUP(VALINA[[#This Row],[id]],Table4[id],Table4[name])</f>
        <v>Friesen</v>
      </c>
      <c r="Q338" t="str">
        <f>_xlfn.XLOOKUP(VALINA[[#This Row],[name]],Trans!A:A,Trans!B:B)</f>
        <v>Friesen</v>
      </c>
    </row>
    <row r="339" spans="1:17" x14ac:dyDescent="0.25">
      <c r="A339">
        <v>338</v>
      </c>
      <c r="B339" t="s">
        <v>346</v>
      </c>
      <c r="C339" t="s">
        <v>491</v>
      </c>
      <c r="D339" t="s">
        <v>492</v>
      </c>
      <c r="E339" t="s">
        <v>80</v>
      </c>
      <c r="F339" t="s">
        <v>349</v>
      </c>
      <c r="G339" t="s">
        <v>35</v>
      </c>
      <c r="H339" t="s">
        <v>493</v>
      </c>
      <c r="I339" t="s">
        <v>43</v>
      </c>
      <c r="J339" t="s">
        <v>495</v>
      </c>
      <c r="K339">
        <v>0</v>
      </c>
      <c r="L339">
        <v>13</v>
      </c>
      <c r="M339">
        <v>5</v>
      </c>
      <c r="N339">
        <v>0</v>
      </c>
      <c r="O339">
        <f>_xlfn.XLOOKUP(VALINA[[#This Row],[id]],prov_color!A:A,prov_color!C:C)</f>
        <v>11</v>
      </c>
      <c r="P339" t="str">
        <f>_xlfn.XLOOKUP(VALINA[[#This Row],[id]],Table4[id],Table4[name])</f>
        <v>Geldre</v>
      </c>
      <c r="Q339" t="str">
        <f>_xlfn.XLOOKUP(VALINA[[#This Row],[name]],Trans!A:A,Trans!B:B)</f>
        <v>Geldre</v>
      </c>
    </row>
    <row r="340" spans="1:17" x14ac:dyDescent="0.25">
      <c r="A340">
        <v>339</v>
      </c>
      <c r="B340" t="s">
        <v>346</v>
      </c>
      <c r="C340" t="s">
        <v>491</v>
      </c>
      <c r="D340" t="s">
        <v>492</v>
      </c>
      <c r="E340" t="s">
        <v>80</v>
      </c>
      <c r="F340" t="s">
        <v>349</v>
      </c>
      <c r="G340" t="s">
        <v>35</v>
      </c>
      <c r="H340" t="s">
        <v>493</v>
      </c>
      <c r="I340" t="s">
        <v>27</v>
      </c>
      <c r="J340" t="s">
        <v>496</v>
      </c>
      <c r="K340">
        <v>0</v>
      </c>
      <c r="L340">
        <v>17</v>
      </c>
      <c r="M340">
        <v>5</v>
      </c>
      <c r="N340">
        <v>0</v>
      </c>
      <c r="O340">
        <f>_xlfn.XLOOKUP(VALINA[[#This Row],[id]],prov_color!A:A,prov_color!C:C)</f>
        <v>12</v>
      </c>
      <c r="P340" t="str">
        <f>_xlfn.XLOOKUP(VALINA[[#This Row],[id]],Table4[id],Table4[name])</f>
        <v>Holland</v>
      </c>
      <c r="Q340" t="str">
        <f>_xlfn.XLOOKUP(VALINA[[#This Row],[name]],Trans!A:A,Trans!B:B)</f>
        <v>Holland</v>
      </c>
    </row>
    <row r="341" spans="1:17" x14ac:dyDescent="0.25">
      <c r="A341">
        <v>340</v>
      </c>
      <c r="B341" t="s">
        <v>346</v>
      </c>
      <c r="C341" t="s">
        <v>491</v>
      </c>
      <c r="D341" t="s">
        <v>492</v>
      </c>
      <c r="E341" t="s">
        <v>80</v>
      </c>
      <c r="F341" t="s">
        <v>349</v>
      </c>
      <c r="G341" t="s">
        <v>35</v>
      </c>
      <c r="H341" t="s">
        <v>493</v>
      </c>
      <c r="I341" t="s">
        <v>27</v>
      </c>
      <c r="J341" t="s">
        <v>497</v>
      </c>
      <c r="K341">
        <v>0</v>
      </c>
      <c r="L341">
        <v>15</v>
      </c>
      <c r="M341">
        <v>5</v>
      </c>
      <c r="N341">
        <v>0</v>
      </c>
      <c r="O341">
        <f>_xlfn.XLOOKUP(VALINA[[#This Row],[id]],prov_color!A:A,prov_color!C:C)</f>
        <v>13</v>
      </c>
      <c r="P341" t="str">
        <f>_xlfn.XLOOKUP(VALINA[[#This Row],[id]],Table4[id],Table4[name])</f>
        <v>Zeeland</v>
      </c>
      <c r="Q341" t="str">
        <f>_xlfn.XLOOKUP(VALINA[[#This Row],[name]],Trans!A:A,Trans!B:B)</f>
        <v>Zeeland</v>
      </c>
    </row>
    <row r="342" spans="1:17" x14ac:dyDescent="0.25">
      <c r="A342">
        <v>341</v>
      </c>
      <c r="B342" t="s">
        <v>346</v>
      </c>
      <c r="C342" t="s">
        <v>375</v>
      </c>
      <c r="D342" t="s">
        <v>379</v>
      </c>
      <c r="E342" t="s">
        <v>22</v>
      </c>
      <c r="F342" t="s">
        <v>349</v>
      </c>
      <c r="G342" t="s">
        <v>122</v>
      </c>
      <c r="H342" t="s">
        <v>377</v>
      </c>
      <c r="I342" t="s">
        <v>1612</v>
      </c>
      <c r="J342" t="s">
        <v>1623</v>
      </c>
      <c r="K342">
        <v>0</v>
      </c>
      <c r="L342">
        <v>1</v>
      </c>
      <c r="M342">
        <v>1</v>
      </c>
      <c r="N342">
        <v>0</v>
      </c>
      <c r="O342">
        <f>_xlfn.XLOOKUP(VALINA[[#This Row],[id]],prov_color!A:A,prov_color!C:C)</f>
        <v>33</v>
      </c>
      <c r="P342" t="str">
        <f>_xlfn.XLOOKUP(VALINA[[#This Row],[id]],Table4[id],Table4[name])</f>
        <v>Vusterbotten</v>
      </c>
      <c r="Q342" t="str">
        <f>_xlfn.XLOOKUP(VALINA[[#This Row],[name]],Trans!A:A,Trans!B:B)</f>
        <v>V�sterbotten</v>
      </c>
    </row>
    <row r="343" spans="1:17" x14ac:dyDescent="0.25">
      <c r="A343">
        <v>342</v>
      </c>
      <c r="B343" t="s">
        <v>346</v>
      </c>
      <c r="C343" t="s">
        <v>375</v>
      </c>
      <c r="D343" t="s">
        <v>396</v>
      </c>
      <c r="E343" t="s">
        <v>22</v>
      </c>
      <c r="F343" t="s">
        <v>349</v>
      </c>
      <c r="G343" t="s">
        <v>122</v>
      </c>
      <c r="H343" t="s">
        <v>377</v>
      </c>
      <c r="I343" t="s">
        <v>43</v>
      </c>
      <c r="J343" t="s">
        <v>396</v>
      </c>
      <c r="K343">
        <v>0</v>
      </c>
      <c r="L343">
        <v>4</v>
      </c>
      <c r="M343">
        <v>1</v>
      </c>
      <c r="N343">
        <v>0</v>
      </c>
      <c r="O343">
        <f>_xlfn.XLOOKUP(VALINA[[#This Row],[id]],prov_color!A:A,prov_color!C:C)</f>
        <v>36</v>
      </c>
      <c r="P343" t="str">
        <f>_xlfn.XLOOKUP(VALINA[[#This Row],[id]],Table4[id],Table4[name])</f>
        <v>Finland</v>
      </c>
      <c r="Q343" t="str">
        <f>_xlfn.XLOOKUP(VALINA[[#This Row],[name]],Trans!A:A,Trans!B:B)</f>
        <v>Finland</v>
      </c>
    </row>
    <row r="344" spans="1:17" x14ac:dyDescent="0.25">
      <c r="A344">
        <v>343</v>
      </c>
      <c r="B344" t="s">
        <v>346</v>
      </c>
      <c r="C344" t="s">
        <v>447</v>
      </c>
      <c r="D344" t="s">
        <v>457</v>
      </c>
      <c r="E344" t="s">
        <v>34</v>
      </c>
      <c r="F344" t="s">
        <v>349</v>
      </c>
      <c r="G344" t="s">
        <v>26</v>
      </c>
      <c r="H344" t="s">
        <v>445</v>
      </c>
      <c r="I344" t="s">
        <v>43</v>
      </c>
      <c r="J344" t="s">
        <v>499</v>
      </c>
      <c r="K344">
        <v>0</v>
      </c>
      <c r="L344">
        <v>7</v>
      </c>
      <c r="M344">
        <v>4</v>
      </c>
      <c r="N344">
        <v>0</v>
      </c>
      <c r="O344">
        <f>_xlfn.XLOOKUP(VALINA[[#This Row],[id]],prov_color!A:A,prov_color!C:C)</f>
        <v>12</v>
      </c>
      <c r="P344" t="str">
        <f>_xlfn.XLOOKUP(VALINA[[#This Row],[id]],Table4[id],Table4[name])</f>
        <v>Kleves</v>
      </c>
      <c r="Q344" t="str">
        <f>_xlfn.XLOOKUP(VALINA[[#This Row],[name]],Trans!A:A,Trans!B:B)</f>
        <v>Kleves</v>
      </c>
    </row>
    <row r="345" spans="1:17" x14ac:dyDescent="0.25">
      <c r="A345">
        <v>344</v>
      </c>
      <c r="B345" t="s">
        <v>346</v>
      </c>
      <c r="C345" t="s">
        <v>447</v>
      </c>
      <c r="D345" t="s">
        <v>457</v>
      </c>
      <c r="E345" t="s">
        <v>34</v>
      </c>
      <c r="F345" t="s">
        <v>349</v>
      </c>
      <c r="G345" t="s">
        <v>26</v>
      </c>
      <c r="H345" t="s">
        <v>445</v>
      </c>
      <c r="I345" t="s">
        <v>43</v>
      </c>
      <c r="J345" t="s">
        <v>1624</v>
      </c>
      <c r="K345">
        <v>0</v>
      </c>
      <c r="L345">
        <v>8</v>
      </c>
      <c r="M345">
        <v>4</v>
      </c>
      <c r="N345">
        <v>0</v>
      </c>
      <c r="O345">
        <f>_xlfn.XLOOKUP(VALINA[[#This Row],[id]],prov_color!A:A,prov_color!C:C)</f>
        <v>9</v>
      </c>
      <c r="P345" t="str">
        <f>_xlfn.XLOOKUP(VALINA[[#This Row],[id]],Table4[id],Table4[name])</f>
        <v>Koln</v>
      </c>
      <c r="Q345" t="str">
        <f>_xlfn.XLOOKUP(VALINA[[#This Row],[name]],Trans!A:A,Trans!B:B)</f>
        <v>K�ln</v>
      </c>
    </row>
    <row r="346" spans="1:17" x14ac:dyDescent="0.25">
      <c r="A346">
        <v>345</v>
      </c>
      <c r="B346" t="s">
        <v>346</v>
      </c>
      <c r="C346" t="s">
        <v>447</v>
      </c>
      <c r="D346" t="s">
        <v>457</v>
      </c>
      <c r="E346" t="s">
        <v>22</v>
      </c>
      <c r="F346" t="s">
        <v>349</v>
      </c>
      <c r="G346" t="s">
        <v>26</v>
      </c>
      <c r="H346" t="s">
        <v>445</v>
      </c>
      <c r="I346" t="s">
        <v>43</v>
      </c>
      <c r="J346" t="s">
        <v>501</v>
      </c>
      <c r="K346">
        <v>0</v>
      </c>
      <c r="L346">
        <v>9</v>
      </c>
      <c r="M346">
        <v>4</v>
      </c>
      <c r="N346">
        <v>0</v>
      </c>
      <c r="O346">
        <f>_xlfn.XLOOKUP(VALINA[[#This Row],[id]],prov_color!A:A,prov_color!C:C)</f>
        <v>12</v>
      </c>
      <c r="P346" t="str">
        <f>_xlfn.XLOOKUP(VALINA[[#This Row],[id]],Table4[id],Table4[name])</f>
        <v>Pfalz</v>
      </c>
      <c r="Q346" t="str">
        <f>_xlfn.XLOOKUP(VALINA[[#This Row],[name]],Trans!A:A,Trans!B:B)</f>
        <v>Pfalz</v>
      </c>
    </row>
    <row r="347" spans="1:17" x14ac:dyDescent="0.25">
      <c r="A347">
        <v>346</v>
      </c>
      <c r="B347" t="s">
        <v>346</v>
      </c>
      <c r="C347" t="s">
        <v>447</v>
      </c>
      <c r="D347" t="s">
        <v>457</v>
      </c>
      <c r="E347" t="s">
        <v>22</v>
      </c>
      <c r="F347" t="s">
        <v>349</v>
      </c>
      <c r="G347" t="s">
        <v>26</v>
      </c>
      <c r="H347" t="s">
        <v>445</v>
      </c>
      <c r="I347" t="s">
        <v>41</v>
      </c>
      <c r="J347" t="s">
        <v>502</v>
      </c>
      <c r="K347">
        <v>0</v>
      </c>
      <c r="L347">
        <v>7</v>
      </c>
      <c r="M347">
        <v>4</v>
      </c>
      <c r="N347">
        <v>0</v>
      </c>
      <c r="O347">
        <f>_xlfn.XLOOKUP(VALINA[[#This Row],[id]],prov_color!A:A,prov_color!C:C)</f>
        <v>15</v>
      </c>
      <c r="P347" t="str">
        <f>_xlfn.XLOOKUP(VALINA[[#This Row],[id]],Table4[id],Table4[name])</f>
        <v>Mainz</v>
      </c>
      <c r="Q347" t="str">
        <f>_xlfn.XLOOKUP(VALINA[[#This Row],[name]],Trans!A:A,Trans!B:B)</f>
        <v>Mainz</v>
      </c>
    </row>
    <row r="348" spans="1:17" x14ac:dyDescent="0.25">
      <c r="A348">
        <v>347</v>
      </c>
      <c r="B348" t="s">
        <v>346</v>
      </c>
      <c r="C348" t="s">
        <v>447</v>
      </c>
      <c r="D348" t="s">
        <v>457</v>
      </c>
      <c r="E348" t="s">
        <v>22</v>
      </c>
      <c r="F348" t="s">
        <v>349</v>
      </c>
      <c r="G348" t="s">
        <v>26</v>
      </c>
      <c r="H348" t="s">
        <v>445</v>
      </c>
      <c r="I348" t="s">
        <v>41</v>
      </c>
      <c r="J348" t="s">
        <v>1625</v>
      </c>
      <c r="K348">
        <v>0</v>
      </c>
      <c r="L348">
        <v>10</v>
      </c>
      <c r="M348">
        <v>4</v>
      </c>
      <c r="N348">
        <v>0</v>
      </c>
      <c r="O348">
        <f>_xlfn.XLOOKUP(VALINA[[#This Row],[id]],prov_color!A:A,prov_color!C:C)</f>
        <v>20</v>
      </c>
      <c r="P348" t="str">
        <f>_xlfn.XLOOKUP(VALINA[[#This Row],[id]],Table4[id],Table4[name])</f>
        <v>Wurzburg</v>
      </c>
      <c r="Q348" t="str">
        <f>_xlfn.XLOOKUP(VALINA[[#This Row],[name]],Trans!A:A,Trans!B:B)</f>
        <v>W�rzburg</v>
      </c>
    </row>
    <row r="349" spans="1:17" x14ac:dyDescent="0.25">
      <c r="A349">
        <v>348</v>
      </c>
      <c r="B349" t="s">
        <v>346</v>
      </c>
      <c r="C349" t="s">
        <v>447</v>
      </c>
      <c r="D349" t="s">
        <v>457</v>
      </c>
      <c r="E349" t="s">
        <v>22</v>
      </c>
      <c r="F349" t="s">
        <v>349</v>
      </c>
      <c r="G349" t="s">
        <v>26</v>
      </c>
      <c r="H349" t="s">
        <v>445</v>
      </c>
      <c r="I349" t="s">
        <v>141</v>
      </c>
      <c r="J349" t="s">
        <v>504</v>
      </c>
      <c r="K349">
        <v>0</v>
      </c>
      <c r="L349">
        <v>8</v>
      </c>
      <c r="M349">
        <v>4</v>
      </c>
      <c r="N349">
        <v>0</v>
      </c>
      <c r="O349">
        <f>_xlfn.XLOOKUP(VALINA[[#This Row],[id]],prov_color!A:A,prov_color!C:C)</f>
        <v>17</v>
      </c>
      <c r="P349" t="str">
        <f>_xlfn.XLOOKUP(VALINA[[#This Row],[id]],Table4[id],Table4[name])</f>
        <v>Ansbach</v>
      </c>
      <c r="Q349" t="str">
        <f>_xlfn.XLOOKUP(VALINA[[#This Row],[name]],Trans!A:A,Trans!B:B)</f>
        <v>Ansbach</v>
      </c>
    </row>
    <row r="350" spans="1:17" x14ac:dyDescent="0.25">
      <c r="A350">
        <v>349</v>
      </c>
      <c r="B350" t="s">
        <v>346</v>
      </c>
      <c r="C350" t="s">
        <v>447</v>
      </c>
      <c r="D350" t="s">
        <v>457</v>
      </c>
      <c r="E350" t="s">
        <v>22</v>
      </c>
      <c r="F350" t="s">
        <v>349</v>
      </c>
      <c r="G350" t="s">
        <v>26</v>
      </c>
      <c r="H350" t="s">
        <v>445</v>
      </c>
      <c r="I350" t="s">
        <v>43</v>
      </c>
      <c r="J350" t="s">
        <v>505</v>
      </c>
      <c r="K350">
        <v>0</v>
      </c>
      <c r="L350">
        <v>14</v>
      </c>
      <c r="M350">
        <v>6</v>
      </c>
      <c r="N350">
        <v>0</v>
      </c>
      <c r="O350">
        <f>_xlfn.XLOOKUP(VALINA[[#This Row],[id]],prov_color!A:A,prov_color!C:C)</f>
        <v>17</v>
      </c>
      <c r="P350" t="str">
        <f>_xlfn.XLOOKUP(VALINA[[#This Row],[id]],Table4[id],Table4[name])</f>
        <v>Bayern</v>
      </c>
      <c r="Q350" t="str">
        <f>_xlfn.XLOOKUP(VALINA[[#This Row],[name]],Trans!A:A,Trans!B:B)</f>
        <v>Bayern</v>
      </c>
    </row>
    <row r="351" spans="1:17" x14ac:dyDescent="0.25">
      <c r="A351">
        <v>350</v>
      </c>
      <c r="B351" t="s">
        <v>346</v>
      </c>
      <c r="C351" t="s">
        <v>463</v>
      </c>
      <c r="D351" t="s">
        <v>464</v>
      </c>
      <c r="E351" t="s">
        <v>14</v>
      </c>
      <c r="F351" t="s">
        <v>349</v>
      </c>
      <c r="G351" t="s">
        <v>26</v>
      </c>
      <c r="H351" t="s">
        <v>445</v>
      </c>
      <c r="I351" t="s">
        <v>53</v>
      </c>
      <c r="J351" t="s">
        <v>506</v>
      </c>
      <c r="K351">
        <v>0</v>
      </c>
      <c r="L351">
        <v>9</v>
      </c>
      <c r="M351">
        <v>4</v>
      </c>
      <c r="N351">
        <v>0</v>
      </c>
      <c r="O351">
        <f>_xlfn.XLOOKUP(VALINA[[#This Row],[id]],prov_color!A:A,prov_color!C:C)</f>
        <v>14</v>
      </c>
      <c r="P351" t="str">
        <f>_xlfn.XLOOKUP(VALINA[[#This Row],[id]],Table4[id],Table4[name])</f>
        <v>Salzburg</v>
      </c>
      <c r="Q351" t="str">
        <f>_xlfn.XLOOKUP(VALINA[[#This Row],[name]],Trans!A:A,Trans!B:B)</f>
        <v>Salzburg</v>
      </c>
    </row>
    <row r="352" spans="1:17" x14ac:dyDescent="0.25">
      <c r="A352">
        <v>351</v>
      </c>
      <c r="B352" t="s">
        <v>346</v>
      </c>
      <c r="C352" t="s">
        <v>463</v>
      </c>
      <c r="D352" t="s">
        <v>464</v>
      </c>
      <c r="E352" t="s">
        <v>22</v>
      </c>
      <c r="F352" t="s">
        <v>349</v>
      </c>
      <c r="G352" t="s">
        <v>26</v>
      </c>
      <c r="H352" t="s">
        <v>445</v>
      </c>
      <c r="I352" t="s">
        <v>43</v>
      </c>
      <c r="J352" t="s">
        <v>507</v>
      </c>
      <c r="K352">
        <v>0</v>
      </c>
      <c r="L352">
        <v>13</v>
      </c>
      <c r="M352">
        <v>6</v>
      </c>
      <c r="N352">
        <v>0</v>
      </c>
      <c r="O352">
        <f>_xlfn.XLOOKUP(VALINA[[#This Row],[id]],prov_color!A:A,prov_color!C:C)</f>
        <v>13</v>
      </c>
      <c r="P352" t="str">
        <f>_xlfn.XLOOKUP(VALINA[[#This Row],[id]],Table4[id],Table4[name])</f>
        <v>Austria</v>
      </c>
      <c r="Q352" t="str">
        <f>_xlfn.XLOOKUP(VALINA[[#This Row],[name]],Trans!A:A,Trans!B:B)</f>
        <v>Austria</v>
      </c>
    </row>
    <row r="353" spans="1:17" x14ac:dyDescent="0.25">
      <c r="A353">
        <v>352</v>
      </c>
      <c r="B353" t="s">
        <v>346</v>
      </c>
      <c r="C353" t="s">
        <v>463</v>
      </c>
      <c r="D353" t="s">
        <v>464</v>
      </c>
      <c r="E353" t="s">
        <v>34</v>
      </c>
      <c r="F353" t="s">
        <v>349</v>
      </c>
      <c r="G353" t="s">
        <v>26</v>
      </c>
      <c r="H353" t="s">
        <v>469</v>
      </c>
      <c r="I353" t="s">
        <v>212</v>
      </c>
      <c r="J353" t="s">
        <v>508</v>
      </c>
      <c r="K353">
        <v>0</v>
      </c>
      <c r="L353">
        <v>6</v>
      </c>
      <c r="M353">
        <v>3</v>
      </c>
      <c r="N353">
        <v>0</v>
      </c>
      <c r="O353">
        <f>_xlfn.XLOOKUP(VALINA[[#This Row],[id]],prov_color!A:A,prov_color!C:C)</f>
        <v>14</v>
      </c>
      <c r="P353" t="str">
        <f>_xlfn.XLOOKUP(VALINA[[#This Row],[id]],Table4[id],Table4[name])</f>
        <v>Odenburg</v>
      </c>
      <c r="Q353" t="str">
        <f>_xlfn.XLOOKUP(VALINA[[#This Row],[name]],Trans!A:A,Trans!B:B)</f>
        <v>Odenburg</v>
      </c>
    </row>
    <row r="354" spans="1:17" x14ac:dyDescent="0.25">
      <c r="A354">
        <v>353</v>
      </c>
      <c r="B354" t="s">
        <v>346</v>
      </c>
      <c r="C354" t="s">
        <v>463</v>
      </c>
      <c r="D354" t="s">
        <v>464</v>
      </c>
      <c r="E354" t="s">
        <v>34</v>
      </c>
      <c r="F354" t="s">
        <v>349</v>
      </c>
      <c r="G354" t="s">
        <v>26</v>
      </c>
      <c r="H354" t="s">
        <v>469</v>
      </c>
      <c r="I354" t="s">
        <v>43</v>
      </c>
      <c r="J354" t="s">
        <v>509</v>
      </c>
      <c r="K354">
        <v>0</v>
      </c>
      <c r="L354">
        <v>10</v>
      </c>
      <c r="M354">
        <v>3</v>
      </c>
      <c r="N354">
        <v>0</v>
      </c>
      <c r="O354">
        <f>_xlfn.XLOOKUP(VALINA[[#This Row],[id]],prov_color!A:A,prov_color!C:C)</f>
        <v>25</v>
      </c>
      <c r="P354" t="str">
        <f>_xlfn.XLOOKUP(VALINA[[#This Row],[id]],Table4[id],Table4[name])</f>
        <v>Pest</v>
      </c>
      <c r="Q354" t="str">
        <f>_xlfn.XLOOKUP(VALINA[[#This Row],[name]],Trans!A:A,Trans!B:B)</f>
        <v>Pest</v>
      </c>
    </row>
    <row r="355" spans="1:17" x14ac:dyDescent="0.25">
      <c r="A355">
        <v>354</v>
      </c>
      <c r="B355" t="s">
        <v>346</v>
      </c>
      <c r="C355" t="s">
        <v>463</v>
      </c>
      <c r="D355" t="s">
        <v>464</v>
      </c>
      <c r="E355" t="s">
        <v>34</v>
      </c>
      <c r="F355" t="s">
        <v>349</v>
      </c>
      <c r="G355" t="s">
        <v>26</v>
      </c>
      <c r="H355" t="s">
        <v>469</v>
      </c>
      <c r="I355" t="s">
        <v>41</v>
      </c>
      <c r="J355" t="s">
        <v>510</v>
      </c>
      <c r="K355">
        <v>0</v>
      </c>
      <c r="L355">
        <v>4</v>
      </c>
      <c r="M355">
        <v>3</v>
      </c>
      <c r="N355">
        <v>0</v>
      </c>
      <c r="O355">
        <f>_xlfn.XLOOKUP(VALINA[[#This Row],[id]],prov_color!A:A,prov_color!C:C)</f>
        <v>23</v>
      </c>
      <c r="P355" t="str">
        <f>_xlfn.XLOOKUP(VALINA[[#This Row],[id]],Table4[id],Table4[name])</f>
        <v>Banat</v>
      </c>
      <c r="Q355" t="str">
        <f>_xlfn.XLOOKUP(VALINA[[#This Row],[name]],Trans!A:A,Trans!B:B)</f>
        <v>Banat</v>
      </c>
    </row>
    <row r="356" spans="1:17" x14ac:dyDescent="0.25">
      <c r="A356">
        <v>355</v>
      </c>
      <c r="B356" t="s">
        <v>346</v>
      </c>
      <c r="C356" t="s">
        <v>463</v>
      </c>
      <c r="D356" t="s">
        <v>475</v>
      </c>
      <c r="E356" t="s">
        <v>34</v>
      </c>
      <c r="F356" t="s">
        <v>394</v>
      </c>
      <c r="G356" t="s">
        <v>26</v>
      </c>
      <c r="H356" t="s">
        <v>473</v>
      </c>
      <c r="I356" t="s">
        <v>43</v>
      </c>
      <c r="J356" t="s">
        <v>511</v>
      </c>
      <c r="K356">
        <v>0</v>
      </c>
      <c r="L356">
        <v>6</v>
      </c>
      <c r="M356">
        <v>3</v>
      </c>
      <c r="N356">
        <v>0</v>
      </c>
      <c r="O356">
        <f>_xlfn.XLOOKUP(VALINA[[#This Row],[id]],prov_color!A:A,prov_color!C:C)</f>
        <v>24</v>
      </c>
      <c r="P356" t="str">
        <f>_xlfn.XLOOKUP(VALINA[[#This Row],[id]],Table4[id],Table4[name])</f>
        <v>Serbia</v>
      </c>
      <c r="Q356" t="str">
        <f>_xlfn.XLOOKUP(VALINA[[#This Row],[name]],Trans!A:A,Trans!B:B)</f>
        <v>Serbia</v>
      </c>
    </row>
    <row r="357" spans="1:17" x14ac:dyDescent="0.25">
      <c r="A357">
        <v>356</v>
      </c>
      <c r="B357" t="s">
        <v>346</v>
      </c>
      <c r="C357" t="s">
        <v>463</v>
      </c>
      <c r="D357" t="s">
        <v>475</v>
      </c>
      <c r="E357" t="s">
        <v>14</v>
      </c>
      <c r="F357" t="s">
        <v>394</v>
      </c>
      <c r="G357" t="s">
        <v>26</v>
      </c>
      <c r="H357" t="s">
        <v>473</v>
      </c>
      <c r="I357" t="s">
        <v>141</v>
      </c>
      <c r="J357" t="s">
        <v>512</v>
      </c>
      <c r="K357">
        <v>0</v>
      </c>
      <c r="L357">
        <v>5</v>
      </c>
      <c r="M357">
        <v>3</v>
      </c>
      <c r="N357">
        <v>0</v>
      </c>
      <c r="O357">
        <f>_xlfn.XLOOKUP(VALINA[[#This Row],[id]],prov_color!A:A,prov_color!C:C)</f>
        <v>24</v>
      </c>
      <c r="P357" t="str">
        <f>_xlfn.XLOOKUP(VALINA[[#This Row],[id]],Table4[id],Table4[name])</f>
        <v>Bulgaria</v>
      </c>
      <c r="Q357" t="str">
        <f>_xlfn.XLOOKUP(VALINA[[#This Row],[name]],Trans!A:A,Trans!B:B)</f>
        <v>Bulgaria</v>
      </c>
    </row>
    <row r="358" spans="1:17" x14ac:dyDescent="0.25">
      <c r="A358">
        <v>357</v>
      </c>
      <c r="B358" t="s">
        <v>346</v>
      </c>
      <c r="C358" t="s">
        <v>463</v>
      </c>
      <c r="D358" t="s">
        <v>475</v>
      </c>
      <c r="E358" t="s">
        <v>34</v>
      </c>
      <c r="F358" t="s">
        <v>394</v>
      </c>
      <c r="G358" t="s">
        <v>35</v>
      </c>
      <c r="H358" t="s">
        <v>513</v>
      </c>
      <c r="I358" t="s">
        <v>43</v>
      </c>
      <c r="J358" t="s">
        <v>1160</v>
      </c>
      <c r="K358">
        <v>0</v>
      </c>
      <c r="L358">
        <v>17</v>
      </c>
      <c r="M358">
        <v>4</v>
      </c>
      <c r="N358">
        <v>0</v>
      </c>
      <c r="O358">
        <f>_xlfn.XLOOKUP(VALINA[[#This Row],[id]],prov_color!A:A,prov_color!C:C)</f>
        <v>24</v>
      </c>
      <c r="P358" t="str">
        <f>_xlfn.XLOOKUP(VALINA[[#This Row],[id]],Table4[id],Table4[name])</f>
        <v>Byzantium</v>
      </c>
      <c r="Q358" t="str">
        <f>_xlfn.XLOOKUP(VALINA[[#This Row],[name]],Trans!A:A,Trans!B:B)</f>
        <v>Thrace</v>
      </c>
    </row>
    <row r="359" spans="1:17" x14ac:dyDescent="0.25">
      <c r="A359">
        <v>358</v>
      </c>
      <c r="B359" t="s">
        <v>346</v>
      </c>
      <c r="C359" t="s">
        <v>463</v>
      </c>
      <c r="D359" t="s">
        <v>475</v>
      </c>
      <c r="E359" t="s">
        <v>34</v>
      </c>
      <c r="F359" t="s">
        <v>394</v>
      </c>
      <c r="G359" t="s">
        <v>35</v>
      </c>
      <c r="H359" t="s">
        <v>513</v>
      </c>
      <c r="I359" t="s">
        <v>43</v>
      </c>
      <c r="J359" t="s">
        <v>515</v>
      </c>
      <c r="K359">
        <v>0</v>
      </c>
      <c r="L359">
        <v>11</v>
      </c>
      <c r="M359">
        <v>4</v>
      </c>
      <c r="N359">
        <v>0</v>
      </c>
      <c r="O359">
        <f>_xlfn.XLOOKUP(VALINA[[#This Row],[id]],prov_color!A:A,prov_color!C:C)</f>
        <v>25</v>
      </c>
      <c r="P359" t="str">
        <f>_xlfn.XLOOKUP(VALINA[[#This Row],[id]],Table4[id],Table4[name])</f>
        <v>Macedonia</v>
      </c>
      <c r="Q359" t="str">
        <f>_xlfn.XLOOKUP(VALINA[[#This Row],[name]],Trans!A:A,Trans!B:B)</f>
        <v>Macedonia</v>
      </c>
    </row>
    <row r="360" spans="1:17" x14ac:dyDescent="0.25">
      <c r="A360">
        <v>359</v>
      </c>
      <c r="B360" t="s">
        <v>346</v>
      </c>
      <c r="C360" t="s">
        <v>516</v>
      </c>
      <c r="D360" t="s">
        <v>517</v>
      </c>
      <c r="E360" t="s">
        <v>34</v>
      </c>
      <c r="F360" t="s">
        <v>394</v>
      </c>
      <c r="G360" t="s">
        <v>35</v>
      </c>
      <c r="H360" t="s">
        <v>513</v>
      </c>
      <c r="I360" t="s">
        <v>27</v>
      </c>
      <c r="J360" t="s">
        <v>518</v>
      </c>
      <c r="K360">
        <v>0</v>
      </c>
      <c r="L360">
        <v>5</v>
      </c>
      <c r="M360">
        <v>3</v>
      </c>
      <c r="N360">
        <v>0</v>
      </c>
      <c r="O360">
        <f>_xlfn.XLOOKUP(VALINA[[#This Row],[id]],prov_color!A:A,prov_color!C:C)</f>
        <v>20</v>
      </c>
      <c r="P360" t="str">
        <f>_xlfn.XLOOKUP(VALINA[[#This Row],[id]],Table4[id],Table4[name])</f>
        <v>Hellas</v>
      </c>
      <c r="Q360" t="str">
        <f>_xlfn.XLOOKUP(VALINA[[#This Row],[name]],Trans!A:A,Trans!B:B)</f>
        <v>Hellas</v>
      </c>
    </row>
    <row r="361" spans="1:17" x14ac:dyDescent="0.25">
      <c r="A361">
        <v>360</v>
      </c>
      <c r="B361" t="s">
        <v>346</v>
      </c>
      <c r="C361" t="s">
        <v>516</v>
      </c>
      <c r="D361" t="s">
        <v>517</v>
      </c>
      <c r="E361" t="s">
        <v>14</v>
      </c>
      <c r="F361" t="s">
        <v>394</v>
      </c>
      <c r="G361" t="s">
        <v>35</v>
      </c>
      <c r="H361" t="s">
        <v>513</v>
      </c>
      <c r="I361" t="s">
        <v>37</v>
      </c>
      <c r="J361" t="s">
        <v>519</v>
      </c>
      <c r="K361">
        <v>0</v>
      </c>
      <c r="L361">
        <v>3</v>
      </c>
      <c r="M361">
        <v>3</v>
      </c>
      <c r="N361">
        <v>0</v>
      </c>
      <c r="O361">
        <f>_xlfn.XLOOKUP(VALINA[[#This Row],[id]],prov_color!A:A,prov_color!C:C)</f>
        <v>15</v>
      </c>
      <c r="P361" t="str">
        <f>_xlfn.XLOOKUP(VALINA[[#This Row],[id]],Table4[id],Table4[name])</f>
        <v>Morea</v>
      </c>
      <c r="Q361" t="str">
        <f>_xlfn.XLOOKUP(VALINA[[#This Row],[name]],Trans!A:A,Trans!B:B)</f>
        <v>Morea</v>
      </c>
    </row>
    <row r="362" spans="1:17" x14ac:dyDescent="0.25">
      <c r="A362">
        <v>361</v>
      </c>
      <c r="B362" t="s">
        <v>346</v>
      </c>
      <c r="C362" t="s">
        <v>463</v>
      </c>
      <c r="D362" t="s">
        <v>475</v>
      </c>
      <c r="E362" t="s">
        <v>14</v>
      </c>
      <c r="F362" t="s">
        <v>394</v>
      </c>
      <c r="G362" t="s">
        <v>35</v>
      </c>
      <c r="H362" t="s">
        <v>520</v>
      </c>
      <c r="I362" t="s">
        <v>41</v>
      </c>
      <c r="J362" t="s">
        <v>521</v>
      </c>
      <c r="K362">
        <v>0</v>
      </c>
      <c r="L362">
        <v>2</v>
      </c>
      <c r="M362">
        <v>3</v>
      </c>
      <c r="N362">
        <v>0</v>
      </c>
      <c r="O362">
        <f>_xlfn.XLOOKUP(VALINA[[#This Row],[id]],prov_color!A:A,prov_color!C:C)</f>
        <v>14</v>
      </c>
      <c r="P362" t="str">
        <f>_xlfn.XLOOKUP(VALINA[[#This Row],[id]],Table4[id],Table4[name])</f>
        <v>Albania</v>
      </c>
      <c r="Q362" t="str">
        <f>_xlfn.XLOOKUP(VALINA[[#This Row],[name]],Trans!A:A,Trans!B:B)</f>
        <v>Albania</v>
      </c>
    </row>
    <row r="363" spans="1:17" x14ac:dyDescent="0.25">
      <c r="A363">
        <v>362</v>
      </c>
      <c r="B363" t="s">
        <v>346</v>
      </c>
      <c r="C363" t="s">
        <v>463</v>
      </c>
      <c r="D363" t="s">
        <v>475</v>
      </c>
      <c r="E363" t="s">
        <v>14</v>
      </c>
      <c r="F363" t="s">
        <v>349</v>
      </c>
      <c r="G363" t="s">
        <v>35</v>
      </c>
      <c r="H363" t="s">
        <v>473</v>
      </c>
      <c r="I363" t="s">
        <v>27</v>
      </c>
      <c r="J363" t="s">
        <v>522</v>
      </c>
      <c r="K363">
        <v>0</v>
      </c>
      <c r="L363">
        <v>5</v>
      </c>
      <c r="M363">
        <v>3</v>
      </c>
      <c r="N363">
        <v>0</v>
      </c>
      <c r="O363">
        <f>_xlfn.XLOOKUP(VALINA[[#This Row],[id]],prov_color!A:A,prov_color!C:C)</f>
        <v>12</v>
      </c>
      <c r="P363" t="str">
        <f>_xlfn.XLOOKUP(VALINA[[#This Row],[id]],Table4[id],Table4[name])</f>
        <v>Ragusa</v>
      </c>
      <c r="Q363" t="str">
        <f>_xlfn.XLOOKUP(VALINA[[#This Row],[name]],Trans!A:A,Trans!B:B)</f>
        <v>Ragusa</v>
      </c>
    </row>
    <row r="364" spans="1:17" x14ac:dyDescent="0.25">
      <c r="A364">
        <v>363</v>
      </c>
      <c r="B364" t="s">
        <v>346</v>
      </c>
      <c r="C364" t="s">
        <v>463</v>
      </c>
      <c r="D364" t="s">
        <v>475</v>
      </c>
      <c r="E364" t="s">
        <v>22</v>
      </c>
      <c r="F364" t="s">
        <v>394</v>
      </c>
      <c r="G364" t="s">
        <v>26</v>
      </c>
      <c r="H364" t="s">
        <v>473</v>
      </c>
      <c r="I364" t="s">
        <v>41</v>
      </c>
      <c r="J364" t="s">
        <v>523</v>
      </c>
      <c r="K364">
        <v>0</v>
      </c>
      <c r="L364">
        <v>4</v>
      </c>
      <c r="M364">
        <v>3</v>
      </c>
      <c r="N364">
        <v>0</v>
      </c>
      <c r="O364">
        <f>_xlfn.XLOOKUP(VALINA[[#This Row],[id]],prov_color!A:A,prov_color!C:C)</f>
        <v>23</v>
      </c>
      <c r="P364" t="str">
        <f>_xlfn.XLOOKUP(VALINA[[#This Row],[id]],Table4[id],Table4[name])</f>
        <v>Kosovo</v>
      </c>
      <c r="Q364" t="str">
        <f>_xlfn.XLOOKUP(VALINA[[#This Row],[name]],Trans!A:A,Trans!B:B)</f>
        <v>Kosovo</v>
      </c>
    </row>
    <row r="365" spans="1:17" x14ac:dyDescent="0.25">
      <c r="A365">
        <v>364</v>
      </c>
      <c r="B365" t="s">
        <v>346</v>
      </c>
      <c r="C365" t="s">
        <v>463</v>
      </c>
      <c r="D365" t="s">
        <v>475</v>
      </c>
      <c r="E365" t="s">
        <v>14</v>
      </c>
      <c r="F365" t="s">
        <v>349</v>
      </c>
      <c r="G365" t="s">
        <v>26</v>
      </c>
      <c r="H365" t="s">
        <v>473</v>
      </c>
      <c r="I365" t="s">
        <v>41</v>
      </c>
      <c r="J365" t="s">
        <v>524</v>
      </c>
      <c r="K365">
        <v>0</v>
      </c>
      <c r="L365">
        <v>5</v>
      </c>
      <c r="M365">
        <v>3</v>
      </c>
      <c r="N365">
        <v>0</v>
      </c>
      <c r="O365">
        <f>_xlfn.XLOOKUP(VALINA[[#This Row],[id]],prov_color!A:A,prov_color!C:C)</f>
        <v>24</v>
      </c>
      <c r="P365" t="str">
        <f>_xlfn.XLOOKUP(VALINA[[#This Row],[id]],Table4[id],Table4[name])</f>
        <v>Bosnia</v>
      </c>
      <c r="Q365" t="str">
        <f>_xlfn.XLOOKUP(VALINA[[#This Row],[name]],Trans!A:A,Trans!B:B)</f>
        <v>Bosnia</v>
      </c>
    </row>
    <row r="366" spans="1:17" x14ac:dyDescent="0.25">
      <c r="A366">
        <v>365</v>
      </c>
      <c r="B366" t="s">
        <v>346</v>
      </c>
      <c r="C366" t="s">
        <v>463</v>
      </c>
      <c r="D366" t="s">
        <v>475</v>
      </c>
      <c r="E366" t="s">
        <v>14</v>
      </c>
      <c r="F366" t="s">
        <v>349</v>
      </c>
      <c r="G366" t="s">
        <v>35</v>
      </c>
      <c r="H366" t="s">
        <v>473</v>
      </c>
      <c r="I366" t="s">
        <v>41</v>
      </c>
      <c r="J366" t="s">
        <v>525</v>
      </c>
      <c r="K366">
        <v>0</v>
      </c>
      <c r="L366">
        <v>5</v>
      </c>
      <c r="M366">
        <v>3</v>
      </c>
      <c r="N366">
        <v>0</v>
      </c>
      <c r="O366">
        <f>_xlfn.XLOOKUP(VALINA[[#This Row],[id]],prov_color!A:A,prov_color!C:C)</f>
        <v>18</v>
      </c>
      <c r="P366" t="str">
        <f>_xlfn.XLOOKUP(VALINA[[#This Row],[id]],Table4[id],Table4[name])</f>
        <v>Dalmatia</v>
      </c>
      <c r="Q366" t="str">
        <f>_xlfn.XLOOKUP(VALINA[[#This Row],[name]],Trans!A:A,Trans!B:B)</f>
        <v>Dalmatia</v>
      </c>
    </row>
    <row r="367" spans="1:17" x14ac:dyDescent="0.25">
      <c r="A367">
        <v>366</v>
      </c>
      <c r="B367" t="s">
        <v>346</v>
      </c>
      <c r="C367" t="s">
        <v>463</v>
      </c>
      <c r="D367" t="s">
        <v>475</v>
      </c>
      <c r="E367" t="s">
        <v>22</v>
      </c>
      <c r="F367" t="s">
        <v>349</v>
      </c>
      <c r="G367" t="s">
        <v>26</v>
      </c>
      <c r="H367" t="s">
        <v>473</v>
      </c>
      <c r="I367" t="s">
        <v>352</v>
      </c>
      <c r="J367" t="s">
        <v>526</v>
      </c>
      <c r="K367">
        <v>0</v>
      </c>
      <c r="L367">
        <v>5</v>
      </c>
      <c r="M367">
        <v>3</v>
      </c>
      <c r="N367">
        <v>0</v>
      </c>
      <c r="O367">
        <f>_xlfn.XLOOKUP(VALINA[[#This Row],[id]],prov_color!A:A,prov_color!C:C)</f>
        <v>31</v>
      </c>
      <c r="P367" t="str">
        <f>_xlfn.XLOOKUP(VALINA[[#This Row],[id]],Table4[id],Table4[name])</f>
        <v>Croatia</v>
      </c>
      <c r="Q367" t="str">
        <f>_xlfn.XLOOKUP(VALINA[[#This Row],[name]],Trans!A:A,Trans!B:B)</f>
        <v>Croatia</v>
      </c>
    </row>
    <row r="368" spans="1:17" x14ac:dyDescent="0.25">
      <c r="A368">
        <v>367</v>
      </c>
      <c r="B368" t="s">
        <v>346</v>
      </c>
      <c r="C368" t="s">
        <v>463</v>
      </c>
      <c r="D368" t="s">
        <v>475</v>
      </c>
      <c r="E368" t="s">
        <v>14</v>
      </c>
      <c r="F368" t="s">
        <v>349</v>
      </c>
      <c r="G368" t="s">
        <v>26</v>
      </c>
      <c r="H368" t="s">
        <v>473</v>
      </c>
      <c r="I368" t="s">
        <v>141</v>
      </c>
      <c r="J368" t="s">
        <v>527</v>
      </c>
      <c r="K368">
        <v>0</v>
      </c>
      <c r="L368">
        <v>5</v>
      </c>
      <c r="M368">
        <v>3</v>
      </c>
      <c r="N368">
        <v>0</v>
      </c>
      <c r="O368">
        <f>_xlfn.XLOOKUP(VALINA[[#This Row],[id]],prov_color!A:A,prov_color!C:C)</f>
        <v>17</v>
      </c>
      <c r="P368" t="str">
        <f>_xlfn.XLOOKUP(VALINA[[#This Row],[id]],Table4[id],Table4[name])</f>
        <v>Krain</v>
      </c>
      <c r="Q368" t="str">
        <f>_xlfn.XLOOKUP(VALINA[[#This Row],[name]],Trans!A:A,Trans!B:B)</f>
        <v>Krain</v>
      </c>
    </row>
    <row r="369" spans="1:17" x14ac:dyDescent="0.25">
      <c r="A369">
        <v>368</v>
      </c>
      <c r="B369" t="s">
        <v>346</v>
      </c>
      <c r="C369" t="s">
        <v>516</v>
      </c>
      <c r="D369" t="s">
        <v>528</v>
      </c>
      <c r="E369" t="s">
        <v>14</v>
      </c>
      <c r="F369" t="s">
        <v>349</v>
      </c>
      <c r="G369" t="s">
        <v>35</v>
      </c>
      <c r="H369" t="s">
        <v>529</v>
      </c>
      <c r="I369" t="s">
        <v>41</v>
      </c>
      <c r="J369" t="s">
        <v>530</v>
      </c>
      <c r="K369">
        <v>0</v>
      </c>
      <c r="L369">
        <v>6</v>
      </c>
      <c r="M369">
        <v>3</v>
      </c>
      <c r="N369">
        <v>0</v>
      </c>
      <c r="O369">
        <f>_xlfn.XLOOKUP(VALINA[[#This Row],[id]],prov_color!A:A,prov_color!C:C)</f>
        <v>21</v>
      </c>
      <c r="P369" t="str">
        <f>_xlfn.XLOOKUP(VALINA[[#This Row],[id]],Table4[id],Table4[name])</f>
        <v>Istria</v>
      </c>
      <c r="Q369" t="str">
        <f>_xlfn.XLOOKUP(VALINA[[#This Row],[name]],Trans!A:A,Trans!B:B)</f>
        <v>Istria</v>
      </c>
    </row>
    <row r="370" spans="1:17" x14ac:dyDescent="0.25">
      <c r="A370">
        <v>369</v>
      </c>
      <c r="B370" t="s">
        <v>346</v>
      </c>
      <c r="C370" t="s">
        <v>463</v>
      </c>
      <c r="D370" t="s">
        <v>464</v>
      </c>
      <c r="E370" t="s">
        <v>14</v>
      </c>
      <c r="F370" t="s">
        <v>349</v>
      </c>
      <c r="G370" t="s">
        <v>26</v>
      </c>
      <c r="H370" t="s">
        <v>445</v>
      </c>
      <c r="I370" t="s">
        <v>18</v>
      </c>
      <c r="J370" t="s">
        <v>531</v>
      </c>
      <c r="K370">
        <v>0</v>
      </c>
      <c r="L370">
        <v>9</v>
      </c>
      <c r="M370">
        <v>3</v>
      </c>
      <c r="N370">
        <v>0</v>
      </c>
      <c r="O370">
        <f>_xlfn.XLOOKUP(VALINA[[#This Row],[id]],prov_color!A:A,prov_color!C:C)</f>
        <v>20</v>
      </c>
      <c r="P370" t="str">
        <f>_xlfn.XLOOKUP(VALINA[[#This Row],[id]],Table4[id],Table4[name])</f>
        <v>Steiermark</v>
      </c>
      <c r="Q370" t="str">
        <f>_xlfn.XLOOKUP(VALINA[[#This Row],[name]],Trans!A:A,Trans!B:B)</f>
        <v>Steiermark</v>
      </c>
    </row>
    <row r="371" spans="1:17" x14ac:dyDescent="0.25">
      <c r="A371">
        <v>370</v>
      </c>
      <c r="B371" t="s">
        <v>346</v>
      </c>
      <c r="C371" t="s">
        <v>516</v>
      </c>
      <c r="D371" t="s">
        <v>528</v>
      </c>
      <c r="E371" t="s">
        <v>80</v>
      </c>
      <c r="F371" t="s">
        <v>349</v>
      </c>
      <c r="G371" t="s">
        <v>35</v>
      </c>
      <c r="H371" t="s">
        <v>529</v>
      </c>
      <c r="I371" t="s">
        <v>27</v>
      </c>
      <c r="J371" t="s">
        <v>532</v>
      </c>
      <c r="K371">
        <v>0</v>
      </c>
      <c r="L371">
        <v>15</v>
      </c>
      <c r="M371">
        <v>6</v>
      </c>
      <c r="N371">
        <v>0</v>
      </c>
      <c r="O371">
        <f>_xlfn.XLOOKUP(VALINA[[#This Row],[id]],prov_color!A:A,prov_color!C:C)</f>
        <v>17</v>
      </c>
      <c r="P371" t="str">
        <f>_xlfn.XLOOKUP(VALINA[[#This Row],[id]],Table4[id],Table4[name])</f>
        <v>Veneto</v>
      </c>
      <c r="Q371" t="str">
        <f>_xlfn.XLOOKUP(VALINA[[#This Row],[name]],Trans!A:A,Trans!B:B)</f>
        <v>Veneto</v>
      </c>
    </row>
    <row r="372" spans="1:17" x14ac:dyDescent="0.25">
      <c r="A372">
        <v>371</v>
      </c>
      <c r="B372" t="s">
        <v>346</v>
      </c>
      <c r="C372" t="s">
        <v>463</v>
      </c>
      <c r="D372" t="s">
        <v>464</v>
      </c>
      <c r="E372" t="s">
        <v>14</v>
      </c>
      <c r="F372" t="s">
        <v>349</v>
      </c>
      <c r="G372" t="s">
        <v>26</v>
      </c>
      <c r="H372" t="s">
        <v>445</v>
      </c>
      <c r="I372" t="s">
        <v>141</v>
      </c>
      <c r="J372" t="s">
        <v>533</v>
      </c>
      <c r="K372">
        <v>0</v>
      </c>
      <c r="L372">
        <v>4</v>
      </c>
      <c r="M372">
        <v>2</v>
      </c>
      <c r="N372">
        <v>0</v>
      </c>
      <c r="O372">
        <f>_xlfn.XLOOKUP(VALINA[[#This Row],[id]],prov_color!A:A,prov_color!C:C)</f>
        <v>24</v>
      </c>
      <c r="P372" t="str">
        <f>_xlfn.XLOOKUP(VALINA[[#This Row],[id]],Table4[id],Table4[name])</f>
        <v>Tirol</v>
      </c>
      <c r="Q372" t="str">
        <f>_xlfn.XLOOKUP(VALINA[[#This Row],[name]],Trans!A:A,Trans!B:B)</f>
        <v>Tirol</v>
      </c>
    </row>
    <row r="373" spans="1:17" x14ac:dyDescent="0.25">
      <c r="A373">
        <v>372</v>
      </c>
      <c r="B373" t="s">
        <v>346</v>
      </c>
      <c r="C373" t="s">
        <v>447</v>
      </c>
      <c r="D373" t="s">
        <v>457</v>
      </c>
      <c r="E373" t="s">
        <v>22</v>
      </c>
      <c r="F373" t="s">
        <v>349</v>
      </c>
      <c r="G373" t="s">
        <v>26</v>
      </c>
      <c r="H373" t="s">
        <v>445</v>
      </c>
      <c r="I373" t="s">
        <v>141</v>
      </c>
      <c r="J373" t="s">
        <v>1626</v>
      </c>
      <c r="K373">
        <v>0</v>
      </c>
      <c r="L373">
        <v>8</v>
      </c>
      <c r="M373">
        <v>4</v>
      </c>
      <c r="N373">
        <v>0</v>
      </c>
      <c r="O373">
        <f>_xlfn.XLOOKUP(VALINA[[#This Row],[id]],prov_color!A:A,prov_color!C:C)</f>
        <v>20</v>
      </c>
      <c r="P373" t="str">
        <f>_xlfn.XLOOKUP(VALINA[[#This Row],[id]],Table4[id],Table4[name])</f>
        <v>Wurttemberg</v>
      </c>
      <c r="Q373" t="str">
        <f>_xlfn.XLOOKUP(VALINA[[#This Row],[name]],Trans!A:A,Trans!B:B)</f>
        <v>W�rttemberg</v>
      </c>
    </row>
    <row r="374" spans="1:17" x14ac:dyDescent="0.25">
      <c r="A374">
        <v>373</v>
      </c>
      <c r="B374" t="s">
        <v>346</v>
      </c>
      <c r="C374" t="s">
        <v>447</v>
      </c>
      <c r="D374" t="s">
        <v>457</v>
      </c>
      <c r="E374" t="s">
        <v>22</v>
      </c>
      <c r="F374" t="s">
        <v>349</v>
      </c>
      <c r="G374" t="s">
        <v>26</v>
      </c>
      <c r="H374" t="s">
        <v>445</v>
      </c>
      <c r="I374" t="s">
        <v>18</v>
      </c>
      <c r="J374" t="s">
        <v>535</v>
      </c>
      <c r="K374">
        <v>0</v>
      </c>
      <c r="L374">
        <v>7</v>
      </c>
      <c r="M374">
        <v>4</v>
      </c>
      <c r="N374">
        <v>0</v>
      </c>
      <c r="O374">
        <f>_xlfn.XLOOKUP(VALINA[[#This Row],[id]],prov_color!A:A,prov_color!C:C)</f>
        <v>17</v>
      </c>
      <c r="P374" t="str">
        <f>_xlfn.XLOOKUP(VALINA[[#This Row],[id]],Table4[id],Table4[name])</f>
        <v>Baden</v>
      </c>
      <c r="Q374" t="str">
        <f>_xlfn.XLOOKUP(VALINA[[#This Row],[name]],Trans!A:A,Trans!B:B)</f>
        <v>Baden</v>
      </c>
    </row>
    <row r="375" spans="1:17" x14ac:dyDescent="0.25">
      <c r="A375">
        <v>374</v>
      </c>
      <c r="B375" t="s">
        <v>346</v>
      </c>
      <c r="C375" t="s">
        <v>447</v>
      </c>
      <c r="D375" t="s">
        <v>536</v>
      </c>
      <c r="E375" t="s">
        <v>22</v>
      </c>
      <c r="F375" t="s">
        <v>349</v>
      </c>
      <c r="G375" t="s">
        <v>26</v>
      </c>
      <c r="H375" t="s">
        <v>445</v>
      </c>
      <c r="I375" t="s">
        <v>37</v>
      </c>
      <c r="J375" t="s">
        <v>537</v>
      </c>
      <c r="K375">
        <v>0</v>
      </c>
      <c r="L375">
        <v>10</v>
      </c>
      <c r="M375">
        <v>6</v>
      </c>
      <c r="N375">
        <v>0</v>
      </c>
      <c r="O375">
        <f>_xlfn.XLOOKUP(VALINA[[#This Row],[id]],prov_color!A:A,prov_color!C:C)</f>
        <v>17</v>
      </c>
      <c r="P375" t="str">
        <f>_xlfn.XLOOKUP(VALINA[[#This Row],[id]],Table4[id],Table4[name])</f>
        <v>Alsace</v>
      </c>
      <c r="Q375" t="str">
        <f>_xlfn.XLOOKUP(VALINA[[#This Row],[name]],Trans!A:A,Trans!B:B)</f>
        <v>Alsace</v>
      </c>
    </row>
    <row r="376" spans="1:17" x14ac:dyDescent="0.25">
      <c r="A376">
        <v>375</v>
      </c>
      <c r="B376" t="s">
        <v>346</v>
      </c>
      <c r="C376" t="s">
        <v>447</v>
      </c>
      <c r="D376" t="s">
        <v>536</v>
      </c>
      <c r="E376" t="s">
        <v>22</v>
      </c>
      <c r="F376" t="s">
        <v>349</v>
      </c>
      <c r="G376" t="s">
        <v>26</v>
      </c>
      <c r="H376" t="s">
        <v>538</v>
      </c>
      <c r="I376" t="s">
        <v>141</v>
      </c>
      <c r="J376" t="s">
        <v>539</v>
      </c>
      <c r="K376">
        <v>0</v>
      </c>
      <c r="L376">
        <v>9</v>
      </c>
      <c r="M376">
        <v>6</v>
      </c>
      <c r="N376">
        <v>0</v>
      </c>
      <c r="O376">
        <f>_xlfn.XLOOKUP(VALINA[[#This Row],[id]],prov_color!A:A,prov_color!C:C)</f>
        <v>12</v>
      </c>
      <c r="P376" t="str">
        <f>_xlfn.XLOOKUP(VALINA[[#This Row],[id]],Table4[id],Table4[name])</f>
        <v>Lorraine</v>
      </c>
      <c r="Q376" t="str">
        <f>_xlfn.XLOOKUP(VALINA[[#This Row],[name]],Trans!A:A,Trans!B:B)</f>
        <v>Lorraine</v>
      </c>
    </row>
    <row r="377" spans="1:17" x14ac:dyDescent="0.25">
      <c r="A377">
        <v>376</v>
      </c>
      <c r="B377" t="s">
        <v>346</v>
      </c>
      <c r="C377" t="s">
        <v>491</v>
      </c>
      <c r="D377" t="s">
        <v>540</v>
      </c>
      <c r="E377" t="s">
        <v>34</v>
      </c>
      <c r="F377" t="s">
        <v>349</v>
      </c>
      <c r="G377" t="s">
        <v>26</v>
      </c>
      <c r="H377" t="s">
        <v>538</v>
      </c>
      <c r="I377" t="s">
        <v>37</v>
      </c>
      <c r="J377" t="s">
        <v>541</v>
      </c>
      <c r="K377">
        <v>0</v>
      </c>
      <c r="L377">
        <v>13</v>
      </c>
      <c r="M377">
        <v>5</v>
      </c>
      <c r="N377">
        <v>0</v>
      </c>
      <c r="O377">
        <f>_xlfn.XLOOKUP(VALINA[[#This Row],[id]],prov_color!A:A,prov_color!C:C)</f>
        <v>12</v>
      </c>
      <c r="P377" t="str">
        <f>_xlfn.XLOOKUP(VALINA[[#This Row],[id]],Table4[id],Table4[name])</f>
        <v>Champagne</v>
      </c>
      <c r="Q377" t="str">
        <f>_xlfn.XLOOKUP(VALINA[[#This Row],[name]],Trans!A:A,Trans!B:B)</f>
        <v>Champagne</v>
      </c>
    </row>
    <row r="378" spans="1:17" x14ac:dyDescent="0.25">
      <c r="A378">
        <v>377</v>
      </c>
      <c r="B378" t="s">
        <v>346</v>
      </c>
      <c r="C378" t="s">
        <v>491</v>
      </c>
      <c r="D378" t="s">
        <v>492</v>
      </c>
      <c r="E378" t="s">
        <v>22</v>
      </c>
      <c r="F378" t="s">
        <v>349</v>
      </c>
      <c r="G378" t="s">
        <v>26</v>
      </c>
      <c r="H378" t="s">
        <v>445</v>
      </c>
      <c r="I378" t="s">
        <v>141</v>
      </c>
      <c r="J378" t="s">
        <v>542</v>
      </c>
      <c r="K378">
        <v>0</v>
      </c>
      <c r="L378">
        <v>10</v>
      </c>
      <c r="M378">
        <v>5</v>
      </c>
      <c r="N378">
        <v>0</v>
      </c>
      <c r="O378">
        <f>_xlfn.XLOOKUP(VALINA[[#This Row],[id]],prov_color!A:A,prov_color!C:C)</f>
        <v>10</v>
      </c>
      <c r="P378" t="str">
        <f>_xlfn.XLOOKUP(VALINA[[#This Row],[id]],Table4[id],Table4[name])</f>
        <v>Luxembourg</v>
      </c>
      <c r="Q378" t="str">
        <f>_xlfn.XLOOKUP(VALINA[[#This Row],[name]],Trans!A:A,Trans!B:B)</f>
        <v>Luxembourg</v>
      </c>
    </row>
    <row r="379" spans="1:17" x14ac:dyDescent="0.25">
      <c r="A379">
        <v>378</v>
      </c>
      <c r="B379" t="s">
        <v>346</v>
      </c>
      <c r="C379" t="s">
        <v>491</v>
      </c>
      <c r="D379" t="s">
        <v>492</v>
      </c>
      <c r="E379" t="s">
        <v>34</v>
      </c>
      <c r="F379" t="s">
        <v>349</v>
      </c>
      <c r="G379" t="s">
        <v>35</v>
      </c>
      <c r="H379" t="s">
        <v>493</v>
      </c>
      <c r="I379" t="s">
        <v>352</v>
      </c>
      <c r="J379" t="s">
        <v>543</v>
      </c>
      <c r="K379">
        <v>0</v>
      </c>
      <c r="L379">
        <v>15</v>
      </c>
      <c r="M379">
        <v>5</v>
      </c>
      <c r="N379">
        <v>0</v>
      </c>
      <c r="O379">
        <f>_xlfn.XLOOKUP(VALINA[[#This Row],[id]],prov_color!A:A,prov_color!C:C)</f>
        <v>9</v>
      </c>
      <c r="P379" t="str">
        <f>_xlfn.XLOOKUP(VALINA[[#This Row],[id]],Table4[id],Table4[name])</f>
        <v>Brabant</v>
      </c>
      <c r="Q379" t="str">
        <f>_xlfn.XLOOKUP(VALINA[[#This Row],[name]],Trans!A:A,Trans!B:B)</f>
        <v>Brabant</v>
      </c>
    </row>
    <row r="380" spans="1:17" x14ac:dyDescent="0.25">
      <c r="A380">
        <v>379</v>
      </c>
      <c r="B380" t="s">
        <v>346</v>
      </c>
      <c r="C380" t="s">
        <v>491</v>
      </c>
      <c r="D380" t="s">
        <v>492</v>
      </c>
      <c r="E380" t="s">
        <v>34</v>
      </c>
      <c r="F380" t="s">
        <v>349</v>
      </c>
      <c r="G380" t="s">
        <v>35</v>
      </c>
      <c r="H380" t="s">
        <v>538</v>
      </c>
      <c r="I380" t="s">
        <v>352</v>
      </c>
      <c r="J380" t="s">
        <v>544</v>
      </c>
      <c r="K380">
        <v>0</v>
      </c>
      <c r="L380">
        <v>10</v>
      </c>
      <c r="M380">
        <v>6</v>
      </c>
      <c r="N380">
        <v>0</v>
      </c>
      <c r="O380">
        <f>_xlfn.XLOOKUP(VALINA[[#This Row],[id]],prov_color!A:A,prov_color!C:C)</f>
        <v>8</v>
      </c>
      <c r="P380" t="str">
        <f>_xlfn.XLOOKUP(VALINA[[#This Row],[id]],Table4[id],Table4[name])</f>
        <v>Artois</v>
      </c>
      <c r="Q380" t="str">
        <f>_xlfn.XLOOKUP(VALINA[[#This Row],[name]],Trans!A:A,Trans!B:B)</f>
        <v>Artois</v>
      </c>
    </row>
    <row r="381" spans="1:17" x14ac:dyDescent="0.25">
      <c r="A381">
        <v>380</v>
      </c>
      <c r="B381" t="s">
        <v>346</v>
      </c>
      <c r="C381" t="s">
        <v>491</v>
      </c>
      <c r="D381" t="s">
        <v>492</v>
      </c>
      <c r="E381" t="s">
        <v>34</v>
      </c>
      <c r="F381" t="s">
        <v>349</v>
      </c>
      <c r="G381" t="s">
        <v>35</v>
      </c>
      <c r="H381" t="s">
        <v>493</v>
      </c>
      <c r="I381" t="s">
        <v>352</v>
      </c>
      <c r="J381" t="s">
        <v>545</v>
      </c>
      <c r="K381">
        <v>0</v>
      </c>
      <c r="L381">
        <v>17</v>
      </c>
      <c r="M381">
        <v>6</v>
      </c>
      <c r="N381">
        <v>0</v>
      </c>
      <c r="O381">
        <f>_xlfn.XLOOKUP(VALINA[[#This Row],[id]],prov_color!A:A,prov_color!C:C)</f>
        <v>13</v>
      </c>
      <c r="P381" t="str">
        <f>_xlfn.XLOOKUP(VALINA[[#This Row],[id]],Table4[id],Table4[name])</f>
        <v>Flandern</v>
      </c>
      <c r="Q381" t="str">
        <f>_xlfn.XLOOKUP(VALINA[[#This Row],[name]],Trans!A:A,Trans!B:B)</f>
        <v>Flandern</v>
      </c>
    </row>
    <row r="382" spans="1:17" x14ac:dyDescent="0.25">
      <c r="A382">
        <v>381</v>
      </c>
      <c r="B382" t="s">
        <v>346</v>
      </c>
      <c r="C382" t="s">
        <v>375</v>
      </c>
      <c r="D382" t="s">
        <v>383</v>
      </c>
      <c r="E382" t="s">
        <v>22</v>
      </c>
      <c r="F382" t="s">
        <v>349</v>
      </c>
      <c r="G382" t="s">
        <v>122</v>
      </c>
      <c r="H382" t="s">
        <v>377</v>
      </c>
      <c r="I382" t="s">
        <v>20</v>
      </c>
      <c r="J382" t="s">
        <v>1627</v>
      </c>
      <c r="K382">
        <v>0</v>
      </c>
      <c r="L382">
        <v>2</v>
      </c>
      <c r="M382">
        <v>1</v>
      </c>
      <c r="N382">
        <v>0</v>
      </c>
      <c r="O382">
        <f>_xlfn.XLOOKUP(VALINA[[#This Row],[id]],prov_color!A:A,prov_color!C:C)</f>
        <v>37</v>
      </c>
      <c r="P382" t="str">
        <f>_xlfn.XLOOKUP(VALINA[[#This Row],[id]],Table4[id],Table4[name])</f>
        <v>Jamtland</v>
      </c>
      <c r="Q382" t="str">
        <f>_xlfn.XLOOKUP(VALINA[[#This Row],[name]],Trans!A:A,Trans!B:B)</f>
        <v>J�mtland</v>
      </c>
    </row>
    <row r="383" spans="1:17" x14ac:dyDescent="0.25">
      <c r="A383">
        <v>382</v>
      </c>
      <c r="B383" t="s">
        <v>346</v>
      </c>
      <c r="C383" t="s">
        <v>491</v>
      </c>
      <c r="D383" t="s">
        <v>540</v>
      </c>
      <c r="E383" t="s">
        <v>34</v>
      </c>
      <c r="F383" t="s">
        <v>349</v>
      </c>
      <c r="G383" t="s">
        <v>35</v>
      </c>
      <c r="H383" t="s">
        <v>360</v>
      </c>
      <c r="I383" t="s">
        <v>352</v>
      </c>
      <c r="J383" t="s">
        <v>547</v>
      </c>
      <c r="K383">
        <v>0</v>
      </c>
      <c r="L383">
        <v>15</v>
      </c>
      <c r="M383">
        <v>5</v>
      </c>
      <c r="N383">
        <v>0</v>
      </c>
      <c r="O383">
        <f>_xlfn.XLOOKUP(VALINA[[#This Row],[id]],prov_color!A:A,prov_color!C:C)</f>
        <v>10</v>
      </c>
      <c r="P383" t="str">
        <f>_xlfn.XLOOKUP(VALINA[[#This Row],[id]],Table4[id],Table4[name])</f>
        <v>Calais</v>
      </c>
      <c r="Q383" t="str">
        <f>_xlfn.XLOOKUP(VALINA[[#This Row],[name]],Trans!A:A,Trans!B:B)</f>
        <v>Calais</v>
      </c>
    </row>
    <row r="384" spans="1:17" x14ac:dyDescent="0.25">
      <c r="A384">
        <v>383</v>
      </c>
      <c r="B384" t="s">
        <v>346</v>
      </c>
      <c r="C384" t="s">
        <v>491</v>
      </c>
      <c r="D384" t="s">
        <v>540</v>
      </c>
      <c r="E384" t="s">
        <v>34</v>
      </c>
      <c r="F384" t="s">
        <v>349</v>
      </c>
      <c r="G384" t="s">
        <v>35</v>
      </c>
      <c r="H384" t="s">
        <v>538</v>
      </c>
      <c r="I384" t="s">
        <v>352</v>
      </c>
      <c r="J384" t="s">
        <v>548</v>
      </c>
      <c r="K384">
        <v>0</v>
      </c>
      <c r="L384">
        <v>6</v>
      </c>
      <c r="M384">
        <v>5</v>
      </c>
      <c r="N384">
        <v>0</v>
      </c>
      <c r="O384">
        <f>_xlfn.XLOOKUP(VALINA[[#This Row],[id]],prov_color!A:A,prov_color!C:C)</f>
        <v>8</v>
      </c>
      <c r="P384" t="str">
        <f>_xlfn.XLOOKUP(VALINA[[#This Row],[id]],Table4[id],Table4[name])</f>
        <v>Picardie</v>
      </c>
      <c r="Q384" t="str">
        <f>_xlfn.XLOOKUP(VALINA[[#This Row],[name]],Trans!A:A,Trans!B:B)</f>
        <v>Picardie</v>
      </c>
    </row>
    <row r="385" spans="1:17" x14ac:dyDescent="0.25">
      <c r="A385">
        <v>384</v>
      </c>
      <c r="B385" t="s">
        <v>346</v>
      </c>
      <c r="C385" t="s">
        <v>491</v>
      </c>
      <c r="D385" t="s">
        <v>540</v>
      </c>
      <c r="E385" t="s">
        <v>34</v>
      </c>
      <c r="F385" t="s">
        <v>349</v>
      </c>
      <c r="G385" t="s">
        <v>35</v>
      </c>
      <c r="H385" t="s">
        <v>538</v>
      </c>
      <c r="I385" t="s">
        <v>27</v>
      </c>
      <c r="J385" t="s">
        <v>549</v>
      </c>
      <c r="K385">
        <v>0</v>
      </c>
      <c r="L385">
        <v>6</v>
      </c>
      <c r="M385">
        <v>5</v>
      </c>
      <c r="N385">
        <v>0</v>
      </c>
      <c r="O385">
        <f>_xlfn.XLOOKUP(VALINA[[#This Row],[id]],prov_color!A:A,prov_color!C:C)</f>
        <v>12</v>
      </c>
      <c r="P385" t="str">
        <f>_xlfn.XLOOKUP(VALINA[[#This Row],[id]],Table4[id],Table4[name])</f>
        <v>Caux</v>
      </c>
      <c r="Q385" t="str">
        <f>_xlfn.XLOOKUP(VALINA[[#This Row],[name]],Trans!A:A,Trans!B:B)</f>
        <v>Caux</v>
      </c>
    </row>
    <row r="386" spans="1:17" x14ac:dyDescent="0.25">
      <c r="A386">
        <v>385</v>
      </c>
      <c r="B386" t="s">
        <v>346</v>
      </c>
      <c r="C386" t="s">
        <v>491</v>
      </c>
      <c r="D386" t="s">
        <v>540</v>
      </c>
      <c r="E386" t="s">
        <v>34</v>
      </c>
      <c r="F386" t="s">
        <v>349</v>
      </c>
      <c r="G386" t="s">
        <v>35</v>
      </c>
      <c r="H386" t="s">
        <v>538</v>
      </c>
      <c r="I386" t="s">
        <v>43</v>
      </c>
      <c r="J386" t="s">
        <v>550</v>
      </c>
      <c r="K386">
        <v>0</v>
      </c>
      <c r="L386">
        <v>15</v>
      </c>
      <c r="M386">
        <v>5</v>
      </c>
      <c r="N386">
        <v>0</v>
      </c>
      <c r="O386">
        <f>_xlfn.XLOOKUP(VALINA[[#This Row],[id]],prov_color!A:A,prov_color!C:C)</f>
        <v>13</v>
      </c>
      <c r="P386" t="str">
        <f>_xlfn.XLOOKUP(VALINA[[#This Row],[id]],Table4[id],Table4[name])</f>
        <v>Ile de France</v>
      </c>
      <c r="Q386" t="str">
        <f>_xlfn.XLOOKUP(VALINA[[#This Row],[name]],Trans!A:A,Trans!B:B)</f>
        <v>Ile de France</v>
      </c>
    </row>
    <row r="387" spans="1:17" x14ac:dyDescent="0.25">
      <c r="A387">
        <v>386</v>
      </c>
      <c r="B387" t="s">
        <v>346</v>
      </c>
      <c r="C387" t="s">
        <v>491</v>
      </c>
      <c r="D387" t="s">
        <v>540</v>
      </c>
      <c r="E387" t="s">
        <v>34</v>
      </c>
      <c r="F387" t="s">
        <v>349</v>
      </c>
      <c r="G387" t="s">
        <v>26</v>
      </c>
      <c r="H387" t="s">
        <v>538</v>
      </c>
      <c r="I387" t="s">
        <v>43</v>
      </c>
      <c r="J387" t="s">
        <v>551</v>
      </c>
      <c r="K387">
        <v>0</v>
      </c>
      <c r="L387">
        <v>9</v>
      </c>
      <c r="M387">
        <v>5</v>
      </c>
      <c r="N387">
        <v>0</v>
      </c>
      <c r="O387">
        <f>_xlfn.XLOOKUP(VALINA[[#This Row],[id]],prov_color!A:A,prov_color!C:C)</f>
        <v>19</v>
      </c>
      <c r="P387" t="str">
        <f>_xlfn.XLOOKUP(VALINA[[#This Row],[id]],Table4[id],Table4[name])</f>
        <v>Nivernais</v>
      </c>
      <c r="Q387" t="str">
        <f>_xlfn.XLOOKUP(VALINA[[#This Row],[name]],Trans!A:A,Trans!B:B)</f>
        <v>Nivernais</v>
      </c>
    </row>
    <row r="388" spans="1:17" x14ac:dyDescent="0.25">
      <c r="A388">
        <v>387</v>
      </c>
      <c r="B388" t="s">
        <v>346</v>
      </c>
      <c r="C388" t="s">
        <v>447</v>
      </c>
      <c r="D388" t="s">
        <v>536</v>
      </c>
      <c r="E388" t="s">
        <v>22</v>
      </c>
      <c r="F388" t="s">
        <v>349</v>
      </c>
      <c r="G388" t="s">
        <v>26</v>
      </c>
      <c r="H388" t="s">
        <v>538</v>
      </c>
      <c r="I388" t="s">
        <v>212</v>
      </c>
      <c r="J388" t="s">
        <v>1945</v>
      </c>
      <c r="K388">
        <v>0</v>
      </c>
      <c r="L388">
        <v>7</v>
      </c>
      <c r="M388">
        <v>5</v>
      </c>
      <c r="N388">
        <v>0</v>
      </c>
      <c r="O388">
        <f>_xlfn.XLOOKUP(VALINA[[#This Row],[id]],prov_color!A:A,prov_color!C:C)</f>
        <v>15</v>
      </c>
      <c r="P388" t="str">
        <f>_xlfn.XLOOKUP(VALINA[[#This Row],[id]],Table4[id],Table4[name])</f>
        <v>Franche Comte</v>
      </c>
      <c r="Q388" t="str">
        <f>_xlfn.XLOOKUP(VALINA[[#This Row],[name]],Trans!A:A,Trans!B:B)</f>
        <v>Franche-Comt�</v>
      </c>
    </row>
    <row r="389" spans="1:17" x14ac:dyDescent="0.25">
      <c r="A389">
        <v>388</v>
      </c>
      <c r="B389" t="s">
        <v>346</v>
      </c>
      <c r="C389" t="s">
        <v>447</v>
      </c>
      <c r="D389" t="s">
        <v>553</v>
      </c>
      <c r="E389" t="s">
        <v>14</v>
      </c>
      <c r="F389" t="s">
        <v>349</v>
      </c>
      <c r="G389" t="s">
        <v>26</v>
      </c>
      <c r="H389" t="s">
        <v>554</v>
      </c>
      <c r="I389" t="s">
        <v>141</v>
      </c>
      <c r="J389" t="s">
        <v>555</v>
      </c>
      <c r="K389">
        <v>0</v>
      </c>
      <c r="L389">
        <v>9</v>
      </c>
      <c r="M389">
        <v>7</v>
      </c>
      <c r="N389">
        <v>0</v>
      </c>
      <c r="O389">
        <f>_xlfn.XLOOKUP(VALINA[[#This Row],[id]],prov_color!A:A,prov_color!C:C)</f>
        <v>18</v>
      </c>
      <c r="P389" t="str">
        <f>_xlfn.XLOOKUP(VALINA[[#This Row],[id]],Table4[id],Table4[name])</f>
        <v>Bern</v>
      </c>
      <c r="Q389" t="str">
        <f>_xlfn.XLOOKUP(VALINA[[#This Row],[name]],Trans!A:A,Trans!B:B)</f>
        <v>Bern</v>
      </c>
    </row>
    <row r="390" spans="1:17" x14ac:dyDescent="0.25">
      <c r="A390">
        <v>389</v>
      </c>
      <c r="B390" t="s">
        <v>346</v>
      </c>
      <c r="C390" t="s">
        <v>516</v>
      </c>
      <c r="D390" t="s">
        <v>528</v>
      </c>
      <c r="E390" t="s">
        <v>34</v>
      </c>
      <c r="F390" t="s">
        <v>349</v>
      </c>
      <c r="G390" t="s">
        <v>35</v>
      </c>
      <c r="H390" t="s">
        <v>529</v>
      </c>
      <c r="I390" t="s">
        <v>352</v>
      </c>
      <c r="J390" t="s">
        <v>556</v>
      </c>
      <c r="K390">
        <v>0</v>
      </c>
      <c r="L390">
        <v>16</v>
      </c>
      <c r="M390">
        <v>5</v>
      </c>
      <c r="N390">
        <v>0</v>
      </c>
      <c r="O390">
        <f>_xlfn.XLOOKUP(VALINA[[#This Row],[id]],prov_color!A:A,prov_color!C:C)</f>
        <v>19</v>
      </c>
      <c r="P390" t="str">
        <f>_xlfn.XLOOKUP(VALINA[[#This Row],[id]],Table4[id],Table4[name])</f>
        <v>Lombardia</v>
      </c>
      <c r="Q390" t="str">
        <f>_xlfn.XLOOKUP(VALINA[[#This Row],[name]],Trans!A:A,Trans!B:B)</f>
        <v>Lombardia</v>
      </c>
    </row>
    <row r="391" spans="1:17" x14ac:dyDescent="0.25">
      <c r="A391">
        <v>390</v>
      </c>
      <c r="B391" t="s">
        <v>346</v>
      </c>
      <c r="C391" t="s">
        <v>516</v>
      </c>
      <c r="D391" t="s">
        <v>528</v>
      </c>
      <c r="E391" t="s">
        <v>80</v>
      </c>
      <c r="F391" t="s">
        <v>349</v>
      </c>
      <c r="G391" t="s">
        <v>35</v>
      </c>
      <c r="H391" t="s">
        <v>529</v>
      </c>
      <c r="I391" t="s">
        <v>43</v>
      </c>
      <c r="J391" t="s">
        <v>557</v>
      </c>
      <c r="K391">
        <v>0</v>
      </c>
      <c r="L391">
        <v>14</v>
      </c>
      <c r="M391">
        <v>5</v>
      </c>
      <c r="N391">
        <v>0</v>
      </c>
      <c r="O391">
        <f>_xlfn.XLOOKUP(VALINA[[#This Row],[id]],prov_color!A:A,prov_color!C:C)</f>
        <v>14</v>
      </c>
      <c r="P391" t="str">
        <f>_xlfn.XLOOKUP(VALINA[[#This Row],[id]],Table4[id],Table4[name])</f>
        <v>Mantua</v>
      </c>
      <c r="Q391" t="str">
        <f>_xlfn.XLOOKUP(VALINA[[#This Row],[name]],Trans!A:A,Trans!B:B)</f>
        <v>Mantua</v>
      </c>
    </row>
    <row r="392" spans="1:17" x14ac:dyDescent="0.25">
      <c r="A392">
        <v>391</v>
      </c>
      <c r="B392" t="s">
        <v>346</v>
      </c>
      <c r="C392" t="s">
        <v>516</v>
      </c>
      <c r="D392" t="s">
        <v>528</v>
      </c>
      <c r="E392" t="s">
        <v>34</v>
      </c>
      <c r="F392" t="s">
        <v>349</v>
      </c>
      <c r="G392" t="s">
        <v>35</v>
      </c>
      <c r="H392" t="s">
        <v>529</v>
      </c>
      <c r="I392" t="s">
        <v>53</v>
      </c>
      <c r="J392" t="s">
        <v>558</v>
      </c>
      <c r="K392">
        <v>0</v>
      </c>
      <c r="L392">
        <v>8</v>
      </c>
      <c r="M392">
        <v>5</v>
      </c>
      <c r="N392">
        <v>0</v>
      </c>
      <c r="O392">
        <f>_xlfn.XLOOKUP(VALINA[[#This Row],[id]],prov_color!A:A,prov_color!C:C)</f>
        <v>13</v>
      </c>
      <c r="P392" t="str">
        <f>_xlfn.XLOOKUP(VALINA[[#This Row],[id]],Table4[id],Table4[name])</f>
        <v>Romagna</v>
      </c>
      <c r="Q392" t="str">
        <f>_xlfn.XLOOKUP(VALINA[[#This Row],[name]],Trans!A:A,Trans!B:B)</f>
        <v>Romagna</v>
      </c>
    </row>
    <row r="393" spans="1:17" x14ac:dyDescent="0.25">
      <c r="A393">
        <v>392</v>
      </c>
      <c r="B393" t="s">
        <v>346</v>
      </c>
      <c r="C393" t="s">
        <v>516</v>
      </c>
      <c r="D393" t="s">
        <v>528</v>
      </c>
      <c r="E393" t="s">
        <v>34</v>
      </c>
      <c r="F393" t="s">
        <v>349</v>
      </c>
      <c r="G393" t="s">
        <v>35</v>
      </c>
      <c r="H393" t="s">
        <v>529</v>
      </c>
      <c r="I393" t="s">
        <v>41</v>
      </c>
      <c r="J393" t="s">
        <v>559</v>
      </c>
      <c r="K393">
        <v>0</v>
      </c>
      <c r="L393">
        <v>6</v>
      </c>
      <c r="M393">
        <v>5</v>
      </c>
      <c r="N393">
        <v>0</v>
      </c>
      <c r="O393">
        <f>_xlfn.XLOOKUP(VALINA[[#This Row],[id]],prov_color!A:A,prov_color!C:C)</f>
        <v>21</v>
      </c>
      <c r="P393" t="str">
        <f>_xlfn.XLOOKUP(VALINA[[#This Row],[id]],Table4[id],Table4[name])</f>
        <v>Marche</v>
      </c>
      <c r="Q393" t="str">
        <f>_xlfn.XLOOKUP(VALINA[[#This Row],[name]],Trans!A:A,Trans!B:B)</f>
        <v>Marche</v>
      </c>
    </row>
    <row r="394" spans="1:17" x14ac:dyDescent="0.25">
      <c r="A394">
        <v>393</v>
      </c>
      <c r="B394" t="s">
        <v>346</v>
      </c>
      <c r="C394" t="s">
        <v>516</v>
      </c>
      <c r="D394" t="s">
        <v>528</v>
      </c>
      <c r="E394" t="s">
        <v>34</v>
      </c>
      <c r="F394" t="s">
        <v>349</v>
      </c>
      <c r="G394" t="s">
        <v>35</v>
      </c>
      <c r="H394" t="s">
        <v>529</v>
      </c>
      <c r="I394" t="s">
        <v>37</v>
      </c>
      <c r="J394" t="s">
        <v>560</v>
      </c>
      <c r="K394">
        <v>0</v>
      </c>
      <c r="L394">
        <v>12</v>
      </c>
      <c r="M394">
        <v>8</v>
      </c>
      <c r="N394">
        <v>0</v>
      </c>
      <c r="O394">
        <f>_xlfn.XLOOKUP(VALINA[[#This Row],[id]],prov_color!A:A,prov_color!C:C)</f>
        <v>30</v>
      </c>
      <c r="P394" t="str">
        <f>_xlfn.XLOOKUP(VALINA[[#This Row],[id]],Table4[id],Table4[name])</f>
        <v>Napoli</v>
      </c>
      <c r="Q394" t="str">
        <f>_xlfn.XLOOKUP(VALINA[[#This Row],[name]],Trans!A:A,Trans!B:B)</f>
        <v>Napoli</v>
      </c>
    </row>
    <row r="395" spans="1:17" x14ac:dyDescent="0.25">
      <c r="A395">
        <v>394</v>
      </c>
      <c r="B395" t="s">
        <v>346</v>
      </c>
      <c r="C395" t="s">
        <v>516</v>
      </c>
      <c r="D395" t="s">
        <v>528</v>
      </c>
      <c r="E395" t="s">
        <v>14</v>
      </c>
      <c r="F395" t="s">
        <v>349</v>
      </c>
      <c r="G395" t="s">
        <v>35</v>
      </c>
      <c r="H395" t="s">
        <v>529</v>
      </c>
      <c r="I395" t="s">
        <v>53</v>
      </c>
      <c r="J395" t="s">
        <v>561</v>
      </c>
      <c r="K395">
        <v>0</v>
      </c>
      <c r="L395">
        <v>4</v>
      </c>
      <c r="M395">
        <v>5</v>
      </c>
      <c r="N395">
        <v>0</v>
      </c>
      <c r="O395">
        <f>_xlfn.XLOOKUP(VALINA[[#This Row],[id]],prov_color!A:A,prov_color!C:C)</f>
        <v>40</v>
      </c>
      <c r="P395" t="str">
        <f>_xlfn.XLOOKUP(VALINA[[#This Row],[id]],Table4[id],Table4[name])</f>
        <v>Apulia</v>
      </c>
      <c r="Q395" t="str">
        <f>_xlfn.XLOOKUP(VALINA[[#This Row],[name]],Trans!A:A,Trans!B:B)</f>
        <v>Apulia</v>
      </c>
    </row>
    <row r="396" spans="1:17" x14ac:dyDescent="0.25">
      <c r="A396">
        <v>395</v>
      </c>
      <c r="B396" t="s">
        <v>346</v>
      </c>
      <c r="C396" t="s">
        <v>516</v>
      </c>
      <c r="D396" t="s">
        <v>528</v>
      </c>
      <c r="E396" t="s">
        <v>14</v>
      </c>
      <c r="F396" t="s">
        <v>349</v>
      </c>
      <c r="G396" t="s">
        <v>35</v>
      </c>
      <c r="H396" t="s">
        <v>529</v>
      </c>
      <c r="I396" t="s">
        <v>27</v>
      </c>
      <c r="J396" t="s">
        <v>562</v>
      </c>
      <c r="K396">
        <v>0</v>
      </c>
      <c r="L396">
        <v>6</v>
      </c>
      <c r="M396">
        <v>5</v>
      </c>
      <c r="N396">
        <v>0</v>
      </c>
      <c r="O396">
        <f>_xlfn.XLOOKUP(VALINA[[#This Row],[id]],prov_color!A:A,prov_color!C:C)</f>
        <v>13</v>
      </c>
      <c r="P396" t="str">
        <f>_xlfn.XLOOKUP(VALINA[[#This Row],[id]],Table4[id],Table4[name])</f>
        <v>Messina</v>
      </c>
      <c r="Q396" t="str">
        <f>_xlfn.XLOOKUP(VALINA[[#This Row],[name]],Trans!A:A,Trans!B:B)</f>
        <v>Messina</v>
      </c>
    </row>
    <row r="397" spans="1:17" x14ac:dyDescent="0.25">
      <c r="A397">
        <v>396</v>
      </c>
      <c r="B397" t="s">
        <v>346</v>
      </c>
      <c r="C397" t="s">
        <v>516</v>
      </c>
      <c r="D397" t="s">
        <v>528</v>
      </c>
      <c r="E397" t="s">
        <v>34</v>
      </c>
      <c r="F397" t="s">
        <v>349</v>
      </c>
      <c r="G397" t="s">
        <v>35</v>
      </c>
      <c r="H397" t="s">
        <v>529</v>
      </c>
      <c r="I397" t="s">
        <v>37</v>
      </c>
      <c r="J397" t="s">
        <v>563</v>
      </c>
      <c r="K397">
        <v>0</v>
      </c>
      <c r="L397">
        <v>7</v>
      </c>
      <c r="M397">
        <v>5</v>
      </c>
      <c r="N397">
        <v>0</v>
      </c>
      <c r="O397">
        <f>_xlfn.XLOOKUP(VALINA[[#This Row],[id]],prov_color!A:A,prov_color!C:C)</f>
        <v>11</v>
      </c>
      <c r="P397" t="str">
        <f>_xlfn.XLOOKUP(VALINA[[#This Row],[id]],Table4[id],Table4[name])</f>
        <v>Sicily</v>
      </c>
      <c r="Q397" t="str">
        <f>_xlfn.XLOOKUP(VALINA[[#This Row],[name]],Trans!A:A,Trans!B:B)</f>
        <v>Sicily</v>
      </c>
    </row>
    <row r="398" spans="1:17" x14ac:dyDescent="0.25">
      <c r="A398">
        <v>397</v>
      </c>
      <c r="B398" t="s">
        <v>346</v>
      </c>
      <c r="C398" t="s">
        <v>516</v>
      </c>
      <c r="D398" t="s">
        <v>528</v>
      </c>
      <c r="E398" t="s">
        <v>14</v>
      </c>
      <c r="F398" t="s">
        <v>349</v>
      </c>
      <c r="G398" t="s">
        <v>35</v>
      </c>
      <c r="H398" t="s">
        <v>529</v>
      </c>
      <c r="I398" t="s">
        <v>27</v>
      </c>
      <c r="J398" t="s">
        <v>564</v>
      </c>
      <c r="K398">
        <v>0</v>
      </c>
      <c r="L398">
        <v>4</v>
      </c>
      <c r="M398">
        <v>2</v>
      </c>
      <c r="N398">
        <v>0</v>
      </c>
      <c r="O398">
        <f>_xlfn.XLOOKUP(VALINA[[#This Row],[id]],prov_color!A:A,prov_color!C:C)</f>
        <v>11</v>
      </c>
      <c r="P398" t="str">
        <f>_xlfn.XLOOKUP(VALINA[[#This Row],[id]],Table4[id],Table4[name])</f>
        <v>Sardinia</v>
      </c>
      <c r="Q398" t="str">
        <f>_xlfn.XLOOKUP(VALINA[[#This Row],[name]],Trans!A:A,Trans!B:B)</f>
        <v>Sardinia</v>
      </c>
    </row>
    <row r="399" spans="1:17" x14ac:dyDescent="0.25">
      <c r="A399">
        <v>398</v>
      </c>
      <c r="B399" t="s">
        <v>346</v>
      </c>
      <c r="C399" t="s">
        <v>516</v>
      </c>
      <c r="D399" t="s">
        <v>528</v>
      </c>
      <c r="E399" t="s">
        <v>14</v>
      </c>
      <c r="F399" t="s">
        <v>349</v>
      </c>
      <c r="G399" t="s">
        <v>35</v>
      </c>
      <c r="H399" t="s">
        <v>529</v>
      </c>
      <c r="I399" t="s">
        <v>1612</v>
      </c>
      <c r="J399" t="s">
        <v>565</v>
      </c>
      <c r="K399">
        <v>0</v>
      </c>
      <c r="L399">
        <v>3</v>
      </c>
      <c r="M399">
        <v>2</v>
      </c>
      <c r="N399">
        <v>0</v>
      </c>
      <c r="O399">
        <f>_xlfn.XLOOKUP(VALINA[[#This Row],[id]],prov_color!A:A,prov_color!C:C)</f>
        <v>7</v>
      </c>
      <c r="P399" t="str">
        <f>_xlfn.XLOOKUP(VALINA[[#This Row],[id]],Table4[id],Table4[name])</f>
        <v>Corsica</v>
      </c>
      <c r="Q399" t="str">
        <f>_xlfn.XLOOKUP(VALINA[[#This Row],[name]],Trans!A:A,Trans!B:B)</f>
        <v>Corsica</v>
      </c>
    </row>
    <row r="400" spans="1:17" x14ac:dyDescent="0.25">
      <c r="A400">
        <v>399</v>
      </c>
      <c r="B400" t="s">
        <v>346</v>
      </c>
      <c r="C400" t="s">
        <v>516</v>
      </c>
      <c r="D400" t="s">
        <v>528</v>
      </c>
      <c r="E400" t="s">
        <v>34</v>
      </c>
      <c r="F400" t="s">
        <v>349</v>
      </c>
      <c r="G400" t="s">
        <v>35</v>
      </c>
      <c r="H400" t="s">
        <v>529</v>
      </c>
      <c r="I400" t="s">
        <v>43</v>
      </c>
      <c r="J400" t="s">
        <v>566</v>
      </c>
      <c r="K400">
        <v>0</v>
      </c>
      <c r="L400">
        <v>12</v>
      </c>
      <c r="M400">
        <v>8</v>
      </c>
      <c r="N400">
        <v>0</v>
      </c>
      <c r="O400">
        <f>_xlfn.XLOOKUP(VALINA[[#This Row],[id]],prov_color!A:A,prov_color!C:C)</f>
        <v>16</v>
      </c>
      <c r="P400" t="str">
        <f>_xlfn.XLOOKUP(VALINA[[#This Row],[id]],Table4[id],Table4[name])</f>
        <v>Roma</v>
      </c>
      <c r="Q400" t="str">
        <f>_xlfn.XLOOKUP(VALINA[[#This Row],[name]],Trans!A:A,Trans!B:B)</f>
        <v>Roma</v>
      </c>
    </row>
    <row r="401" spans="1:17" x14ac:dyDescent="0.25">
      <c r="A401">
        <v>400</v>
      </c>
      <c r="B401" t="s">
        <v>346</v>
      </c>
      <c r="C401" t="s">
        <v>516</v>
      </c>
      <c r="D401" t="s">
        <v>528</v>
      </c>
      <c r="E401" t="s">
        <v>14</v>
      </c>
      <c r="F401" t="s">
        <v>349</v>
      </c>
      <c r="G401" t="s">
        <v>35</v>
      </c>
      <c r="H401" t="s">
        <v>529</v>
      </c>
      <c r="I401" t="s">
        <v>352</v>
      </c>
      <c r="J401" t="s">
        <v>567</v>
      </c>
      <c r="K401">
        <v>0</v>
      </c>
      <c r="L401">
        <v>11</v>
      </c>
      <c r="M401">
        <v>6</v>
      </c>
      <c r="N401">
        <v>0</v>
      </c>
      <c r="O401">
        <f>_xlfn.XLOOKUP(VALINA[[#This Row],[id]],prov_color!A:A,prov_color!C:C)</f>
        <v>14</v>
      </c>
      <c r="P401" t="str">
        <f>_xlfn.XLOOKUP(VALINA[[#This Row],[id]],Table4[id],Table4[name])</f>
        <v>Siena</v>
      </c>
      <c r="Q401" t="str">
        <f>_xlfn.XLOOKUP(VALINA[[#This Row],[name]],Trans!A:A,Trans!B:B)</f>
        <v>Siena</v>
      </c>
    </row>
    <row r="402" spans="1:17" x14ac:dyDescent="0.25">
      <c r="A402">
        <v>401</v>
      </c>
      <c r="B402" t="s">
        <v>346</v>
      </c>
      <c r="C402" t="s">
        <v>516</v>
      </c>
      <c r="D402" t="s">
        <v>528</v>
      </c>
      <c r="E402" t="s">
        <v>34</v>
      </c>
      <c r="F402" t="s">
        <v>349</v>
      </c>
      <c r="G402" t="s">
        <v>35</v>
      </c>
      <c r="H402" t="s">
        <v>529</v>
      </c>
      <c r="I402" t="s">
        <v>37</v>
      </c>
      <c r="J402" t="s">
        <v>568</v>
      </c>
      <c r="K402">
        <v>0</v>
      </c>
      <c r="L402">
        <v>16</v>
      </c>
      <c r="M402">
        <v>5</v>
      </c>
      <c r="N402">
        <v>0</v>
      </c>
      <c r="O402">
        <f>_xlfn.XLOOKUP(VALINA[[#This Row],[id]],prov_color!A:A,prov_color!C:C)</f>
        <v>12</v>
      </c>
      <c r="P402" t="str">
        <f>_xlfn.XLOOKUP(VALINA[[#This Row],[id]],Table4[id],Table4[name])</f>
        <v>Firenze</v>
      </c>
      <c r="Q402" t="str">
        <f>_xlfn.XLOOKUP(VALINA[[#This Row],[name]],Trans!A:A,Trans!B:B)</f>
        <v>Firenze</v>
      </c>
    </row>
    <row r="403" spans="1:17" x14ac:dyDescent="0.25">
      <c r="A403">
        <v>402</v>
      </c>
      <c r="B403" t="s">
        <v>346</v>
      </c>
      <c r="C403" t="s">
        <v>516</v>
      </c>
      <c r="D403" t="s">
        <v>528</v>
      </c>
      <c r="E403" t="s">
        <v>34</v>
      </c>
      <c r="F403" t="s">
        <v>349</v>
      </c>
      <c r="G403" t="s">
        <v>35</v>
      </c>
      <c r="H403" t="s">
        <v>529</v>
      </c>
      <c r="I403" t="s">
        <v>37</v>
      </c>
      <c r="J403" t="s">
        <v>569</v>
      </c>
      <c r="K403">
        <v>0</v>
      </c>
      <c r="L403">
        <v>10</v>
      </c>
      <c r="M403">
        <v>5</v>
      </c>
      <c r="N403">
        <v>0</v>
      </c>
      <c r="O403">
        <f>_xlfn.XLOOKUP(VALINA[[#This Row],[id]],prov_color!A:A,prov_color!C:C)</f>
        <v>12</v>
      </c>
      <c r="P403" t="str">
        <f>_xlfn.XLOOKUP(VALINA[[#This Row],[id]],Table4[id],Table4[name])</f>
        <v>Emilia</v>
      </c>
      <c r="Q403" t="str">
        <f>_xlfn.XLOOKUP(VALINA[[#This Row],[name]],Trans!A:A,Trans!B:B)</f>
        <v>Emilia</v>
      </c>
    </row>
    <row r="404" spans="1:17" x14ac:dyDescent="0.25">
      <c r="A404">
        <v>403</v>
      </c>
      <c r="B404" t="s">
        <v>346</v>
      </c>
      <c r="C404" t="s">
        <v>516</v>
      </c>
      <c r="D404" t="s">
        <v>528</v>
      </c>
      <c r="E404" t="s">
        <v>14</v>
      </c>
      <c r="F404" t="s">
        <v>349</v>
      </c>
      <c r="G404" t="s">
        <v>35</v>
      </c>
      <c r="H404" t="s">
        <v>529</v>
      </c>
      <c r="I404" t="s">
        <v>41</v>
      </c>
      <c r="J404" t="s">
        <v>570</v>
      </c>
      <c r="K404">
        <v>0</v>
      </c>
      <c r="L404">
        <v>10</v>
      </c>
      <c r="M404">
        <v>6</v>
      </c>
      <c r="N404">
        <v>0</v>
      </c>
      <c r="O404">
        <f>_xlfn.XLOOKUP(VALINA[[#This Row],[id]],prov_color!A:A,prov_color!C:C)</f>
        <v>11</v>
      </c>
      <c r="P404" t="str">
        <f>_xlfn.XLOOKUP(VALINA[[#This Row],[id]],Table4[id],Table4[name])</f>
        <v>Liguria</v>
      </c>
      <c r="Q404" t="str">
        <f>_xlfn.XLOOKUP(VALINA[[#This Row],[name]],Trans!A:A,Trans!B:B)</f>
        <v>Liguria</v>
      </c>
    </row>
    <row r="405" spans="1:17" x14ac:dyDescent="0.25">
      <c r="A405">
        <v>404</v>
      </c>
      <c r="B405" t="s">
        <v>346</v>
      </c>
      <c r="C405" t="s">
        <v>516</v>
      </c>
      <c r="D405" t="s">
        <v>528</v>
      </c>
      <c r="E405" t="s">
        <v>14</v>
      </c>
      <c r="F405" t="s">
        <v>349</v>
      </c>
      <c r="G405" t="s">
        <v>35</v>
      </c>
      <c r="H405" t="s">
        <v>529</v>
      </c>
      <c r="I405" t="s">
        <v>27</v>
      </c>
      <c r="J405" t="s">
        <v>571</v>
      </c>
      <c r="K405">
        <v>0</v>
      </c>
      <c r="L405">
        <v>6</v>
      </c>
      <c r="M405">
        <v>5</v>
      </c>
      <c r="N405">
        <v>0</v>
      </c>
      <c r="O405">
        <f>_xlfn.XLOOKUP(VALINA[[#This Row],[id]],prov_color!A:A,prov_color!C:C)</f>
        <v>18</v>
      </c>
      <c r="P405" t="str">
        <f>_xlfn.XLOOKUP(VALINA[[#This Row],[id]],Table4[id],Table4[name])</f>
        <v>Piemonte</v>
      </c>
      <c r="Q405" t="str">
        <f>_xlfn.XLOOKUP(VALINA[[#This Row],[name]],Trans!A:A,Trans!B:B)</f>
        <v>Piemonte</v>
      </c>
    </row>
    <row r="406" spans="1:17" x14ac:dyDescent="0.25">
      <c r="A406">
        <v>405</v>
      </c>
      <c r="B406" t="s">
        <v>346</v>
      </c>
      <c r="C406" t="s">
        <v>447</v>
      </c>
      <c r="D406" t="s">
        <v>536</v>
      </c>
      <c r="E406" t="s">
        <v>14</v>
      </c>
      <c r="F406" t="s">
        <v>349</v>
      </c>
      <c r="G406" t="s">
        <v>35</v>
      </c>
      <c r="H406" t="s">
        <v>538</v>
      </c>
      <c r="I406" t="s">
        <v>352</v>
      </c>
      <c r="J406" t="s">
        <v>572</v>
      </c>
      <c r="K406">
        <v>0</v>
      </c>
      <c r="L406">
        <v>14</v>
      </c>
      <c r="M406">
        <v>6</v>
      </c>
      <c r="N406">
        <v>0</v>
      </c>
      <c r="O406">
        <f>_xlfn.XLOOKUP(VALINA[[#This Row],[id]],prov_color!A:A,prov_color!C:C)</f>
        <v>16</v>
      </c>
      <c r="P406" t="str">
        <f>_xlfn.XLOOKUP(VALINA[[#This Row],[id]],Table4[id],Table4[name])</f>
        <v>Savoie</v>
      </c>
      <c r="Q406" t="str">
        <f>_xlfn.XLOOKUP(VALINA[[#This Row],[name]],Trans!A:A,Trans!B:B)</f>
        <v>Savoie</v>
      </c>
    </row>
    <row r="407" spans="1:17" x14ac:dyDescent="0.25">
      <c r="A407">
        <v>406</v>
      </c>
      <c r="B407" t="s">
        <v>346</v>
      </c>
      <c r="C407" t="s">
        <v>491</v>
      </c>
      <c r="D407" t="s">
        <v>540</v>
      </c>
      <c r="E407" t="s">
        <v>14</v>
      </c>
      <c r="F407" t="s">
        <v>349</v>
      </c>
      <c r="G407" t="s">
        <v>35</v>
      </c>
      <c r="H407" t="s">
        <v>573</v>
      </c>
      <c r="I407" t="s">
        <v>37</v>
      </c>
      <c r="J407" t="s">
        <v>574</v>
      </c>
      <c r="K407">
        <v>0</v>
      </c>
      <c r="L407">
        <v>13</v>
      </c>
      <c r="M407">
        <v>5</v>
      </c>
      <c r="N407">
        <v>0</v>
      </c>
      <c r="O407">
        <f>_xlfn.XLOOKUP(VALINA[[#This Row],[id]],prov_color!A:A,prov_color!C:C)</f>
        <v>15</v>
      </c>
      <c r="P407" t="str">
        <f>_xlfn.XLOOKUP(VALINA[[#This Row],[id]],Table4[id],Table4[name])</f>
        <v>Provence</v>
      </c>
      <c r="Q407" t="str">
        <f>_xlfn.XLOOKUP(VALINA[[#This Row],[name]],Trans!A:A,Trans!B:B)</f>
        <v>Provence</v>
      </c>
    </row>
    <row r="408" spans="1:17" x14ac:dyDescent="0.25">
      <c r="A408">
        <v>407</v>
      </c>
      <c r="B408" t="s">
        <v>346</v>
      </c>
      <c r="C408" t="s">
        <v>491</v>
      </c>
      <c r="D408" t="s">
        <v>540</v>
      </c>
      <c r="E408" t="s">
        <v>14</v>
      </c>
      <c r="F408" t="s">
        <v>349</v>
      </c>
      <c r="G408" t="s">
        <v>26</v>
      </c>
      <c r="H408" t="s">
        <v>538</v>
      </c>
      <c r="I408" t="s">
        <v>141</v>
      </c>
      <c r="J408" t="s">
        <v>1628</v>
      </c>
      <c r="K408">
        <v>0</v>
      </c>
      <c r="L408">
        <v>9</v>
      </c>
      <c r="M408">
        <v>5</v>
      </c>
      <c r="N408">
        <v>0</v>
      </c>
      <c r="O408">
        <f>_xlfn.XLOOKUP(VALINA[[#This Row],[id]],prov_color!A:A,prov_color!C:C)</f>
        <v>16</v>
      </c>
      <c r="P408" t="str">
        <f>_xlfn.XLOOKUP(VALINA[[#This Row],[id]],Table4[id],Table4[name])</f>
        <v>Dauphine</v>
      </c>
      <c r="Q408" t="str">
        <f>_xlfn.XLOOKUP(VALINA[[#This Row],[name]],Trans!A:A,Trans!B:B)</f>
        <v>Dauphin�</v>
      </c>
    </row>
    <row r="409" spans="1:17" x14ac:dyDescent="0.25">
      <c r="A409">
        <v>408</v>
      </c>
      <c r="B409" t="s">
        <v>346</v>
      </c>
      <c r="C409" t="s">
        <v>491</v>
      </c>
      <c r="D409" t="s">
        <v>540</v>
      </c>
      <c r="E409" t="s">
        <v>34</v>
      </c>
      <c r="F409" t="s">
        <v>349</v>
      </c>
      <c r="G409" t="s">
        <v>26</v>
      </c>
      <c r="H409" t="s">
        <v>538</v>
      </c>
      <c r="I409" t="s">
        <v>43</v>
      </c>
      <c r="J409" t="s">
        <v>576</v>
      </c>
      <c r="K409">
        <v>0</v>
      </c>
      <c r="L409">
        <v>13</v>
      </c>
      <c r="M409">
        <v>5</v>
      </c>
      <c r="N409">
        <v>0</v>
      </c>
      <c r="O409">
        <f>_xlfn.XLOOKUP(VALINA[[#This Row],[id]],prov_color!A:A,prov_color!C:C)</f>
        <v>23</v>
      </c>
      <c r="P409" t="str">
        <f>_xlfn.XLOOKUP(VALINA[[#This Row],[id]],Table4[id],Table4[name])</f>
        <v>Lyonnais</v>
      </c>
      <c r="Q409" t="str">
        <f>_xlfn.XLOOKUP(VALINA[[#This Row],[name]],Trans!A:A,Trans!B:B)</f>
        <v>Lyonnais</v>
      </c>
    </row>
    <row r="410" spans="1:17" x14ac:dyDescent="0.25">
      <c r="A410">
        <v>409</v>
      </c>
      <c r="B410" t="s">
        <v>346</v>
      </c>
      <c r="C410" t="s">
        <v>491</v>
      </c>
      <c r="D410" t="s">
        <v>540</v>
      </c>
      <c r="E410" t="s">
        <v>34</v>
      </c>
      <c r="F410" t="s">
        <v>349</v>
      </c>
      <c r="G410" t="s">
        <v>26</v>
      </c>
      <c r="H410" t="s">
        <v>538</v>
      </c>
      <c r="I410" t="s">
        <v>37</v>
      </c>
      <c r="J410" t="s">
        <v>577</v>
      </c>
      <c r="K410">
        <v>0</v>
      </c>
      <c r="L410">
        <v>10</v>
      </c>
      <c r="M410">
        <v>5</v>
      </c>
      <c r="N410">
        <v>0</v>
      </c>
      <c r="O410">
        <f>_xlfn.XLOOKUP(VALINA[[#This Row],[id]],prov_color!A:A,prov_color!C:C)</f>
        <v>23</v>
      </c>
      <c r="P410" t="str">
        <f>_xlfn.XLOOKUP(VALINA[[#This Row],[id]],Table4[id],Table4[name])</f>
        <v>Bourgogne</v>
      </c>
      <c r="Q410" t="str">
        <f>_xlfn.XLOOKUP(VALINA[[#This Row],[name]],Trans!A:A,Trans!B:B)</f>
        <v>Bourgogne</v>
      </c>
    </row>
    <row r="411" spans="1:17" x14ac:dyDescent="0.25">
      <c r="A411">
        <v>410</v>
      </c>
      <c r="B411" t="s">
        <v>346</v>
      </c>
      <c r="C411" t="s">
        <v>491</v>
      </c>
      <c r="D411" t="s">
        <v>540</v>
      </c>
      <c r="E411" t="s">
        <v>34</v>
      </c>
      <c r="F411" t="s">
        <v>349</v>
      </c>
      <c r="G411" t="s">
        <v>35</v>
      </c>
      <c r="H411" t="s">
        <v>538</v>
      </c>
      <c r="I411" t="s">
        <v>43</v>
      </c>
      <c r="J411" t="s">
        <v>578</v>
      </c>
      <c r="K411">
        <v>0</v>
      </c>
      <c r="L411">
        <v>8</v>
      </c>
      <c r="M411">
        <v>5</v>
      </c>
      <c r="N411">
        <v>0</v>
      </c>
      <c r="O411">
        <f>_xlfn.XLOOKUP(VALINA[[#This Row],[id]],prov_color!A:A,prov_color!C:C)</f>
        <v>21</v>
      </c>
      <c r="P411" t="str">
        <f>_xlfn.XLOOKUP(VALINA[[#This Row],[id]],Table4[id],Table4[name])</f>
        <v>Berri</v>
      </c>
      <c r="Q411" t="str">
        <f>_xlfn.XLOOKUP(VALINA[[#This Row],[name]],Trans!A:A,Trans!B:B)</f>
        <v>Berri</v>
      </c>
    </row>
    <row r="412" spans="1:17" x14ac:dyDescent="0.25">
      <c r="A412">
        <v>411</v>
      </c>
      <c r="B412" t="s">
        <v>346</v>
      </c>
      <c r="C412" t="s">
        <v>491</v>
      </c>
      <c r="D412" t="s">
        <v>540</v>
      </c>
      <c r="E412" t="s">
        <v>34</v>
      </c>
      <c r="F412" t="s">
        <v>349</v>
      </c>
      <c r="G412" t="s">
        <v>35</v>
      </c>
      <c r="H412" t="s">
        <v>538</v>
      </c>
      <c r="I412" t="s">
        <v>43</v>
      </c>
      <c r="J412" t="s">
        <v>579</v>
      </c>
      <c r="K412">
        <v>0</v>
      </c>
      <c r="L412">
        <v>12</v>
      </c>
      <c r="M412">
        <v>5</v>
      </c>
      <c r="N412">
        <v>0</v>
      </c>
      <c r="O412">
        <f>_xlfn.XLOOKUP(VALINA[[#This Row],[id]],prov_color!A:A,prov_color!C:C)</f>
        <v>25</v>
      </c>
      <c r="P412" t="str">
        <f>_xlfn.XLOOKUP(VALINA[[#This Row],[id]],Table4[id],Table4[name])</f>
        <v>Orleanais</v>
      </c>
      <c r="Q412" t="str">
        <f>_xlfn.XLOOKUP(VALINA[[#This Row],[name]],Trans!A:A,Trans!B:B)</f>
        <v>Orl�anais</v>
      </c>
    </row>
    <row r="413" spans="1:17" x14ac:dyDescent="0.25">
      <c r="A413">
        <v>412</v>
      </c>
      <c r="B413" t="s">
        <v>346</v>
      </c>
      <c r="C413" t="s">
        <v>491</v>
      </c>
      <c r="D413" t="s">
        <v>540</v>
      </c>
      <c r="E413" t="s">
        <v>34</v>
      </c>
      <c r="F413" t="s">
        <v>349</v>
      </c>
      <c r="G413" t="s">
        <v>35</v>
      </c>
      <c r="H413" t="s">
        <v>538</v>
      </c>
      <c r="I413" t="s">
        <v>43</v>
      </c>
      <c r="J413" t="s">
        <v>177</v>
      </c>
      <c r="K413">
        <v>0</v>
      </c>
      <c r="L413">
        <v>10</v>
      </c>
      <c r="M413">
        <v>5</v>
      </c>
      <c r="N413">
        <v>0</v>
      </c>
      <c r="O413">
        <f>_xlfn.XLOOKUP(VALINA[[#This Row],[id]],prov_color!A:A,prov_color!C:C)</f>
        <v>18</v>
      </c>
      <c r="P413" t="str">
        <f>_xlfn.XLOOKUP(VALINA[[#This Row],[id]],Table4[id],Table4[name])</f>
        <v>Maine</v>
      </c>
      <c r="Q413" t="str">
        <f>_xlfn.XLOOKUP(VALINA[[#This Row],[name]],Trans!A:A,Trans!B:B)</f>
        <v>Maine</v>
      </c>
    </row>
    <row r="414" spans="1:17" x14ac:dyDescent="0.25">
      <c r="A414">
        <v>413</v>
      </c>
      <c r="B414" t="s">
        <v>346</v>
      </c>
      <c r="C414" t="s">
        <v>491</v>
      </c>
      <c r="D414" t="s">
        <v>540</v>
      </c>
      <c r="E414" t="s">
        <v>22</v>
      </c>
      <c r="F414" t="s">
        <v>349</v>
      </c>
      <c r="G414" t="s">
        <v>35</v>
      </c>
      <c r="H414" t="s">
        <v>538</v>
      </c>
      <c r="I414" t="s">
        <v>1612</v>
      </c>
      <c r="J414" t="s">
        <v>580</v>
      </c>
      <c r="K414">
        <v>0</v>
      </c>
      <c r="L414">
        <v>7</v>
      </c>
      <c r="M414">
        <v>5</v>
      </c>
      <c r="N414">
        <v>0</v>
      </c>
      <c r="O414">
        <f>_xlfn.XLOOKUP(VALINA[[#This Row],[id]],prov_color!A:A,prov_color!C:C)</f>
        <v>16</v>
      </c>
      <c r="P414" t="str">
        <f>_xlfn.XLOOKUP(VALINA[[#This Row],[id]],Table4[id],Table4[name])</f>
        <v>Normandie</v>
      </c>
      <c r="Q414" t="str">
        <f>_xlfn.XLOOKUP(VALINA[[#This Row],[name]],Trans!A:A,Trans!B:B)</f>
        <v>Normandie</v>
      </c>
    </row>
    <row r="415" spans="1:17" x14ac:dyDescent="0.25">
      <c r="A415">
        <v>414</v>
      </c>
      <c r="B415" t="s">
        <v>346</v>
      </c>
      <c r="C415" t="s">
        <v>491</v>
      </c>
      <c r="D415" t="s">
        <v>540</v>
      </c>
      <c r="E415" t="s">
        <v>34</v>
      </c>
      <c r="F415" t="s">
        <v>349</v>
      </c>
      <c r="G415" t="s">
        <v>35</v>
      </c>
      <c r="H415" t="s">
        <v>538</v>
      </c>
      <c r="I415" t="s">
        <v>27</v>
      </c>
      <c r="J415" t="s">
        <v>581</v>
      </c>
      <c r="K415">
        <v>0</v>
      </c>
      <c r="L415">
        <v>9</v>
      </c>
      <c r="M415">
        <v>5</v>
      </c>
      <c r="N415">
        <v>0</v>
      </c>
      <c r="O415">
        <f>_xlfn.XLOOKUP(VALINA[[#This Row],[id]],prov_color!A:A,prov_color!C:C)</f>
        <v>15</v>
      </c>
      <c r="P415" t="str">
        <f>_xlfn.XLOOKUP(VALINA[[#This Row],[id]],Table4[id],Table4[name])</f>
        <v>Armor</v>
      </c>
      <c r="Q415" t="str">
        <f>_xlfn.XLOOKUP(VALINA[[#This Row],[name]],Trans!A:A,Trans!B:B)</f>
        <v>Armor</v>
      </c>
    </row>
    <row r="416" spans="1:17" x14ac:dyDescent="0.25">
      <c r="A416">
        <v>415</v>
      </c>
      <c r="B416" t="s">
        <v>346</v>
      </c>
      <c r="C416" t="s">
        <v>491</v>
      </c>
      <c r="D416" t="s">
        <v>540</v>
      </c>
      <c r="E416" t="s">
        <v>22</v>
      </c>
      <c r="F416" t="s">
        <v>349</v>
      </c>
      <c r="G416" t="s">
        <v>35</v>
      </c>
      <c r="H416" t="s">
        <v>350</v>
      </c>
      <c r="I416" t="s">
        <v>27</v>
      </c>
      <c r="J416" t="s">
        <v>582</v>
      </c>
      <c r="K416">
        <v>0</v>
      </c>
      <c r="L416">
        <v>7</v>
      </c>
      <c r="M416">
        <v>3</v>
      </c>
      <c r="N416">
        <v>0</v>
      </c>
      <c r="O416">
        <f>_xlfn.XLOOKUP(VALINA[[#This Row],[id]],prov_color!A:A,prov_color!C:C)</f>
        <v>13</v>
      </c>
      <c r="P416" t="str">
        <f>_xlfn.XLOOKUP(VALINA[[#This Row],[id]],Table4[id],Table4[name])</f>
        <v>Bretagne</v>
      </c>
      <c r="Q416" t="str">
        <f>_xlfn.XLOOKUP(VALINA[[#This Row],[name]],Trans!A:A,Trans!B:B)</f>
        <v>Bretagne</v>
      </c>
    </row>
    <row r="417" spans="1:17" x14ac:dyDescent="0.25">
      <c r="A417">
        <v>416</v>
      </c>
      <c r="B417" t="s">
        <v>346</v>
      </c>
      <c r="C417" t="s">
        <v>491</v>
      </c>
      <c r="D417" t="s">
        <v>540</v>
      </c>
      <c r="E417" t="s">
        <v>34</v>
      </c>
      <c r="F417" t="s">
        <v>349</v>
      </c>
      <c r="G417" t="s">
        <v>35</v>
      </c>
      <c r="H417" t="s">
        <v>538</v>
      </c>
      <c r="I417" t="s">
        <v>27</v>
      </c>
      <c r="J417" t="s">
        <v>583</v>
      </c>
      <c r="K417">
        <v>0</v>
      </c>
      <c r="L417">
        <v>10</v>
      </c>
      <c r="M417">
        <v>4</v>
      </c>
      <c r="N417">
        <v>0</v>
      </c>
      <c r="O417">
        <f>_xlfn.XLOOKUP(VALINA[[#This Row],[id]],prov_color!A:A,prov_color!C:C)</f>
        <v>13</v>
      </c>
      <c r="P417" t="str">
        <f>_xlfn.XLOOKUP(VALINA[[#This Row],[id]],Table4[id],Table4[name])</f>
        <v>Morbihan</v>
      </c>
      <c r="Q417" t="str">
        <f>_xlfn.XLOOKUP(VALINA[[#This Row],[name]],Trans!A:A,Trans!B:B)</f>
        <v>Morbihan</v>
      </c>
    </row>
    <row r="418" spans="1:17" x14ac:dyDescent="0.25">
      <c r="A418">
        <v>417</v>
      </c>
      <c r="B418" t="s">
        <v>346</v>
      </c>
      <c r="C418" t="s">
        <v>491</v>
      </c>
      <c r="D418" t="s">
        <v>540</v>
      </c>
      <c r="E418" t="s">
        <v>22</v>
      </c>
      <c r="F418" t="s">
        <v>349</v>
      </c>
      <c r="G418" t="s">
        <v>35</v>
      </c>
      <c r="H418" t="s">
        <v>538</v>
      </c>
      <c r="I418" t="s">
        <v>53</v>
      </c>
      <c r="J418" t="s">
        <v>1629</v>
      </c>
      <c r="K418">
        <v>0</v>
      </c>
      <c r="L418">
        <v>7</v>
      </c>
      <c r="M418">
        <v>6</v>
      </c>
      <c r="N418">
        <v>0</v>
      </c>
      <c r="O418">
        <f>_xlfn.XLOOKUP(VALINA[[#This Row],[id]],prov_color!A:A,prov_color!C:C)</f>
        <v>13</v>
      </c>
      <c r="P418" t="str">
        <f>_xlfn.XLOOKUP(VALINA[[#This Row],[id]],Table4[id],Table4[name])</f>
        <v>Vendee</v>
      </c>
      <c r="Q418" t="str">
        <f>_xlfn.XLOOKUP(VALINA[[#This Row],[name]],Trans!A:A,Trans!B:B)</f>
        <v>Vend�e</v>
      </c>
    </row>
    <row r="419" spans="1:17" x14ac:dyDescent="0.25">
      <c r="A419">
        <v>418</v>
      </c>
      <c r="B419" t="s">
        <v>346</v>
      </c>
      <c r="C419" t="s">
        <v>491</v>
      </c>
      <c r="D419" t="s">
        <v>540</v>
      </c>
      <c r="E419" t="s">
        <v>80</v>
      </c>
      <c r="F419" t="s">
        <v>349</v>
      </c>
      <c r="G419" t="s">
        <v>35</v>
      </c>
      <c r="H419" t="s">
        <v>538</v>
      </c>
      <c r="I419" t="s">
        <v>53</v>
      </c>
      <c r="J419" t="s">
        <v>585</v>
      </c>
      <c r="K419">
        <v>0</v>
      </c>
      <c r="L419">
        <v>6</v>
      </c>
      <c r="M419">
        <v>5</v>
      </c>
      <c r="N419">
        <v>0</v>
      </c>
      <c r="O419">
        <f>_xlfn.XLOOKUP(VALINA[[#This Row],[id]],prov_color!A:A,prov_color!C:C)</f>
        <v>17</v>
      </c>
      <c r="P419" t="str">
        <f>_xlfn.XLOOKUP(VALINA[[#This Row],[id]],Table4[id],Table4[name])</f>
        <v>Poitou</v>
      </c>
      <c r="Q419" t="str">
        <f>_xlfn.XLOOKUP(VALINA[[#This Row],[name]],Trans!A:A,Trans!B:B)</f>
        <v>Poitou</v>
      </c>
    </row>
    <row r="420" spans="1:17" x14ac:dyDescent="0.25">
      <c r="A420">
        <v>419</v>
      </c>
      <c r="B420" t="s">
        <v>346</v>
      </c>
      <c r="C420" t="s">
        <v>491</v>
      </c>
      <c r="D420" t="s">
        <v>540</v>
      </c>
      <c r="E420" t="s">
        <v>22</v>
      </c>
      <c r="F420" t="s">
        <v>349</v>
      </c>
      <c r="G420" t="s">
        <v>35</v>
      </c>
      <c r="H420" t="s">
        <v>573</v>
      </c>
      <c r="I420" t="s">
        <v>43</v>
      </c>
      <c r="J420" t="s">
        <v>586</v>
      </c>
      <c r="K420">
        <v>0</v>
      </c>
      <c r="L420">
        <v>7</v>
      </c>
      <c r="M420">
        <v>5</v>
      </c>
      <c r="N420">
        <v>0</v>
      </c>
      <c r="O420">
        <f>_xlfn.XLOOKUP(VALINA[[#This Row],[id]],prov_color!A:A,prov_color!C:C)</f>
        <v>13</v>
      </c>
      <c r="P420" t="str">
        <f>_xlfn.XLOOKUP(VALINA[[#This Row],[id]],Table4[id],Table4[name])</f>
        <v>Limousin</v>
      </c>
      <c r="Q420" t="str">
        <f>_xlfn.XLOOKUP(VALINA[[#This Row],[name]],Trans!A:A,Trans!B:B)</f>
        <v>Limousin</v>
      </c>
    </row>
    <row r="421" spans="1:17" x14ac:dyDescent="0.25">
      <c r="A421">
        <v>420</v>
      </c>
      <c r="B421" t="s">
        <v>346</v>
      </c>
      <c r="C421" t="s">
        <v>491</v>
      </c>
      <c r="D421" t="s">
        <v>540</v>
      </c>
      <c r="E421" t="s">
        <v>14</v>
      </c>
      <c r="F421" t="s">
        <v>349</v>
      </c>
      <c r="G421" t="s">
        <v>26</v>
      </c>
      <c r="H421" t="s">
        <v>573</v>
      </c>
      <c r="I421" t="s">
        <v>141</v>
      </c>
      <c r="J421" t="s">
        <v>587</v>
      </c>
      <c r="K421">
        <v>0</v>
      </c>
      <c r="L421">
        <v>4</v>
      </c>
      <c r="M421">
        <v>5</v>
      </c>
      <c r="N421">
        <v>0</v>
      </c>
      <c r="O421">
        <f>_xlfn.XLOOKUP(VALINA[[#This Row],[id]],prov_color!A:A,prov_color!C:C)</f>
        <v>14</v>
      </c>
      <c r="P421" t="str">
        <f>_xlfn.XLOOKUP(VALINA[[#This Row],[id]],Table4[id],Table4[name])</f>
        <v>Auvergne</v>
      </c>
      <c r="Q421" t="str">
        <f>_xlfn.XLOOKUP(VALINA[[#This Row],[name]],Trans!A:A,Trans!B:B)</f>
        <v>Auvergne</v>
      </c>
    </row>
    <row r="422" spans="1:17" x14ac:dyDescent="0.25">
      <c r="A422">
        <v>421</v>
      </c>
      <c r="B422" t="s">
        <v>346</v>
      </c>
      <c r="C422" t="s">
        <v>491</v>
      </c>
      <c r="D422" t="s">
        <v>540</v>
      </c>
      <c r="E422" t="s">
        <v>14</v>
      </c>
      <c r="F422" t="s">
        <v>349</v>
      </c>
      <c r="G422" t="s">
        <v>26</v>
      </c>
      <c r="H422" t="s">
        <v>573</v>
      </c>
      <c r="I422" t="s">
        <v>41</v>
      </c>
      <c r="J422" t="s">
        <v>1630</v>
      </c>
      <c r="K422">
        <v>0</v>
      </c>
      <c r="L422">
        <v>4</v>
      </c>
      <c r="M422">
        <v>5</v>
      </c>
      <c r="N422">
        <v>0</v>
      </c>
      <c r="O422">
        <f>_xlfn.XLOOKUP(VALINA[[#This Row],[id]],prov_color!A:A,prov_color!C:C)</f>
        <v>15</v>
      </c>
      <c r="P422" t="str">
        <f>_xlfn.XLOOKUP(VALINA[[#This Row],[id]],Table4[id],Table4[name])</f>
        <v>Cevennes</v>
      </c>
      <c r="Q422" t="str">
        <f>_xlfn.XLOOKUP(VALINA[[#This Row],[name]],Trans!A:A,Trans!B:B)</f>
        <v>C�vennes</v>
      </c>
    </row>
    <row r="423" spans="1:17" x14ac:dyDescent="0.25">
      <c r="A423">
        <v>422</v>
      </c>
      <c r="B423" t="s">
        <v>346</v>
      </c>
      <c r="C423" t="s">
        <v>491</v>
      </c>
      <c r="D423" t="s">
        <v>540</v>
      </c>
      <c r="E423" t="s">
        <v>34</v>
      </c>
      <c r="F423" t="s">
        <v>349</v>
      </c>
      <c r="G423" t="s">
        <v>35</v>
      </c>
      <c r="H423" t="s">
        <v>573</v>
      </c>
      <c r="I423" t="s">
        <v>37</v>
      </c>
      <c r="J423" t="s">
        <v>589</v>
      </c>
      <c r="K423">
        <v>0</v>
      </c>
      <c r="L423">
        <v>11</v>
      </c>
      <c r="M423">
        <v>5</v>
      </c>
      <c r="N423">
        <v>0</v>
      </c>
      <c r="O423">
        <f>_xlfn.XLOOKUP(VALINA[[#This Row],[id]],prov_color!A:A,prov_color!C:C)</f>
        <v>16</v>
      </c>
      <c r="P423" t="str">
        <f>_xlfn.XLOOKUP(VALINA[[#This Row],[id]],Table4[id],Table4[name])</f>
        <v>Languedoc</v>
      </c>
      <c r="Q423" t="str">
        <f>_xlfn.XLOOKUP(VALINA[[#This Row],[name]],Trans!A:A,Trans!B:B)</f>
        <v>Languedoc</v>
      </c>
    </row>
    <row r="424" spans="1:17" x14ac:dyDescent="0.25">
      <c r="A424">
        <v>423</v>
      </c>
      <c r="B424" t="s">
        <v>346</v>
      </c>
      <c r="C424" t="s">
        <v>491</v>
      </c>
      <c r="D424" t="s">
        <v>540</v>
      </c>
      <c r="E424" t="s">
        <v>22</v>
      </c>
      <c r="F424" t="s">
        <v>349</v>
      </c>
      <c r="G424" t="s">
        <v>35</v>
      </c>
      <c r="H424" t="s">
        <v>573</v>
      </c>
      <c r="I424" t="s">
        <v>37</v>
      </c>
      <c r="J424" t="s">
        <v>590</v>
      </c>
      <c r="K424">
        <v>0</v>
      </c>
      <c r="L424">
        <v>11</v>
      </c>
      <c r="M424">
        <v>5</v>
      </c>
      <c r="N424">
        <v>0</v>
      </c>
      <c r="O424">
        <f>_xlfn.XLOOKUP(VALINA[[#This Row],[id]],prov_color!A:A,prov_color!C:C)</f>
        <v>21</v>
      </c>
      <c r="P424" t="str">
        <f>_xlfn.XLOOKUP(VALINA[[#This Row],[id]],Table4[id],Table4[name])</f>
        <v>Guyenne</v>
      </c>
      <c r="Q424" t="str">
        <f>_xlfn.XLOOKUP(VALINA[[#This Row],[name]],Trans!A:A,Trans!B:B)</f>
        <v>Guyenne</v>
      </c>
    </row>
    <row r="425" spans="1:17" x14ac:dyDescent="0.25">
      <c r="A425">
        <v>424</v>
      </c>
      <c r="B425" t="s">
        <v>346</v>
      </c>
      <c r="C425" t="s">
        <v>491</v>
      </c>
      <c r="D425" t="s">
        <v>540</v>
      </c>
      <c r="E425" t="s">
        <v>22</v>
      </c>
      <c r="F425" t="s">
        <v>349</v>
      </c>
      <c r="G425" t="s">
        <v>35</v>
      </c>
      <c r="H425" t="s">
        <v>573</v>
      </c>
      <c r="I425" t="s">
        <v>37</v>
      </c>
      <c r="J425" t="s">
        <v>591</v>
      </c>
      <c r="K425">
        <v>0</v>
      </c>
      <c r="L425">
        <v>10</v>
      </c>
      <c r="M425">
        <v>5</v>
      </c>
      <c r="N425">
        <v>0</v>
      </c>
      <c r="O425">
        <f>_xlfn.XLOOKUP(VALINA[[#This Row],[id]],prov_color!A:A,prov_color!C:C)</f>
        <v>22</v>
      </c>
      <c r="P425" t="str">
        <f>_xlfn.XLOOKUP(VALINA[[#This Row],[id]],Table4[id],Table4[name])</f>
        <v>Gascogne</v>
      </c>
      <c r="Q425" t="str">
        <f>_xlfn.XLOOKUP(VALINA[[#This Row],[name]],Trans!A:A,Trans!B:B)</f>
        <v>Gascogne</v>
      </c>
    </row>
    <row r="426" spans="1:17" x14ac:dyDescent="0.25">
      <c r="A426">
        <v>425</v>
      </c>
      <c r="B426" t="s">
        <v>346</v>
      </c>
      <c r="C426" t="s">
        <v>491</v>
      </c>
      <c r="D426" t="s">
        <v>540</v>
      </c>
      <c r="E426" t="s">
        <v>22</v>
      </c>
      <c r="F426" t="s">
        <v>349</v>
      </c>
      <c r="G426" t="s">
        <v>35</v>
      </c>
      <c r="H426" t="s">
        <v>573</v>
      </c>
      <c r="I426" t="s">
        <v>41</v>
      </c>
      <c r="J426" t="s">
        <v>1631</v>
      </c>
      <c r="K426">
        <v>0</v>
      </c>
      <c r="L426">
        <v>6</v>
      </c>
      <c r="M426">
        <v>5</v>
      </c>
      <c r="N426">
        <v>0</v>
      </c>
      <c r="O426">
        <f>_xlfn.XLOOKUP(VALINA[[#This Row],[id]],prov_color!A:A,prov_color!C:C)</f>
        <v>13</v>
      </c>
      <c r="P426" t="str">
        <f>_xlfn.XLOOKUP(VALINA[[#This Row],[id]],Table4[id],Table4[name])</f>
        <v>Bearn</v>
      </c>
      <c r="Q426" t="str">
        <f>_xlfn.XLOOKUP(VALINA[[#This Row],[name]],Trans!A:A,Trans!B:B)</f>
        <v>B�arn</v>
      </c>
    </row>
    <row r="427" spans="1:17" x14ac:dyDescent="0.25">
      <c r="A427">
        <v>426</v>
      </c>
      <c r="B427" t="s">
        <v>346</v>
      </c>
      <c r="C427" t="s">
        <v>491</v>
      </c>
      <c r="D427" t="s">
        <v>540</v>
      </c>
      <c r="E427" t="s">
        <v>34</v>
      </c>
      <c r="F427" t="s">
        <v>349</v>
      </c>
      <c r="G427" t="s">
        <v>35</v>
      </c>
      <c r="H427" t="s">
        <v>573</v>
      </c>
      <c r="I427" t="s">
        <v>37</v>
      </c>
      <c r="J427" t="s">
        <v>593</v>
      </c>
      <c r="K427">
        <v>0</v>
      </c>
      <c r="L427">
        <v>5</v>
      </c>
      <c r="M427">
        <v>5</v>
      </c>
      <c r="N427">
        <v>0</v>
      </c>
      <c r="O427">
        <f>_xlfn.XLOOKUP(VALINA[[#This Row],[id]],prov_color!A:A,prov_color!C:C)</f>
        <v>14</v>
      </c>
      <c r="P427" t="str">
        <f>_xlfn.XLOOKUP(VALINA[[#This Row],[id]],Table4[id],Table4[name])</f>
        <v>Roussillon</v>
      </c>
      <c r="Q427" t="str">
        <f>_xlfn.XLOOKUP(VALINA[[#This Row],[name]],Trans!A:A,Trans!B:B)</f>
        <v>Roussillon</v>
      </c>
    </row>
    <row r="428" spans="1:17" x14ac:dyDescent="0.25">
      <c r="A428">
        <v>427</v>
      </c>
      <c r="B428" t="s">
        <v>346</v>
      </c>
      <c r="C428" t="s">
        <v>516</v>
      </c>
      <c r="D428" t="s">
        <v>594</v>
      </c>
      <c r="E428" t="s">
        <v>14</v>
      </c>
      <c r="F428" t="s">
        <v>349</v>
      </c>
      <c r="G428" t="s">
        <v>35</v>
      </c>
      <c r="H428" t="s">
        <v>595</v>
      </c>
      <c r="I428" t="s">
        <v>27</v>
      </c>
      <c r="J428" t="s">
        <v>596</v>
      </c>
      <c r="K428">
        <v>0</v>
      </c>
      <c r="L428">
        <v>4</v>
      </c>
      <c r="M428">
        <v>5</v>
      </c>
      <c r="N428">
        <v>0</v>
      </c>
      <c r="O428">
        <f>_xlfn.XLOOKUP(VALINA[[#This Row],[id]],prov_color!A:A,prov_color!C:C)</f>
        <v>23</v>
      </c>
      <c r="P428" t="str">
        <f>_xlfn.XLOOKUP(VALINA[[#This Row],[id]],Table4[id],Table4[name])</f>
        <v>Gerona</v>
      </c>
      <c r="Q428" t="str">
        <f>_xlfn.XLOOKUP(VALINA[[#This Row],[name]],Trans!A:A,Trans!B:B)</f>
        <v>Gerona</v>
      </c>
    </row>
    <row r="429" spans="1:17" x14ac:dyDescent="0.25">
      <c r="A429">
        <v>428</v>
      </c>
      <c r="B429" t="s">
        <v>346</v>
      </c>
      <c r="C429" t="s">
        <v>516</v>
      </c>
      <c r="D429" t="s">
        <v>594</v>
      </c>
      <c r="E429" t="s">
        <v>14</v>
      </c>
      <c r="F429" t="s">
        <v>349</v>
      </c>
      <c r="G429" t="s">
        <v>35</v>
      </c>
      <c r="H429" t="s">
        <v>597</v>
      </c>
      <c r="I429" t="s">
        <v>141</v>
      </c>
      <c r="J429" t="s">
        <v>598</v>
      </c>
      <c r="K429">
        <v>0</v>
      </c>
      <c r="L429">
        <v>8</v>
      </c>
      <c r="M429">
        <v>5</v>
      </c>
      <c r="N429">
        <v>0</v>
      </c>
      <c r="O429">
        <f>_xlfn.XLOOKUP(VALINA[[#This Row],[id]],prov_color!A:A,prov_color!C:C)</f>
        <v>14</v>
      </c>
      <c r="P429" t="str">
        <f>_xlfn.XLOOKUP(VALINA[[#This Row],[id]],Table4[id],Table4[name])</f>
        <v>Navarra</v>
      </c>
      <c r="Q429" t="str">
        <f>_xlfn.XLOOKUP(VALINA[[#This Row],[name]],Trans!A:A,Trans!B:B)</f>
        <v>Navarra</v>
      </c>
    </row>
    <row r="430" spans="1:17" x14ac:dyDescent="0.25">
      <c r="A430">
        <v>429</v>
      </c>
      <c r="B430" t="s">
        <v>346</v>
      </c>
      <c r="C430" t="s">
        <v>516</v>
      </c>
      <c r="D430" t="s">
        <v>594</v>
      </c>
      <c r="E430" t="s">
        <v>34</v>
      </c>
      <c r="F430" t="s">
        <v>349</v>
      </c>
      <c r="G430" t="s">
        <v>35</v>
      </c>
      <c r="H430" t="s">
        <v>595</v>
      </c>
      <c r="I430" t="s">
        <v>37</v>
      </c>
      <c r="J430" t="s">
        <v>599</v>
      </c>
      <c r="K430">
        <v>0</v>
      </c>
      <c r="L430">
        <v>13</v>
      </c>
      <c r="M430">
        <v>7</v>
      </c>
      <c r="N430">
        <v>0</v>
      </c>
      <c r="O430">
        <f>_xlfn.XLOOKUP(VALINA[[#This Row],[id]],prov_color!A:A,prov_color!C:C)</f>
        <v>31</v>
      </c>
      <c r="P430" t="str">
        <f>_xlfn.XLOOKUP(VALINA[[#This Row],[id]],Table4[id],Table4[name])</f>
        <v>Catalonia</v>
      </c>
      <c r="Q430" t="str">
        <f>_xlfn.XLOOKUP(VALINA[[#This Row],[name]],Trans!A:A,Trans!B:B)</f>
        <v>Catalonia</v>
      </c>
    </row>
    <row r="431" spans="1:17" x14ac:dyDescent="0.25">
      <c r="A431">
        <v>430</v>
      </c>
      <c r="B431" t="s">
        <v>346</v>
      </c>
      <c r="C431" t="s">
        <v>516</v>
      </c>
      <c r="D431" t="s">
        <v>594</v>
      </c>
      <c r="E431" t="s">
        <v>14</v>
      </c>
      <c r="F431" t="s">
        <v>349</v>
      </c>
      <c r="G431" t="s">
        <v>35</v>
      </c>
      <c r="H431" t="s">
        <v>595</v>
      </c>
      <c r="I431" t="s">
        <v>141</v>
      </c>
      <c r="J431" t="s">
        <v>600</v>
      </c>
      <c r="K431">
        <v>0</v>
      </c>
      <c r="L431">
        <v>7</v>
      </c>
      <c r="M431">
        <v>5</v>
      </c>
      <c r="N431">
        <v>0</v>
      </c>
      <c r="O431">
        <f>_xlfn.XLOOKUP(VALINA[[#This Row],[id]],prov_color!A:A,prov_color!C:C)</f>
        <v>31</v>
      </c>
      <c r="P431" t="str">
        <f>_xlfn.XLOOKUP(VALINA[[#This Row],[id]],Table4[id],Table4[name])</f>
        <v>Aragon</v>
      </c>
      <c r="Q431" t="str">
        <f>_xlfn.XLOOKUP(VALINA[[#This Row],[name]],Trans!A:A,Trans!B:B)</f>
        <v>Aragon</v>
      </c>
    </row>
    <row r="432" spans="1:17" x14ac:dyDescent="0.25">
      <c r="A432">
        <v>431</v>
      </c>
      <c r="B432" t="s">
        <v>346</v>
      </c>
      <c r="C432" t="s">
        <v>516</v>
      </c>
      <c r="D432" t="s">
        <v>594</v>
      </c>
      <c r="E432" t="s">
        <v>22</v>
      </c>
      <c r="F432" t="s">
        <v>349</v>
      </c>
      <c r="G432" t="s">
        <v>35</v>
      </c>
      <c r="H432" t="s">
        <v>595</v>
      </c>
      <c r="I432" t="s">
        <v>1612</v>
      </c>
      <c r="J432" t="s">
        <v>601</v>
      </c>
      <c r="K432">
        <v>0</v>
      </c>
      <c r="L432">
        <v>9</v>
      </c>
      <c r="M432">
        <v>6</v>
      </c>
      <c r="N432">
        <v>0</v>
      </c>
      <c r="O432">
        <f>_xlfn.XLOOKUP(VALINA[[#This Row],[id]],prov_color!A:A,prov_color!C:C)</f>
        <v>32</v>
      </c>
      <c r="P432" t="str">
        <f>_xlfn.XLOOKUP(VALINA[[#This Row],[id]],Table4[id],Table4[name])</f>
        <v>Cantabria</v>
      </c>
      <c r="Q432" t="str">
        <f>_xlfn.XLOOKUP(VALINA[[#This Row],[name]],Trans!A:A,Trans!B:B)</f>
        <v>Cantabria</v>
      </c>
    </row>
    <row r="433" spans="1:17" x14ac:dyDescent="0.25">
      <c r="A433">
        <v>432</v>
      </c>
      <c r="B433" t="s">
        <v>346</v>
      </c>
      <c r="C433" t="s">
        <v>516</v>
      </c>
      <c r="D433" t="s">
        <v>594</v>
      </c>
      <c r="E433" t="s">
        <v>14</v>
      </c>
      <c r="F433" t="s">
        <v>349</v>
      </c>
      <c r="G433" t="s">
        <v>35</v>
      </c>
      <c r="H433" t="s">
        <v>595</v>
      </c>
      <c r="I433" t="s">
        <v>212</v>
      </c>
      <c r="J433" t="s">
        <v>602</v>
      </c>
      <c r="K433">
        <v>0</v>
      </c>
      <c r="L433">
        <v>7</v>
      </c>
      <c r="M433">
        <v>5</v>
      </c>
      <c r="N433">
        <v>0</v>
      </c>
      <c r="O433">
        <f>_xlfn.XLOOKUP(VALINA[[#This Row],[id]],prov_color!A:A,prov_color!C:C)</f>
        <v>26</v>
      </c>
      <c r="P433" t="str">
        <f>_xlfn.XLOOKUP(VALINA[[#This Row],[id]],Table4[id],Table4[name])</f>
        <v>Asturias</v>
      </c>
      <c r="Q433" t="str">
        <f>_xlfn.XLOOKUP(VALINA[[#This Row],[name]],Trans!A:A,Trans!B:B)</f>
        <v>Asturias</v>
      </c>
    </row>
    <row r="434" spans="1:17" x14ac:dyDescent="0.25">
      <c r="A434">
        <v>433</v>
      </c>
      <c r="B434" t="s">
        <v>346</v>
      </c>
      <c r="C434" t="s">
        <v>516</v>
      </c>
      <c r="D434" t="s">
        <v>594</v>
      </c>
      <c r="E434" t="s">
        <v>14</v>
      </c>
      <c r="F434" t="s">
        <v>349</v>
      </c>
      <c r="G434" t="s">
        <v>35</v>
      </c>
      <c r="H434" t="s">
        <v>595</v>
      </c>
      <c r="I434" t="s">
        <v>141</v>
      </c>
      <c r="J434" t="s">
        <v>603</v>
      </c>
      <c r="K434">
        <v>0</v>
      </c>
      <c r="L434">
        <v>5</v>
      </c>
      <c r="M434">
        <v>5</v>
      </c>
      <c r="N434">
        <v>0</v>
      </c>
      <c r="O434">
        <f>_xlfn.XLOOKUP(VALINA[[#This Row],[id]],prov_color!A:A,prov_color!C:C)</f>
        <v>30</v>
      </c>
      <c r="P434" t="str">
        <f>_xlfn.XLOOKUP(VALINA[[#This Row],[id]],Table4[id],Table4[name])</f>
        <v>Galicia</v>
      </c>
      <c r="Q434" t="str">
        <f>_xlfn.XLOOKUP(VALINA[[#This Row],[name]],Trans!A:A,Trans!B:B)</f>
        <v>Galicia</v>
      </c>
    </row>
    <row r="435" spans="1:17" x14ac:dyDescent="0.25">
      <c r="A435">
        <v>434</v>
      </c>
      <c r="B435" t="s">
        <v>346</v>
      </c>
      <c r="C435" t="s">
        <v>516</v>
      </c>
      <c r="D435" t="s">
        <v>594</v>
      </c>
      <c r="E435" t="s">
        <v>14</v>
      </c>
      <c r="F435" t="s">
        <v>349</v>
      </c>
      <c r="G435" t="s">
        <v>35</v>
      </c>
      <c r="H435" t="s">
        <v>604</v>
      </c>
      <c r="I435" t="s">
        <v>37</v>
      </c>
      <c r="J435" t="s">
        <v>605</v>
      </c>
      <c r="K435">
        <v>0</v>
      </c>
      <c r="L435">
        <v>14</v>
      </c>
      <c r="M435">
        <v>6</v>
      </c>
      <c r="N435">
        <v>0</v>
      </c>
      <c r="O435">
        <f>_xlfn.XLOOKUP(VALINA[[#This Row],[id]],prov_color!A:A,prov_color!C:C)</f>
        <v>30</v>
      </c>
      <c r="P435" t="str">
        <f>_xlfn.XLOOKUP(VALINA[[#This Row],[id]],Table4[id],Table4[name])</f>
        <v>Oporto</v>
      </c>
      <c r="Q435" t="str">
        <f>_xlfn.XLOOKUP(VALINA[[#This Row],[name]],Trans!A:A,Trans!B:B)</f>
        <v>Oporto</v>
      </c>
    </row>
    <row r="436" spans="1:17" x14ac:dyDescent="0.25">
      <c r="A436">
        <v>435</v>
      </c>
      <c r="B436" t="s">
        <v>346</v>
      </c>
      <c r="C436" t="s">
        <v>516</v>
      </c>
      <c r="D436" t="s">
        <v>594</v>
      </c>
      <c r="E436" t="s">
        <v>34</v>
      </c>
      <c r="F436" t="s">
        <v>349</v>
      </c>
      <c r="G436" t="s">
        <v>35</v>
      </c>
      <c r="H436" t="s">
        <v>595</v>
      </c>
      <c r="I436" t="s">
        <v>43</v>
      </c>
      <c r="J436" t="s">
        <v>606</v>
      </c>
      <c r="K436">
        <v>0</v>
      </c>
      <c r="L436">
        <v>5</v>
      </c>
      <c r="M436">
        <v>7</v>
      </c>
      <c r="N436">
        <v>0</v>
      </c>
      <c r="O436">
        <f>_xlfn.XLOOKUP(VALINA[[#This Row],[id]],prov_color!A:A,prov_color!C:C)</f>
        <v>33</v>
      </c>
      <c r="P436" t="str">
        <f>_xlfn.XLOOKUP(VALINA[[#This Row],[id]],Table4[id],Table4[name])</f>
        <v>Leon</v>
      </c>
      <c r="Q436" t="str">
        <f>_xlfn.XLOOKUP(VALINA[[#This Row],[name]],Trans!A:A,Trans!B:B)</f>
        <v>Leon</v>
      </c>
    </row>
    <row r="437" spans="1:17" x14ac:dyDescent="0.25">
      <c r="A437">
        <v>436</v>
      </c>
      <c r="B437" t="s">
        <v>346</v>
      </c>
      <c r="C437" t="s">
        <v>516</v>
      </c>
      <c r="D437" t="s">
        <v>594</v>
      </c>
      <c r="E437" t="s">
        <v>14</v>
      </c>
      <c r="F437" t="s">
        <v>349</v>
      </c>
      <c r="G437" t="s">
        <v>35</v>
      </c>
      <c r="H437" t="s">
        <v>595</v>
      </c>
      <c r="I437" t="s">
        <v>141</v>
      </c>
      <c r="J437" t="s">
        <v>607</v>
      </c>
      <c r="K437">
        <v>0</v>
      </c>
      <c r="L437">
        <v>11</v>
      </c>
      <c r="M437">
        <v>6</v>
      </c>
      <c r="N437">
        <v>0</v>
      </c>
      <c r="O437">
        <f>_xlfn.XLOOKUP(VALINA[[#This Row],[id]],prov_color!A:A,prov_color!C:C)</f>
        <v>37</v>
      </c>
      <c r="P437" t="str">
        <f>_xlfn.XLOOKUP(VALINA[[#This Row],[id]],Table4[id],Table4[name])</f>
        <v>Castilla</v>
      </c>
      <c r="Q437" t="str">
        <f>_xlfn.XLOOKUP(VALINA[[#This Row],[name]],Trans!A:A,Trans!B:B)</f>
        <v>Castilla</v>
      </c>
    </row>
    <row r="438" spans="1:17" x14ac:dyDescent="0.25">
      <c r="A438">
        <v>437</v>
      </c>
      <c r="B438" t="s">
        <v>346</v>
      </c>
      <c r="C438" t="s">
        <v>516</v>
      </c>
      <c r="D438" t="s">
        <v>594</v>
      </c>
      <c r="E438" t="s">
        <v>34</v>
      </c>
      <c r="F438" t="s">
        <v>349</v>
      </c>
      <c r="G438" t="s">
        <v>35</v>
      </c>
      <c r="H438" t="s">
        <v>595</v>
      </c>
      <c r="I438" t="s">
        <v>37</v>
      </c>
      <c r="J438" t="s">
        <v>608</v>
      </c>
      <c r="K438">
        <v>0</v>
      </c>
      <c r="L438">
        <v>9</v>
      </c>
      <c r="M438">
        <v>5</v>
      </c>
      <c r="N438">
        <v>0</v>
      </c>
      <c r="O438">
        <f>_xlfn.XLOOKUP(VALINA[[#This Row],[id]],prov_color!A:A,prov_color!C:C)</f>
        <v>27</v>
      </c>
      <c r="P438" t="str">
        <f>_xlfn.XLOOKUP(VALINA[[#This Row],[id]],Table4[id],Table4[name])</f>
        <v>Valencia</v>
      </c>
      <c r="Q438" t="str">
        <f>_xlfn.XLOOKUP(VALINA[[#This Row],[name]],Trans!A:A,Trans!B:B)</f>
        <v>Valencia</v>
      </c>
    </row>
    <row r="439" spans="1:17" x14ac:dyDescent="0.25">
      <c r="A439">
        <v>438</v>
      </c>
      <c r="B439" t="s">
        <v>346</v>
      </c>
      <c r="C439" t="s">
        <v>516</v>
      </c>
      <c r="D439" t="s">
        <v>594</v>
      </c>
      <c r="E439" t="s">
        <v>14</v>
      </c>
      <c r="F439" t="s">
        <v>609</v>
      </c>
      <c r="G439" t="s">
        <v>35</v>
      </c>
      <c r="H439" t="s">
        <v>595</v>
      </c>
      <c r="I439" t="s">
        <v>53</v>
      </c>
      <c r="J439" t="s">
        <v>610</v>
      </c>
      <c r="K439">
        <v>0</v>
      </c>
      <c r="L439">
        <v>5</v>
      </c>
      <c r="M439">
        <v>4</v>
      </c>
      <c r="N439">
        <v>0</v>
      </c>
      <c r="O439">
        <f>_xlfn.XLOOKUP(VALINA[[#This Row],[id]],prov_color!A:A,prov_color!C:C)</f>
        <v>25</v>
      </c>
      <c r="P439" t="str">
        <f>_xlfn.XLOOKUP(VALINA[[#This Row],[id]],Table4[id],Table4[name])</f>
        <v>Murcia</v>
      </c>
      <c r="Q439" t="str">
        <f>_xlfn.XLOOKUP(VALINA[[#This Row],[name]],Trans!A:A,Trans!B:B)</f>
        <v>Murcia</v>
      </c>
    </row>
    <row r="440" spans="1:17" x14ac:dyDescent="0.25">
      <c r="A440">
        <v>439</v>
      </c>
      <c r="B440" t="s">
        <v>346</v>
      </c>
      <c r="C440" t="s">
        <v>516</v>
      </c>
      <c r="D440" t="s">
        <v>594</v>
      </c>
      <c r="E440" t="s">
        <v>14</v>
      </c>
      <c r="F440" t="s">
        <v>349</v>
      </c>
      <c r="G440" t="s">
        <v>35</v>
      </c>
      <c r="H440" t="s">
        <v>595</v>
      </c>
      <c r="I440" t="s">
        <v>18</v>
      </c>
      <c r="J440" t="s">
        <v>611</v>
      </c>
      <c r="K440">
        <v>0</v>
      </c>
      <c r="L440">
        <v>7</v>
      </c>
      <c r="M440">
        <v>4</v>
      </c>
      <c r="N440">
        <v>0</v>
      </c>
      <c r="O440">
        <f>_xlfn.XLOOKUP(VALINA[[#This Row],[id]],prov_color!A:A,prov_color!C:C)</f>
        <v>28</v>
      </c>
      <c r="P440" t="str">
        <f>_xlfn.XLOOKUP(VALINA[[#This Row],[id]],Table4[id],Table4[name])</f>
        <v>Toledo</v>
      </c>
      <c r="Q440" t="str">
        <f>_xlfn.XLOOKUP(VALINA[[#This Row],[name]],Trans!A:A,Trans!B:B)</f>
        <v>Toledo</v>
      </c>
    </row>
    <row r="441" spans="1:17" x14ac:dyDescent="0.25">
      <c r="A441">
        <v>440</v>
      </c>
      <c r="B441" t="s">
        <v>346</v>
      </c>
      <c r="C441" t="s">
        <v>516</v>
      </c>
      <c r="D441" t="s">
        <v>594</v>
      </c>
      <c r="E441" t="s">
        <v>14</v>
      </c>
      <c r="F441" t="s">
        <v>349</v>
      </c>
      <c r="G441" t="s">
        <v>35</v>
      </c>
      <c r="H441" t="s">
        <v>595</v>
      </c>
      <c r="I441" t="s">
        <v>41</v>
      </c>
      <c r="J441" t="s">
        <v>612</v>
      </c>
      <c r="K441">
        <v>0</v>
      </c>
      <c r="L441">
        <v>6</v>
      </c>
      <c r="M441">
        <v>4</v>
      </c>
      <c r="N441">
        <v>0</v>
      </c>
      <c r="O441">
        <f>_xlfn.XLOOKUP(VALINA[[#This Row],[id]],prov_color!A:A,prov_color!C:C)</f>
        <v>35</v>
      </c>
      <c r="P441" t="str">
        <f>_xlfn.XLOOKUP(VALINA[[#This Row],[id]],Table4[id],Table4[name])</f>
        <v>Estramadura</v>
      </c>
      <c r="Q441" t="str">
        <f>_xlfn.XLOOKUP(VALINA[[#This Row],[name]],Trans!A:A,Trans!B:B)</f>
        <v>Estramadura</v>
      </c>
    </row>
    <row r="442" spans="1:17" x14ac:dyDescent="0.25">
      <c r="A442">
        <v>441</v>
      </c>
      <c r="B442" t="s">
        <v>346</v>
      </c>
      <c r="C442" t="s">
        <v>516</v>
      </c>
      <c r="D442" t="s">
        <v>594</v>
      </c>
      <c r="E442" t="s">
        <v>34</v>
      </c>
      <c r="F442" t="s">
        <v>349</v>
      </c>
      <c r="G442" t="s">
        <v>35</v>
      </c>
      <c r="H442" t="s">
        <v>604</v>
      </c>
      <c r="I442" t="s">
        <v>27</v>
      </c>
      <c r="J442" t="s">
        <v>613</v>
      </c>
      <c r="K442">
        <v>0</v>
      </c>
      <c r="L442">
        <v>19</v>
      </c>
      <c r="M442">
        <v>6</v>
      </c>
      <c r="N442">
        <v>0</v>
      </c>
      <c r="O442">
        <f>_xlfn.XLOOKUP(VALINA[[#This Row],[id]],prov_color!A:A,prov_color!C:C)</f>
        <v>23</v>
      </c>
      <c r="P442" t="str">
        <f>_xlfn.XLOOKUP(VALINA[[#This Row],[id]],Table4[id],Table4[name])</f>
        <v>Tago</v>
      </c>
      <c r="Q442" t="str">
        <f>_xlfn.XLOOKUP(VALINA[[#This Row],[name]],Trans!A:A,Trans!B:B)</f>
        <v>Tago</v>
      </c>
    </row>
    <row r="443" spans="1:17" x14ac:dyDescent="0.25">
      <c r="A443">
        <v>442</v>
      </c>
      <c r="B443" t="s">
        <v>346</v>
      </c>
      <c r="C443" t="s">
        <v>516</v>
      </c>
      <c r="D443" t="s">
        <v>594</v>
      </c>
      <c r="E443" t="s">
        <v>34</v>
      </c>
      <c r="F443" t="s">
        <v>349</v>
      </c>
      <c r="G443" t="s">
        <v>35</v>
      </c>
      <c r="H443" t="s">
        <v>604</v>
      </c>
      <c r="I443" t="s">
        <v>27</v>
      </c>
      <c r="J443" t="s">
        <v>614</v>
      </c>
      <c r="K443">
        <v>0</v>
      </c>
      <c r="L443">
        <v>11</v>
      </c>
      <c r="M443">
        <v>4</v>
      </c>
      <c r="N443">
        <v>0</v>
      </c>
      <c r="O443">
        <f>_xlfn.XLOOKUP(VALINA[[#This Row],[id]],prov_color!A:A,prov_color!C:C)</f>
        <v>33</v>
      </c>
      <c r="P443" t="str">
        <f>_xlfn.XLOOKUP(VALINA[[#This Row],[id]],Table4[id],Table4[name])</f>
        <v>Algarve</v>
      </c>
      <c r="Q443" t="str">
        <f>_xlfn.XLOOKUP(VALINA[[#This Row],[name]],Trans!A:A,Trans!B:B)</f>
        <v>Algarve</v>
      </c>
    </row>
    <row r="444" spans="1:17" x14ac:dyDescent="0.25">
      <c r="A444">
        <v>443</v>
      </c>
      <c r="B444" t="s">
        <v>346</v>
      </c>
      <c r="C444" t="s">
        <v>516</v>
      </c>
      <c r="D444" t="s">
        <v>594</v>
      </c>
      <c r="E444" t="s">
        <v>34</v>
      </c>
      <c r="F444" t="s">
        <v>609</v>
      </c>
      <c r="G444" t="s">
        <v>35</v>
      </c>
      <c r="H444" t="s">
        <v>595</v>
      </c>
      <c r="I444" t="s">
        <v>37</v>
      </c>
      <c r="J444" t="s">
        <v>615</v>
      </c>
      <c r="K444">
        <v>0</v>
      </c>
      <c r="L444">
        <v>15</v>
      </c>
      <c r="M444">
        <v>6</v>
      </c>
      <c r="N444">
        <v>0</v>
      </c>
      <c r="O444">
        <f>_xlfn.XLOOKUP(VALINA[[#This Row],[id]],prov_color!A:A,prov_color!C:C)</f>
        <v>29</v>
      </c>
      <c r="P444" t="str">
        <f>_xlfn.XLOOKUP(VALINA[[#This Row],[id]],Table4[id],Table4[name])</f>
        <v>Andalusia</v>
      </c>
      <c r="Q444" t="str">
        <f>_xlfn.XLOOKUP(VALINA[[#This Row],[name]],Trans!A:A,Trans!B:B)</f>
        <v>Andalusia</v>
      </c>
    </row>
    <row r="445" spans="1:17" x14ac:dyDescent="0.25">
      <c r="A445">
        <v>444</v>
      </c>
      <c r="B445" t="s">
        <v>346</v>
      </c>
      <c r="C445" t="s">
        <v>516</v>
      </c>
      <c r="D445" t="s">
        <v>594</v>
      </c>
      <c r="E445" t="s">
        <v>14</v>
      </c>
      <c r="F445" t="s">
        <v>609</v>
      </c>
      <c r="G445" t="s">
        <v>35</v>
      </c>
      <c r="H445" t="s">
        <v>616</v>
      </c>
      <c r="I445" t="s">
        <v>212</v>
      </c>
      <c r="J445" t="s">
        <v>617</v>
      </c>
      <c r="K445">
        <v>0</v>
      </c>
      <c r="L445">
        <v>7</v>
      </c>
      <c r="M445">
        <v>5</v>
      </c>
      <c r="N445">
        <v>0</v>
      </c>
      <c r="O445">
        <f>_xlfn.XLOOKUP(VALINA[[#This Row],[id]],prov_color!A:A,prov_color!C:C)</f>
        <v>31</v>
      </c>
      <c r="P445" t="str">
        <f>_xlfn.XLOOKUP(VALINA[[#This Row],[id]],Table4[id],Table4[name])</f>
        <v>Granada</v>
      </c>
      <c r="Q445" t="str">
        <f>_xlfn.XLOOKUP(VALINA[[#This Row],[name]],Trans!A:A,Trans!B:B)</f>
        <v>Granada</v>
      </c>
    </row>
    <row r="446" spans="1:17" x14ac:dyDescent="0.25">
      <c r="A446">
        <v>445</v>
      </c>
      <c r="B446" t="s">
        <v>346</v>
      </c>
      <c r="C446" t="s">
        <v>516</v>
      </c>
      <c r="D446" t="s">
        <v>594</v>
      </c>
      <c r="E446" t="s">
        <v>14</v>
      </c>
      <c r="F446" t="s">
        <v>609</v>
      </c>
      <c r="G446" t="s">
        <v>35</v>
      </c>
      <c r="H446" t="s">
        <v>595</v>
      </c>
      <c r="I446" t="s">
        <v>27</v>
      </c>
      <c r="J446" t="s">
        <v>618</v>
      </c>
      <c r="K446">
        <v>0</v>
      </c>
      <c r="L446">
        <v>7</v>
      </c>
      <c r="M446">
        <v>2</v>
      </c>
      <c r="N446">
        <v>0</v>
      </c>
      <c r="O446">
        <f>_xlfn.XLOOKUP(VALINA[[#This Row],[id]],prov_color!A:A,prov_color!C:C)</f>
        <v>11</v>
      </c>
      <c r="P446" t="str">
        <f>_xlfn.XLOOKUP(VALINA[[#This Row],[id]],Table4[id],Table4[name])</f>
        <v>Gibraltar</v>
      </c>
      <c r="Q446" t="str">
        <f>_xlfn.XLOOKUP(VALINA[[#This Row],[name]],Trans!A:A,Trans!B:B)</f>
        <v>Gibraltar</v>
      </c>
    </row>
    <row r="447" spans="1:17" x14ac:dyDescent="0.25">
      <c r="A447">
        <v>446</v>
      </c>
      <c r="B447" t="s">
        <v>346</v>
      </c>
      <c r="C447" t="s">
        <v>392</v>
      </c>
      <c r="D447" t="s">
        <v>619</v>
      </c>
      <c r="E447" t="s">
        <v>22</v>
      </c>
      <c r="F447" t="s">
        <v>609</v>
      </c>
      <c r="G447" t="s">
        <v>122</v>
      </c>
      <c r="H447" t="s">
        <v>620</v>
      </c>
      <c r="I447" t="s">
        <v>141</v>
      </c>
      <c r="J447" t="s">
        <v>621</v>
      </c>
      <c r="K447">
        <v>0</v>
      </c>
      <c r="L447">
        <v>9</v>
      </c>
      <c r="M447">
        <v>5</v>
      </c>
      <c r="N447">
        <v>0</v>
      </c>
      <c r="O447">
        <f>_xlfn.XLOOKUP(VALINA[[#This Row],[id]],prov_color!A:A,prov_color!C:C)</f>
        <v>114</v>
      </c>
      <c r="P447" t="str">
        <f>_xlfn.XLOOKUP(VALINA[[#This Row],[id]],Table4[id],Table4[name])</f>
        <v>Kazan</v>
      </c>
      <c r="Q447" t="str">
        <f>_xlfn.XLOOKUP(VALINA[[#This Row],[name]],Trans!A:A,Trans!B:B)</f>
        <v>Kazan</v>
      </c>
    </row>
    <row r="448" spans="1:17" x14ac:dyDescent="0.25">
      <c r="A448">
        <v>447</v>
      </c>
      <c r="B448" t="s">
        <v>346</v>
      </c>
      <c r="C448" t="s">
        <v>392</v>
      </c>
      <c r="D448" t="s">
        <v>402</v>
      </c>
      <c r="E448" t="s">
        <v>34</v>
      </c>
      <c r="F448" t="s">
        <v>394</v>
      </c>
      <c r="G448" t="s">
        <v>122</v>
      </c>
      <c r="H448" t="s">
        <v>388</v>
      </c>
      <c r="I448" t="s">
        <v>141</v>
      </c>
      <c r="J448" t="s">
        <v>622</v>
      </c>
      <c r="K448">
        <v>0</v>
      </c>
      <c r="L448">
        <v>6</v>
      </c>
      <c r="M448">
        <v>5</v>
      </c>
      <c r="N448">
        <v>0</v>
      </c>
      <c r="O448">
        <f>_xlfn.XLOOKUP(VALINA[[#This Row],[id]],prov_color!A:A,prov_color!C:C)</f>
        <v>41</v>
      </c>
      <c r="P448" t="str">
        <f>_xlfn.XLOOKUP(VALINA[[#This Row],[id]],Table4[id],Table4[name])</f>
        <v>Tambow</v>
      </c>
      <c r="Q448" t="str">
        <f>_xlfn.XLOOKUP(VALINA[[#This Row],[name]],Trans!A:A,Trans!B:B)</f>
        <v>Tambow</v>
      </c>
    </row>
    <row r="449" spans="1:17" x14ac:dyDescent="0.25">
      <c r="A449">
        <v>448</v>
      </c>
      <c r="B449" t="s">
        <v>346</v>
      </c>
      <c r="C449" t="s">
        <v>392</v>
      </c>
      <c r="D449" t="s">
        <v>402</v>
      </c>
      <c r="E449" t="s">
        <v>34</v>
      </c>
      <c r="F449" t="s">
        <v>394</v>
      </c>
      <c r="G449" t="s">
        <v>122</v>
      </c>
      <c r="H449" t="s">
        <v>403</v>
      </c>
      <c r="I449" t="s">
        <v>41</v>
      </c>
      <c r="J449" t="s">
        <v>623</v>
      </c>
      <c r="K449">
        <v>0</v>
      </c>
      <c r="L449">
        <v>8</v>
      </c>
      <c r="M449">
        <v>8</v>
      </c>
      <c r="N449">
        <v>0</v>
      </c>
      <c r="O449">
        <f>_xlfn.XLOOKUP(VALINA[[#This Row],[id]],prov_color!A:A,prov_color!C:C)</f>
        <v>42</v>
      </c>
      <c r="P449" t="str">
        <f>_xlfn.XLOOKUP(VALINA[[#This Row],[id]],Table4[id],Table4[name])</f>
        <v>Ryazan</v>
      </c>
      <c r="Q449" t="str">
        <f>_xlfn.XLOOKUP(VALINA[[#This Row],[name]],Trans!A:A,Trans!B:B)</f>
        <v>Ryazan</v>
      </c>
    </row>
    <row r="450" spans="1:17" x14ac:dyDescent="0.25">
      <c r="A450">
        <v>449</v>
      </c>
      <c r="B450" t="s">
        <v>346</v>
      </c>
      <c r="C450" t="s">
        <v>392</v>
      </c>
      <c r="D450" t="s">
        <v>402</v>
      </c>
      <c r="E450" t="s">
        <v>34</v>
      </c>
      <c r="F450" t="s">
        <v>394</v>
      </c>
      <c r="G450" t="s">
        <v>122</v>
      </c>
      <c r="H450" t="s">
        <v>403</v>
      </c>
      <c r="I450" t="s">
        <v>43</v>
      </c>
      <c r="J450" t="s">
        <v>624</v>
      </c>
      <c r="K450">
        <v>0</v>
      </c>
      <c r="L450">
        <v>6</v>
      </c>
      <c r="M450">
        <v>5</v>
      </c>
      <c r="N450">
        <v>0</v>
      </c>
      <c r="O450">
        <f>_xlfn.XLOOKUP(VALINA[[#This Row],[id]],prov_color!A:A,prov_color!C:C)</f>
        <v>55</v>
      </c>
      <c r="P450" t="str">
        <f>_xlfn.XLOOKUP(VALINA[[#This Row],[id]],Table4[id],Table4[name])</f>
        <v>Vorones</v>
      </c>
      <c r="Q450" t="str">
        <f>_xlfn.XLOOKUP(VALINA[[#This Row],[name]],Trans!A:A,Trans!B:B)</f>
        <v>Vorones</v>
      </c>
    </row>
    <row r="451" spans="1:17" x14ac:dyDescent="0.25">
      <c r="A451">
        <v>450</v>
      </c>
      <c r="B451" t="s">
        <v>346</v>
      </c>
      <c r="C451" t="s">
        <v>392</v>
      </c>
      <c r="D451" t="s">
        <v>402</v>
      </c>
      <c r="E451" t="s">
        <v>34</v>
      </c>
      <c r="F451" t="s">
        <v>394</v>
      </c>
      <c r="G451" t="s">
        <v>122</v>
      </c>
      <c r="H451" t="s">
        <v>436</v>
      </c>
      <c r="I451" t="s">
        <v>43</v>
      </c>
      <c r="J451" t="s">
        <v>625</v>
      </c>
      <c r="K451">
        <v>0</v>
      </c>
      <c r="L451">
        <v>5</v>
      </c>
      <c r="M451">
        <v>5</v>
      </c>
      <c r="N451">
        <v>0</v>
      </c>
      <c r="O451">
        <f>_xlfn.XLOOKUP(VALINA[[#This Row],[id]],prov_color!A:A,prov_color!C:C)</f>
        <v>51</v>
      </c>
      <c r="P451" t="str">
        <f>_xlfn.XLOOKUP(VALINA[[#This Row],[id]],Table4[id],Table4[name])</f>
        <v>Belgorod</v>
      </c>
      <c r="Q451" t="str">
        <f>_xlfn.XLOOKUP(VALINA[[#This Row],[name]],Trans!A:A,Trans!B:B)</f>
        <v>Belgorod</v>
      </c>
    </row>
    <row r="452" spans="1:17" x14ac:dyDescent="0.25">
      <c r="A452">
        <v>451</v>
      </c>
      <c r="B452" t="s">
        <v>346</v>
      </c>
      <c r="C452" t="s">
        <v>392</v>
      </c>
      <c r="D452" t="s">
        <v>402</v>
      </c>
      <c r="E452" t="s">
        <v>34</v>
      </c>
      <c r="F452" t="s">
        <v>609</v>
      </c>
      <c r="G452" t="s">
        <v>122</v>
      </c>
      <c r="H452" t="s">
        <v>620</v>
      </c>
      <c r="I452" t="s">
        <v>41</v>
      </c>
      <c r="J452" t="s">
        <v>626</v>
      </c>
      <c r="K452">
        <v>0</v>
      </c>
      <c r="L452">
        <v>5</v>
      </c>
      <c r="M452">
        <v>5</v>
      </c>
      <c r="N452">
        <v>0</v>
      </c>
      <c r="O452">
        <f>_xlfn.XLOOKUP(VALINA[[#This Row],[id]],prov_color!A:A,prov_color!C:C)</f>
        <v>58</v>
      </c>
      <c r="P452" t="str">
        <f>_xlfn.XLOOKUP(VALINA[[#This Row],[id]],Table4[id],Table4[name])</f>
        <v>Bogutjar</v>
      </c>
      <c r="Q452" t="str">
        <f>_xlfn.XLOOKUP(VALINA[[#This Row],[name]],Trans!A:A,Trans!B:B)</f>
        <v>Bogutjar</v>
      </c>
    </row>
    <row r="453" spans="1:17" x14ac:dyDescent="0.25">
      <c r="A453">
        <v>452</v>
      </c>
      <c r="B453" t="s">
        <v>346</v>
      </c>
      <c r="C453" t="s">
        <v>392</v>
      </c>
      <c r="D453" t="s">
        <v>402</v>
      </c>
      <c r="E453" t="s">
        <v>34</v>
      </c>
      <c r="F453" t="s">
        <v>609</v>
      </c>
      <c r="G453" t="s">
        <v>122</v>
      </c>
      <c r="H453" t="s">
        <v>620</v>
      </c>
      <c r="I453" t="s">
        <v>43</v>
      </c>
      <c r="J453" t="s">
        <v>627</v>
      </c>
      <c r="K453">
        <v>0</v>
      </c>
      <c r="L453">
        <v>6</v>
      </c>
      <c r="M453">
        <v>5</v>
      </c>
      <c r="N453">
        <v>0</v>
      </c>
      <c r="O453">
        <f>_xlfn.XLOOKUP(VALINA[[#This Row],[id]],prov_color!A:A,prov_color!C:C)</f>
        <v>39</v>
      </c>
      <c r="P453" t="str">
        <f>_xlfn.XLOOKUP(VALINA[[#This Row],[id]],Table4[id],Table4[name])</f>
        <v>Saratow</v>
      </c>
      <c r="Q453" t="str">
        <f>_xlfn.XLOOKUP(VALINA[[#This Row],[name]],Trans!A:A,Trans!B:B)</f>
        <v>Saratow</v>
      </c>
    </row>
    <row r="454" spans="1:17" x14ac:dyDescent="0.25">
      <c r="A454">
        <v>453</v>
      </c>
      <c r="B454" t="s">
        <v>346</v>
      </c>
      <c r="C454" t="s">
        <v>392</v>
      </c>
      <c r="D454" t="s">
        <v>619</v>
      </c>
      <c r="E454" t="s">
        <v>34</v>
      </c>
      <c r="F454" t="s">
        <v>609</v>
      </c>
      <c r="G454" t="s">
        <v>122</v>
      </c>
      <c r="H454" t="s">
        <v>620</v>
      </c>
      <c r="I454" t="s">
        <v>41</v>
      </c>
      <c r="J454" t="s">
        <v>628</v>
      </c>
      <c r="K454">
        <v>0</v>
      </c>
      <c r="L454">
        <v>7</v>
      </c>
      <c r="M454">
        <v>5</v>
      </c>
      <c r="N454">
        <v>0</v>
      </c>
      <c r="O454">
        <f>_xlfn.XLOOKUP(VALINA[[#This Row],[id]],prov_color!A:A,prov_color!C:C)</f>
        <v>83</v>
      </c>
      <c r="P454" t="str">
        <f>_xlfn.XLOOKUP(VALINA[[#This Row],[id]],Table4[id],Table4[name])</f>
        <v>Ufa</v>
      </c>
      <c r="Q454" t="str">
        <f>_xlfn.XLOOKUP(VALINA[[#This Row],[name]],Trans!A:A,Trans!B:B)</f>
        <v>Ufa</v>
      </c>
    </row>
    <row r="455" spans="1:17" x14ac:dyDescent="0.25">
      <c r="A455">
        <v>454</v>
      </c>
      <c r="B455" t="s">
        <v>346</v>
      </c>
      <c r="C455" t="s">
        <v>392</v>
      </c>
      <c r="D455" t="s">
        <v>619</v>
      </c>
      <c r="E455" t="s">
        <v>22</v>
      </c>
      <c r="F455" t="s">
        <v>609</v>
      </c>
      <c r="G455" t="s">
        <v>122</v>
      </c>
      <c r="H455" t="s">
        <v>620</v>
      </c>
      <c r="I455" t="s">
        <v>18</v>
      </c>
      <c r="J455" t="s">
        <v>629</v>
      </c>
      <c r="K455">
        <v>0</v>
      </c>
      <c r="L455">
        <v>9</v>
      </c>
      <c r="M455">
        <v>5</v>
      </c>
      <c r="N455">
        <v>0</v>
      </c>
      <c r="O455">
        <f>_xlfn.XLOOKUP(VALINA[[#This Row],[id]],prov_color!A:A,prov_color!C:C)</f>
        <v>93</v>
      </c>
      <c r="P455" t="str">
        <f>_xlfn.XLOOKUP(VALINA[[#This Row],[id]],Table4[id],Table4[name])</f>
        <v>Samara</v>
      </c>
      <c r="Q455" t="str">
        <f>_xlfn.XLOOKUP(VALINA[[#This Row],[name]],Trans!A:A,Trans!B:B)</f>
        <v>Samara</v>
      </c>
    </row>
    <row r="456" spans="1:17" x14ac:dyDescent="0.25">
      <c r="A456">
        <v>455</v>
      </c>
      <c r="B456" t="s">
        <v>346</v>
      </c>
      <c r="C456" t="s">
        <v>392</v>
      </c>
      <c r="D456" t="s">
        <v>619</v>
      </c>
      <c r="E456" t="s">
        <v>34</v>
      </c>
      <c r="F456" t="s">
        <v>609</v>
      </c>
      <c r="G456" t="s">
        <v>122</v>
      </c>
      <c r="H456" t="s">
        <v>620</v>
      </c>
      <c r="I456" t="s">
        <v>212</v>
      </c>
      <c r="J456" t="s">
        <v>630</v>
      </c>
      <c r="K456">
        <v>0</v>
      </c>
      <c r="L456">
        <v>6</v>
      </c>
      <c r="M456">
        <v>5</v>
      </c>
      <c r="N456">
        <v>0</v>
      </c>
      <c r="O456">
        <f>_xlfn.XLOOKUP(VALINA[[#This Row],[id]],prov_color!A:A,prov_color!C:C)</f>
        <v>104</v>
      </c>
      <c r="P456" t="str">
        <f>_xlfn.XLOOKUP(VALINA[[#This Row],[id]],Table4[id],Table4[name])</f>
        <v>Uralsk</v>
      </c>
      <c r="Q456" t="str">
        <f>_xlfn.XLOOKUP(VALINA[[#This Row],[name]],Trans!A:A,Trans!B:B)</f>
        <v>Uralsk</v>
      </c>
    </row>
    <row r="457" spans="1:17" x14ac:dyDescent="0.25">
      <c r="A457">
        <v>456</v>
      </c>
      <c r="B457" t="s">
        <v>346</v>
      </c>
      <c r="C457" t="s">
        <v>392</v>
      </c>
      <c r="D457" t="s">
        <v>619</v>
      </c>
      <c r="E457" t="s">
        <v>34</v>
      </c>
      <c r="F457" t="s">
        <v>609</v>
      </c>
      <c r="G457" t="s">
        <v>122</v>
      </c>
      <c r="H457" t="s">
        <v>620</v>
      </c>
      <c r="I457" t="s">
        <v>212</v>
      </c>
      <c r="J457" t="s">
        <v>631</v>
      </c>
      <c r="K457">
        <v>0</v>
      </c>
      <c r="L457">
        <v>3</v>
      </c>
      <c r="M457">
        <v>5</v>
      </c>
      <c r="N457">
        <v>0</v>
      </c>
      <c r="O457">
        <f>_xlfn.XLOOKUP(VALINA[[#This Row],[id]],prov_color!A:A,prov_color!C:C)</f>
        <v>83</v>
      </c>
      <c r="P457" t="str">
        <f>_xlfn.XLOOKUP(VALINA[[#This Row],[id]],Table4[id],Table4[name])</f>
        <v>Orenburg</v>
      </c>
      <c r="Q457" t="str">
        <f>_xlfn.XLOOKUP(VALINA[[#This Row],[name]],Trans!A:A,Trans!B:B)</f>
        <v>Orenburg</v>
      </c>
    </row>
    <row r="458" spans="1:17" x14ac:dyDescent="0.25">
      <c r="A458">
        <v>457</v>
      </c>
      <c r="B458" t="s">
        <v>346</v>
      </c>
      <c r="C458" t="s">
        <v>392</v>
      </c>
      <c r="D458" t="s">
        <v>619</v>
      </c>
      <c r="E458" t="s">
        <v>34</v>
      </c>
      <c r="F458" t="s">
        <v>609</v>
      </c>
      <c r="G458" t="s">
        <v>122</v>
      </c>
      <c r="H458" t="s">
        <v>620</v>
      </c>
      <c r="I458" t="s">
        <v>41</v>
      </c>
      <c r="J458" t="s">
        <v>632</v>
      </c>
      <c r="K458">
        <v>0</v>
      </c>
      <c r="L458">
        <v>10</v>
      </c>
      <c r="M458">
        <v>5</v>
      </c>
      <c r="N458">
        <v>0</v>
      </c>
      <c r="O458">
        <f>_xlfn.XLOOKUP(VALINA[[#This Row],[id]],prov_color!A:A,prov_color!C:C)</f>
        <v>87</v>
      </c>
      <c r="P458" t="str">
        <f>_xlfn.XLOOKUP(VALINA[[#This Row],[id]],Table4[id],Table4[name])</f>
        <v>Astrakhan</v>
      </c>
      <c r="Q458" t="str">
        <f>_xlfn.XLOOKUP(VALINA[[#This Row],[name]],Trans!A:A,Trans!B:B)</f>
        <v>Astrakhan</v>
      </c>
    </row>
    <row r="459" spans="1:17" x14ac:dyDescent="0.25">
      <c r="A459">
        <v>458</v>
      </c>
      <c r="B459" t="s">
        <v>346</v>
      </c>
      <c r="C459" t="s">
        <v>392</v>
      </c>
      <c r="D459" t="s">
        <v>619</v>
      </c>
      <c r="E459" t="s">
        <v>34</v>
      </c>
      <c r="F459" t="s">
        <v>609</v>
      </c>
      <c r="G459" t="s">
        <v>122</v>
      </c>
      <c r="H459" t="s">
        <v>620</v>
      </c>
      <c r="I459" t="s">
        <v>43</v>
      </c>
      <c r="J459" t="s">
        <v>633</v>
      </c>
      <c r="K459">
        <v>0</v>
      </c>
      <c r="L459">
        <v>3</v>
      </c>
      <c r="M459">
        <v>5</v>
      </c>
      <c r="N459">
        <v>0</v>
      </c>
      <c r="O459">
        <f>_xlfn.XLOOKUP(VALINA[[#This Row],[id]],prov_color!A:A,prov_color!C:C)</f>
        <v>76</v>
      </c>
      <c r="P459" t="str">
        <f>_xlfn.XLOOKUP(VALINA[[#This Row],[id]],Table4[id],Table4[name])</f>
        <v>Volgograd</v>
      </c>
      <c r="Q459" t="str">
        <f>_xlfn.XLOOKUP(VALINA[[#This Row],[name]],Trans!A:A,Trans!B:B)</f>
        <v>Volgograd</v>
      </c>
    </row>
    <row r="460" spans="1:17" x14ac:dyDescent="0.25">
      <c r="A460">
        <v>459</v>
      </c>
      <c r="B460" t="s">
        <v>346</v>
      </c>
      <c r="C460" t="s">
        <v>392</v>
      </c>
      <c r="D460" t="s">
        <v>619</v>
      </c>
      <c r="E460" t="s">
        <v>34</v>
      </c>
      <c r="F460" t="s">
        <v>609</v>
      </c>
      <c r="G460" t="s">
        <v>122</v>
      </c>
      <c r="H460" t="s">
        <v>620</v>
      </c>
      <c r="I460" t="s">
        <v>43</v>
      </c>
      <c r="J460" t="s">
        <v>634</v>
      </c>
      <c r="K460">
        <v>0</v>
      </c>
      <c r="L460">
        <v>4</v>
      </c>
      <c r="M460">
        <v>5</v>
      </c>
      <c r="N460">
        <v>0</v>
      </c>
      <c r="O460">
        <f>_xlfn.XLOOKUP(VALINA[[#This Row],[id]],prov_color!A:A,prov_color!C:C)</f>
        <v>51</v>
      </c>
      <c r="P460" t="str">
        <f>_xlfn.XLOOKUP(VALINA[[#This Row],[id]],Table4[id],Table4[name])</f>
        <v>Lugansk</v>
      </c>
      <c r="Q460" t="str">
        <f>_xlfn.XLOOKUP(VALINA[[#This Row],[name]],Trans!A:A,Trans!B:B)</f>
        <v>Lugansk</v>
      </c>
    </row>
    <row r="461" spans="1:17" x14ac:dyDescent="0.25">
      <c r="A461">
        <v>460</v>
      </c>
      <c r="B461" t="s">
        <v>346</v>
      </c>
      <c r="C461" t="s">
        <v>392</v>
      </c>
      <c r="D461" t="s">
        <v>435</v>
      </c>
      <c r="E461" t="s">
        <v>34</v>
      </c>
      <c r="F461" t="s">
        <v>394</v>
      </c>
      <c r="G461" t="s">
        <v>122</v>
      </c>
      <c r="H461" t="s">
        <v>436</v>
      </c>
      <c r="I461" t="s">
        <v>141</v>
      </c>
      <c r="J461" t="s">
        <v>635</v>
      </c>
      <c r="K461">
        <v>0</v>
      </c>
      <c r="L461">
        <v>7</v>
      </c>
      <c r="M461">
        <v>5</v>
      </c>
      <c r="N461">
        <v>0</v>
      </c>
      <c r="O461">
        <f>_xlfn.XLOOKUP(VALINA[[#This Row],[id]],prov_color!A:A,prov_color!C:C)</f>
        <v>51</v>
      </c>
      <c r="P461" t="str">
        <f>_xlfn.XLOOKUP(VALINA[[#This Row],[id]],Table4[id],Table4[name])</f>
        <v>Donetsk</v>
      </c>
      <c r="Q461" t="str">
        <f>_xlfn.XLOOKUP(VALINA[[#This Row],[name]],Trans!A:A,Trans!B:B)</f>
        <v>Donetsk</v>
      </c>
    </row>
    <row r="462" spans="1:17" x14ac:dyDescent="0.25">
      <c r="A462">
        <v>461</v>
      </c>
      <c r="B462" t="s">
        <v>346</v>
      </c>
      <c r="C462" t="s">
        <v>392</v>
      </c>
      <c r="D462" t="s">
        <v>435</v>
      </c>
      <c r="E462" t="s">
        <v>34</v>
      </c>
      <c r="F462" t="s">
        <v>394</v>
      </c>
      <c r="G462" t="s">
        <v>122</v>
      </c>
      <c r="H462" t="s">
        <v>436</v>
      </c>
      <c r="I462" t="s">
        <v>43</v>
      </c>
      <c r="J462" t="s">
        <v>636</v>
      </c>
      <c r="K462">
        <v>0</v>
      </c>
      <c r="L462">
        <v>8</v>
      </c>
      <c r="M462">
        <v>5</v>
      </c>
      <c r="N462">
        <v>0</v>
      </c>
      <c r="O462">
        <f>_xlfn.XLOOKUP(VALINA[[#This Row],[id]],prov_color!A:A,prov_color!C:C)</f>
        <v>40</v>
      </c>
      <c r="P462" t="str">
        <f>_xlfn.XLOOKUP(VALINA[[#This Row],[id]],Table4[id],Table4[name])</f>
        <v>Poltava</v>
      </c>
      <c r="Q462" t="str">
        <f>_xlfn.XLOOKUP(VALINA[[#This Row],[name]],Trans!A:A,Trans!B:B)</f>
        <v>Poltava</v>
      </c>
    </row>
    <row r="463" spans="1:17" x14ac:dyDescent="0.25">
      <c r="A463">
        <v>462</v>
      </c>
      <c r="B463" t="s">
        <v>346</v>
      </c>
      <c r="C463" t="s">
        <v>392</v>
      </c>
      <c r="D463" t="s">
        <v>435</v>
      </c>
      <c r="E463" t="s">
        <v>34</v>
      </c>
      <c r="F463" t="s">
        <v>394</v>
      </c>
      <c r="G463" t="s">
        <v>35</v>
      </c>
      <c r="H463" t="s">
        <v>436</v>
      </c>
      <c r="I463" t="s">
        <v>41</v>
      </c>
      <c r="J463" t="s">
        <v>637</v>
      </c>
      <c r="K463">
        <v>0</v>
      </c>
      <c r="L463">
        <v>7</v>
      </c>
      <c r="M463">
        <v>5</v>
      </c>
      <c r="N463">
        <v>0</v>
      </c>
      <c r="O463">
        <f>_xlfn.XLOOKUP(VALINA[[#This Row],[id]],prov_color!A:A,prov_color!C:C)</f>
        <v>40</v>
      </c>
      <c r="P463" t="str">
        <f>_xlfn.XLOOKUP(VALINA[[#This Row],[id]],Table4[id],Table4[name])</f>
        <v>Krementjug</v>
      </c>
      <c r="Q463" t="str">
        <f>_xlfn.XLOOKUP(VALINA[[#This Row],[name]],Trans!A:A,Trans!B:B)</f>
        <v>Krementjug</v>
      </c>
    </row>
    <row r="464" spans="1:17" x14ac:dyDescent="0.25">
      <c r="A464">
        <v>463</v>
      </c>
      <c r="B464" t="s">
        <v>346</v>
      </c>
      <c r="C464" t="s">
        <v>392</v>
      </c>
      <c r="D464" t="s">
        <v>435</v>
      </c>
      <c r="E464" t="s">
        <v>34</v>
      </c>
      <c r="F464" t="s">
        <v>609</v>
      </c>
      <c r="G464" t="s">
        <v>35</v>
      </c>
      <c r="H464" t="s">
        <v>620</v>
      </c>
      <c r="I464" t="s">
        <v>53</v>
      </c>
      <c r="J464" t="s">
        <v>638</v>
      </c>
      <c r="K464">
        <v>0</v>
      </c>
      <c r="L464">
        <v>7</v>
      </c>
      <c r="M464">
        <v>5</v>
      </c>
      <c r="N464">
        <v>0</v>
      </c>
      <c r="O464">
        <f>_xlfn.XLOOKUP(VALINA[[#This Row],[id]],prov_color!A:A,prov_color!C:C)</f>
        <v>29</v>
      </c>
      <c r="P464" t="str">
        <f>_xlfn.XLOOKUP(VALINA[[#This Row],[id]],Table4[id],Table4[name])</f>
        <v>Crimea</v>
      </c>
      <c r="Q464" t="str">
        <f>_xlfn.XLOOKUP(VALINA[[#This Row],[name]],Trans!A:A,Trans!B:B)</f>
        <v>Crimea</v>
      </c>
    </row>
    <row r="465" spans="1:17" x14ac:dyDescent="0.25">
      <c r="A465">
        <v>464</v>
      </c>
      <c r="B465" t="s">
        <v>346</v>
      </c>
      <c r="C465" t="s">
        <v>392</v>
      </c>
      <c r="D465" t="s">
        <v>435</v>
      </c>
      <c r="E465" t="s">
        <v>14</v>
      </c>
      <c r="F465" t="s">
        <v>394</v>
      </c>
      <c r="G465" t="s">
        <v>35</v>
      </c>
      <c r="H465" t="s">
        <v>513</v>
      </c>
      <c r="I465" t="s">
        <v>37</v>
      </c>
      <c r="J465" t="s">
        <v>639</v>
      </c>
      <c r="K465">
        <v>0</v>
      </c>
      <c r="L465">
        <v>5</v>
      </c>
      <c r="M465">
        <v>5</v>
      </c>
      <c r="N465">
        <v>0</v>
      </c>
      <c r="O465">
        <f>_xlfn.XLOOKUP(VALINA[[#This Row],[id]],prov_color!A:A,prov_color!C:C)</f>
        <v>16</v>
      </c>
      <c r="P465" t="str">
        <f>_xlfn.XLOOKUP(VALINA[[#This Row],[id]],Table4[id],Table4[name])</f>
        <v>Kaffa</v>
      </c>
      <c r="Q465" t="str">
        <f>_xlfn.XLOOKUP(VALINA[[#This Row],[name]],Trans!A:A,Trans!B:B)</f>
        <v>Kaffa</v>
      </c>
    </row>
    <row r="466" spans="1:17" x14ac:dyDescent="0.25">
      <c r="A466">
        <v>465</v>
      </c>
      <c r="B466" t="s">
        <v>346</v>
      </c>
      <c r="C466" t="s">
        <v>392</v>
      </c>
      <c r="D466" t="s">
        <v>435</v>
      </c>
      <c r="E466" t="s">
        <v>80</v>
      </c>
      <c r="F466" t="s">
        <v>394</v>
      </c>
      <c r="G466" t="s">
        <v>35</v>
      </c>
      <c r="H466" t="s">
        <v>513</v>
      </c>
      <c r="I466" t="s">
        <v>27</v>
      </c>
      <c r="J466" t="s">
        <v>640</v>
      </c>
      <c r="K466">
        <v>0</v>
      </c>
      <c r="L466">
        <v>5</v>
      </c>
      <c r="M466">
        <v>5</v>
      </c>
      <c r="N466">
        <v>0</v>
      </c>
      <c r="O466">
        <f>_xlfn.XLOOKUP(VALINA[[#This Row],[id]],prov_color!A:A,prov_color!C:C)</f>
        <v>32</v>
      </c>
      <c r="P466" t="str">
        <f>_xlfn.XLOOKUP(VALINA[[#This Row],[id]],Table4[id],Table4[name])</f>
        <v>Kerch</v>
      </c>
      <c r="Q466" t="str">
        <f>_xlfn.XLOOKUP(VALINA[[#This Row],[name]],Trans!A:A,Trans!B:B)</f>
        <v>Kerch</v>
      </c>
    </row>
    <row r="467" spans="1:17" x14ac:dyDescent="0.25">
      <c r="A467">
        <v>466</v>
      </c>
      <c r="B467" t="s">
        <v>346</v>
      </c>
      <c r="C467" t="s">
        <v>392</v>
      </c>
      <c r="D467" t="s">
        <v>641</v>
      </c>
      <c r="E467" t="s">
        <v>34</v>
      </c>
      <c r="F467" t="s">
        <v>609</v>
      </c>
      <c r="G467" t="s">
        <v>35</v>
      </c>
      <c r="H467" t="s">
        <v>620</v>
      </c>
      <c r="I467" t="s">
        <v>53</v>
      </c>
      <c r="J467" t="s">
        <v>642</v>
      </c>
      <c r="K467">
        <v>0</v>
      </c>
      <c r="L467">
        <v>4</v>
      </c>
      <c r="M467">
        <v>5</v>
      </c>
      <c r="N467">
        <v>0</v>
      </c>
      <c r="O467">
        <f>_xlfn.XLOOKUP(VALINA[[#This Row],[id]],prov_color!A:A,prov_color!C:C)</f>
        <v>23</v>
      </c>
      <c r="P467" t="str">
        <f>_xlfn.XLOOKUP(VALINA[[#This Row],[id]],Table4[id],Table4[name])</f>
        <v>Azow</v>
      </c>
      <c r="Q467" t="str">
        <f>_xlfn.XLOOKUP(VALINA[[#This Row],[name]],Trans!A:A,Trans!B:B)</f>
        <v>Azov</v>
      </c>
    </row>
    <row r="468" spans="1:17" x14ac:dyDescent="0.25">
      <c r="A468">
        <v>467</v>
      </c>
      <c r="B468" t="s">
        <v>346</v>
      </c>
      <c r="C468" t="s">
        <v>392</v>
      </c>
      <c r="D468" t="s">
        <v>641</v>
      </c>
      <c r="E468" t="s">
        <v>34</v>
      </c>
      <c r="F468" t="s">
        <v>609</v>
      </c>
      <c r="G468" t="s">
        <v>26</v>
      </c>
      <c r="H468" t="s">
        <v>620</v>
      </c>
      <c r="I468" t="s">
        <v>41</v>
      </c>
      <c r="J468" t="s">
        <v>643</v>
      </c>
      <c r="K468">
        <v>0</v>
      </c>
      <c r="L468">
        <v>1</v>
      </c>
      <c r="M468">
        <v>5</v>
      </c>
      <c r="N468">
        <v>0</v>
      </c>
      <c r="O468">
        <f>_xlfn.XLOOKUP(VALINA[[#This Row],[id]],prov_color!A:A,prov_color!C:C)</f>
        <v>35</v>
      </c>
      <c r="P468" t="str">
        <f>_xlfn.XLOOKUP(VALINA[[#This Row],[id]],Table4[id],Table4[name])</f>
        <v>Kalmuk</v>
      </c>
      <c r="Q468" t="str">
        <f>_xlfn.XLOOKUP(VALINA[[#This Row],[name]],Trans!A:A,Trans!B:B)</f>
        <v>Kalmuk</v>
      </c>
    </row>
    <row r="469" spans="1:17" x14ac:dyDescent="0.25">
      <c r="A469">
        <v>468</v>
      </c>
      <c r="B469" t="s">
        <v>346</v>
      </c>
      <c r="C469" t="s">
        <v>392</v>
      </c>
      <c r="D469" t="s">
        <v>641</v>
      </c>
      <c r="E469" t="s">
        <v>14</v>
      </c>
      <c r="F469" t="s">
        <v>609</v>
      </c>
      <c r="G469" t="s">
        <v>26</v>
      </c>
      <c r="H469" t="s">
        <v>644</v>
      </c>
      <c r="I469" t="s">
        <v>41</v>
      </c>
      <c r="J469" t="s">
        <v>645</v>
      </c>
      <c r="K469">
        <v>0</v>
      </c>
      <c r="L469">
        <v>1</v>
      </c>
      <c r="M469">
        <v>5</v>
      </c>
      <c r="N469">
        <v>0</v>
      </c>
      <c r="O469">
        <f>_xlfn.XLOOKUP(VALINA[[#This Row],[id]],prov_color!A:A,prov_color!C:C)</f>
        <v>37</v>
      </c>
      <c r="P469" t="str">
        <f>_xlfn.XLOOKUP(VALINA[[#This Row],[id]],Table4[id],Table4[name])</f>
        <v>Kouban</v>
      </c>
      <c r="Q469" t="str">
        <f>_xlfn.XLOOKUP(VALINA[[#This Row],[name]],Trans!A:A,Trans!B:B)</f>
        <v>Kouban</v>
      </c>
    </row>
    <row r="470" spans="1:17" x14ac:dyDescent="0.25">
      <c r="A470">
        <v>469</v>
      </c>
      <c r="B470" t="s">
        <v>346</v>
      </c>
      <c r="C470" t="s">
        <v>392</v>
      </c>
      <c r="D470" t="s">
        <v>641</v>
      </c>
      <c r="E470" t="s">
        <v>14</v>
      </c>
      <c r="F470" t="s">
        <v>394</v>
      </c>
      <c r="G470" t="s">
        <v>26</v>
      </c>
      <c r="H470" t="s">
        <v>646</v>
      </c>
      <c r="I470" t="s">
        <v>41</v>
      </c>
      <c r="J470" t="s">
        <v>647</v>
      </c>
      <c r="K470">
        <v>0</v>
      </c>
      <c r="L470">
        <v>4</v>
      </c>
      <c r="M470">
        <v>5</v>
      </c>
      <c r="N470">
        <v>0</v>
      </c>
      <c r="O470">
        <f>_xlfn.XLOOKUP(VALINA[[#This Row],[id]],prov_color!A:A,prov_color!C:C)</f>
        <v>26</v>
      </c>
      <c r="P470" t="str">
        <f>_xlfn.XLOOKUP(VALINA[[#This Row],[id]],Table4[id],Table4[name])</f>
        <v>Sochi</v>
      </c>
      <c r="Q470" t="str">
        <f>_xlfn.XLOOKUP(VALINA[[#This Row],[name]],Trans!A:A,Trans!B:B)</f>
        <v>Sochi</v>
      </c>
    </row>
    <row r="471" spans="1:17" x14ac:dyDescent="0.25">
      <c r="A471">
        <v>470</v>
      </c>
      <c r="B471" t="s">
        <v>346</v>
      </c>
      <c r="C471" t="s">
        <v>392</v>
      </c>
      <c r="D471" t="s">
        <v>641</v>
      </c>
      <c r="E471" t="s">
        <v>14</v>
      </c>
      <c r="F471" t="s">
        <v>394</v>
      </c>
      <c r="G471" t="s">
        <v>26</v>
      </c>
      <c r="H471" t="s">
        <v>646</v>
      </c>
      <c r="I471" t="s">
        <v>37</v>
      </c>
      <c r="J471" t="s">
        <v>116</v>
      </c>
      <c r="K471">
        <v>0</v>
      </c>
      <c r="L471">
        <v>5</v>
      </c>
      <c r="M471">
        <v>5</v>
      </c>
      <c r="N471">
        <v>0</v>
      </c>
      <c r="O471">
        <f>_xlfn.XLOOKUP(VALINA[[#This Row],[id]],prov_color!A:A,prov_color!C:C)</f>
        <v>29</v>
      </c>
      <c r="P471" t="str">
        <f>_xlfn.XLOOKUP(VALINA[[#This Row],[id]],Table4[id],Table4[name])</f>
        <v>Georgia</v>
      </c>
      <c r="Q471" t="str">
        <f>_xlfn.XLOOKUP(VALINA[[#This Row],[name]],Trans!A:A,Trans!B:B)</f>
        <v>Georgia</v>
      </c>
    </row>
    <row r="472" spans="1:17" x14ac:dyDescent="0.25">
      <c r="A472">
        <v>471</v>
      </c>
      <c r="B472" t="s">
        <v>346</v>
      </c>
      <c r="C472" t="s">
        <v>392</v>
      </c>
      <c r="D472" t="s">
        <v>641</v>
      </c>
      <c r="E472" t="s">
        <v>34</v>
      </c>
      <c r="F472" t="s">
        <v>609</v>
      </c>
      <c r="G472" t="s">
        <v>26</v>
      </c>
      <c r="H472" t="s">
        <v>648</v>
      </c>
      <c r="I472" t="s">
        <v>41</v>
      </c>
      <c r="J472" t="s">
        <v>649</v>
      </c>
      <c r="K472">
        <v>0</v>
      </c>
      <c r="L472">
        <v>5</v>
      </c>
      <c r="M472">
        <v>5</v>
      </c>
      <c r="N472">
        <v>0</v>
      </c>
      <c r="O472">
        <f>_xlfn.XLOOKUP(VALINA[[#This Row],[id]],prov_color!A:A,prov_color!C:C)</f>
        <v>53</v>
      </c>
      <c r="P472" t="str">
        <f>_xlfn.XLOOKUP(VALINA[[#This Row],[id]],Table4[id],Table4[name])</f>
        <v>Daghestan</v>
      </c>
      <c r="Q472" t="str">
        <f>_xlfn.XLOOKUP(VALINA[[#This Row],[name]],Trans!A:A,Trans!B:B)</f>
        <v>Daghestan</v>
      </c>
    </row>
    <row r="473" spans="1:17" x14ac:dyDescent="0.25">
      <c r="A473">
        <v>472</v>
      </c>
      <c r="B473" t="s">
        <v>346</v>
      </c>
      <c r="C473" t="s">
        <v>392</v>
      </c>
      <c r="D473" t="s">
        <v>641</v>
      </c>
      <c r="E473" t="s">
        <v>14</v>
      </c>
      <c r="F473" t="s">
        <v>650</v>
      </c>
      <c r="G473" t="s">
        <v>26</v>
      </c>
      <c r="H473" t="s">
        <v>651</v>
      </c>
      <c r="I473" t="s">
        <v>18</v>
      </c>
      <c r="J473" t="s">
        <v>652</v>
      </c>
      <c r="K473">
        <v>0</v>
      </c>
      <c r="L473">
        <v>4</v>
      </c>
      <c r="M473">
        <v>5</v>
      </c>
      <c r="N473">
        <v>0</v>
      </c>
      <c r="O473">
        <f>_xlfn.XLOOKUP(VALINA[[#This Row],[id]],prov_color!A:A,prov_color!C:C)</f>
        <v>32</v>
      </c>
      <c r="P473" t="str">
        <f>_xlfn.XLOOKUP(VALINA[[#This Row],[id]],Table4[id],Table4[name])</f>
        <v>Armenia</v>
      </c>
      <c r="Q473" t="str">
        <f>_xlfn.XLOOKUP(VALINA[[#This Row],[name]],Trans!A:A,Trans!B:B)</f>
        <v>Armenia</v>
      </c>
    </row>
    <row r="474" spans="1:17" x14ac:dyDescent="0.25">
      <c r="A474">
        <v>473</v>
      </c>
      <c r="B474" t="s">
        <v>653</v>
      </c>
      <c r="C474" t="s">
        <v>654</v>
      </c>
      <c r="D474" t="s">
        <v>655</v>
      </c>
      <c r="E474" t="s">
        <v>14</v>
      </c>
      <c r="F474" t="s">
        <v>609</v>
      </c>
      <c r="G474" t="s">
        <v>26</v>
      </c>
      <c r="H474" t="s">
        <v>656</v>
      </c>
      <c r="I474" t="s">
        <v>141</v>
      </c>
      <c r="J474" t="s">
        <v>657</v>
      </c>
      <c r="K474">
        <v>0</v>
      </c>
      <c r="L474">
        <v>5</v>
      </c>
      <c r="M474">
        <v>6</v>
      </c>
      <c r="N474">
        <v>0</v>
      </c>
      <c r="O474">
        <f>_xlfn.XLOOKUP(VALINA[[#This Row],[id]],prov_color!A:A,prov_color!C:C)</f>
        <v>34</v>
      </c>
      <c r="P474" t="str">
        <f>_xlfn.XLOOKUP(VALINA[[#This Row],[id]],Table4[id],Table4[name])</f>
        <v>Kurdistan</v>
      </c>
      <c r="Q474" t="str">
        <f>_xlfn.XLOOKUP(VALINA[[#This Row],[name]],Trans!A:A,Trans!B:B)</f>
        <v>Kurdistan</v>
      </c>
    </row>
    <row r="475" spans="1:17" x14ac:dyDescent="0.25">
      <c r="A475">
        <v>474</v>
      </c>
      <c r="B475" t="s">
        <v>653</v>
      </c>
      <c r="C475" t="s">
        <v>654</v>
      </c>
      <c r="D475" t="s">
        <v>658</v>
      </c>
      <c r="E475" t="s">
        <v>14</v>
      </c>
      <c r="F475" t="s">
        <v>609</v>
      </c>
      <c r="G475" t="s">
        <v>26</v>
      </c>
      <c r="H475" t="s">
        <v>648</v>
      </c>
      <c r="I475" t="s">
        <v>41</v>
      </c>
      <c r="J475" t="s">
        <v>659</v>
      </c>
      <c r="K475">
        <v>0</v>
      </c>
      <c r="L475">
        <v>4</v>
      </c>
      <c r="M475">
        <v>5</v>
      </c>
      <c r="N475">
        <v>0</v>
      </c>
      <c r="O475">
        <f>_xlfn.XLOOKUP(VALINA[[#This Row],[id]],prov_color!A:A,prov_color!C:C)</f>
        <v>44</v>
      </c>
      <c r="P475" t="str">
        <f>_xlfn.XLOOKUP(VALINA[[#This Row],[id]],Table4[id],Table4[name])</f>
        <v>Sivas</v>
      </c>
      <c r="Q475" t="str">
        <f>_xlfn.XLOOKUP(VALINA[[#This Row],[name]],Trans!A:A,Trans!B:B)</f>
        <v>Sivas</v>
      </c>
    </row>
    <row r="476" spans="1:17" x14ac:dyDescent="0.25">
      <c r="A476">
        <v>475</v>
      </c>
      <c r="B476" t="s">
        <v>653</v>
      </c>
      <c r="C476" t="s">
        <v>654</v>
      </c>
      <c r="D476" t="s">
        <v>658</v>
      </c>
      <c r="E476" t="s">
        <v>80</v>
      </c>
      <c r="F476" t="s">
        <v>394</v>
      </c>
      <c r="G476" t="s">
        <v>35</v>
      </c>
      <c r="H476" t="s">
        <v>513</v>
      </c>
      <c r="I476" t="s">
        <v>212</v>
      </c>
      <c r="J476" t="s">
        <v>660</v>
      </c>
      <c r="K476">
        <v>0</v>
      </c>
      <c r="L476">
        <v>6</v>
      </c>
      <c r="M476">
        <v>5</v>
      </c>
      <c r="N476">
        <v>0</v>
      </c>
      <c r="O476">
        <f>_xlfn.XLOOKUP(VALINA[[#This Row],[id]],prov_color!A:A,prov_color!C:C)</f>
        <v>31</v>
      </c>
      <c r="P476" t="str">
        <f>_xlfn.XLOOKUP(VALINA[[#This Row],[id]],Table4[id],Table4[name])</f>
        <v>Trabzon</v>
      </c>
      <c r="Q476" t="str">
        <f>_xlfn.XLOOKUP(VALINA[[#This Row],[name]],Trans!A:A,Trans!B:B)</f>
        <v>Trabzon</v>
      </c>
    </row>
    <row r="477" spans="1:17" x14ac:dyDescent="0.25">
      <c r="A477">
        <v>476</v>
      </c>
      <c r="B477" t="s">
        <v>653</v>
      </c>
      <c r="C477" t="s">
        <v>654</v>
      </c>
      <c r="D477" t="s">
        <v>658</v>
      </c>
      <c r="E477" t="s">
        <v>14</v>
      </c>
      <c r="F477" t="s">
        <v>609</v>
      </c>
      <c r="G477" t="s">
        <v>26</v>
      </c>
      <c r="H477" t="s">
        <v>648</v>
      </c>
      <c r="I477" t="s">
        <v>141</v>
      </c>
      <c r="J477" t="s">
        <v>661</v>
      </c>
      <c r="K477">
        <v>0</v>
      </c>
      <c r="L477">
        <v>6</v>
      </c>
      <c r="M477">
        <v>5</v>
      </c>
      <c r="N477">
        <v>0</v>
      </c>
      <c r="O477">
        <f>_xlfn.XLOOKUP(VALINA[[#This Row],[id]],prov_color!A:A,prov_color!C:C)</f>
        <v>33</v>
      </c>
      <c r="P477" t="str">
        <f>_xlfn.XLOOKUP(VALINA[[#This Row],[id]],Table4[id],Table4[name])</f>
        <v>Angora</v>
      </c>
      <c r="Q477" t="str">
        <f>_xlfn.XLOOKUP(VALINA[[#This Row],[name]],Trans!A:A,Trans!B:B)</f>
        <v>Angora</v>
      </c>
    </row>
    <row r="478" spans="1:17" x14ac:dyDescent="0.25">
      <c r="A478">
        <v>477</v>
      </c>
      <c r="B478" t="s">
        <v>653</v>
      </c>
      <c r="C478" t="s">
        <v>654</v>
      </c>
      <c r="D478" t="s">
        <v>658</v>
      </c>
      <c r="E478" t="s">
        <v>34</v>
      </c>
      <c r="F478" t="s">
        <v>394</v>
      </c>
      <c r="G478" t="s">
        <v>35</v>
      </c>
      <c r="H478" t="s">
        <v>513</v>
      </c>
      <c r="I478" t="s">
        <v>352</v>
      </c>
      <c r="J478" t="s">
        <v>658</v>
      </c>
      <c r="K478">
        <v>0</v>
      </c>
      <c r="L478">
        <v>8</v>
      </c>
      <c r="M478">
        <v>5</v>
      </c>
      <c r="N478">
        <v>0</v>
      </c>
      <c r="O478">
        <f>_xlfn.XLOOKUP(VALINA[[#This Row],[id]],prov_color!A:A,prov_color!C:C)</f>
        <v>37</v>
      </c>
      <c r="P478" t="str">
        <f>_xlfn.XLOOKUP(VALINA[[#This Row],[id]],Table4[id],Table4[name])</f>
        <v>Anatolia</v>
      </c>
      <c r="Q478" t="str">
        <f>_xlfn.XLOOKUP(VALINA[[#This Row],[name]],Trans!A:A,Trans!B:B)</f>
        <v>Anatolia</v>
      </c>
    </row>
    <row r="479" spans="1:17" x14ac:dyDescent="0.25">
      <c r="A479">
        <v>478</v>
      </c>
      <c r="B479" t="s">
        <v>653</v>
      </c>
      <c r="C479" t="s">
        <v>654</v>
      </c>
      <c r="D479" t="s">
        <v>658</v>
      </c>
      <c r="E479" t="s">
        <v>34</v>
      </c>
      <c r="F479" t="s">
        <v>394</v>
      </c>
      <c r="G479" t="s">
        <v>35</v>
      </c>
      <c r="H479" t="s">
        <v>513</v>
      </c>
      <c r="I479" t="s">
        <v>37</v>
      </c>
      <c r="J479" t="s">
        <v>662</v>
      </c>
      <c r="K479">
        <v>0</v>
      </c>
      <c r="L479">
        <v>11</v>
      </c>
      <c r="M479">
        <v>5</v>
      </c>
      <c r="N479">
        <v>0</v>
      </c>
      <c r="O479">
        <f>_xlfn.XLOOKUP(VALINA[[#This Row],[id]],prov_color!A:A,prov_color!C:C)</f>
        <v>35</v>
      </c>
      <c r="P479" t="str">
        <f>_xlfn.XLOOKUP(VALINA[[#This Row],[id]],Table4[id],Table4[name])</f>
        <v>Smyrna</v>
      </c>
      <c r="Q479" t="str">
        <f>_xlfn.XLOOKUP(VALINA[[#This Row],[name]],Trans!A:A,Trans!B:B)</f>
        <v>Smyrna</v>
      </c>
    </row>
    <row r="480" spans="1:17" x14ac:dyDescent="0.25">
      <c r="A480">
        <v>479</v>
      </c>
      <c r="B480" t="s">
        <v>346</v>
      </c>
      <c r="C480" t="s">
        <v>516</v>
      </c>
      <c r="D480" t="s">
        <v>517</v>
      </c>
      <c r="E480" t="s">
        <v>34</v>
      </c>
      <c r="F480" t="s">
        <v>394</v>
      </c>
      <c r="G480" t="s">
        <v>35</v>
      </c>
      <c r="H480" t="s">
        <v>513</v>
      </c>
      <c r="I480" t="s">
        <v>37</v>
      </c>
      <c r="J480" t="s">
        <v>663</v>
      </c>
      <c r="K480">
        <v>0</v>
      </c>
      <c r="L480">
        <v>3</v>
      </c>
      <c r="M480">
        <v>3</v>
      </c>
      <c r="N480">
        <v>0</v>
      </c>
      <c r="O480">
        <f>_xlfn.XLOOKUP(VALINA[[#This Row],[id]],prov_color!A:A,prov_color!C:C)</f>
        <v>6</v>
      </c>
      <c r="P480" t="str">
        <f>_xlfn.XLOOKUP(VALINA[[#This Row],[id]],Table4[id],Table4[name])</f>
        <v>Ionia</v>
      </c>
      <c r="Q480" t="str">
        <f>_xlfn.XLOOKUP(VALINA[[#This Row],[name]],Trans!A:A,Trans!B:B)</f>
        <v>Ionia</v>
      </c>
    </row>
    <row r="481" spans="1:17" x14ac:dyDescent="0.25">
      <c r="A481">
        <v>480</v>
      </c>
      <c r="B481" t="s">
        <v>346</v>
      </c>
      <c r="C481" t="s">
        <v>516</v>
      </c>
      <c r="D481" t="s">
        <v>517</v>
      </c>
      <c r="E481" t="s">
        <v>14</v>
      </c>
      <c r="F481" t="s">
        <v>394</v>
      </c>
      <c r="G481" t="s">
        <v>35</v>
      </c>
      <c r="H481" t="s">
        <v>513</v>
      </c>
      <c r="I481" t="s">
        <v>73</v>
      </c>
      <c r="J481" t="s">
        <v>664</v>
      </c>
      <c r="K481">
        <v>0</v>
      </c>
      <c r="L481">
        <v>5</v>
      </c>
      <c r="M481">
        <v>3</v>
      </c>
      <c r="N481">
        <v>0</v>
      </c>
      <c r="O481">
        <f>_xlfn.XLOOKUP(VALINA[[#This Row],[id]],prov_color!A:A,prov_color!C:C)</f>
        <v>8</v>
      </c>
      <c r="P481" t="str">
        <f>_xlfn.XLOOKUP(VALINA[[#This Row],[id]],Table4[id],Table4[name])</f>
        <v>Crete</v>
      </c>
      <c r="Q481" t="str">
        <f>_xlfn.XLOOKUP(VALINA[[#This Row],[name]],Trans!A:A,Trans!B:B)</f>
        <v>Crete</v>
      </c>
    </row>
    <row r="482" spans="1:17" x14ac:dyDescent="0.25">
      <c r="A482">
        <v>481</v>
      </c>
      <c r="B482" t="s">
        <v>346</v>
      </c>
      <c r="C482" t="s">
        <v>516</v>
      </c>
      <c r="D482" t="s">
        <v>517</v>
      </c>
      <c r="E482" t="s">
        <v>14</v>
      </c>
      <c r="F482" t="s">
        <v>394</v>
      </c>
      <c r="G482" t="s">
        <v>35</v>
      </c>
      <c r="H482" t="s">
        <v>513</v>
      </c>
      <c r="I482" t="s">
        <v>27</v>
      </c>
      <c r="J482" t="s">
        <v>665</v>
      </c>
      <c r="K482">
        <v>0</v>
      </c>
      <c r="L482">
        <v>2</v>
      </c>
      <c r="M482">
        <v>3</v>
      </c>
      <c r="N482">
        <v>0</v>
      </c>
      <c r="O482">
        <f>_xlfn.XLOOKUP(VALINA[[#This Row],[id]],prov_color!A:A,prov_color!C:C)</f>
        <v>6</v>
      </c>
      <c r="P482" t="str">
        <f>_xlfn.XLOOKUP(VALINA[[#This Row],[id]],Table4[id],Table4[name])</f>
        <v>Rhodes</v>
      </c>
      <c r="Q482" t="str">
        <f>_xlfn.XLOOKUP(VALINA[[#This Row],[name]],Trans!A:A,Trans!B:B)</f>
        <v>Rhodes</v>
      </c>
    </row>
    <row r="483" spans="1:17" x14ac:dyDescent="0.25">
      <c r="A483">
        <v>482</v>
      </c>
      <c r="B483" t="s">
        <v>653</v>
      </c>
      <c r="C483" t="s">
        <v>654</v>
      </c>
      <c r="D483" t="s">
        <v>658</v>
      </c>
      <c r="E483" t="s">
        <v>14</v>
      </c>
      <c r="F483" t="s">
        <v>609</v>
      </c>
      <c r="G483" t="s">
        <v>26</v>
      </c>
      <c r="H483" t="s">
        <v>648</v>
      </c>
      <c r="I483" t="s">
        <v>53</v>
      </c>
      <c r="J483" t="s">
        <v>666</v>
      </c>
      <c r="K483">
        <v>0</v>
      </c>
      <c r="L483">
        <v>4</v>
      </c>
      <c r="M483">
        <v>3</v>
      </c>
      <c r="N483">
        <v>0</v>
      </c>
      <c r="O483">
        <f>_xlfn.XLOOKUP(VALINA[[#This Row],[id]],prov_color!A:A,prov_color!C:C)</f>
        <v>31</v>
      </c>
      <c r="P483" t="str">
        <f>_xlfn.XLOOKUP(VALINA[[#This Row],[id]],Table4[id],Table4[name])</f>
        <v>Konya</v>
      </c>
      <c r="Q483" t="str">
        <f>_xlfn.XLOOKUP(VALINA[[#This Row],[name]],Trans!A:A,Trans!B:B)</f>
        <v>Konya</v>
      </c>
    </row>
    <row r="484" spans="1:17" x14ac:dyDescent="0.25">
      <c r="A484">
        <v>483</v>
      </c>
      <c r="B484" t="s">
        <v>653</v>
      </c>
      <c r="C484" t="s">
        <v>654</v>
      </c>
      <c r="D484" t="s">
        <v>658</v>
      </c>
      <c r="E484" t="s">
        <v>14</v>
      </c>
      <c r="F484" t="s">
        <v>650</v>
      </c>
      <c r="G484" t="s">
        <v>26</v>
      </c>
      <c r="H484" t="s">
        <v>651</v>
      </c>
      <c r="I484" t="s">
        <v>27</v>
      </c>
      <c r="J484" t="s">
        <v>667</v>
      </c>
      <c r="K484">
        <v>0</v>
      </c>
      <c r="L484">
        <v>3</v>
      </c>
      <c r="M484">
        <v>3</v>
      </c>
      <c r="N484">
        <v>0</v>
      </c>
      <c r="O484">
        <f>_xlfn.XLOOKUP(VALINA[[#This Row],[id]],prov_color!A:A,prov_color!C:C)</f>
        <v>24</v>
      </c>
      <c r="P484" t="str">
        <f>_xlfn.XLOOKUP(VALINA[[#This Row],[id]],Table4[id],Table4[name])</f>
        <v>Adana</v>
      </c>
      <c r="Q484" t="str">
        <f>_xlfn.XLOOKUP(VALINA[[#This Row],[name]],Trans!A:A,Trans!B:B)</f>
        <v>Adana</v>
      </c>
    </row>
    <row r="485" spans="1:17" x14ac:dyDescent="0.25">
      <c r="A485">
        <v>484</v>
      </c>
      <c r="B485" t="s">
        <v>346</v>
      </c>
      <c r="C485" t="s">
        <v>516</v>
      </c>
      <c r="D485" t="s">
        <v>517</v>
      </c>
      <c r="E485" t="s">
        <v>14</v>
      </c>
      <c r="F485" t="s">
        <v>394</v>
      </c>
      <c r="G485" t="s">
        <v>35</v>
      </c>
      <c r="H485" t="s">
        <v>513</v>
      </c>
      <c r="I485" t="s">
        <v>37</v>
      </c>
      <c r="J485" t="s">
        <v>668</v>
      </c>
      <c r="K485">
        <v>0</v>
      </c>
      <c r="L485">
        <v>8</v>
      </c>
      <c r="M485">
        <v>3</v>
      </c>
      <c r="N485">
        <v>0</v>
      </c>
      <c r="O485">
        <f>_xlfn.XLOOKUP(VALINA[[#This Row],[id]],prov_color!A:A,prov_color!C:C)</f>
        <v>8</v>
      </c>
      <c r="P485" t="str">
        <f>_xlfn.XLOOKUP(VALINA[[#This Row],[id]],Table4[id],Table4[name])</f>
        <v>Cyprus</v>
      </c>
      <c r="Q485" t="str">
        <f>_xlfn.XLOOKUP(VALINA[[#This Row],[name]],Trans!A:A,Trans!B:B)</f>
        <v>Cyprus</v>
      </c>
    </row>
    <row r="486" spans="1:17" x14ac:dyDescent="0.25">
      <c r="A486">
        <v>485</v>
      </c>
      <c r="B486" t="s">
        <v>653</v>
      </c>
      <c r="C486" t="s">
        <v>654</v>
      </c>
      <c r="D486" t="s">
        <v>655</v>
      </c>
      <c r="E486" t="s">
        <v>34</v>
      </c>
      <c r="F486" t="s">
        <v>394</v>
      </c>
      <c r="G486" t="s">
        <v>26</v>
      </c>
      <c r="H486" t="s">
        <v>669</v>
      </c>
      <c r="I486" t="s">
        <v>352</v>
      </c>
      <c r="J486" t="s">
        <v>670</v>
      </c>
      <c r="K486">
        <v>0</v>
      </c>
      <c r="L486">
        <v>7</v>
      </c>
      <c r="M486">
        <v>6</v>
      </c>
      <c r="N486">
        <v>0</v>
      </c>
      <c r="O486">
        <f>_xlfn.XLOOKUP(VALINA[[#This Row],[id]],prov_color!A:A,prov_color!C:C)</f>
        <v>34</v>
      </c>
      <c r="P486" t="str">
        <f>_xlfn.XLOOKUP(VALINA[[#This Row],[id]],Table4[id],Table4[name])</f>
        <v>Aleppo</v>
      </c>
      <c r="Q486" t="str">
        <f>_xlfn.XLOOKUP(VALINA[[#This Row],[name]],Trans!A:A,Trans!B:B)</f>
        <v>Aleppo</v>
      </c>
    </row>
    <row r="487" spans="1:17" x14ac:dyDescent="0.25">
      <c r="A487">
        <v>486</v>
      </c>
      <c r="B487" t="s">
        <v>653</v>
      </c>
      <c r="C487" t="s">
        <v>654</v>
      </c>
      <c r="D487" t="s">
        <v>655</v>
      </c>
      <c r="E487" t="s">
        <v>52</v>
      </c>
      <c r="F487" t="s">
        <v>609</v>
      </c>
      <c r="G487" t="s">
        <v>47</v>
      </c>
      <c r="H487" t="s">
        <v>656</v>
      </c>
      <c r="I487" t="s">
        <v>212</v>
      </c>
      <c r="J487" t="s">
        <v>671</v>
      </c>
      <c r="K487">
        <v>0</v>
      </c>
      <c r="L487">
        <v>2</v>
      </c>
      <c r="M487">
        <v>5</v>
      </c>
      <c r="N487">
        <v>0</v>
      </c>
      <c r="O487">
        <f>_xlfn.XLOOKUP(VALINA[[#This Row],[id]],prov_color!A:A,prov_color!C:C)</f>
        <v>37</v>
      </c>
      <c r="P487" t="str">
        <f>_xlfn.XLOOKUP(VALINA[[#This Row],[id]],Table4[id],Table4[name])</f>
        <v>Nuyssaybin</v>
      </c>
      <c r="Q487" t="str">
        <f>_xlfn.XLOOKUP(VALINA[[#This Row],[name]],Trans!A:A,Trans!B:B)</f>
        <v>Nuyssaybin</v>
      </c>
    </row>
    <row r="488" spans="1:17" x14ac:dyDescent="0.25">
      <c r="A488">
        <v>487</v>
      </c>
      <c r="B488" t="s">
        <v>653</v>
      </c>
      <c r="C488" t="s">
        <v>672</v>
      </c>
      <c r="D488" t="s">
        <v>673</v>
      </c>
      <c r="E488" t="s">
        <v>14</v>
      </c>
      <c r="F488" t="s">
        <v>609</v>
      </c>
      <c r="G488" t="s">
        <v>26</v>
      </c>
      <c r="H488" t="s">
        <v>648</v>
      </c>
      <c r="I488" t="s">
        <v>41</v>
      </c>
      <c r="J488" t="s">
        <v>674</v>
      </c>
      <c r="K488">
        <v>0</v>
      </c>
      <c r="L488">
        <v>9</v>
      </c>
      <c r="M488">
        <v>6</v>
      </c>
      <c r="N488">
        <v>0</v>
      </c>
      <c r="O488">
        <f>_xlfn.XLOOKUP(VALINA[[#This Row],[id]],prov_color!A:A,prov_color!C:C)</f>
        <v>56</v>
      </c>
      <c r="P488" t="str">
        <f>_xlfn.XLOOKUP(VALINA[[#This Row],[id]],Table4[id],Table4[name])</f>
        <v>Azerbaijan</v>
      </c>
      <c r="Q488" t="str">
        <f>_xlfn.XLOOKUP(VALINA[[#This Row],[name]],Trans!A:A,Trans!B:B)</f>
        <v>Azerbaijan</v>
      </c>
    </row>
    <row r="489" spans="1:17" x14ac:dyDescent="0.25">
      <c r="A489">
        <v>488</v>
      </c>
      <c r="B489" t="s">
        <v>653</v>
      </c>
      <c r="C489" t="s">
        <v>654</v>
      </c>
      <c r="D489" t="s">
        <v>655</v>
      </c>
      <c r="E489" t="s">
        <v>52</v>
      </c>
      <c r="F489" t="s">
        <v>609</v>
      </c>
      <c r="G489" t="s">
        <v>47</v>
      </c>
      <c r="H489" t="s">
        <v>669</v>
      </c>
      <c r="I489" t="s">
        <v>141</v>
      </c>
      <c r="J489" t="s">
        <v>675</v>
      </c>
      <c r="K489">
        <v>0</v>
      </c>
      <c r="L489">
        <v>4</v>
      </c>
      <c r="M489">
        <v>6</v>
      </c>
      <c r="N489">
        <v>0</v>
      </c>
      <c r="O489">
        <f>_xlfn.XLOOKUP(VALINA[[#This Row],[id]],prov_color!A:A,prov_color!C:C)</f>
        <v>84</v>
      </c>
      <c r="P489" t="str">
        <f>_xlfn.XLOOKUP(VALINA[[#This Row],[id]],Table4[id],Table4[name])</f>
        <v>Kirkuk</v>
      </c>
      <c r="Q489" t="str">
        <f>_xlfn.XLOOKUP(VALINA[[#This Row],[name]],Trans!A:A,Trans!B:B)</f>
        <v>Kirkuk</v>
      </c>
    </row>
    <row r="490" spans="1:17" x14ac:dyDescent="0.25">
      <c r="A490">
        <v>489</v>
      </c>
      <c r="B490" t="s">
        <v>653</v>
      </c>
      <c r="C490" t="s">
        <v>654</v>
      </c>
      <c r="D490" t="s">
        <v>655</v>
      </c>
      <c r="E490" t="s">
        <v>52</v>
      </c>
      <c r="F490" t="s">
        <v>609</v>
      </c>
      <c r="G490" t="s">
        <v>47</v>
      </c>
      <c r="H490" t="s">
        <v>669</v>
      </c>
      <c r="I490" t="s">
        <v>43</v>
      </c>
      <c r="J490" t="s">
        <v>676</v>
      </c>
      <c r="K490">
        <v>0</v>
      </c>
      <c r="L490">
        <v>14</v>
      </c>
      <c r="M490">
        <v>8</v>
      </c>
      <c r="N490">
        <v>0</v>
      </c>
      <c r="O490">
        <f>_xlfn.XLOOKUP(VALINA[[#This Row],[id]],prov_color!A:A,prov_color!C:C)</f>
        <v>93</v>
      </c>
      <c r="P490" t="str">
        <f>_xlfn.XLOOKUP(VALINA[[#This Row],[id]],Table4[id],Table4[name])</f>
        <v>Iraq</v>
      </c>
      <c r="Q490" t="str">
        <f>_xlfn.XLOOKUP(VALINA[[#This Row],[name]],Trans!A:A,Trans!B:B)</f>
        <v>Iraq</v>
      </c>
    </row>
    <row r="491" spans="1:17" x14ac:dyDescent="0.25">
      <c r="A491">
        <v>490</v>
      </c>
      <c r="B491" t="s">
        <v>653</v>
      </c>
      <c r="C491" t="s">
        <v>654</v>
      </c>
      <c r="D491" t="s">
        <v>655</v>
      </c>
      <c r="E491" t="s">
        <v>34</v>
      </c>
      <c r="F491" t="s">
        <v>609</v>
      </c>
      <c r="G491" t="s">
        <v>26</v>
      </c>
      <c r="H491" t="s">
        <v>669</v>
      </c>
      <c r="I491" t="s">
        <v>43</v>
      </c>
      <c r="J491" t="s">
        <v>677</v>
      </c>
      <c r="K491">
        <v>0</v>
      </c>
      <c r="L491">
        <v>12</v>
      </c>
      <c r="M491">
        <v>5</v>
      </c>
      <c r="N491">
        <v>0</v>
      </c>
      <c r="O491">
        <f>_xlfn.XLOOKUP(VALINA[[#This Row],[id]],prov_color!A:A,prov_color!C:C)</f>
        <v>56</v>
      </c>
      <c r="P491" t="str">
        <f>_xlfn.XLOOKUP(VALINA[[#This Row],[id]],Table4[id],Table4[name])</f>
        <v>Syria</v>
      </c>
      <c r="Q491" t="str">
        <f>_xlfn.XLOOKUP(VALINA[[#This Row],[name]],Trans!A:A,Trans!B:B)</f>
        <v>Syria</v>
      </c>
    </row>
    <row r="492" spans="1:17" x14ac:dyDescent="0.25">
      <c r="A492">
        <v>491</v>
      </c>
      <c r="B492" t="s">
        <v>653</v>
      </c>
      <c r="C492" t="s">
        <v>654</v>
      </c>
      <c r="D492" t="s">
        <v>655</v>
      </c>
      <c r="E492" t="s">
        <v>14</v>
      </c>
      <c r="F492" t="s">
        <v>349</v>
      </c>
      <c r="G492" t="s">
        <v>35</v>
      </c>
      <c r="H492" t="s">
        <v>669</v>
      </c>
      <c r="I492" t="s">
        <v>1612</v>
      </c>
      <c r="J492" t="s">
        <v>678</v>
      </c>
      <c r="K492">
        <v>0</v>
      </c>
      <c r="L492">
        <v>7</v>
      </c>
      <c r="M492">
        <v>4</v>
      </c>
      <c r="N492">
        <v>0</v>
      </c>
      <c r="O492">
        <f>_xlfn.XLOOKUP(VALINA[[#This Row],[id]],prov_color!A:A,prov_color!C:C)</f>
        <v>29</v>
      </c>
      <c r="P492" t="str">
        <f>_xlfn.XLOOKUP(VALINA[[#This Row],[id]],Table4[id],Table4[name])</f>
        <v>Lebanon</v>
      </c>
      <c r="Q492" t="str">
        <f>_xlfn.XLOOKUP(VALINA[[#This Row],[name]],Trans!A:A,Trans!B:B)</f>
        <v>Lebanon</v>
      </c>
    </row>
    <row r="493" spans="1:17" x14ac:dyDescent="0.25">
      <c r="A493">
        <v>492</v>
      </c>
      <c r="B493" t="s">
        <v>653</v>
      </c>
      <c r="C493" t="s">
        <v>654</v>
      </c>
      <c r="D493" t="s">
        <v>655</v>
      </c>
      <c r="E493" t="s">
        <v>34</v>
      </c>
      <c r="F493" t="s">
        <v>609</v>
      </c>
      <c r="G493" t="s">
        <v>35</v>
      </c>
      <c r="H493" t="s">
        <v>669</v>
      </c>
      <c r="I493" t="s">
        <v>41</v>
      </c>
      <c r="J493" t="s">
        <v>679</v>
      </c>
      <c r="K493">
        <v>0</v>
      </c>
      <c r="L493">
        <v>5</v>
      </c>
      <c r="M493">
        <v>3</v>
      </c>
      <c r="N493">
        <v>0</v>
      </c>
      <c r="O493">
        <f>_xlfn.XLOOKUP(VALINA[[#This Row],[id]],prov_color!A:A,prov_color!C:C)</f>
        <v>23</v>
      </c>
      <c r="P493" t="str">
        <f>_xlfn.XLOOKUP(VALINA[[#This Row],[id]],Table4[id],Table4[name])</f>
        <v>Samaria</v>
      </c>
      <c r="Q493" t="str">
        <f>_xlfn.XLOOKUP(VALINA[[#This Row],[name]],Trans!A:A,Trans!B:B)</f>
        <v>Samaria</v>
      </c>
    </row>
    <row r="494" spans="1:17" x14ac:dyDescent="0.25">
      <c r="A494">
        <v>493</v>
      </c>
      <c r="B494" t="s">
        <v>653</v>
      </c>
      <c r="C494" t="s">
        <v>654</v>
      </c>
      <c r="D494" t="s">
        <v>655</v>
      </c>
      <c r="E494" t="s">
        <v>34</v>
      </c>
      <c r="F494" t="s">
        <v>609</v>
      </c>
      <c r="G494" t="s">
        <v>35</v>
      </c>
      <c r="H494" t="s">
        <v>669</v>
      </c>
      <c r="I494" t="s">
        <v>43</v>
      </c>
      <c r="J494" t="s">
        <v>680</v>
      </c>
      <c r="K494">
        <v>0</v>
      </c>
      <c r="L494">
        <v>5</v>
      </c>
      <c r="M494">
        <v>3</v>
      </c>
      <c r="N494">
        <v>0</v>
      </c>
      <c r="O494">
        <f>_xlfn.XLOOKUP(VALINA[[#This Row],[id]],prov_color!A:A,prov_color!C:C)</f>
        <v>31</v>
      </c>
      <c r="P494" t="str">
        <f>_xlfn.XLOOKUP(VALINA[[#This Row],[id]],Table4[id],Table4[name])</f>
        <v>Judea</v>
      </c>
      <c r="Q494" t="str">
        <f>_xlfn.XLOOKUP(VALINA[[#This Row],[name]],Trans!A:A,Trans!B:B)</f>
        <v>Judea</v>
      </c>
    </row>
    <row r="495" spans="1:17" x14ac:dyDescent="0.25">
      <c r="A495">
        <v>494</v>
      </c>
      <c r="B495" t="s">
        <v>653</v>
      </c>
      <c r="C495" t="s">
        <v>654</v>
      </c>
      <c r="D495" t="s">
        <v>655</v>
      </c>
      <c r="E495" t="s">
        <v>52</v>
      </c>
      <c r="F495" t="s">
        <v>609</v>
      </c>
      <c r="G495" t="s">
        <v>47</v>
      </c>
      <c r="H495" t="s">
        <v>669</v>
      </c>
      <c r="I495" t="s">
        <v>53</v>
      </c>
      <c r="J495" t="s">
        <v>681</v>
      </c>
      <c r="K495">
        <v>0</v>
      </c>
      <c r="L495">
        <v>1</v>
      </c>
      <c r="M495">
        <v>1</v>
      </c>
      <c r="N495">
        <v>0</v>
      </c>
      <c r="O495">
        <f>_xlfn.XLOOKUP(VALINA[[#This Row],[id]],prov_color!A:A,prov_color!C:C)</f>
        <v>37</v>
      </c>
      <c r="P495" t="str">
        <f>_xlfn.XLOOKUP(VALINA[[#This Row],[id]],Table4[id],Table4[name])</f>
        <v>Sinai</v>
      </c>
      <c r="Q495" t="str">
        <f>_xlfn.XLOOKUP(VALINA[[#This Row],[name]],Trans!A:A,Trans!B:B)</f>
        <v>Sinai</v>
      </c>
    </row>
    <row r="496" spans="1:17" x14ac:dyDescent="0.25">
      <c r="A496">
        <v>495</v>
      </c>
      <c r="B496" t="s">
        <v>653</v>
      </c>
      <c r="C496" t="s">
        <v>654</v>
      </c>
      <c r="D496" t="s">
        <v>655</v>
      </c>
      <c r="E496" t="s">
        <v>52</v>
      </c>
      <c r="F496" t="s">
        <v>609</v>
      </c>
      <c r="G496" t="s">
        <v>47</v>
      </c>
      <c r="H496" t="s">
        <v>669</v>
      </c>
      <c r="I496" t="s">
        <v>43</v>
      </c>
      <c r="J496" t="s">
        <v>682</v>
      </c>
      <c r="K496">
        <v>0</v>
      </c>
      <c r="L496">
        <v>4</v>
      </c>
      <c r="M496">
        <v>2</v>
      </c>
      <c r="N496">
        <v>0</v>
      </c>
      <c r="O496">
        <f>_xlfn.XLOOKUP(VALINA[[#This Row],[id]],prov_color!A:A,prov_color!C:C)</f>
        <v>69</v>
      </c>
      <c r="P496" t="str">
        <f>_xlfn.XLOOKUP(VALINA[[#This Row],[id]],Table4[id],Table4[name])</f>
        <v>Jordan</v>
      </c>
      <c r="Q496" t="str">
        <f>_xlfn.XLOOKUP(VALINA[[#This Row],[name]],Trans!A:A,Trans!B:B)</f>
        <v>Jordan</v>
      </c>
    </row>
    <row r="497" spans="1:17" x14ac:dyDescent="0.25">
      <c r="A497">
        <v>496</v>
      </c>
      <c r="B497" t="s">
        <v>653</v>
      </c>
      <c r="C497" t="s">
        <v>654</v>
      </c>
      <c r="D497" t="s">
        <v>655</v>
      </c>
      <c r="E497" t="s">
        <v>52</v>
      </c>
      <c r="F497" t="s">
        <v>609</v>
      </c>
      <c r="G497" t="s">
        <v>47</v>
      </c>
      <c r="H497" t="s">
        <v>669</v>
      </c>
      <c r="I497" t="s">
        <v>41</v>
      </c>
      <c r="J497" t="s">
        <v>683</v>
      </c>
      <c r="K497">
        <v>0</v>
      </c>
      <c r="L497">
        <v>3</v>
      </c>
      <c r="M497">
        <v>2</v>
      </c>
      <c r="N497">
        <v>0</v>
      </c>
      <c r="O497">
        <f>_xlfn.XLOOKUP(VALINA[[#This Row],[id]],prov_color!A:A,prov_color!C:C)</f>
        <v>47</v>
      </c>
      <c r="P497" t="str">
        <f>_xlfn.XLOOKUP(VALINA[[#This Row],[id]],Table4[id],Table4[name])</f>
        <v>Arabia</v>
      </c>
      <c r="Q497" t="str">
        <f>_xlfn.XLOOKUP(VALINA[[#This Row],[name]],Trans!A:A,Trans!B:B)</f>
        <v>Arabia</v>
      </c>
    </row>
    <row r="498" spans="1:17" x14ac:dyDescent="0.25">
      <c r="A498">
        <v>497</v>
      </c>
      <c r="B498" t="s">
        <v>653</v>
      </c>
      <c r="C498" t="s">
        <v>654</v>
      </c>
      <c r="D498" t="s">
        <v>684</v>
      </c>
      <c r="E498" t="s">
        <v>52</v>
      </c>
      <c r="F498" t="s">
        <v>609</v>
      </c>
      <c r="G498" t="s">
        <v>47</v>
      </c>
      <c r="H498" t="s">
        <v>669</v>
      </c>
      <c r="I498" t="s">
        <v>685</v>
      </c>
      <c r="J498" t="s">
        <v>686</v>
      </c>
      <c r="K498">
        <v>9</v>
      </c>
      <c r="L498">
        <v>2</v>
      </c>
      <c r="M498">
        <v>2</v>
      </c>
      <c r="N498">
        <v>0</v>
      </c>
      <c r="O498">
        <f>_xlfn.XLOOKUP(VALINA[[#This Row],[id]],prov_color!A:A,prov_color!C:C)</f>
        <v>44</v>
      </c>
      <c r="P498" t="str">
        <f>_xlfn.XLOOKUP(VALINA[[#This Row],[id]],Table4[id],Table4[name])</f>
        <v>Medina</v>
      </c>
      <c r="Q498" t="str">
        <f>_xlfn.XLOOKUP(VALINA[[#This Row],[name]],Trans!A:A,Trans!B:B)</f>
        <v>Medina</v>
      </c>
    </row>
    <row r="499" spans="1:17" x14ac:dyDescent="0.25">
      <c r="A499">
        <v>498</v>
      </c>
      <c r="B499" t="s">
        <v>653</v>
      </c>
      <c r="C499" t="s">
        <v>654</v>
      </c>
      <c r="D499" t="s">
        <v>684</v>
      </c>
      <c r="E499" t="s">
        <v>52</v>
      </c>
      <c r="F499" t="s">
        <v>609</v>
      </c>
      <c r="G499" t="s">
        <v>47</v>
      </c>
      <c r="H499" t="s">
        <v>669</v>
      </c>
      <c r="I499" t="s">
        <v>687</v>
      </c>
      <c r="J499" t="s">
        <v>688</v>
      </c>
      <c r="K499">
        <v>9</v>
      </c>
      <c r="L499">
        <v>2</v>
      </c>
      <c r="M499">
        <v>3</v>
      </c>
      <c r="N499">
        <v>0</v>
      </c>
      <c r="O499">
        <f>_xlfn.XLOOKUP(VALINA[[#This Row],[id]],prov_color!A:A,prov_color!C:C)</f>
        <v>36</v>
      </c>
      <c r="P499" t="str">
        <f>_xlfn.XLOOKUP(VALINA[[#This Row],[id]],Table4[id],Table4[name])</f>
        <v>Mekkah</v>
      </c>
      <c r="Q499" t="str">
        <f>_xlfn.XLOOKUP(VALINA[[#This Row],[name]],Trans!A:A,Trans!B:B)</f>
        <v>Mekkah</v>
      </c>
    </row>
    <row r="500" spans="1:17" x14ac:dyDescent="0.25">
      <c r="A500">
        <v>499</v>
      </c>
      <c r="B500" t="s">
        <v>653</v>
      </c>
      <c r="C500" t="s">
        <v>654</v>
      </c>
      <c r="D500" t="s">
        <v>689</v>
      </c>
      <c r="E500" t="s">
        <v>14</v>
      </c>
      <c r="F500" t="s">
        <v>609</v>
      </c>
      <c r="G500" t="s">
        <v>47</v>
      </c>
      <c r="H500" t="s">
        <v>669</v>
      </c>
      <c r="I500" t="s">
        <v>84</v>
      </c>
      <c r="J500" t="s">
        <v>690</v>
      </c>
      <c r="K500">
        <v>7</v>
      </c>
      <c r="L500">
        <v>3</v>
      </c>
      <c r="M500">
        <v>4</v>
      </c>
      <c r="N500">
        <v>0</v>
      </c>
      <c r="O500">
        <f>_xlfn.XLOOKUP(VALINA[[#This Row],[id]],prov_color!A:A,prov_color!C:C)</f>
        <v>45</v>
      </c>
      <c r="P500" t="str">
        <f>_xlfn.XLOOKUP(VALINA[[#This Row],[id]],Table4[id],Table4[name])</f>
        <v>Yemen</v>
      </c>
      <c r="Q500" t="str">
        <f>_xlfn.XLOOKUP(VALINA[[#This Row],[name]],Trans!A:A,Trans!B:B)</f>
        <v>Yemen</v>
      </c>
    </row>
    <row r="501" spans="1:17" x14ac:dyDescent="0.25">
      <c r="A501">
        <v>500</v>
      </c>
      <c r="B501" t="s">
        <v>653</v>
      </c>
      <c r="C501" t="s">
        <v>654</v>
      </c>
      <c r="D501" t="s">
        <v>689</v>
      </c>
      <c r="E501" t="s">
        <v>14</v>
      </c>
      <c r="F501" t="s">
        <v>609</v>
      </c>
      <c r="G501" t="s">
        <v>47</v>
      </c>
      <c r="H501" t="s">
        <v>669</v>
      </c>
      <c r="I501" t="s">
        <v>84</v>
      </c>
      <c r="J501" t="s">
        <v>689</v>
      </c>
      <c r="K501">
        <v>7</v>
      </c>
      <c r="L501">
        <v>2</v>
      </c>
      <c r="M501">
        <v>3</v>
      </c>
      <c r="N501">
        <v>0</v>
      </c>
      <c r="O501">
        <f>_xlfn.XLOOKUP(VALINA[[#This Row],[id]],prov_color!A:A,prov_color!C:C)</f>
        <v>54</v>
      </c>
      <c r="P501" t="str">
        <f>_xlfn.XLOOKUP(VALINA[[#This Row],[id]],Table4[id],Table4[name])</f>
        <v>Aden</v>
      </c>
      <c r="Q501" t="str">
        <f>_xlfn.XLOOKUP(VALINA[[#This Row],[name]],Trans!A:A,Trans!B:B)</f>
        <v>Aden</v>
      </c>
    </row>
    <row r="502" spans="1:17" x14ac:dyDescent="0.25">
      <c r="A502">
        <v>501</v>
      </c>
      <c r="B502" t="s">
        <v>653</v>
      </c>
      <c r="C502" t="s">
        <v>654</v>
      </c>
      <c r="D502" t="s">
        <v>689</v>
      </c>
      <c r="E502" t="s">
        <v>52</v>
      </c>
      <c r="F502" t="s">
        <v>609</v>
      </c>
      <c r="G502" t="s">
        <v>47</v>
      </c>
      <c r="H502" t="s">
        <v>669</v>
      </c>
      <c r="I502" t="s">
        <v>41</v>
      </c>
      <c r="J502" t="s">
        <v>691</v>
      </c>
      <c r="K502">
        <v>8</v>
      </c>
      <c r="L502">
        <v>1</v>
      </c>
      <c r="M502">
        <v>2</v>
      </c>
      <c r="N502">
        <v>0</v>
      </c>
      <c r="O502">
        <f>_xlfn.XLOOKUP(VALINA[[#This Row],[id]],prov_color!A:A,prov_color!C:C)</f>
        <v>34</v>
      </c>
      <c r="P502" t="str">
        <f>_xlfn.XLOOKUP(VALINA[[#This Row],[id]],Table4[id],Table4[name])</f>
        <v>Hadramut</v>
      </c>
      <c r="Q502" t="str">
        <f>_xlfn.XLOOKUP(VALINA[[#This Row],[name]],Trans!A:A,Trans!B:B)</f>
        <v>Hadramut</v>
      </c>
    </row>
    <row r="503" spans="1:17" x14ac:dyDescent="0.25">
      <c r="A503">
        <v>502</v>
      </c>
      <c r="B503" t="s">
        <v>653</v>
      </c>
      <c r="C503" t="s">
        <v>654</v>
      </c>
      <c r="D503" t="s">
        <v>689</v>
      </c>
      <c r="E503" t="s">
        <v>14</v>
      </c>
      <c r="F503" t="s">
        <v>609</v>
      </c>
      <c r="G503" t="s">
        <v>47</v>
      </c>
      <c r="H503" t="s">
        <v>669</v>
      </c>
      <c r="I503" t="s">
        <v>27</v>
      </c>
      <c r="J503" t="s">
        <v>692</v>
      </c>
      <c r="K503">
        <v>6</v>
      </c>
      <c r="L503">
        <v>1</v>
      </c>
      <c r="M503">
        <v>2</v>
      </c>
      <c r="N503">
        <v>0</v>
      </c>
      <c r="O503">
        <f>_xlfn.XLOOKUP(VALINA[[#This Row],[id]],prov_color!A:A,prov_color!C:C)</f>
        <v>35</v>
      </c>
      <c r="P503" t="str">
        <f>_xlfn.XLOOKUP(VALINA[[#This Row],[id]],Table4[id],Table4[name])</f>
        <v>Dofhar</v>
      </c>
      <c r="Q503" t="str">
        <f>_xlfn.XLOOKUP(VALINA[[#This Row],[name]],Trans!A:A,Trans!B:B)</f>
        <v>Dofhar</v>
      </c>
    </row>
    <row r="504" spans="1:17" x14ac:dyDescent="0.25">
      <c r="A504">
        <v>503</v>
      </c>
      <c r="B504" t="s">
        <v>653</v>
      </c>
      <c r="C504" t="s">
        <v>654</v>
      </c>
      <c r="D504" t="s">
        <v>693</v>
      </c>
      <c r="E504" t="s">
        <v>52</v>
      </c>
      <c r="F504" t="s">
        <v>609</v>
      </c>
      <c r="G504" t="s">
        <v>47</v>
      </c>
      <c r="H504" t="s">
        <v>669</v>
      </c>
      <c r="I504" t="s">
        <v>687</v>
      </c>
      <c r="J504" t="s">
        <v>694</v>
      </c>
      <c r="K504">
        <v>9</v>
      </c>
      <c r="L504">
        <v>1</v>
      </c>
      <c r="M504">
        <v>2</v>
      </c>
      <c r="N504">
        <v>0</v>
      </c>
      <c r="O504">
        <f>_xlfn.XLOOKUP(VALINA[[#This Row],[id]],prov_color!A:A,prov_color!C:C)</f>
        <v>46</v>
      </c>
      <c r="P504" t="str">
        <f>_xlfn.XLOOKUP(VALINA[[#This Row],[id]],Table4[id],Table4[name])</f>
        <v>Masirah</v>
      </c>
      <c r="Q504" t="str">
        <f>_xlfn.XLOOKUP(VALINA[[#This Row],[name]],Trans!A:A,Trans!B:B)</f>
        <v>Masirah</v>
      </c>
    </row>
    <row r="505" spans="1:17" x14ac:dyDescent="0.25">
      <c r="A505">
        <v>504</v>
      </c>
      <c r="B505" t="s">
        <v>653</v>
      </c>
      <c r="C505" t="s">
        <v>654</v>
      </c>
      <c r="D505" t="s">
        <v>693</v>
      </c>
      <c r="E505" t="s">
        <v>14</v>
      </c>
      <c r="F505" t="s">
        <v>609</v>
      </c>
      <c r="G505" t="s">
        <v>47</v>
      </c>
      <c r="H505" t="s">
        <v>669</v>
      </c>
      <c r="I505" t="s">
        <v>685</v>
      </c>
      <c r="J505" t="s">
        <v>695</v>
      </c>
      <c r="K505">
        <v>7</v>
      </c>
      <c r="L505">
        <v>3</v>
      </c>
      <c r="M505">
        <v>5</v>
      </c>
      <c r="N505">
        <v>0</v>
      </c>
      <c r="O505">
        <f>_xlfn.XLOOKUP(VALINA[[#This Row],[id]],prov_color!A:A,prov_color!C:C)</f>
        <v>47</v>
      </c>
      <c r="P505" t="str">
        <f>_xlfn.XLOOKUP(VALINA[[#This Row],[id]],Table4[id],Table4[name])</f>
        <v>Mascate</v>
      </c>
      <c r="Q505" t="str">
        <f>_xlfn.XLOOKUP(VALINA[[#This Row],[name]],Trans!A:A,Trans!B:B)</f>
        <v>Mascate</v>
      </c>
    </row>
    <row r="506" spans="1:17" x14ac:dyDescent="0.25">
      <c r="A506">
        <v>505</v>
      </c>
      <c r="B506" t="s">
        <v>653</v>
      </c>
      <c r="C506" t="s">
        <v>654</v>
      </c>
      <c r="D506" t="s">
        <v>693</v>
      </c>
      <c r="E506" t="s">
        <v>14</v>
      </c>
      <c r="F506" t="s">
        <v>609</v>
      </c>
      <c r="G506" t="s">
        <v>47</v>
      </c>
      <c r="H506" t="s">
        <v>669</v>
      </c>
      <c r="I506" t="s">
        <v>41</v>
      </c>
      <c r="J506" t="s">
        <v>696</v>
      </c>
      <c r="K506">
        <v>9</v>
      </c>
      <c r="L506">
        <v>2</v>
      </c>
      <c r="M506">
        <v>1</v>
      </c>
      <c r="N506">
        <v>0</v>
      </c>
      <c r="O506">
        <f>_xlfn.XLOOKUP(VALINA[[#This Row],[id]],prov_color!A:A,prov_color!C:C)</f>
        <v>44</v>
      </c>
      <c r="P506" t="str">
        <f>_xlfn.XLOOKUP(VALINA[[#This Row],[id]],Table4[id],Table4[name])</f>
        <v>Al Kharam</v>
      </c>
      <c r="Q506" t="str">
        <f>_xlfn.XLOOKUP(VALINA[[#This Row],[name]],Trans!A:A,Trans!B:B)</f>
        <v>Al Kharam</v>
      </c>
    </row>
    <row r="507" spans="1:17" x14ac:dyDescent="0.25">
      <c r="A507">
        <v>506</v>
      </c>
      <c r="B507" t="s">
        <v>653</v>
      </c>
      <c r="C507" t="s">
        <v>654</v>
      </c>
      <c r="D507" t="s">
        <v>684</v>
      </c>
      <c r="E507" t="s">
        <v>52</v>
      </c>
      <c r="F507" t="s">
        <v>609</v>
      </c>
      <c r="G507" t="s">
        <v>47</v>
      </c>
      <c r="H507" t="s">
        <v>669</v>
      </c>
      <c r="I507" t="s">
        <v>685</v>
      </c>
      <c r="J507" t="s">
        <v>697</v>
      </c>
      <c r="K507">
        <v>9</v>
      </c>
      <c r="L507">
        <v>1</v>
      </c>
      <c r="M507">
        <v>2</v>
      </c>
      <c r="N507">
        <v>0</v>
      </c>
      <c r="O507">
        <f>_xlfn.XLOOKUP(VALINA[[#This Row],[id]],prov_color!A:A,prov_color!C:C)</f>
        <v>47</v>
      </c>
      <c r="P507" t="str">
        <f>_xlfn.XLOOKUP(VALINA[[#This Row],[id]],Table4[id],Table4[name])</f>
        <v>Quatar</v>
      </c>
      <c r="Q507" t="str">
        <f>_xlfn.XLOOKUP(VALINA[[#This Row],[name]],Trans!A:A,Trans!B:B)</f>
        <v>Quatar</v>
      </c>
    </row>
    <row r="508" spans="1:17" x14ac:dyDescent="0.25">
      <c r="A508">
        <v>507</v>
      </c>
      <c r="B508" t="s">
        <v>653</v>
      </c>
      <c r="C508" t="s">
        <v>654</v>
      </c>
      <c r="D508" t="s">
        <v>684</v>
      </c>
      <c r="E508" t="s">
        <v>52</v>
      </c>
      <c r="F508" t="s">
        <v>609</v>
      </c>
      <c r="G508" t="s">
        <v>47</v>
      </c>
      <c r="H508" t="s">
        <v>669</v>
      </c>
      <c r="I508" t="s">
        <v>41</v>
      </c>
      <c r="J508" t="s">
        <v>698</v>
      </c>
      <c r="K508">
        <v>9</v>
      </c>
      <c r="L508">
        <v>1</v>
      </c>
      <c r="M508">
        <v>2</v>
      </c>
      <c r="N508">
        <v>0</v>
      </c>
      <c r="O508">
        <f>_xlfn.XLOOKUP(VALINA[[#This Row],[id]],prov_color!A:A,prov_color!C:C)</f>
        <v>41</v>
      </c>
      <c r="P508" t="str">
        <f>_xlfn.XLOOKUP(VALINA[[#This Row],[id]],Table4[id],Table4[name])</f>
        <v>Damman</v>
      </c>
      <c r="Q508" t="str">
        <f>_xlfn.XLOOKUP(VALINA[[#This Row],[name]],Trans!A:A,Trans!B:B)</f>
        <v>Damman</v>
      </c>
    </row>
    <row r="509" spans="1:17" x14ac:dyDescent="0.25">
      <c r="A509">
        <v>508</v>
      </c>
      <c r="B509" t="s">
        <v>653</v>
      </c>
      <c r="C509" t="s">
        <v>654</v>
      </c>
      <c r="D509" t="s">
        <v>655</v>
      </c>
      <c r="E509" t="s">
        <v>52</v>
      </c>
      <c r="F509" t="s">
        <v>609</v>
      </c>
      <c r="G509" t="s">
        <v>47</v>
      </c>
      <c r="H509" t="s">
        <v>669</v>
      </c>
      <c r="I509" t="s">
        <v>687</v>
      </c>
      <c r="J509" t="s">
        <v>699</v>
      </c>
      <c r="K509">
        <v>7</v>
      </c>
      <c r="L509">
        <v>9</v>
      </c>
      <c r="M509">
        <v>6</v>
      </c>
      <c r="N509">
        <v>0</v>
      </c>
      <c r="O509">
        <f>_xlfn.XLOOKUP(VALINA[[#This Row],[id]],prov_color!A:A,prov_color!C:C)</f>
        <v>49</v>
      </c>
      <c r="P509" t="str">
        <f>_xlfn.XLOOKUP(VALINA[[#This Row],[id]],Table4[id],Table4[name])</f>
        <v>Basrah</v>
      </c>
      <c r="Q509" t="str">
        <f>_xlfn.XLOOKUP(VALINA[[#This Row],[name]],Trans!A:A,Trans!B:B)</f>
        <v>Basrah</v>
      </c>
    </row>
    <row r="510" spans="1:17" x14ac:dyDescent="0.25">
      <c r="A510">
        <v>509</v>
      </c>
      <c r="B510" t="s">
        <v>653</v>
      </c>
      <c r="C510" t="s">
        <v>654</v>
      </c>
      <c r="D510" t="s">
        <v>684</v>
      </c>
      <c r="E510" t="s">
        <v>52</v>
      </c>
      <c r="F510" t="s">
        <v>609</v>
      </c>
      <c r="G510" t="s">
        <v>47</v>
      </c>
      <c r="H510" t="s">
        <v>669</v>
      </c>
      <c r="I510" t="s">
        <v>687</v>
      </c>
      <c r="J510" t="s">
        <v>700</v>
      </c>
      <c r="K510">
        <v>9</v>
      </c>
      <c r="L510">
        <v>1</v>
      </c>
      <c r="M510">
        <v>3</v>
      </c>
      <c r="N510">
        <v>0</v>
      </c>
      <c r="O510">
        <f>_xlfn.XLOOKUP(VALINA[[#This Row],[id]],prov_color!A:A,prov_color!C:C)</f>
        <v>15</v>
      </c>
      <c r="P510" t="str">
        <f>_xlfn.XLOOKUP(VALINA[[#This Row],[id]],Table4[id],Table4[name])</f>
        <v>Bahrein</v>
      </c>
      <c r="Q510" t="str">
        <f>_xlfn.XLOOKUP(VALINA[[#This Row],[name]],Trans!A:A,Trans!B:B)</f>
        <v>Bahrein</v>
      </c>
    </row>
    <row r="511" spans="1:17" x14ac:dyDescent="0.25">
      <c r="A511">
        <v>510</v>
      </c>
      <c r="B511" t="s">
        <v>653</v>
      </c>
      <c r="C511" t="s">
        <v>701</v>
      </c>
      <c r="D511" t="s">
        <v>702</v>
      </c>
      <c r="E511" t="s">
        <v>22</v>
      </c>
      <c r="F511" t="s">
        <v>609</v>
      </c>
      <c r="G511" t="s">
        <v>122</v>
      </c>
      <c r="H511" t="s">
        <v>703</v>
      </c>
      <c r="I511" t="s">
        <v>20</v>
      </c>
      <c r="J511" t="s">
        <v>704</v>
      </c>
      <c r="K511">
        <v>3</v>
      </c>
      <c r="L511">
        <v>3</v>
      </c>
      <c r="M511">
        <v>2</v>
      </c>
      <c r="N511">
        <v>0</v>
      </c>
      <c r="O511">
        <f>_xlfn.XLOOKUP(VALINA[[#This Row],[id]],prov_color!A:A,prov_color!C:C)</f>
        <v>60</v>
      </c>
      <c r="P511" t="str">
        <f>_xlfn.XLOOKUP(VALINA[[#This Row],[id]],Table4[id],Table4[name])</f>
        <v>Kurgan</v>
      </c>
      <c r="Q511" t="str">
        <f>_xlfn.XLOOKUP(VALINA[[#This Row],[name]],Trans!A:A,Trans!B:B)</f>
        <v>Kurgan</v>
      </c>
    </row>
    <row r="512" spans="1:17" x14ac:dyDescent="0.25">
      <c r="A512">
        <v>511</v>
      </c>
      <c r="B512" t="s">
        <v>653</v>
      </c>
      <c r="C512" t="s">
        <v>701</v>
      </c>
      <c r="D512" t="s">
        <v>702</v>
      </c>
      <c r="E512" t="s">
        <v>22</v>
      </c>
      <c r="F512" t="s">
        <v>609</v>
      </c>
      <c r="G512" t="s">
        <v>122</v>
      </c>
      <c r="H512" t="s">
        <v>703</v>
      </c>
      <c r="I512" t="s">
        <v>20</v>
      </c>
      <c r="J512" t="s">
        <v>705</v>
      </c>
      <c r="K512">
        <v>3</v>
      </c>
      <c r="L512">
        <v>3</v>
      </c>
      <c r="M512">
        <v>1</v>
      </c>
      <c r="N512">
        <v>0</v>
      </c>
      <c r="O512">
        <f>_xlfn.XLOOKUP(VALINA[[#This Row],[id]],prov_color!A:A,prov_color!C:C)</f>
        <v>40</v>
      </c>
      <c r="P512" t="str">
        <f>_xlfn.XLOOKUP(VALINA[[#This Row],[id]],Table4[id],Table4[name])</f>
        <v>Kustanai</v>
      </c>
      <c r="Q512" t="str">
        <f>_xlfn.XLOOKUP(VALINA[[#This Row],[name]],Trans!A:A,Trans!B:B)</f>
        <v>Kustanai</v>
      </c>
    </row>
    <row r="513" spans="1:17" x14ac:dyDescent="0.25">
      <c r="A513">
        <v>512</v>
      </c>
      <c r="B513" t="s">
        <v>653</v>
      </c>
      <c r="C513" t="s">
        <v>701</v>
      </c>
      <c r="D513" t="s">
        <v>702</v>
      </c>
      <c r="E513" t="s">
        <v>34</v>
      </c>
      <c r="F513" t="s">
        <v>609</v>
      </c>
      <c r="G513" t="s">
        <v>26</v>
      </c>
      <c r="H513" t="s">
        <v>703</v>
      </c>
      <c r="I513" t="s">
        <v>41</v>
      </c>
      <c r="J513" t="s">
        <v>706</v>
      </c>
      <c r="K513">
        <v>4</v>
      </c>
      <c r="L513">
        <v>3</v>
      </c>
      <c r="M513">
        <v>1</v>
      </c>
      <c r="N513">
        <v>0</v>
      </c>
      <c r="O513">
        <f>_xlfn.XLOOKUP(VALINA[[#This Row],[id]],prov_color!A:A,prov_color!C:C)</f>
        <v>49</v>
      </c>
      <c r="P513" t="str">
        <f>_xlfn.XLOOKUP(VALINA[[#This Row],[id]],Table4[id],Table4[name])</f>
        <v>Tenghiz</v>
      </c>
      <c r="Q513" t="str">
        <f>_xlfn.XLOOKUP(VALINA[[#This Row],[name]],Trans!A:A,Trans!B:B)</f>
        <v>Tenghiz</v>
      </c>
    </row>
    <row r="514" spans="1:17" x14ac:dyDescent="0.25">
      <c r="A514">
        <v>513</v>
      </c>
      <c r="B514" t="s">
        <v>653</v>
      </c>
      <c r="C514" t="s">
        <v>701</v>
      </c>
      <c r="D514" t="s">
        <v>702</v>
      </c>
      <c r="E514" t="s">
        <v>34</v>
      </c>
      <c r="F514" t="s">
        <v>609</v>
      </c>
      <c r="G514" t="s">
        <v>26</v>
      </c>
      <c r="H514" t="s">
        <v>707</v>
      </c>
      <c r="I514" t="s">
        <v>43</v>
      </c>
      <c r="J514" t="s">
        <v>708</v>
      </c>
      <c r="K514">
        <v>3</v>
      </c>
      <c r="L514">
        <v>5</v>
      </c>
      <c r="M514">
        <v>1</v>
      </c>
      <c r="N514">
        <v>0</v>
      </c>
      <c r="O514">
        <f>_xlfn.XLOOKUP(VALINA[[#This Row],[id]],prov_color!A:A,prov_color!C:C)</f>
        <v>43</v>
      </c>
      <c r="P514" t="str">
        <f>_xlfn.XLOOKUP(VALINA[[#This Row],[id]],Table4[id],Table4[name])</f>
        <v>Orsk</v>
      </c>
      <c r="Q514" t="str">
        <f>_xlfn.XLOOKUP(VALINA[[#This Row],[name]],Trans!A:A,Trans!B:B)</f>
        <v>Orsk</v>
      </c>
    </row>
    <row r="515" spans="1:17" x14ac:dyDescent="0.25">
      <c r="A515">
        <v>514</v>
      </c>
      <c r="B515" t="s">
        <v>653</v>
      </c>
      <c r="C515" t="s">
        <v>701</v>
      </c>
      <c r="D515" t="s">
        <v>702</v>
      </c>
      <c r="E515" t="s">
        <v>34</v>
      </c>
      <c r="F515" t="s">
        <v>609</v>
      </c>
      <c r="G515" t="s">
        <v>122</v>
      </c>
      <c r="H515" t="s">
        <v>707</v>
      </c>
      <c r="I515" t="s">
        <v>43</v>
      </c>
      <c r="J515" t="s">
        <v>709</v>
      </c>
      <c r="K515">
        <v>4</v>
      </c>
      <c r="L515">
        <v>3</v>
      </c>
      <c r="M515">
        <v>1</v>
      </c>
      <c r="N515">
        <v>0</v>
      </c>
      <c r="O515">
        <f>_xlfn.XLOOKUP(VALINA[[#This Row],[id]],prov_color!A:A,prov_color!C:C)</f>
        <v>49</v>
      </c>
      <c r="P515" t="str">
        <f>_xlfn.XLOOKUP(VALINA[[#This Row],[id]],Table4[id],Table4[name])</f>
        <v>Irgiz</v>
      </c>
      <c r="Q515" t="str">
        <f>_xlfn.XLOOKUP(VALINA[[#This Row],[name]],Trans!A:A,Trans!B:B)</f>
        <v>Irgiz</v>
      </c>
    </row>
    <row r="516" spans="1:17" x14ac:dyDescent="0.25">
      <c r="A516">
        <v>515</v>
      </c>
      <c r="B516" t="s">
        <v>653</v>
      </c>
      <c r="C516" t="s">
        <v>701</v>
      </c>
      <c r="D516" t="s">
        <v>702</v>
      </c>
      <c r="E516" t="s">
        <v>34</v>
      </c>
      <c r="F516" t="s">
        <v>609</v>
      </c>
      <c r="G516" t="s">
        <v>26</v>
      </c>
      <c r="H516" t="s">
        <v>707</v>
      </c>
      <c r="I516" t="s">
        <v>41</v>
      </c>
      <c r="J516" t="s">
        <v>710</v>
      </c>
      <c r="K516">
        <v>5</v>
      </c>
      <c r="L516">
        <v>3</v>
      </c>
      <c r="M516">
        <v>1</v>
      </c>
      <c r="N516">
        <v>0</v>
      </c>
      <c r="O516">
        <f>_xlfn.XLOOKUP(VALINA[[#This Row],[id]],prov_color!A:A,prov_color!C:C)</f>
        <v>71</v>
      </c>
      <c r="P516" t="str">
        <f>_xlfn.XLOOKUP(VALINA[[#This Row],[id]],Table4[id],Table4[name])</f>
        <v>Alga</v>
      </c>
      <c r="Q516" t="str">
        <f>_xlfn.XLOOKUP(VALINA[[#This Row],[name]],Trans!A:A,Trans!B:B)</f>
        <v>Alga</v>
      </c>
    </row>
    <row r="517" spans="1:17" x14ac:dyDescent="0.25">
      <c r="A517">
        <v>516</v>
      </c>
      <c r="B517" t="s">
        <v>653</v>
      </c>
      <c r="C517" t="s">
        <v>672</v>
      </c>
      <c r="D517" t="s">
        <v>711</v>
      </c>
      <c r="E517" t="s">
        <v>34</v>
      </c>
      <c r="F517" t="s">
        <v>609</v>
      </c>
      <c r="G517" t="s">
        <v>26</v>
      </c>
      <c r="H517" t="s">
        <v>712</v>
      </c>
      <c r="I517" t="s">
        <v>53</v>
      </c>
      <c r="J517" t="s">
        <v>713</v>
      </c>
      <c r="K517">
        <v>6</v>
      </c>
      <c r="L517">
        <v>2</v>
      </c>
      <c r="M517">
        <v>2</v>
      </c>
      <c r="N517">
        <v>0</v>
      </c>
      <c r="O517">
        <f>_xlfn.XLOOKUP(VALINA[[#This Row],[id]],prov_color!A:A,prov_color!C:C)</f>
        <v>61</v>
      </c>
      <c r="P517" t="str">
        <f>_xlfn.XLOOKUP(VALINA[[#This Row],[id]],Table4[id],Table4[name])</f>
        <v>Aralsk</v>
      </c>
      <c r="Q517" t="str">
        <f>_xlfn.XLOOKUP(VALINA[[#This Row],[name]],Trans!A:A,Trans!B:B)</f>
        <v>Aralsk</v>
      </c>
    </row>
    <row r="518" spans="1:17" x14ac:dyDescent="0.25">
      <c r="A518">
        <v>517</v>
      </c>
      <c r="B518" t="s">
        <v>653</v>
      </c>
      <c r="C518" t="s">
        <v>672</v>
      </c>
      <c r="D518" t="s">
        <v>711</v>
      </c>
      <c r="E518" t="s">
        <v>34</v>
      </c>
      <c r="F518" t="s">
        <v>609</v>
      </c>
      <c r="G518" t="s">
        <v>26</v>
      </c>
      <c r="H518" t="s">
        <v>714</v>
      </c>
      <c r="I518" t="s">
        <v>41</v>
      </c>
      <c r="J518" t="s">
        <v>715</v>
      </c>
      <c r="K518">
        <v>5</v>
      </c>
      <c r="L518">
        <v>3</v>
      </c>
      <c r="M518">
        <v>2</v>
      </c>
      <c r="N518">
        <v>0</v>
      </c>
      <c r="O518">
        <f>_xlfn.XLOOKUP(VALINA[[#This Row],[id]],prov_color!A:A,prov_color!C:C)</f>
        <v>38</v>
      </c>
      <c r="P518" t="str">
        <f>_xlfn.XLOOKUP(VALINA[[#This Row],[id]],Table4[id],Table4[name])</f>
        <v>Turgai</v>
      </c>
      <c r="Q518" t="str">
        <f>_xlfn.XLOOKUP(VALINA[[#This Row],[name]],Trans!A:A,Trans!B:B)</f>
        <v>Turgai</v>
      </c>
    </row>
    <row r="519" spans="1:17" x14ac:dyDescent="0.25">
      <c r="A519">
        <v>518</v>
      </c>
      <c r="B519" t="s">
        <v>653</v>
      </c>
      <c r="C519" t="s">
        <v>672</v>
      </c>
      <c r="D519" t="s">
        <v>711</v>
      </c>
      <c r="E519" t="s">
        <v>34</v>
      </c>
      <c r="F519" t="s">
        <v>609</v>
      </c>
      <c r="G519" t="s">
        <v>26</v>
      </c>
      <c r="H519" t="s">
        <v>712</v>
      </c>
      <c r="I519" t="s">
        <v>41</v>
      </c>
      <c r="J519" t="s">
        <v>716</v>
      </c>
      <c r="K519">
        <v>6</v>
      </c>
      <c r="L519">
        <v>2</v>
      </c>
      <c r="M519">
        <v>2</v>
      </c>
      <c r="N519">
        <v>0</v>
      </c>
      <c r="O519">
        <f>_xlfn.XLOOKUP(VALINA[[#This Row],[id]],prov_color!A:A,prov_color!C:C)</f>
        <v>83</v>
      </c>
      <c r="P519" t="str">
        <f>_xlfn.XLOOKUP(VALINA[[#This Row],[id]],Table4[id],Table4[name])</f>
        <v>Ust Urt</v>
      </c>
      <c r="Q519" t="str">
        <f>_xlfn.XLOOKUP(VALINA[[#This Row],[name]],Trans!A:A,Trans!B:B)</f>
        <v>Ust Urt</v>
      </c>
    </row>
    <row r="520" spans="1:17" x14ac:dyDescent="0.25">
      <c r="A520">
        <v>519</v>
      </c>
      <c r="B520" t="s">
        <v>653</v>
      </c>
      <c r="C520" t="s">
        <v>672</v>
      </c>
      <c r="D520" t="s">
        <v>711</v>
      </c>
      <c r="E520" t="s">
        <v>34</v>
      </c>
      <c r="F520" t="s">
        <v>609</v>
      </c>
      <c r="G520" t="s">
        <v>26</v>
      </c>
      <c r="H520" t="s">
        <v>707</v>
      </c>
      <c r="I520" t="s">
        <v>41</v>
      </c>
      <c r="J520" t="s">
        <v>717</v>
      </c>
      <c r="K520">
        <v>8</v>
      </c>
      <c r="L520">
        <v>3</v>
      </c>
      <c r="M520">
        <v>4</v>
      </c>
      <c r="N520">
        <v>0</v>
      </c>
      <c r="O520">
        <f>_xlfn.XLOOKUP(VALINA[[#This Row],[id]],prov_color!A:A,prov_color!C:C)</f>
        <v>79</v>
      </c>
      <c r="P520" t="str">
        <f>_xlfn.XLOOKUP(VALINA[[#This Row],[id]],Table4[id],Table4[name])</f>
        <v>Emba</v>
      </c>
      <c r="Q520" t="str">
        <f>_xlfn.XLOOKUP(VALINA[[#This Row],[name]],Trans!A:A,Trans!B:B)</f>
        <v>Emba</v>
      </c>
    </row>
    <row r="521" spans="1:17" x14ac:dyDescent="0.25">
      <c r="A521">
        <v>520</v>
      </c>
      <c r="B521" t="s">
        <v>653</v>
      </c>
      <c r="C521" t="s">
        <v>672</v>
      </c>
      <c r="D521" t="s">
        <v>711</v>
      </c>
      <c r="E521" t="s">
        <v>52</v>
      </c>
      <c r="F521" t="s">
        <v>609</v>
      </c>
      <c r="G521" t="s">
        <v>47</v>
      </c>
      <c r="H521" t="s">
        <v>707</v>
      </c>
      <c r="I521" t="s">
        <v>41</v>
      </c>
      <c r="J521" t="s">
        <v>718</v>
      </c>
      <c r="K521">
        <v>9</v>
      </c>
      <c r="L521">
        <v>1</v>
      </c>
      <c r="M521">
        <v>2</v>
      </c>
      <c r="N521">
        <v>0</v>
      </c>
      <c r="O521">
        <f>_xlfn.XLOOKUP(VALINA[[#This Row],[id]],prov_color!A:A,prov_color!C:C)</f>
        <v>58</v>
      </c>
      <c r="P521" t="str">
        <f>_xlfn.XLOOKUP(VALINA[[#This Row],[id]],Table4[id],Table4[name])</f>
        <v>Bouzatchi</v>
      </c>
      <c r="Q521" t="str">
        <f>_xlfn.XLOOKUP(VALINA[[#This Row],[name]],Trans!A:A,Trans!B:B)</f>
        <v>Bouzatchi</v>
      </c>
    </row>
    <row r="522" spans="1:17" x14ac:dyDescent="0.25">
      <c r="A522">
        <v>521</v>
      </c>
      <c r="B522" t="s">
        <v>653</v>
      </c>
      <c r="C522" t="s">
        <v>672</v>
      </c>
      <c r="D522" t="s">
        <v>711</v>
      </c>
      <c r="E522" t="s">
        <v>52</v>
      </c>
      <c r="F522" t="s">
        <v>609</v>
      </c>
      <c r="G522" t="s">
        <v>47</v>
      </c>
      <c r="H522" t="s">
        <v>719</v>
      </c>
      <c r="I522" t="s">
        <v>41</v>
      </c>
      <c r="J522" t="s">
        <v>720</v>
      </c>
      <c r="K522">
        <v>8</v>
      </c>
      <c r="L522">
        <v>1</v>
      </c>
      <c r="M522">
        <v>2</v>
      </c>
      <c r="N522">
        <v>0</v>
      </c>
      <c r="O522">
        <f>_xlfn.XLOOKUP(VALINA[[#This Row],[id]],prov_color!A:A,prov_color!C:C)</f>
        <v>63</v>
      </c>
      <c r="P522" t="str">
        <f>_xlfn.XLOOKUP(VALINA[[#This Row],[id]],Table4[id],Table4[name])</f>
        <v>Karabogaz</v>
      </c>
      <c r="Q522" t="str">
        <f>_xlfn.XLOOKUP(VALINA[[#This Row],[name]],Trans!A:A,Trans!B:B)</f>
        <v>Karabogaz</v>
      </c>
    </row>
    <row r="523" spans="1:17" x14ac:dyDescent="0.25">
      <c r="A523">
        <v>522</v>
      </c>
      <c r="B523" t="s">
        <v>653</v>
      </c>
      <c r="C523" t="s">
        <v>672</v>
      </c>
      <c r="D523" t="s">
        <v>711</v>
      </c>
      <c r="E523" t="s">
        <v>52</v>
      </c>
      <c r="F523" t="s">
        <v>609</v>
      </c>
      <c r="G523" t="s">
        <v>47</v>
      </c>
      <c r="H523" t="s">
        <v>719</v>
      </c>
      <c r="I523" t="s">
        <v>41</v>
      </c>
      <c r="J523" t="s">
        <v>721</v>
      </c>
      <c r="K523">
        <v>7</v>
      </c>
      <c r="L523">
        <v>3</v>
      </c>
      <c r="M523">
        <v>3</v>
      </c>
      <c r="N523">
        <v>0</v>
      </c>
      <c r="O523">
        <f>_xlfn.XLOOKUP(VALINA[[#This Row],[id]],prov_color!A:A,prov_color!C:C)</f>
        <v>44</v>
      </c>
      <c r="P523" t="str">
        <f>_xlfn.XLOOKUP(VALINA[[#This Row],[id]],Table4[id],Table4[name])</f>
        <v>Khwarizm</v>
      </c>
      <c r="Q523" t="str">
        <f>_xlfn.XLOOKUP(VALINA[[#This Row],[name]],Trans!A:A,Trans!B:B)</f>
        <v>Khwarizm</v>
      </c>
    </row>
    <row r="524" spans="1:17" x14ac:dyDescent="0.25">
      <c r="A524">
        <v>523</v>
      </c>
      <c r="B524" t="s">
        <v>653</v>
      </c>
      <c r="C524" t="s">
        <v>672</v>
      </c>
      <c r="D524" t="s">
        <v>711</v>
      </c>
      <c r="E524" t="s">
        <v>52</v>
      </c>
      <c r="F524" t="s">
        <v>609</v>
      </c>
      <c r="G524" t="s">
        <v>47</v>
      </c>
      <c r="H524" t="s">
        <v>719</v>
      </c>
      <c r="I524" t="s">
        <v>41</v>
      </c>
      <c r="J524" t="s">
        <v>722</v>
      </c>
      <c r="K524">
        <v>4</v>
      </c>
      <c r="L524">
        <v>3</v>
      </c>
      <c r="M524">
        <v>3</v>
      </c>
      <c r="N524">
        <v>0</v>
      </c>
      <c r="O524">
        <f>_xlfn.XLOOKUP(VALINA[[#This Row],[id]],prov_color!A:A,prov_color!C:C)</f>
        <v>53</v>
      </c>
      <c r="P524" t="str">
        <f>_xlfn.XLOOKUP(VALINA[[#This Row],[id]],Table4[id],Table4[name])</f>
        <v>Kara Kum</v>
      </c>
      <c r="Q524" t="str">
        <f>_xlfn.XLOOKUP(VALINA[[#This Row],[name]],Trans!A:A,Trans!B:B)</f>
        <v>Kara Kum</v>
      </c>
    </row>
    <row r="525" spans="1:17" x14ac:dyDescent="0.25">
      <c r="A525">
        <v>524</v>
      </c>
      <c r="B525" t="s">
        <v>653</v>
      </c>
      <c r="C525" t="s">
        <v>672</v>
      </c>
      <c r="D525" t="s">
        <v>711</v>
      </c>
      <c r="E525" t="s">
        <v>52</v>
      </c>
      <c r="F525" t="s">
        <v>609</v>
      </c>
      <c r="G525" t="s">
        <v>47</v>
      </c>
      <c r="H525" t="s">
        <v>719</v>
      </c>
      <c r="I525" t="s">
        <v>41</v>
      </c>
      <c r="J525" t="s">
        <v>723</v>
      </c>
      <c r="K525">
        <v>4</v>
      </c>
      <c r="L525">
        <v>3</v>
      </c>
      <c r="M525">
        <v>3</v>
      </c>
      <c r="N525">
        <v>0</v>
      </c>
      <c r="O525">
        <f>_xlfn.XLOOKUP(VALINA[[#This Row],[id]],prov_color!A:A,prov_color!C:C)</f>
        <v>30</v>
      </c>
      <c r="P525" t="str">
        <f>_xlfn.XLOOKUP(VALINA[[#This Row],[id]],Table4[id],Table4[name])</f>
        <v>Turkmenistan</v>
      </c>
      <c r="Q525" t="str">
        <f>_xlfn.XLOOKUP(VALINA[[#This Row],[name]],Trans!A:A,Trans!B:B)</f>
        <v>Turkmenistan</v>
      </c>
    </row>
    <row r="526" spans="1:17" x14ac:dyDescent="0.25">
      <c r="A526">
        <v>525</v>
      </c>
      <c r="B526" t="s">
        <v>653</v>
      </c>
      <c r="C526" t="s">
        <v>672</v>
      </c>
      <c r="D526" t="s">
        <v>673</v>
      </c>
      <c r="E526" t="s">
        <v>14</v>
      </c>
      <c r="F526" t="s">
        <v>609</v>
      </c>
      <c r="G526" t="s">
        <v>35</v>
      </c>
      <c r="H526" t="s">
        <v>719</v>
      </c>
      <c r="I526" t="s">
        <v>27</v>
      </c>
      <c r="J526" t="s">
        <v>724</v>
      </c>
      <c r="K526">
        <v>6</v>
      </c>
      <c r="L526">
        <v>6</v>
      </c>
      <c r="M526">
        <v>2</v>
      </c>
      <c r="N526">
        <v>0</v>
      </c>
      <c r="O526">
        <f>_xlfn.XLOOKUP(VALINA[[#This Row],[id]],prov_color!A:A,prov_color!C:C)</f>
        <v>30</v>
      </c>
      <c r="P526" t="str">
        <f>_xlfn.XLOOKUP(VALINA[[#This Row],[id]],Table4[id],Table4[name])</f>
        <v>Elbruz</v>
      </c>
      <c r="Q526" t="str">
        <f>_xlfn.XLOOKUP(VALINA[[#This Row],[name]],Trans!A:A,Trans!B:B)</f>
        <v>Elbruz</v>
      </c>
    </row>
    <row r="527" spans="1:17" x14ac:dyDescent="0.25">
      <c r="A527">
        <v>526</v>
      </c>
      <c r="B527" t="s">
        <v>653</v>
      </c>
      <c r="C527" t="s">
        <v>672</v>
      </c>
      <c r="D527" t="s">
        <v>673</v>
      </c>
      <c r="E527" t="s">
        <v>14</v>
      </c>
      <c r="F527" t="s">
        <v>609</v>
      </c>
      <c r="G527" t="s">
        <v>26</v>
      </c>
      <c r="H527" t="s">
        <v>719</v>
      </c>
      <c r="I527" t="s">
        <v>41</v>
      </c>
      <c r="J527" t="s">
        <v>725</v>
      </c>
      <c r="K527">
        <v>8</v>
      </c>
      <c r="L527">
        <v>7</v>
      </c>
      <c r="M527">
        <v>2</v>
      </c>
      <c r="N527">
        <v>0</v>
      </c>
      <c r="O527">
        <f>_xlfn.XLOOKUP(VALINA[[#This Row],[id]],prov_color!A:A,prov_color!C:C)</f>
        <v>41</v>
      </c>
      <c r="P527" t="str">
        <f>_xlfn.XLOOKUP(VALINA[[#This Row],[id]],Table4[id],Table4[name])</f>
        <v>Meched</v>
      </c>
      <c r="Q527" t="str">
        <f>_xlfn.XLOOKUP(VALINA[[#This Row],[name]],Trans!A:A,Trans!B:B)</f>
        <v>Meched</v>
      </c>
    </row>
    <row r="528" spans="1:17" x14ac:dyDescent="0.25">
      <c r="A528">
        <v>527</v>
      </c>
      <c r="B528" t="s">
        <v>653</v>
      </c>
      <c r="C528" t="s">
        <v>672</v>
      </c>
      <c r="D528" t="s">
        <v>673</v>
      </c>
      <c r="E528" t="s">
        <v>14</v>
      </c>
      <c r="F528" t="s">
        <v>609</v>
      </c>
      <c r="G528" t="s">
        <v>26</v>
      </c>
      <c r="H528" t="s">
        <v>719</v>
      </c>
      <c r="I528" t="s">
        <v>41</v>
      </c>
      <c r="J528" t="s">
        <v>726</v>
      </c>
      <c r="K528">
        <v>8</v>
      </c>
      <c r="L528">
        <v>5</v>
      </c>
      <c r="M528">
        <v>1</v>
      </c>
      <c r="N528">
        <v>0</v>
      </c>
      <c r="O528">
        <f>_xlfn.XLOOKUP(VALINA[[#This Row],[id]],prov_color!A:A,prov_color!C:C)</f>
        <v>34</v>
      </c>
      <c r="P528" t="str">
        <f>_xlfn.XLOOKUP(VALINA[[#This Row],[id]],Table4[id],Table4[name])</f>
        <v>Kerman</v>
      </c>
      <c r="Q528" t="str">
        <f>_xlfn.XLOOKUP(VALINA[[#This Row],[name]],Trans!A:A,Trans!B:B)</f>
        <v>Kerman</v>
      </c>
    </row>
    <row r="529" spans="1:17" x14ac:dyDescent="0.25">
      <c r="A529">
        <v>528</v>
      </c>
      <c r="B529" t="s">
        <v>653</v>
      </c>
      <c r="C529" t="s">
        <v>672</v>
      </c>
      <c r="D529" t="s">
        <v>673</v>
      </c>
      <c r="E529" t="s">
        <v>52</v>
      </c>
      <c r="F529" t="s">
        <v>609</v>
      </c>
      <c r="G529" t="s">
        <v>47</v>
      </c>
      <c r="H529" t="s">
        <v>719</v>
      </c>
      <c r="I529" t="s">
        <v>41</v>
      </c>
      <c r="J529" t="s">
        <v>727</v>
      </c>
      <c r="K529">
        <v>9</v>
      </c>
      <c r="L529">
        <v>2</v>
      </c>
      <c r="M529">
        <v>1</v>
      </c>
      <c r="N529">
        <v>0</v>
      </c>
      <c r="O529">
        <f>_xlfn.XLOOKUP(VALINA[[#This Row],[id]],prov_color!A:A,prov_color!C:C)</f>
        <v>43</v>
      </c>
      <c r="P529" t="str">
        <f>_xlfn.XLOOKUP(VALINA[[#This Row],[id]],Table4[id],Table4[name])</f>
        <v>Lut</v>
      </c>
      <c r="Q529" t="str">
        <f>_xlfn.XLOOKUP(VALINA[[#This Row],[name]],Trans!A:A,Trans!B:B)</f>
        <v>Lut</v>
      </c>
    </row>
    <row r="530" spans="1:17" x14ac:dyDescent="0.25">
      <c r="A530">
        <v>529</v>
      </c>
      <c r="B530" t="s">
        <v>653</v>
      </c>
      <c r="C530" t="s">
        <v>672</v>
      </c>
      <c r="D530" t="s">
        <v>673</v>
      </c>
      <c r="E530" t="s">
        <v>14</v>
      </c>
      <c r="F530" t="s">
        <v>609</v>
      </c>
      <c r="G530" t="s">
        <v>26</v>
      </c>
      <c r="H530" t="s">
        <v>719</v>
      </c>
      <c r="I530" t="s">
        <v>685</v>
      </c>
      <c r="J530" t="s">
        <v>728</v>
      </c>
      <c r="K530">
        <v>8</v>
      </c>
      <c r="L530">
        <v>16</v>
      </c>
      <c r="M530">
        <v>10</v>
      </c>
      <c r="N530">
        <v>0</v>
      </c>
      <c r="O530">
        <f>_xlfn.XLOOKUP(VALINA[[#This Row],[id]],prov_color!A:A,prov_color!C:C)</f>
        <v>43</v>
      </c>
      <c r="P530" t="str">
        <f>_xlfn.XLOOKUP(VALINA[[#This Row],[id]],Table4[id],Table4[name])</f>
        <v>Tabaristan</v>
      </c>
      <c r="Q530" t="str">
        <f>_xlfn.XLOOKUP(VALINA[[#This Row],[name]],Trans!A:A,Trans!B:B)</f>
        <v>Tabaristan</v>
      </c>
    </row>
    <row r="531" spans="1:17" x14ac:dyDescent="0.25">
      <c r="A531">
        <v>530</v>
      </c>
      <c r="B531" t="s">
        <v>653</v>
      </c>
      <c r="C531" t="s">
        <v>672</v>
      </c>
      <c r="D531" t="s">
        <v>673</v>
      </c>
      <c r="E531" t="s">
        <v>14</v>
      </c>
      <c r="F531" t="s">
        <v>609</v>
      </c>
      <c r="G531" t="s">
        <v>35</v>
      </c>
      <c r="H531" t="s">
        <v>719</v>
      </c>
      <c r="I531" t="s">
        <v>685</v>
      </c>
      <c r="J531" t="s">
        <v>729</v>
      </c>
      <c r="K531">
        <v>8</v>
      </c>
      <c r="L531">
        <v>14</v>
      </c>
      <c r="M531">
        <v>8</v>
      </c>
      <c r="N531">
        <v>0</v>
      </c>
      <c r="O531">
        <f>_xlfn.XLOOKUP(VALINA[[#This Row],[id]],prov_color!A:A,prov_color!C:C)</f>
        <v>55</v>
      </c>
      <c r="P531" t="str">
        <f>_xlfn.XLOOKUP(VALINA[[#This Row],[id]],Table4[id],Table4[name])</f>
        <v>Tabriz</v>
      </c>
      <c r="Q531" t="str">
        <f>_xlfn.XLOOKUP(VALINA[[#This Row],[name]],Trans!A:A,Trans!B:B)</f>
        <v>Tabriz</v>
      </c>
    </row>
    <row r="532" spans="1:17" x14ac:dyDescent="0.25">
      <c r="A532">
        <v>531</v>
      </c>
      <c r="B532" t="s">
        <v>653</v>
      </c>
      <c r="C532" t="s">
        <v>672</v>
      </c>
      <c r="D532" t="s">
        <v>673</v>
      </c>
      <c r="E532" t="s">
        <v>14</v>
      </c>
      <c r="F532" t="s">
        <v>609</v>
      </c>
      <c r="G532" t="s">
        <v>26</v>
      </c>
      <c r="H532" t="s">
        <v>719</v>
      </c>
      <c r="I532" t="s">
        <v>352</v>
      </c>
      <c r="J532" t="s">
        <v>730</v>
      </c>
      <c r="K532">
        <v>8</v>
      </c>
      <c r="L532">
        <v>8</v>
      </c>
      <c r="M532">
        <v>5</v>
      </c>
      <c r="N532">
        <v>0</v>
      </c>
      <c r="O532">
        <f>_xlfn.XLOOKUP(VALINA[[#This Row],[id]],prov_color!A:A,prov_color!C:C)</f>
        <v>71</v>
      </c>
      <c r="P532" t="str">
        <f>_xlfn.XLOOKUP(VALINA[[#This Row],[id]],Table4[id],Table4[name])</f>
        <v>Hamadan</v>
      </c>
      <c r="Q532" t="str">
        <f>_xlfn.XLOOKUP(VALINA[[#This Row],[name]],Trans!A:A,Trans!B:B)</f>
        <v>Hamadan</v>
      </c>
    </row>
    <row r="533" spans="1:17" x14ac:dyDescent="0.25">
      <c r="A533">
        <v>532</v>
      </c>
      <c r="B533" t="s">
        <v>653</v>
      </c>
      <c r="C533" t="s">
        <v>672</v>
      </c>
      <c r="D533" t="s">
        <v>673</v>
      </c>
      <c r="E533" t="s">
        <v>52</v>
      </c>
      <c r="F533" t="s">
        <v>609</v>
      </c>
      <c r="G533" t="s">
        <v>47</v>
      </c>
      <c r="H533" t="s">
        <v>719</v>
      </c>
      <c r="I533" t="s">
        <v>43</v>
      </c>
      <c r="J533" t="s">
        <v>731</v>
      </c>
      <c r="K533">
        <v>7</v>
      </c>
      <c r="L533">
        <v>9</v>
      </c>
      <c r="M533">
        <v>6</v>
      </c>
      <c r="N533">
        <v>0</v>
      </c>
      <c r="O533">
        <f>_xlfn.XLOOKUP(VALINA[[#This Row],[id]],prov_color!A:A,prov_color!C:C)</f>
        <v>40</v>
      </c>
      <c r="P533" t="str">
        <f>_xlfn.XLOOKUP(VALINA[[#This Row],[id]],Table4[id],Table4[name])</f>
        <v>Ahwaz</v>
      </c>
      <c r="Q533" t="str">
        <f>_xlfn.XLOOKUP(VALINA[[#This Row],[name]],Trans!A:A,Trans!B:B)</f>
        <v>Awhaz</v>
      </c>
    </row>
    <row r="534" spans="1:17" x14ac:dyDescent="0.25">
      <c r="A534">
        <v>533</v>
      </c>
      <c r="B534" t="s">
        <v>653</v>
      </c>
      <c r="C534" t="s">
        <v>672</v>
      </c>
      <c r="D534" t="s">
        <v>673</v>
      </c>
      <c r="E534" t="s">
        <v>14</v>
      </c>
      <c r="F534" t="s">
        <v>609</v>
      </c>
      <c r="G534" t="s">
        <v>47</v>
      </c>
      <c r="H534" t="s">
        <v>719</v>
      </c>
      <c r="I534" t="s">
        <v>685</v>
      </c>
      <c r="J534" t="s">
        <v>732</v>
      </c>
      <c r="K534">
        <v>9</v>
      </c>
      <c r="L534">
        <v>17</v>
      </c>
      <c r="M534">
        <v>12</v>
      </c>
      <c r="N534">
        <v>0</v>
      </c>
      <c r="O534">
        <f>_xlfn.XLOOKUP(VALINA[[#This Row],[id]],prov_color!A:A,prov_color!C:C)</f>
        <v>37</v>
      </c>
      <c r="P534" t="str">
        <f>_xlfn.XLOOKUP(VALINA[[#This Row],[id]],Table4[id],Table4[name])</f>
        <v>Isfahan</v>
      </c>
      <c r="Q534" t="str">
        <f>_xlfn.XLOOKUP(VALINA[[#This Row],[name]],Trans!A:A,Trans!B:B)</f>
        <v>Isfahan</v>
      </c>
    </row>
    <row r="535" spans="1:17" x14ac:dyDescent="0.25">
      <c r="A535">
        <v>534</v>
      </c>
      <c r="B535" t="s">
        <v>653</v>
      </c>
      <c r="C535" t="s">
        <v>672</v>
      </c>
      <c r="D535" t="s">
        <v>673</v>
      </c>
      <c r="E535" t="s">
        <v>14</v>
      </c>
      <c r="F535" t="s">
        <v>609</v>
      </c>
      <c r="G535" t="s">
        <v>47</v>
      </c>
      <c r="H535" t="s">
        <v>719</v>
      </c>
      <c r="I535" t="s">
        <v>687</v>
      </c>
      <c r="J535" t="s">
        <v>733</v>
      </c>
      <c r="K535">
        <v>9</v>
      </c>
      <c r="L535">
        <v>2</v>
      </c>
      <c r="M535">
        <v>5</v>
      </c>
      <c r="N535">
        <v>0</v>
      </c>
      <c r="O535">
        <f>_xlfn.XLOOKUP(VALINA[[#This Row],[id]],prov_color!A:A,prov_color!C:C)</f>
        <v>46</v>
      </c>
      <c r="P535" t="str">
        <f>_xlfn.XLOOKUP(VALINA[[#This Row],[id]],Table4[id],Table4[name])</f>
        <v>Fars</v>
      </c>
      <c r="Q535" t="str">
        <f>_xlfn.XLOOKUP(VALINA[[#This Row],[name]],Trans!A:A,Trans!B:B)</f>
        <v>Fars</v>
      </c>
    </row>
    <row r="536" spans="1:17" x14ac:dyDescent="0.25">
      <c r="A536">
        <v>535</v>
      </c>
      <c r="B536" t="s">
        <v>653</v>
      </c>
      <c r="C536" t="s">
        <v>672</v>
      </c>
      <c r="D536" t="s">
        <v>673</v>
      </c>
      <c r="E536" t="s">
        <v>14</v>
      </c>
      <c r="F536" t="s">
        <v>609</v>
      </c>
      <c r="G536" t="s">
        <v>26</v>
      </c>
      <c r="H536" t="s">
        <v>719</v>
      </c>
      <c r="I536" t="s">
        <v>685</v>
      </c>
      <c r="J536" t="s">
        <v>734</v>
      </c>
      <c r="K536">
        <v>7</v>
      </c>
      <c r="L536">
        <v>12</v>
      </c>
      <c r="M536">
        <v>7</v>
      </c>
      <c r="N536">
        <v>0</v>
      </c>
      <c r="O536">
        <f>_xlfn.XLOOKUP(VALINA[[#This Row],[id]],prov_color!A:A,prov_color!C:C)</f>
        <v>62</v>
      </c>
      <c r="P536" t="str">
        <f>_xlfn.XLOOKUP(VALINA[[#This Row],[id]],Table4[id],Table4[name])</f>
        <v>Hormouz</v>
      </c>
      <c r="Q536" t="str">
        <f>_xlfn.XLOOKUP(VALINA[[#This Row],[name]],Trans!A:A,Trans!B:B)</f>
        <v>Hormouz</v>
      </c>
    </row>
    <row r="537" spans="1:17" x14ac:dyDescent="0.25">
      <c r="A537">
        <v>536</v>
      </c>
      <c r="B537" t="s">
        <v>653</v>
      </c>
      <c r="C537" t="s">
        <v>672</v>
      </c>
      <c r="D537" t="s">
        <v>735</v>
      </c>
      <c r="E537" t="s">
        <v>14</v>
      </c>
      <c r="F537" t="s">
        <v>609</v>
      </c>
      <c r="G537" t="s">
        <v>26</v>
      </c>
      <c r="H537" t="s">
        <v>736</v>
      </c>
      <c r="I537" t="s">
        <v>41</v>
      </c>
      <c r="J537" t="s">
        <v>737</v>
      </c>
      <c r="K537">
        <v>8</v>
      </c>
      <c r="L537">
        <v>2</v>
      </c>
      <c r="M537">
        <v>6</v>
      </c>
      <c r="N537">
        <v>0</v>
      </c>
      <c r="O537">
        <f>_xlfn.XLOOKUP(VALINA[[#This Row],[id]],prov_color!A:A,prov_color!C:C)</f>
        <v>64</v>
      </c>
      <c r="P537" t="str">
        <f>_xlfn.XLOOKUP(VALINA[[#This Row],[id]],Table4[id],Table4[name])</f>
        <v>Mekran</v>
      </c>
      <c r="Q537" t="str">
        <f>_xlfn.XLOOKUP(VALINA[[#This Row],[name]],Trans!A:A,Trans!B:B)</f>
        <v>Mekran</v>
      </c>
    </row>
    <row r="538" spans="1:17" x14ac:dyDescent="0.25">
      <c r="A538">
        <v>537</v>
      </c>
      <c r="B538" t="s">
        <v>653</v>
      </c>
      <c r="C538" t="s">
        <v>672</v>
      </c>
      <c r="D538" t="s">
        <v>735</v>
      </c>
      <c r="E538" t="s">
        <v>52</v>
      </c>
      <c r="F538" t="s">
        <v>609</v>
      </c>
      <c r="G538" t="s">
        <v>47</v>
      </c>
      <c r="H538" t="s">
        <v>736</v>
      </c>
      <c r="I538" t="s">
        <v>41</v>
      </c>
      <c r="J538" t="s">
        <v>738</v>
      </c>
      <c r="K538">
        <v>9</v>
      </c>
      <c r="L538">
        <v>1</v>
      </c>
      <c r="M538">
        <v>6</v>
      </c>
      <c r="N538">
        <v>0</v>
      </c>
      <c r="O538">
        <f>_xlfn.XLOOKUP(VALINA[[#This Row],[id]],prov_color!A:A,prov_color!C:C)</f>
        <v>50</v>
      </c>
      <c r="P538" t="str">
        <f>_xlfn.XLOOKUP(VALINA[[#This Row],[id]],Table4[id],Table4[name])</f>
        <v>Baluchistan</v>
      </c>
      <c r="Q538" t="str">
        <f>_xlfn.XLOOKUP(VALINA[[#This Row],[name]],Trans!A:A,Trans!B:B)</f>
        <v>Baluchistan</v>
      </c>
    </row>
    <row r="539" spans="1:17" x14ac:dyDescent="0.25">
      <c r="A539">
        <v>538</v>
      </c>
      <c r="B539" t="s">
        <v>653</v>
      </c>
      <c r="C539" t="s">
        <v>672</v>
      </c>
      <c r="D539" t="s">
        <v>735</v>
      </c>
      <c r="E539" t="s">
        <v>52</v>
      </c>
      <c r="F539" t="s">
        <v>609</v>
      </c>
      <c r="G539" t="s">
        <v>47</v>
      </c>
      <c r="H539" t="s">
        <v>736</v>
      </c>
      <c r="I539" t="s">
        <v>103</v>
      </c>
      <c r="J539" t="s">
        <v>739</v>
      </c>
      <c r="K539">
        <v>8</v>
      </c>
      <c r="L539">
        <v>1</v>
      </c>
      <c r="M539">
        <v>2</v>
      </c>
      <c r="N539">
        <v>0</v>
      </c>
      <c r="O539">
        <f>_xlfn.XLOOKUP(VALINA[[#This Row],[id]],prov_color!A:A,prov_color!C:C)</f>
        <v>41</v>
      </c>
      <c r="P539" t="str">
        <f>_xlfn.XLOOKUP(VALINA[[#This Row],[id]],Table4[id],Table4[name])</f>
        <v>Kalat</v>
      </c>
      <c r="Q539" t="str">
        <f>_xlfn.XLOOKUP(VALINA[[#This Row],[name]],Trans!A:A,Trans!B:B)</f>
        <v>Kalat</v>
      </c>
    </row>
    <row r="540" spans="1:17" x14ac:dyDescent="0.25">
      <c r="A540">
        <v>539</v>
      </c>
      <c r="B540" t="s">
        <v>653</v>
      </c>
      <c r="C540" t="s">
        <v>740</v>
      </c>
      <c r="D540" t="s">
        <v>741</v>
      </c>
      <c r="E540" t="s">
        <v>34</v>
      </c>
      <c r="F540" t="s">
        <v>609</v>
      </c>
      <c r="G540" t="s">
        <v>75</v>
      </c>
      <c r="H540" t="s">
        <v>742</v>
      </c>
      <c r="I540" t="s">
        <v>53</v>
      </c>
      <c r="J540" t="s">
        <v>743</v>
      </c>
      <c r="K540">
        <v>7</v>
      </c>
      <c r="L540">
        <v>7</v>
      </c>
      <c r="M540">
        <v>3</v>
      </c>
      <c r="N540">
        <v>0</v>
      </c>
      <c r="O540">
        <f>_xlfn.XLOOKUP(VALINA[[#This Row],[id]],prov_color!A:A,prov_color!C:C)</f>
        <v>48</v>
      </c>
      <c r="P540" t="str">
        <f>_xlfn.XLOOKUP(VALINA[[#This Row],[id]],Table4[id],Table4[name])</f>
        <v>Indus</v>
      </c>
      <c r="Q540" t="str">
        <f>_xlfn.XLOOKUP(VALINA[[#This Row],[name]],Trans!A:A,Trans!B:B)</f>
        <v>Indus</v>
      </c>
    </row>
    <row r="541" spans="1:17" x14ac:dyDescent="0.25">
      <c r="A541">
        <v>540</v>
      </c>
      <c r="B541" t="s">
        <v>653</v>
      </c>
      <c r="C541" t="s">
        <v>740</v>
      </c>
      <c r="D541" t="s">
        <v>741</v>
      </c>
      <c r="E541" t="s">
        <v>52</v>
      </c>
      <c r="F541" t="s">
        <v>609</v>
      </c>
      <c r="G541" t="s">
        <v>75</v>
      </c>
      <c r="H541" t="s">
        <v>742</v>
      </c>
      <c r="I541" t="s">
        <v>53</v>
      </c>
      <c r="J541" t="s">
        <v>744</v>
      </c>
      <c r="K541">
        <v>9</v>
      </c>
      <c r="L541">
        <v>4</v>
      </c>
      <c r="M541">
        <v>2</v>
      </c>
      <c r="N541">
        <v>0</v>
      </c>
      <c r="O541">
        <f>_xlfn.XLOOKUP(VALINA[[#This Row],[id]],prov_color!A:A,prov_color!C:C)</f>
        <v>36</v>
      </c>
      <c r="P541" t="str">
        <f>_xlfn.XLOOKUP(VALINA[[#This Row],[id]],Table4[id],Table4[name])</f>
        <v>Sindh</v>
      </c>
      <c r="Q541" t="str">
        <f>_xlfn.XLOOKUP(VALINA[[#This Row],[name]],Trans!A:A,Trans!B:B)</f>
        <v>Sindh</v>
      </c>
    </row>
    <row r="542" spans="1:17" x14ac:dyDescent="0.25">
      <c r="A542">
        <v>541</v>
      </c>
      <c r="B542" t="s">
        <v>653</v>
      </c>
      <c r="C542" t="s">
        <v>740</v>
      </c>
      <c r="D542" t="s">
        <v>745</v>
      </c>
      <c r="E542" t="s">
        <v>34</v>
      </c>
      <c r="F542" t="s">
        <v>609</v>
      </c>
      <c r="G542" t="s">
        <v>75</v>
      </c>
      <c r="H542" t="s">
        <v>742</v>
      </c>
      <c r="I542" t="s">
        <v>685</v>
      </c>
      <c r="J542" t="s">
        <v>746</v>
      </c>
      <c r="K542">
        <v>6</v>
      </c>
      <c r="L542">
        <v>5</v>
      </c>
      <c r="M542">
        <v>3</v>
      </c>
      <c r="N542">
        <v>0</v>
      </c>
      <c r="O542">
        <f>_xlfn.XLOOKUP(VALINA[[#This Row],[id]],prov_color!A:A,prov_color!C:C)</f>
        <v>40</v>
      </c>
      <c r="P542" t="str">
        <f>_xlfn.XLOOKUP(VALINA[[#This Row],[id]],Table4[id],Table4[name])</f>
        <v>Kutch</v>
      </c>
      <c r="Q542" t="str">
        <f>_xlfn.XLOOKUP(VALINA[[#This Row],[name]],Trans!A:A,Trans!B:B)</f>
        <v>Kutch</v>
      </c>
    </row>
    <row r="543" spans="1:17" x14ac:dyDescent="0.25">
      <c r="A543">
        <v>542</v>
      </c>
      <c r="B543" t="s">
        <v>653</v>
      </c>
      <c r="C543" t="s">
        <v>740</v>
      </c>
      <c r="D543" t="s">
        <v>747</v>
      </c>
      <c r="E543" t="s">
        <v>52</v>
      </c>
      <c r="F543" t="s">
        <v>748</v>
      </c>
      <c r="G543" t="s">
        <v>75</v>
      </c>
      <c r="H543" t="s">
        <v>749</v>
      </c>
      <c r="I543" t="s">
        <v>43</v>
      </c>
      <c r="J543" t="s">
        <v>750</v>
      </c>
      <c r="K543">
        <v>8</v>
      </c>
      <c r="L543">
        <v>12</v>
      </c>
      <c r="M543">
        <v>7</v>
      </c>
      <c r="N543">
        <v>0</v>
      </c>
      <c r="O543">
        <f>_xlfn.XLOOKUP(VALINA[[#This Row],[id]],prov_color!A:A,prov_color!C:C)</f>
        <v>50</v>
      </c>
      <c r="P543" t="str">
        <f>_xlfn.XLOOKUP(VALINA[[#This Row],[id]],Table4[id],Table4[name])</f>
        <v>Rajputana</v>
      </c>
      <c r="Q543" t="str">
        <f>_xlfn.XLOOKUP(VALINA[[#This Row],[name]],Trans!A:A,Trans!B:B)</f>
        <v>Rajputana</v>
      </c>
    </row>
    <row r="544" spans="1:17" x14ac:dyDescent="0.25">
      <c r="A544">
        <v>543</v>
      </c>
      <c r="B544" t="s">
        <v>653</v>
      </c>
      <c r="C544" t="s">
        <v>740</v>
      </c>
      <c r="D544" t="s">
        <v>751</v>
      </c>
      <c r="E544" t="s">
        <v>34</v>
      </c>
      <c r="F544" t="s">
        <v>748</v>
      </c>
      <c r="G544" t="s">
        <v>75</v>
      </c>
      <c r="H544" t="s">
        <v>752</v>
      </c>
      <c r="I544" t="s">
        <v>685</v>
      </c>
      <c r="J544" t="s">
        <v>751</v>
      </c>
      <c r="K544">
        <v>3</v>
      </c>
      <c r="L544">
        <v>19</v>
      </c>
      <c r="M544">
        <v>8</v>
      </c>
      <c r="N544">
        <v>0</v>
      </c>
      <c r="O544">
        <f>_xlfn.XLOOKUP(VALINA[[#This Row],[id]],prov_color!A:A,prov_color!C:C)</f>
        <v>44</v>
      </c>
      <c r="P544" t="str">
        <f>_xlfn.XLOOKUP(VALINA[[#This Row],[id]],Table4[id],Table4[name])</f>
        <v>Delhi</v>
      </c>
      <c r="Q544" t="str">
        <f>_xlfn.XLOOKUP(VALINA[[#This Row],[name]],Trans!A:A,Trans!B:B)</f>
        <v>Delhi</v>
      </c>
    </row>
    <row r="545" spans="1:17" x14ac:dyDescent="0.25">
      <c r="A545">
        <v>544</v>
      </c>
      <c r="B545" t="s">
        <v>653</v>
      </c>
      <c r="C545" t="s">
        <v>740</v>
      </c>
      <c r="D545" t="s">
        <v>751</v>
      </c>
      <c r="E545" t="s">
        <v>80</v>
      </c>
      <c r="F545" t="s">
        <v>748</v>
      </c>
      <c r="G545" t="s">
        <v>75</v>
      </c>
      <c r="H545" t="s">
        <v>752</v>
      </c>
      <c r="I545" t="s">
        <v>352</v>
      </c>
      <c r="J545" t="s">
        <v>753</v>
      </c>
      <c r="K545">
        <v>3</v>
      </c>
      <c r="L545">
        <v>16</v>
      </c>
      <c r="M545">
        <v>6</v>
      </c>
      <c r="N545">
        <v>0</v>
      </c>
      <c r="O545">
        <f>_xlfn.XLOOKUP(VALINA[[#This Row],[id]],prov_color!A:A,prov_color!C:C)</f>
        <v>43</v>
      </c>
      <c r="P545" t="str">
        <f>_xlfn.XLOOKUP(VALINA[[#This Row],[id]],Table4[id],Table4[name])</f>
        <v>Awadh</v>
      </c>
      <c r="Q545" t="str">
        <f>_xlfn.XLOOKUP(VALINA[[#This Row],[name]],Trans!A:A,Trans!B:B)</f>
        <v>Awadh</v>
      </c>
    </row>
    <row r="546" spans="1:17" x14ac:dyDescent="0.25">
      <c r="A546">
        <v>545</v>
      </c>
      <c r="B546" t="s">
        <v>653</v>
      </c>
      <c r="C546" t="s">
        <v>740</v>
      </c>
      <c r="D546" t="s">
        <v>751</v>
      </c>
      <c r="E546" t="s">
        <v>52</v>
      </c>
      <c r="F546" t="s">
        <v>748</v>
      </c>
      <c r="G546" t="s">
        <v>75</v>
      </c>
      <c r="H546" t="s">
        <v>752</v>
      </c>
      <c r="I546" t="s">
        <v>352</v>
      </c>
      <c r="J546" t="s">
        <v>754</v>
      </c>
      <c r="K546">
        <v>7</v>
      </c>
      <c r="L546">
        <v>7</v>
      </c>
      <c r="M546">
        <v>3</v>
      </c>
      <c r="N546">
        <v>0</v>
      </c>
      <c r="O546">
        <f>_xlfn.XLOOKUP(VALINA[[#This Row],[id]],prov_color!A:A,prov_color!C:C)</f>
        <v>37</v>
      </c>
      <c r="P546" t="str">
        <f>_xlfn.XLOOKUP(VALINA[[#This Row],[id]],Table4[id],Table4[name])</f>
        <v>Bundelkhand</v>
      </c>
      <c r="Q546" t="str">
        <f>_xlfn.XLOOKUP(VALINA[[#This Row],[name]],Trans!A:A,Trans!B:B)</f>
        <v>Bundelkhand</v>
      </c>
    </row>
    <row r="547" spans="1:17" x14ac:dyDescent="0.25">
      <c r="A547">
        <v>546</v>
      </c>
      <c r="B547" t="s">
        <v>653</v>
      </c>
      <c r="C547" t="s">
        <v>740</v>
      </c>
      <c r="D547" t="s">
        <v>751</v>
      </c>
      <c r="E547" t="s">
        <v>14</v>
      </c>
      <c r="F547" t="s">
        <v>748</v>
      </c>
      <c r="G547" t="s">
        <v>75</v>
      </c>
      <c r="H547" t="s">
        <v>752</v>
      </c>
      <c r="I547" t="s">
        <v>103</v>
      </c>
      <c r="J547" t="s">
        <v>755</v>
      </c>
      <c r="K547">
        <v>8</v>
      </c>
      <c r="L547">
        <v>12</v>
      </c>
      <c r="M547">
        <v>6</v>
      </c>
      <c r="N547">
        <v>0</v>
      </c>
      <c r="O547">
        <f>_xlfn.XLOOKUP(VALINA[[#This Row],[id]],prov_color!A:A,prov_color!C:C)</f>
        <v>39</v>
      </c>
      <c r="P547" t="str">
        <f>_xlfn.XLOOKUP(VALINA[[#This Row],[id]],Table4[id],Table4[name])</f>
        <v>Malwa</v>
      </c>
      <c r="Q547" t="str">
        <f>_xlfn.XLOOKUP(VALINA[[#This Row],[name]],Trans!A:A,Trans!B:B)</f>
        <v>Malwa</v>
      </c>
    </row>
    <row r="548" spans="1:17" x14ac:dyDescent="0.25">
      <c r="A548">
        <v>547</v>
      </c>
      <c r="B548" t="s">
        <v>653</v>
      </c>
      <c r="C548" t="s">
        <v>740</v>
      </c>
      <c r="D548" t="s">
        <v>745</v>
      </c>
      <c r="E548" t="s">
        <v>52</v>
      </c>
      <c r="F548" t="s">
        <v>748</v>
      </c>
      <c r="G548" t="s">
        <v>75</v>
      </c>
      <c r="H548" t="s">
        <v>742</v>
      </c>
      <c r="I548" t="s">
        <v>687</v>
      </c>
      <c r="J548" t="s">
        <v>745</v>
      </c>
      <c r="K548">
        <v>8</v>
      </c>
      <c r="L548">
        <v>7</v>
      </c>
      <c r="M548">
        <v>4</v>
      </c>
      <c r="N548">
        <v>0</v>
      </c>
      <c r="O548">
        <f>_xlfn.XLOOKUP(VALINA[[#This Row],[id]],prov_color!A:A,prov_color!C:C)</f>
        <v>25</v>
      </c>
      <c r="P548" t="str">
        <f>_xlfn.XLOOKUP(VALINA[[#This Row],[id]],Table4[id],Table4[name])</f>
        <v>Gujarat</v>
      </c>
      <c r="Q548" t="str">
        <f>_xlfn.XLOOKUP(VALINA[[#This Row],[name]],Trans!A:A,Trans!B:B)</f>
        <v>Gujarat</v>
      </c>
    </row>
    <row r="549" spans="1:17" x14ac:dyDescent="0.25">
      <c r="A549">
        <v>548</v>
      </c>
      <c r="B549" t="s">
        <v>653</v>
      </c>
      <c r="C549" t="s">
        <v>740</v>
      </c>
      <c r="D549" t="s">
        <v>745</v>
      </c>
      <c r="E549" t="s">
        <v>34</v>
      </c>
      <c r="F549" t="s">
        <v>748</v>
      </c>
      <c r="G549" t="s">
        <v>75</v>
      </c>
      <c r="H549" t="s">
        <v>756</v>
      </c>
      <c r="I549" t="s">
        <v>685</v>
      </c>
      <c r="J549" t="s">
        <v>757</v>
      </c>
      <c r="K549">
        <v>6</v>
      </c>
      <c r="L549">
        <v>9</v>
      </c>
      <c r="M549">
        <v>3</v>
      </c>
      <c r="N549">
        <v>0</v>
      </c>
      <c r="O549">
        <f>_xlfn.XLOOKUP(VALINA[[#This Row],[id]],prov_color!A:A,prov_color!C:C)</f>
        <v>21</v>
      </c>
      <c r="P549" t="str">
        <f>_xlfn.XLOOKUP(VALINA[[#This Row],[id]],Table4[id],Table4[name])</f>
        <v>Bombay</v>
      </c>
      <c r="Q549" t="str">
        <f>_xlfn.XLOOKUP(VALINA[[#This Row],[name]],Trans!A:A,Trans!B:B)</f>
        <v>Bombay</v>
      </c>
    </row>
    <row r="550" spans="1:17" x14ac:dyDescent="0.25">
      <c r="A550">
        <v>549</v>
      </c>
      <c r="B550" t="s">
        <v>653</v>
      </c>
      <c r="C550" t="s">
        <v>740</v>
      </c>
      <c r="D550" t="s">
        <v>758</v>
      </c>
      <c r="E550" t="s">
        <v>22</v>
      </c>
      <c r="F550" t="s">
        <v>748</v>
      </c>
      <c r="G550" t="s">
        <v>75</v>
      </c>
      <c r="H550" t="s">
        <v>756</v>
      </c>
      <c r="I550" t="s">
        <v>687</v>
      </c>
      <c r="J550" t="s">
        <v>759</v>
      </c>
      <c r="K550">
        <v>5</v>
      </c>
      <c r="L550">
        <v>8</v>
      </c>
      <c r="M550">
        <v>3</v>
      </c>
      <c r="N550">
        <v>0</v>
      </c>
      <c r="O550">
        <f>_xlfn.XLOOKUP(VALINA[[#This Row],[id]],prov_color!A:A,prov_color!C:C)</f>
        <v>28</v>
      </c>
      <c r="P550" t="str">
        <f>_xlfn.XLOOKUP(VALINA[[#This Row],[id]],Table4[id],Table4[name])</f>
        <v>Goa</v>
      </c>
      <c r="Q550" t="str">
        <f>_xlfn.XLOOKUP(VALINA[[#This Row],[name]],Trans!A:A,Trans!B:B)</f>
        <v>Goa</v>
      </c>
    </row>
    <row r="551" spans="1:17" x14ac:dyDescent="0.25">
      <c r="A551">
        <v>550</v>
      </c>
      <c r="B551" t="s">
        <v>653</v>
      </c>
      <c r="C551" t="s">
        <v>740</v>
      </c>
      <c r="D551" t="s">
        <v>760</v>
      </c>
      <c r="E551" t="s">
        <v>14</v>
      </c>
      <c r="F551" t="s">
        <v>748</v>
      </c>
      <c r="G551" t="s">
        <v>75</v>
      </c>
      <c r="H551" t="s">
        <v>756</v>
      </c>
      <c r="I551" t="s">
        <v>687</v>
      </c>
      <c r="J551" t="s">
        <v>761</v>
      </c>
      <c r="K551">
        <v>7</v>
      </c>
      <c r="L551">
        <v>12</v>
      </c>
      <c r="M551">
        <v>7</v>
      </c>
      <c r="N551">
        <v>0</v>
      </c>
      <c r="O551">
        <f>_xlfn.XLOOKUP(VALINA[[#This Row],[id]],prov_color!A:A,prov_color!C:C)</f>
        <v>30</v>
      </c>
      <c r="P551" t="str">
        <f>_xlfn.XLOOKUP(VALINA[[#This Row],[id]],Table4[id],Table4[name])</f>
        <v>Maharashtra</v>
      </c>
      <c r="Q551" t="str">
        <f>_xlfn.XLOOKUP(VALINA[[#This Row],[name]],Trans!A:A,Trans!B:B)</f>
        <v>Maharashtra</v>
      </c>
    </row>
    <row r="552" spans="1:17" x14ac:dyDescent="0.25">
      <c r="A552">
        <v>551</v>
      </c>
      <c r="B552" t="s">
        <v>653</v>
      </c>
      <c r="C552" t="s">
        <v>740</v>
      </c>
      <c r="D552" t="s">
        <v>760</v>
      </c>
      <c r="E552" t="s">
        <v>22</v>
      </c>
      <c r="F552" t="s">
        <v>748</v>
      </c>
      <c r="G552" t="s">
        <v>75</v>
      </c>
      <c r="H552" t="s">
        <v>756</v>
      </c>
      <c r="I552" t="s">
        <v>103</v>
      </c>
      <c r="J552" t="s">
        <v>762</v>
      </c>
      <c r="K552">
        <v>5</v>
      </c>
      <c r="L552">
        <v>8</v>
      </c>
      <c r="M552">
        <v>4</v>
      </c>
      <c r="N552">
        <v>0</v>
      </c>
      <c r="O552">
        <f>_xlfn.XLOOKUP(VALINA[[#This Row],[id]],prov_color!A:A,prov_color!C:C)</f>
        <v>40</v>
      </c>
      <c r="P552" t="str">
        <f>_xlfn.XLOOKUP(VALINA[[#This Row],[id]],Table4[id],Table4[name])</f>
        <v>Khandesh</v>
      </c>
      <c r="Q552" t="str">
        <f>_xlfn.XLOOKUP(VALINA[[#This Row],[name]],Trans!A:A,Trans!B:B)</f>
        <v>Khandesh</v>
      </c>
    </row>
    <row r="553" spans="1:17" x14ac:dyDescent="0.25">
      <c r="A553">
        <v>552</v>
      </c>
      <c r="B553" t="s">
        <v>653</v>
      </c>
      <c r="C553" t="s">
        <v>740</v>
      </c>
      <c r="D553" t="s">
        <v>751</v>
      </c>
      <c r="E553" t="s">
        <v>22</v>
      </c>
      <c r="F553" t="s">
        <v>748</v>
      </c>
      <c r="G553" t="s">
        <v>75</v>
      </c>
      <c r="H553" t="s">
        <v>763</v>
      </c>
      <c r="I553" t="s">
        <v>103</v>
      </c>
      <c r="J553" t="s">
        <v>764</v>
      </c>
      <c r="K553">
        <v>7</v>
      </c>
      <c r="L553">
        <v>8</v>
      </c>
      <c r="M553">
        <v>3</v>
      </c>
      <c r="N553">
        <v>0</v>
      </c>
      <c r="O553">
        <f>_xlfn.XLOOKUP(VALINA[[#This Row],[id]],prov_color!A:A,prov_color!C:C)</f>
        <v>49</v>
      </c>
      <c r="P553" t="str">
        <f>_xlfn.XLOOKUP(VALINA[[#This Row],[id]],Table4[id],Table4[name])</f>
        <v>Gondwana</v>
      </c>
      <c r="Q553" t="str">
        <f>_xlfn.XLOOKUP(VALINA[[#This Row],[name]],Trans!A:A,Trans!B:B)</f>
        <v>Gondwana</v>
      </c>
    </row>
    <row r="554" spans="1:17" x14ac:dyDescent="0.25">
      <c r="A554">
        <v>553</v>
      </c>
      <c r="B554" t="s">
        <v>653</v>
      </c>
      <c r="C554" t="s">
        <v>740</v>
      </c>
      <c r="D554" t="s">
        <v>765</v>
      </c>
      <c r="E554" t="s">
        <v>34</v>
      </c>
      <c r="F554" t="s">
        <v>748</v>
      </c>
      <c r="G554" t="s">
        <v>75</v>
      </c>
      <c r="H554" t="s">
        <v>763</v>
      </c>
      <c r="I554" t="s">
        <v>43</v>
      </c>
      <c r="J554" t="s">
        <v>766</v>
      </c>
      <c r="K554">
        <v>5</v>
      </c>
      <c r="L554">
        <v>5</v>
      </c>
      <c r="M554">
        <v>2</v>
      </c>
      <c r="N554">
        <v>0</v>
      </c>
      <c r="O554">
        <f>_xlfn.XLOOKUP(VALINA[[#This Row],[id]],prov_color!A:A,prov_color!C:C)</f>
        <v>56</v>
      </c>
      <c r="P554" t="str">
        <f>_xlfn.XLOOKUP(VALINA[[#This Row],[id]],Table4[id],Table4[name])</f>
        <v>Raipur</v>
      </c>
      <c r="Q554" t="str">
        <f>_xlfn.XLOOKUP(VALINA[[#This Row],[name]],Trans!A:A,Trans!B:B)</f>
        <v>Raipur</v>
      </c>
    </row>
    <row r="555" spans="1:17" x14ac:dyDescent="0.25">
      <c r="A555">
        <v>554</v>
      </c>
      <c r="B555" t="s">
        <v>653</v>
      </c>
      <c r="C555" t="s">
        <v>740</v>
      </c>
      <c r="D555" t="s">
        <v>767</v>
      </c>
      <c r="E555" t="s">
        <v>34</v>
      </c>
      <c r="F555" t="s">
        <v>748</v>
      </c>
      <c r="G555" t="s">
        <v>75</v>
      </c>
      <c r="H555" t="s">
        <v>768</v>
      </c>
      <c r="I555" t="s">
        <v>43</v>
      </c>
      <c r="J555" t="s">
        <v>769</v>
      </c>
      <c r="K555">
        <v>5</v>
      </c>
      <c r="L555">
        <v>7</v>
      </c>
      <c r="M555">
        <v>2</v>
      </c>
      <c r="N555">
        <v>0</v>
      </c>
      <c r="O555">
        <f>_xlfn.XLOOKUP(VALINA[[#This Row],[id]],prov_color!A:A,prov_color!C:C)</f>
        <v>39</v>
      </c>
      <c r="P555" t="str">
        <f>_xlfn.XLOOKUP(VALINA[[#This Row],[id]],Table4[id],Table4[name])</f>
        <v>Tirhut</v>
      </c>
      <c r="Q555" t="str">
        <f>_xlfn.XLOOKUP(VALINA[[#This Row],[name]],Trans!A:A,Trans!B:B)</f>
        <v>Tirhut</v>
      </c>
    </row>
    <row r="556" spans="1:17" x14ac:dyDescent="0.25">
      <c r="A556">
        <v>555</v>
      </c>
      <c r="B556" t="s">
        <v>653</v>
      </c>
      <c r="C556" t="s">
        <v>740</v>
      </c>
      <c r="D556" t="s">
        <v>767</v>
      </c>
      <c r="E556" t="s">
        <v>34</v>
      </c>
      <c r="F556" t="s">
        <v>748</v>
      </c>
      <c r="G556" t="s">
        <v>75</v>
      </c>
      <c r="H556" t="s">
        <v>770</v>
      </c>
      <c r="I556" t="s">
        <v>103</v>
      </c>
      <c r="J556" t="s">
        <v>771</v>
      </c>
      <c r="K556">
        <v>5</v>
      </c>
      <c r="L556">
        <v>5</v>
      </c>
      <c r="M556">
        <v>1</v>
      </c>
      <c r="N556">
        <v>0</v>
      </c>
      <c r="O556">
        <f>_xlfn.XLOOKUP(VALINA[[#This Row],[id]],prov_color!A:A,prov_color!C:C)</f>
        <v>46</v>
      </c>
      <c r="P556" t="str">
        <f>_xlfn.XLOOKUP(VALINA[[#This Row],[id]],Table4[id],Table4[name])</f>
        <v>Koch</v>
      </c>
      <c r="Q556" t="str">
        <f>_xlfn.XLOOKUP(VALINA[[#This Row],[name]],Trans!A:A,Trans!B:B)</f>
        <v>Koch</v>
      </c>
    </row>
    <row r="557" spans="1:17" x14ac:dyDescent="0.25">
      <c r="A557">
        <v>556</v>
      </c>
      <c r="B557" t="s">
        <v>653</v>
      </c>
      <c r="C557" t="s">
        <v>740</v>
      </c>
      <c r="D557" t="s">
        <v>772</v>
      </c>
      <c r="E557" t="s">
        <v>80</v>
      </c>
      <c r="F557" t="s">
        <v>748</v>
      </c>
      <c r="G557" t="s">
        <v>75</v>
      </c>
      <c r="H557" t="s">
        <v>770</v>
      </c>
      <c r="I557" t="s">
        <v>1612</v>
      </c>
      <c r="J557" t="s">
        <v>773</v>
      </c>
      <c r="K557">
        <v>5</v>
      </c>
      <c r="L557">
        <v>6</v>
      </c>
      <c r="M557">
        <v>2</v>
      </c>
      <c r="N557">
        <v>0</v>
      </c>
      <c r="O557">
        <f>_xlfn.XLOOKUP(VALINA[[#This Row],[id]],prov_color!A:A,prov_color!C:C)</f>
        <v>47</v>
      </c>
      <c r="P557" t="str">
        <f>_xlfn.XLOOKUP(VALINA[[#This Row],[id]],Table4[id],Table4[name])</f>
        <v>Santal</v>
      </c>
      <c r="Q557" t="str">
        <f>_xlfn.XLOOKUP(VALINA[[#This Row],[name]],Trans!A:A,Trans!B:B)</f>
        <v>Santal</v>
      </c>
    </row>
    <row r="558" spans="1:17" x14ac:dyDescent="0.25">
      <c r="A558">
        <v>557</v>
      </c>
      <c r="B558" t="s">
        <v>653</v>
      </c>
      <c r="C558" t="s">
        <v>740</v>
      </c>
      <c r="D558" t="s">
        <v>772</v>
      </c>
      <c r="E558" t="s">
        <v>80</v>
      </c>
      <c r="F558" t="s">
        <v>748</v>
      </c>
      <c r="G558" t="s">
        <v>75</v>
      </c>
      <c r="H558" t="s">
        <v>770</v>
      </c>
      <c r="I558" t="s">
        <v>685</v>
      </c>
      <c r="J558" t="s">
        <v>774</v>
      </c>
      <c r="K558">
        <v>7</v>
      </c>
      <c r="L558">
        <v>5</v>
      </c>
      <c r="M558">
        <v>3</v>
      </c>
      <c r="N558">
        <v>0</v>
      </c>
      <c r="O558">
        <f>_xlfn.XLOOKUP(VALINA[[#This Row],[id]],prov_color!A:A,prov_color!C:C)</f>
        <v>19</v>
      </c>
      <c r="P558" t="str">
        <f>_xlfn.XLOOKUP(VALINA[[#This Row],[id]],Table4[id],Table4[name])</f>
        <v>Ganges</v>
      </c>
      <c r="Q558" t="str">
        <f>_xlfn.XLOOKUP(VALINA[[#This Row],[name]],Trans!A:A,Trans!B:B)</f>
        <v>Ganges</v>
      </c>
    </row>
    <row r="559" spans="1:17" x14ac:dyDescent="0.25">
      <c r="A559">
        <v>558</v>
      </c>
      <c r="B559" t="s">
        <v>653</v>
      </c>
      <c r="C559" t="s">
        <v>740</v>
      </c>
      <c r="D559" t="s">
        <v>772</v>
      </c>
      <c r="E559" t="s">
        <v>80</v>
      </c>
      <c r="F559" t="s">
        <v>748</v>
      </c>
      <c r="G559" t="s">
        <v>75</v>
      </c>
      <c r="H559" t="s">
        <v>770</v>
      </c>
      <c r="I559" t="s">
        <v>687</v>
      </c>
      <c r="J559" t="s">
        <v>775</v>
      </c>
      <c r="K559">
        <v>7</v>
      </c>
      <c r="L559">
        <v>5</v>
      </c>
      <c r="M559">
        <v>4</v>
      </c>
      <c r="N559">
        <v>0</v>
      </c>
      <c r="O559">
        <f>_xlfn.XLOOKUP(VALINA[[#This Row],[id]],prov_color!A:A,prov_color!C:C)</f>
        <v>29</v>
      </c>
      <c r="P559" t="str">
        <f>_xlfn.XLOOKUP(VALINA[[#This Row],[id]],Table4[id],Table4[name])</f>
        <v>Howrah</v>
      </c>
      <c r="Q559" t="str">
        <f>_xlfn.XLOOKUP(VALINA[[#This Row],[name]],Trans!A:A,Trans!B:B)</f>
        <v>Howrah</v>
      </c>
    </row>
    <row r="560" spans="1:17" x14ac:dyDescent="0.25">
      <c r="A560">
        <v>559</v>
      </c>
      <c r="B560" t="s">
        <v>653</v>
      </c>
      <c r="C560" t="s">
        <v>740</v>
      </c>
      <c r="D560" t="s">
        <v>765</v>
      </c>
      <c r="E560" t="s">
        <v>34</v>
      </c>
      <c r="F560" t="s">
        <v>748</v>
      </c>
      <c r="G560" t="s">
        <v>75</v>
      </c>
      <c r="H560" t="s">
        <v>770</v>
      </c>
      <c r="I560" t="s">
        <v>776</v>
      </c>
      <c r="J560" t="s">
        <v>777</v>
      </c>
      <c r="K560">
        <v>5</v>
      </c>
      <c r="L560">
        <v>11</v>
      </c>
      <c r="M560">
        <v>5</v>
      </c>
      <c r="N560">
        <v>0</v>
      </c>
      <c r="O560">
        <f>_xlfn.XLOOKUP(VALINA[[#This Row],[id]],prov_color!A:A,prov_color!C:C)</f>
        <v>36</v>
      </c>
      <c r="P560" t="str">
        <f>_xlfn.XLOOKUP(VALINA[[#This Row],[id]],Table4[id],Table4[name])</f>
        <v>Bihar</v>
      </c>
      <c r="Q560" t="str">
        <f>_xlfn.XLOOKUP(VALINA[[#This Row],[name]],Trans!A:A,Trans!B:B)</f>
        <v>Bihar</v>
      </c>
    </row>
    <row r="561" spans="1:17" x14ac:dyDescent="0.25">
      <c r="A561">
        <v>560</v>
      </c>
      <c r="B561" t="s">
        <v>653</v>
      </c>
      <c r="C561" t="s">
        <v>740</v>
      </c>
      <c r="D561" t="s">
        <v>778</v>
      </c>
      <c r="E561" t="s">
        <v>34</v>
      </c>
      <c r="F561" t="s">
        <v>748</v>
      </c>
      <c r="G561" t="s">
        <v>75</v>
      </c>
      <c r="H561" t="s">
        <v>770</v>
      </c>
      <c r="I561" t="s">
        <v>103</v>
      </c>
      <c r="J561" t="s">
        <v>779</v>
      </c>
      <c r="K561">
        <v>5</v>
      </c>
      <c r="L561">
        <v>8</v>
      </c>
      <c r="M561">
        <v>5</v>
      </c>
      <c r="N561">
        <v>0</v>
      </c>
      <c r="O561">
        <f>_xlfn.XLOOKUP(VALINA[[#This Row],[id]],prov_color!A:A,prov_color!C:C)</f>
        <v>26</v>
      </c>
      <c r="P561" t="str">
        <f>_xlfn.XLOOKUP(VALINA[[#This Row],[id]],Table4[id],Table4[name])</f>
        <v>Odisa</v>
      </c>
      <c r="Q561" t="str">
        <f>_xlfn.XLOOKUP(VALINA[[#This Row],[name]],Trans!A:A,Trans!B:B)</f>
        <v>Odisa</v>
      </c>
    </row>
    <row r="562" spans="1:17" x14ac:dyDescent="0.25">
      <c r="A562">
        <v>561</v>
      </c>
      <c r="B562" t="s">
        <v>653</v>
      </c>
      <c r="C562" t="s">
        <v>740</v>
      </c>
      <c r="D562" t="s">
        <v>778</v>
      </c>
      <c r="E562" t="s">
        <v>22</v>
      </c>
      <c r="F562" t="s">
        <v>748</v>
      </c>
      <c r="G562" t="s">
        <v>75</v>
      </c>
      <c r="H562" t="s">
        <v>770</v>
      </c>
      <c r="I562" t="s">
        <v>776</v>
      </c>
      <c r="J562" t="s">
        <v>780</v>
      </c>
      <c r="K562">
        <v>6</v>
      </c>
      <c r="L562">
        <v>9</v>
      </c>
      <c r="M562">
        <v>3</v>
      </c>
      <c r="N562">
        <v>0</v>
      </c>
      <c r="O562">
        <f>_xlfn.XLOOKUP(VALINA[[#This Row],[id]],prov_color!A:A,prov_color!C:C)</f>
        <v>26</v>
      </c>
      <c r="P562" t="str">
        <f>_xlfn.XLOOKUP(VALINA[[#This Row],[id]],Table4[id],Table4[name])</f>
        <v>Berhampur</v>
      </c>
      <c r="Q562" t="str">
        <f>_xlfn.XLOOKUP(VALINA[[#This Row],[name]],Trans!A:A,Trans!B:B)</f>
        <v>Berhampur</v>
      </c>
    </row>
    <row r="563" spans="1:17" x14ac:dyDescent="0.25">
      <c r="A563">
        <v>562</v>
      </c>
      <c r="B563" t="s">
        <v>653</v>
      </c>
      <c r="C563" t="s">
        <v>740</v>
      </c>
      <c r="D563" t="s">
        <v>765</v>
      </c>
      <c r="E563" t="s">
        <v>14</v>
      </c>
      <c r="F563" t="s">
        <v>748</v>
      </c>
      <c r="G563" t="s">
        <v>75</v>
      </c>
      <c r="H563" t="s">
        <v>770</v>
      </c>
      <c r="I563" t="s">
        <v>776</v>
      </c>
      <c r="J563" t="s">
        <v>781</v>
      </c>
      <c r="K563">
        <v>5</v>
      </c>
      <c r="L563">
        <v>5</v>
      </c>
      <c r="M563">
        <v>2</v>
      </c>
      <c r="N563">
        <v>0</v>
      </c>
      <c r="O563">
        <f>_xlfn.XLOOKUP(VALINA[[#This Row],[id]],prov_color!A:A,prov_color!C:C)</f>
        <v>40</v>
      </c>
      <c r="P563" t="str">
        <f>_xlfn.XLOOKUP(VALINA[[#This Row],[id]],Table4[id],Table4[name])</f>
        <v>Sambalpur</v>
      </c>
      <c r="Q563" t="str">
        <f>_xlfn.XLOOKUP(VALINA[[#This Row],[name]],Trans!A:A,Trans!B:B)</f>
        <v>Sambalpur</v>
      </c>
    </row>
    <row r="564" spans="1:17" x14ac:dyDescent="0.25">
      <c r="A564">
        <v>563</v>
      </c>
      <c r="B564" t="s">
        <v>653</v>
      </c>
      <c r="C564" t="s">
        <v>740</v>
      </c>
      <c r="D564" t="s">
        <v>765</v>
      </c>
      <c r="E564" t="s">
        <v>14</v>
      </c>
      <c r="F564" t="s">
        <v>748</v>
      </c>
      <c r="G564" t="s">
        <v>75</v>
      </c>
      <c r="H564" t="s">
        <v>782</v>
      </c>
      <c r="I564" t="s">
        <v>212</v>
      </c>
      <c r="J564" t="s">
        <v>783</v>
      </c>
      <c r="K564">
        <v>6</v>
      </c>
      <c r="L564">
        <v>5</v>
      </c>
      <c r="M564">
        <v>2</v>
      </c>
      <c r="N564">
        <v>0</v>
      </c>
      <c r="O564">
        <f>_xlfn.XLOOKUP(VALINA[[#This Row],[id]],prov_color!A:A,prov_color!C:C)</f>
        <v>40</v>
      </c>
      <c r="P564" t="str">
        <f>_xlfn.XLOOKUP(VALINA[[#This Row],[id]],Table4[id],Table4[name])</f>
        <v>Bastar</v>
      </c>
      <c r="Q564" t="str">
        <f>_xlfn.XLOOKUP(VALINA[[#This Row],[name]],Trans!A:A,Trans!B:B)</f>
        <v>Bastar</v>
      </c>
    </row>
    <row r="565" spans="1:17" x14ac:dyDescent="0.25">
      <c r="A565">
        <v>564</v>
      </c>
      <c r="B565" t="s">
        <v>653</v>
      </c>
      <c r="C565" t="s">
        <v>740</v>
      </c>
      <c r="D565" t="s">
        <v>778</v>
      </c>
      <c r="E565" t="s">
        <v>22</v>
      </c>
      <c r="F565" t="s">
        <v>748</v>
      </c>
      <c r="G565" t="s">
        <v>75</v>
      </c>
      <c r="H565" t="s">
        <v>782</v>
      </c>
      <c r="I565" t="s">
        <v>687</v>
      </c>
      <c r="J565" t="s">
        <v>784</v>
      </c>
      <c r="K565">
        <v>6</v>
      </c>
      <c r="L565">
        <v>9</v>
      </c>
      <c r="M565">
        <v>3</v>
      </c>
      <c r="N565">
        <v>0</v>
      </c>
      <c r="O565">
        <f>_xlfn.XLOOKUP(VALINA[[#This Row],[id]],prov_color!A:A,prov_color!C:C)</f>
        <v>28</v>
      </c>
      <c r="P565" t="str">
        <f>_xlfn.XLOOKUP(VALINA[[#This Row],[id]],Table4[id],Table4[name])</f>
        <v>Palakimedi</v>
      </c>
      <c r="Q565" t="str">
        <f>_xlfn.XLOOKUP(VALINA[[#This Row],[name]],Trans!A:A,Trans!B:B)</f>
        <v>Palakimedi</v>
      </c>
    </row>
    <row r="566" spans="1:17" x14ac:dyDescent="0.25">
      <c r="A566">
        <v>565</v>
      </c>
      <c r="B566" t="s">
        <v>653</v>
      </c>
      <c r="C566" t="s">
        <v>740</v>
      </c>
      <c r="D566" t="s">
        <v>778</v>
      </c>
      <c r="E566" t="s">
        <v>22</v>
      </c>
      <c r="F566" t="s">
        <v>748</v>
      </c>
      <c r="G566" t="s">
        <v>75</v>
      </c>
      <c r="H566" t="s">
        <v>782</v>
      </c>
      <c r="I566" t="s">
        <v>685</v>
      </c>
      <c r="J566" t="s">
        <v>785</v>
      </c>
      <c r="K566">
        <v>5</v>
      </c>
      <c r="L566">
        <v>6</v>
      </c>
      <c r="M566">
        <v>3</v>
      </c>
      <c r="N566">
        <v>0</v>
      </c>
      <c r="O566">
        <f>_xlfn.XLOOKUP(VALINA[[#This Row],[id]],prov_color!A:A,prov_color!C:C)</f>
        <v>31</v>
      </c>
      <c r="P566" t="str">
        <f>_xlfn.XLOOKUP(VALINA[[#This Row],[id]],Table4[id],Table4[name])</f>
        <v>Yanam</v>
      </c>
      <c r="Q566" t="str">
        <f>_xlfn.XLOOKUP(VALINA[[#This Row],[name]],Trans!A:A,Trans!B:B)</f>
        <v>Yanam</v>
      </c>
    </row>
    <row r="567" spans="1:17" x14ac:dyDescent="0.25">
      <c r="A567">
        <v>566</v>
      </c>
      <c r="B567" t="s">
        <v>653</v>
      </c>
      <c r="C567" t="s">
        <v>740</v>
      </c>
      <c r="D567" t="s">
        <v>760</v>
      </c>
      <c r="E567" t="s">
        <v>14</v>
      </c>
      <c r="F567" t="s">
        <v>748</v>
      </c>
      <c r="G567" t="s">
        <v>75</v>
      </c>
      <c r="H567" t="s">
        <v>756</v>
      </c>
      <c r="I567" t="s">
        <v>103</v>
      </c>
      <c r="J567" t="s">
        <v>760</v>
      </c>
      <c r="K567">
        <v>6</v>
      </c>
      <c r="L567">
        <v>14</v>
      </c>
      <c r="M567">
        <v>8</v>
      </c>
      <c r="N567">
        <v>0</v>
      </c>
      <c r="O567">
        <f>_xlfn.XLOOKUP(VALINA[[#This Row],[id]],prov_color!A:A,prov_color!C:C)</f>
        <v>34</v>
      </c>
      <c r="P567" t="str">
        <f>_xlfn.XLOOKUP(VALINA[[#This Row],[id]],Table4[id],Table4[name])</f>
        <v>Hyderabad</v>
      </c>
      <c r="Q567" t="str">
        <f>_xlfn.XLOOKUP(VALINA[[#This Row],[name]],Trans!A:A,Trans!B:B)</f>
        <v>Hyderabad</v>
      </c>
    </row>
    <row r="568" spans="1:17" x14ac:dyDescent="0.25">
      <c r="A568">
        <v>567</v>
      </c>
      <c r="B568" t="s">
        <v>653</v>
      </c>
      <c r="C568" t="s">
        <v>740</v>
      </c>
      <c r="D568" t="s">
        <v>786</v>
      </c>
      <c r="E568" t="s">
        <v>14</v>
      </c>
      <c r="F568" t="s">
        <v>748</v>
      </c>
      <c r="G568" t="s">
        <v>75</v>
      </c>
      <c r="H568" t="s">
        <v>787</v>
      </c>
      <c r="I568" t="s">
        <v>41</v>
      </c>
      <c r="J568" t="s">
        <v>788</v>
      </c>
      <c r="K568">
        <v>7</v>
      </c>
      <c r="L568">
        <v>9</v>
      </c>
      <c r="M568">
        <v>5</v>
      </c>
      <c r="N568">
        <v>0</v>
      </c>
      <c r="O568">
        <f>_xlfn.XLOOKUP(VALINA[[#This Row],[id]],prov_color!A:A,prov_color!C:C)</f>
        <v>35</v>
      </c>
      <c r="P568" t="str">
        <f>_xlfn.XLOOKUP(VALINA[[#This Row],[id]],Table4[id],Table4[name])</f>
        <v>Bangalore</v>
      </c>
      <c r="Q568" t="str">
        <f>_xlfn.XLOOKUP(VALINA[[#This Row],[name]],Trans!A:A,Trans!B:B)</f>
        <v>Bangalore</v>
      </c>
    </row>
    <row r="569" spans="1:17" x14ac:dyDescent="0.25">
      <c r="A569">
        <v>568</v>
      </c>
      <c r="B569" t="s">
        <v>653</v>
      </c>
      <c r="C569" t="s">
        <v>740</v>
      </c>
      <c r="D569" t="s">
        <v>758</v>
      </c>
      <c r="E569" t="s">
        <v>22</v>
      </c>
      <c r="F569" t="s">
        <v>748</v>
      </c>
      <c r="G569" t="s">
        <v>75</v>
      </c>
      <c r="H569" t="s">
        <v>787</v>
      </c>
      <c r="I569" t="s">
        <v>27</v>
      </c>
      <c r="J569" t="s">
        <v>789</v>
      </c>
      <c r="K569">
        <v>5</v>
      </c>
      <c r="L569">
        <v>6</v>
      </c>
      <c r="M569">
        <v>4</v>
      </c>
      <c r="N569">
        <v>0</v>
      </c>
      <c r="O569">
        <f>_xlfn.XLOOKUP(VALINA[[#This Row],[id]],prov_color!A:A,prov_color!C:C)</f>
        <v>25</v>
      </c>
      <c r="P569" t="str">
        <f>_xlfn.XLOOKUP(VALINA[[#This Row],[id]],Table4[id],Table4[name])</f>
        <v>Mangalore</v>
      </c>
      <c r="Q569" t="str">
        <f>_xlfn.XLOOKUP(VALINA[[#This Row],[name]],Trans!A:A,Trans!B:B)</f>
        <v>Mangalore</v>
      </c>
    </row>
    <row r="570" spans="1:17" x14ac:dyDescent="0.25">
      <c r="A570">
        <v>569</v>
      </c>
      <c r="B570" t="s">
        <v>653</v>
      </c>
      <c r="C570" t="s">
        <v>740</v>
      </c>
      <c r="D570" t="s">
        <v>758</v>
      </c>
      <c r="E570" t="s">
        <v>22</v>
      </c>
      <c r="F570" t="s">
        <v>748</v>
      </c>
      <c r="G570" t="s">
        <v>75</v>
      </c>
      <c r="H570" t="s">
        <v>787</v>
      </c>
      <c r="I570" t="s">
        <v>27</v>
      </c>
      <c r="J570" t="s">
        <v>790</v>
      </c>
      <c r="K570">
        <v>6</v>
      </c>
      <c r="L570">
        <v>7</v>
      </c>
      <c r="M570">
        <v>5</v>
      </c>
      <c r="N570">
        <v>0</v>
      </c>
      <c r="O570">
        <f>_xlfn.XLOOKUP(VALINA[[#This Row],[id]],prov_color!A:A,prov_color!C:C)</f>
        <v>19</v>
      </c>
      <c r="P570" t="str">
        <f>_xlfn.XLOOKUP(VALINA[[#This Row],[id]],Table4[id],Table4[name])</f>
        <v>Kerala</v>
      </c>
      <c r="Q570" t="str">
        <f>_xlfn.XLOOKUP(VALINA[[#This Row],[name]],Trans!A:A,Trans!B:B)</f>
        <v>Kerala</v>
      </c>
    </row>
    <row r="571" spans="1:17" x14ac:dyDescent="0.25">
      <c r="A571">
        <v>570</v>
      </c>
      <c r="B571" t="s">
        <v>653</v>
      </c>
      <c r="C571" t="s">
        <v>740</v>
      </c>
      <c r="D571" t="s">
        <v>786</v>
      </c>
      <c r="E571" t="s">
        <v>14</v>
      </c>
      <c r="F571" t="s">
        <v>748</v>
      </c>
      <c r="G571" t="s">
        <v>75</v>
      </c>
      <c r="H571" t="s">
        <v>787</v>
      </c>
      <c r="I571" t="s">
        <v>141</v>
      </c>
      <c r="J571" t="s">
        <v>786</v>
      </c>
      <c r="K571">
        <v>7</v>
      </c>
      <c r="L571">
        <v>15</v>
      </c>
      <c r="M571">
        <v>7</v>
      </c>
      <c r="N571">
        <v>0</v>
      </c>
      <c r="O571">
        <f>_xlfn.XLOOKUP(VALINA[[#This Row],[id]],prov_color!A:A,prov_color!C:C)</f>
        <v>32</v>
      </c>
      <c r="P571" t="str">
        <f>_xlfn.XLOOKUP(VALINA[[#This Row],[id]],Table4[id],Table4[name])</f>
        <v>Mysore</v>
      </c>
      <c r="Q571" t="str">
        <f>_xlfn.XLOOKUP(VALINA[[#This Row],[name]],Trans!A:A,Trans!B:B)</f>
        <v>Mysore</v>
      </c>
    </row>
    <row r="572" spans="1:17" x14ac:dyDescent="0.25">
      <c r="A572">
        <v>571</v>
      </c>
      <c r="B572" t="s">
        <v>653</v>
      </c>
      <c r="C572" t="s">
        <v>740</v>
      </c>
      <c r="D572" t="s">
        <v>791</v>
      </c>
      <c r="E572" t="s">
        <v>22</v>
      </c>
      <c r="F572" t="s">
        <v>748</v>
      </c>
      <c r="G572" t="s">
        <v>75</v>
      </c>
      <c r="H572" t="s">
        <v>787</v>
      </c>
      <c r="I572" t="s">
        <v>687</v>
      </c>
      <c r="J572" t="s">
        <v>792</v>
      </c>
      <c r="K572">
        <v>5</v>
      </c>
      <c r="L572">
        <v>8</v>
      </c>
      <c r="M572">
        <v>4</v>
      </c>
      <c r="N572">
        <v>0</v>
      </c>
      <c r="O572">
        <f>_xlfn.XLOOKUP(VALINA[[#This Row],[id]],prov_color!A:A,prov_color!C:C)</f>
        <v>27</v>
      </c>
      <c r="P572" t="str">
        <f>_xlfn.XLOOKUP(VALINA[[#This Row],[id]],Table4[id],Table4[name])</f>
        <v>Madras</v>
      </c>
      <c r="Q572" t="str">
        <f>_xlfn.XLOOKUP(VALINA[[#This Row],[name]],Trans!A:A,Trans!B:B)</f>
        <v>Madras</v>
      </c>
    </row>
    <row r="573" spans="1:17" x14ac:dyDescent="0.25">
      <c r="A573">
        <v>572</v>
      </c>
      <c r="B573" t="s">
        <v>653</v>
      </c>
      <c r="C573" t="s">
        <v>740</v>
      </c>
      <c r="D573" t="s">
        <v>791</v>
      </c>
      <c r="E573" t="s">
        <v>22</v>
      </c>
      <c r="F573" t="s">
        <v>748</v>
      </c>
      <c r="G573" t="s">
        <v>75</v>
      </c>
      <c r="H573" t="s">
        <v>793</v>
      </c>
      <c r="I573" t="s">
        <v>687</v>
      </c>
      <c r="J573" t="s">
        <v>794</v>
      </c>
      <c r="K573">
        <v>6</v>
      </c>
      <c r="L573">
        <v>7</v>
      </c>
      <c r="M573">
        <v>5</v>
      </c>
      <c r="N573">
        <v>0</v>
      </c>
      <c r="O573">
        <f>_xlfn.XLOOKUP(VALINA[[#This Row],[id]],prov_color!A:A,prov_color!C:C)</f>
        <v>27</v>
      </c>
      <c r="P573" t="str">
        <f>_xlfn.XLOOKUP(VALINA[[#This Row],[id]],Table4[id],Table4[name])</f>
        <v>Pondicherry</v>
      </c>
      <c r="Q573" t="str">
        <f>_xlfn.XLOOKUP(VALINA[[#This Row],[name]],Trans!A:A,Trans!B:B)</f>
        <v>Pondicherry</v>
      </c>
    </row>
    <row r="574" spans="1:17" x14ac:dyDescent="0.25">
      <c r="A574">
        <v>573</v>
      </c>
      <c r="B574" t="s">
        <v>653</v>
      </c>
      <c r="C574" t="s">
        <v>740</v>
      </c>
      <c r="D574" t="s">
        <v>758</v>
      </c>
      <c r="E574" t="s">
        <v>22</v>
      </c>
      <c r="F574" t="s">
        <v>748</v>
      </c>
      <c r="G574" t="s">
        <v>75</v>
      </c>
      <c r="H574" t="s">
        <v>793</v>
      </c>
      <c r="I574" t="s">
        <v>685</v>
      </c>
      <c r="J574" t="s">
        <v>795</v>
      </c>
      <c r="K574">
        <v>6</v>
      </c>
      <c r="L574">
        <v>5</v>
      </c>
      <c r="M574">
        <v>5</v>
      </c>
      <c r="N574">
        <v>0</v>
      </c>
      <c r="O574">
        <f>_xlfn.XLOOKUP(VALINA[[#This Row],[id]],prov_color!A:A,prov_color!C:C)</f>
        <v>25</v>
      </c>
      <c r="P574" t="str">
        <f>_xlfn.XLOOKUP(VALINA[[#This Row],[id]],Table4[id],Table4[name])</f>
        <v>Cochin</v>
      </c>
      <c r="Q574" t="str">
        <f>_xlfn.XLOOKUP(VALINA[[#This Row],[name]],Trans!A:A,Trans!B:B)</f>
        <v>Cochin</v>
      </c>
    </row>
    <row r="575" spans="1:17" x14ac:dyDescent="0.25">
      <c r="A575">
        <v>574</v>
      </c>
      <c r="B575" t="s">
        <v>653</v>
      </c>
      <c r="C575" t="s">
        <v>740</v>
      </c>
      <c r="D575" t="s">
        <v>758</v>
      </c>
      <c r="E575" t="s">
        <v>22</v>
      </c>
      <c r="F575" t="s">
        <v>748</v>
      </c>
      <c r="G575" t="s">
        <v>75</v>
      </c>
      <c r="H575" t="s">
        <v>793</v>
      </c>
      <c r="I575" t="s">
        <v>687</v>
      </c>
      <c r="J575" t="s">
        <v>796</v>
      </c>
      <c r="K575">
        <v>7</v>
      </c>
      <c r="L575">
        <v>6</v>
      </c>
      <c r="M575">
        <v>4</v>
      </c>
      <c r="N575">
        <v>0</v>
      </c>
      <c r="O575">
        <f>_xlfn.XLOOKUP(VALINA[[#This Row],[id]],prov_color!A:A,prov_color!C:C)</f>
        <v>23</v>
      </c>
      <c r="P575" t="str">
        <f>_xlfn.XLOOKUP(VALINA[[#This Row],[id]],Table4[id],Table4[name])</f>
        <v>Trivandrum</v>
      </c>
      <c r="Q575" t="str">
        <f>_xlfn.XLOOKUP(VALINA[[#This Row],[name]],Trans!A:A,Trans!B:B)</f>
        <v>Trivandrum</v>
      </c>
    </row>
    <row r="576" spans="1:17" x14ac:dyDescent="0.25">
      <c r="A576">
        <v>575</v>
      </c>
      <c r="B576" t="s">
        <v>653</v>
      </c>
      <c r="C576" t="s">
        <v>740</v>
      </c>
      <c r="D576" t="s">
        <v>791</v>
      </c>
      <c r="E576" t="s">
        <v>22</v>
      </c>
      <c r="F576" t="s">
        <v>748</v>
      </c>
      <c r="G576" t="s">
        <v>75</v>
      </c>
      <c r="H576" t="s">
        <v>793</v>
      </c>
      <c r="I576" t="s">
        <v>1612</v>
      </c>
      <c r="J576" t="s">
        <v>797</v>
      </c>
      <c r="K576">
        <v>7</v>
      </c>
      <c r="L576">
        <v>7</v>
      </c>
      <c r="M576">
        <v>4</v>
      </c>
      <c r="N576">
        <v>0</v>
      </c>
      <c r="O576">
        <f>_xlfn.XLOOKUP(VALINA[[#This Row],[id]],prov_color!A:A,prov_color!C:C)</f>
        <v>25</v>
      </c>
      <c r="P576" t="str">
        <f>_xlfn.XLOOKUP(VALINA[[#This Row],[id]],Table4[id],Table4[name])</f>
        <v>Madurai</v>
      </c>
      <c r="Q576" t="str">
        <f>_xlfn.XLOOKUP(VALINA[[#This Row],[name]],Trans!A:A,Trans!B:B)</f>
        <v>Madurai</v>
      </c>
    </row>
    <row r="577" spans="1:17" x14ac:dyDescent="0.25">
      <c r="A577">
        <v>576</v>
      </c>
      <c r="B577" t="s">
        <v>653</v>
      </c>
      <c r="C577" t="s">
        <v>740</v>
      </c>
      <c r="D577" t="s">
        <v>798</v>
      </c>
      <c r="E577" t="s">
        <v>14</v>
      </c>
      <c r="F577" t="s">
        <v>799</v>
      </c>
      <c r="G577" t="s">
        <v>75</v>
      </c>
      <c r="H577" t="s">
        <v>793</v>
      </c>
      <c r="I577" t="s">
        <v>73</v>
      </c>
      <c r="J577" t="s">
        <v>800</v>
      </c>
      <c r="K577">
        <v>8</v>
      </c>
      <c r="L577">
        <v>9</v>
      </c>
      <c r="M577">
        <v>3</v>
      </c>
      <c r="N577">
        <v>0</v>
      </c>
      <c r="O577">
        <f>_xlfn.XLOOKUP(VALINA[[#This Row],[id]],prov_color!A:A,prov_color!C:C)</f>
        <v>19</v>
      </c>
      <c r="P577" t="str">
        <f>_xlfn.XLOOKUP(VALINA[[#This Row],[id]],Table4[id],Table4[name])</f>
        <v>Colombo</v>
      </c>
      <c r="Q577" t="str">
        <f>_xlfn.XLOOKUP(VALINA[[#This Row],[name]],Trans!A:A,Trans!B:B)</f>
        <v>Colombo</v>
      </c>
    </row>
    <row r="578" spans="1:17" x14ac:dyDescent="0.25">
      <c r="A578">
        <v>577</v>
      </c>
      <c r="B578" t="s">
        <v>653</v>
      </c>
      <c r="C578" t="s">
        <v>740</v>
      </c>
      <c r="D578" t="s">
        <v>798</v>
      </c>
      <c r="E578" t="s">
        <v>80</v>
      </c>
      <c r="F578" t="s">
        <v>799</v>
      </c>
      <c r="G578" t="s">
        <v>75</v>
      </c>
      <c r="H578" t="s">
        <v>793</v>
      </c>
      <c r="I578" t="s">
        <v>687</v>
      </c>
      <c r="J578" t="s">
        <v>801</v>
      </c>
      <c r="K578">
        <v>7</v>
      </c>
      <c r="L578">
        <v>5</v>
      </c>
      <c r="M578">
        <v>2</v>
      </c>
      <c r="N578">
        <v>0</v>
      </c>
      <c r="O578">
        <f>_xlfn.XLOOKUP(VALINA[[#This Row],[id]],prov_color!A:A,prov_color!C:C)</f>
        <v>15</v>
      </c>
      <c r="P578" t="str">
        <f>_xlfn.XLOOKUP(VALINA[[#This Row],[id]],Table4[id],Table4[name])</f>
        <v>Jaffna</v>
      </c>
      <c r="Q578" t="str">
        <f>_xlfn.XLOOKUP(VALINA[[#This Row],[name]],Trans!A:A,Trans!B:B)</f>
        <v>Jaffna</v>
      </c>
    </row>
    <row r="579" spans="1:17" x14ac:dyDescent="0.25">
      <c r="A579">
        <v>578</v>
      </c>
      <c r="B579" t="s">
        <v>653</v>
      </c>
      <c r="C579" t="s">
        <v>701</v>
      </c>
      <c r="D579" t="s">
        <v>702</v>
      </c>
      <c r="E579" t="s">
        <v>34</v>
      </c>
      <c r="F579" t="s">
        <v>15</v>
      </c>
      <c r="G579" t="s">
        <v>122</v>
      </c>
      <c r="H579" t="s">
        <v>703</v>
      </c>
      <c r="I579" t="s">
        <v>43</v>
      </c>
      <c r="J579" t="s">
        <v>802</v>
      </c>
      <c r="K579">
        <v>5</v>
      </c>
      <c r="L579">
        <v>3</v>
      </c>
      <c r="M579">
        <v>1</v>
      </c>
      <c r="N579">
        <v>0</v>
      </c>
      <c r="O579">
        <f>_xlfn.XLOOKUP(VALINA[[#This Row],[id]],prov_color!A:A,prov_color!C:C)</f>
        <v>44</v>
      </c>
      <c r="P579" t="str">
        <f>_xlfn.XLOOKUP(VALINA[[#This Row],[id]],Table4[id],Table4[name])</f>
        <v>Ichim</v>
      </c>
      <c r="Q579" t="str">
        <f>_xlfn.XLOOKUP(VALINA[[#This Row],[name]],Trans!A:A,Trans!B:B)</f>
        <v>Ichim</v>
      </c>
    </row>
    <row r="580" spans="1:17" x14ac:dyDescent="0.25">
      <c r="A580">
        <v>579</v>
      </c>
      <c r="B580" t="s">
        <v>653</v>
      </c>
      <c r="C580" t="s">
        <v>701</v>
      </c>
      <c r="D580" t="s">
        <v>803</v>
      </c>
      <c r="E580" t="s">
        <v>34</v>
      </c>
      <c r="F580" t="s">
        <v>15</v>
      </c>
      <c r="G580" t="s">
        <v>26</v>
      </c>
      <c r="H580" t="s">
        <v>714</v>
      </c>
      <c r="I580" t="s">
        <v>141</v>
      </c>
      <c r="J580" t="s">
        <v>804</v>
      </c>
      <c r="K580">
        <v>3</v>
      </c>
      <c r="L580">
        <v>3</v>
      </c>
      <c r="M580">
        <v>1</v>
      </c>
      <c r="N580">
        <v>0</v>
      </c>
      <c r="O580">
        <f>_xlfn.XLOOKUP(VALINA[[#This Row],[id]],prov_color!A:A,prov_color!C:C)</f>
        <v>32</v>
      </c>
      <c r="P580" t="str">
        <f>_xlfn.XLOOKUP(VALINA[[#This Row],[id]],Table4[id],Table4[name])</f>
        <v>Karaganda</v>
      </c>
      <c r="Q580" t="str">
        <f>_xlfn.XLOOKUP(VALINA[[#This Row],[name]],Trans!A:A,Trans!B:B)</f>
        <v>Karaganda</v>
      </c>
    </row>
    <row r="581" spans="1:17" x14ac:dyDescent="0.25">
      <c r="A581">
        <v>580</v>
      </c>
      <c r="B581" t="s">
        <v>653</v>
      </c>
      <c r="C581" t="s">
        <v>701</v>
      </c>
      <c r="D581" t="s">
        <v>803</v>
      </c>
      <c r="E581" t="s">
        <v>34</v>
      </c>
      <c r="F581" t="s">
        <v>15</v>
      </c>
      <c r="G581" t="s">
        <v>122</v>
      </c>
      <c r="H581" t="s">
        <v>714</v>
      </c>
      <c r="I581" t="s">
        <v>43</v>
      </c>
      <c r="J581" t="s">
        <v>803</v>
      </c>
      <c r="K581">
        <v>4</v>
      </c>
      <c r="L581">
        <v>5</v>
      </c>
      <c r="M581">
        <v>1</v>
      </c>
      <c r="N581">
        <v>0</v>
      </c>
      <c r="O581">
        <f>_xlfn.XLOOKUP(VALINA[[#This Row],[id]],prov_color!A:A,prov_color!C:C)</f>
        <v>40</v>
      </c>
      <c r="P581" t="str">
        <f>_xlfn.XLOOKUP(VALINA[[#This Row],[id]],Table4[id],Table4[name])</f>
        <v>Omsk</v>
      </c>
      <c r="Q581" t="str">
        <f>_xlfn.XLOOKUP(VALINA[[#This Row],[name]],Trans!A:A,Trans!B:B)</f>
        <v>Omsk</v>
      </c>
    </row>
    <row r="582" spans="1:17" x14ac:dyDescent="0.25">
      <c r="A582">
        <v>581</v>
      </c>
      <c r="B582" t="s">
        <v>653</v>
      </c>
      <c r="C582" t="s">
        <v>701</v>
      </c>
      <c r="D582" t="s">
        <v>803</v>
      </c>
      <c r="E582" t="s">
        <v>22</v>
      </c>
      <c r="F582" t="s">
        <v>15</v>
      </c>
      <c r="G582" t="s">
        <v>122</v>
      </c>
      <c r="H582" t="s">
        <v>703</v>
      </c>
      <c r="I582" t="s">
        <v>20</v>
      </c>
      <c r="J582" t="s">
        <v>805</v>
      </c>
      <c r="K582">
        <v>4</v>
      </c>
      <c r="L582">
        <v>3</v>
      </c>
      <c r="M582">
        <v>1</v>
      </c>
      <c r="N582">
        <v>0</v>
      </c>
      <c r="O582">
        <f>_xlfn.XLOOKUP(VALINA[[#This Row],[id]],prov_color!A:A,prov_color!C:C)</f>
        <v>48</v>
      </c>
      <c r="P582" t="str">
        <f>_xlfn.XLOOKUP(VALINA[[#This Row],[id]],Table4[id],Table4[name])</f>
        <v>Tchany</v>
      </c>
      <c r="Q582" t="str">
        <f>_xlfn.XLOOKUP(VALINA[[#This Row],[name]],Trans!A:A,Trans!B:B)</f>
        <v>Tchany</v>
      </c>
    </row>
    <row r="583" spans="1:17" x14ac:dyDescent="0.25">
      <c r="A583">
        <v>582</v>
      </c>
      <c r="B583" t="s">
        <v>653</v>
      </c>
      <c r="C583" t="s">
        <v>701</v>
      </c>
      <c r="D583" t="s">
        <v>803</v>
      </c>
      <c r="E583" t="s">
        <v>34</v>
      </c>
      <c r="F583" t="s">
        <v>15</v>
      </c>
      <c r="G583" t="s">
        <v>122</v>
      </c>
      <c r="H583" t="s">
        <v>714</v>
      </c>
      <c r="I583" t="s">
        <v>212</v>
      </c>
      <c r="J583" t="s">
        <v>806</v>
      </c>
      <c r="K583">
        <v>3</v>
      </c>
      <c r="L583">
        <v>4</v>
      </c>
      <c r="M583">
        <v>1</v>
      </c>
      <c r="N583">
        <v>0</v>
      </c>
      <c r="O583">
        <f>_xlfn.XLOOKUP(VALINA[[#This Row],[id]],prov_color!A:A,prov_color!C:C)</f>
        <v>29</v>
      </c>
      <c r="P583" t="str">
        <f>_xlfn.XLOOKUP(VALINA[[#This Row],[id]],Table4[id],Table4[name])</f>
        <v>Semipalatinsk</v>
      </c>
      <c r="Q583" t="str">
        <f>_xlfn.XLOOKUP(VALINA[[#This Row],[name]],Trans!A:A,Trans!B:B)</f>
        <v>Semipalatinsk</v>
      </c>
    </row>
    <row r="584" spans="1:17" x14ac:dyDescent="0.25">
      <c r="A584">
        <v>583</v>
      </c>
      <c r="B584" t="s">
        <v>653</v>
      </c>
      <c r="C584" t="s">
        <v>701</v>
      </c>
      <c r="D584" t="s">
        <v>803</v>
      </c>
      <c r="E584" t="s">
        <v>22</v>
      </c>
      <c r="F584" t="s">
        <v>15</v>
      </c>
      <c r="G584" t="s">
        <v>122</v>
      </c>
      <c r="H584" t="s">
        <v>703</v>
      </c>
      <c r="I584" t="s">
        <v>20</v>
      </c>
      <c r="J584" t="s">
        <v>807</v>
      </c>
      <c r="K584">
        <v>4</v>
      </c>
      <c r="L584">
        <v>3</v>
      </c>
      <c r="M584">
        <v>1</v>
      </c>
      <c r="N584">
        <v>0</v>
      </c>
      <c r="O584">
        <f>_xlfn.XLOOKUP(VALINA[[#This Row],[id]],prov_color!A:A,prov_color!C:C)</f>
        <v>66</v>
      </c>
      <c r="P584" t="str">
        <f>_xlfn.XLOOKUP(VALINA[[#This Row],[id]],Table4[id],Table4[name])</f>
        <v>Irtych</v>
      </c>
      <c r="Q584" t="str">
        <f>_xlfn.XLOOKUP(VALINA[[#This Row],[name]],Trans!A:A,Trans!B:B)</f>
        <v>Irtych</v>
      </c>
    </row>
    <row r="585" spans="1:17" x14ac:dyDescent="0.25">
      <c r="A585">
        <v>584</v>
      </c>
      <c r="B585" t="s">
        <v>653</v>
      </c>
      <c r="C585" t="s">
        <v>701</v>
      </c>
      <c r="D585" t="s">
        <v>803</v>
      </c>
      <c r="E585" t="s">
        <v>34</v>
      </c>
      <c r="F585" t="s">
        <v>15</v>
      </c>
      <c r="G585" t="s">
        <v>122</v>
      </c>
      <c r="H585" t="s">
        <v>714</v>
      </c>
      <c r="I585" t="s">
        <v>43</v>
      </c>
      <c r="J585" t="s">
        <v>808</v>
      </c>
      <c r="K585">
        <v>3</v>
      </c>
      <c r="L585">
        <v>3</v>
      </c>
      <c r="M585">
        <v>1</v>
      </c>
      <c r="N585">
        <v>0</v>
      </c>
      <c r="O585">
        <f>_xlfn.XLOOKUP(VALINA[[#This Row],[id]],prov_color!A:A,prov_color!C:C)</f>
        <v>86</v>
      </c>
      <c r="P585" t="str">
        <f>_xlfn.XLOOKUP(VALINA[[#This Row],[id]],Table4[id],Table4[name])</f>
        <v>Novosibirsk</v>
      </c>
      <c r="Q585" t="str">
        <f>_xlfn.XLOOKUP(VALINA[[#This Row],[name]],Trans!A:A,Trans!B:B)</f>
        <v>Novosibirsk</v>
      </c>
    </row>
    <row r="586" spans="1:17" x14ac:dyDescent="0.25">
      <c r="A586">
        <v>585</v>
      </c>
      <c r="B586" t="s">
        <v>653</v>
      </c>
      <c r="C586" t="s">
        <v>701</v>
      </c>
      <c r="D586" t="s">
        <v>803</v>
      </c>
      <c r="E586" t="s">
        <v>34</v>
      </c>
      <c r="F586" t="s">
        <v>15</v>
      </c>
      <c r="G586" t="s">
        <v>122</v>
      </c>
      <c r="H586" t="s">
        <v>703</v>
      </c>
      <c r="I586" t="s">
        <v>41</v>
      </c>
      <c r="J586" t="s">
        <v>809</v>
      </c>
      <c r="K586">
        <v>4</v>
      </c>
      <c r="L586">
        <v>2</v>
      </c>
      <c r="M586">
        <v>1</v>
      </c>
      <c r="N586">
        <v>0</v>
      </c>
      <c r="O586">
        <f>_xlfn.XLOOKUP(VALINA[[#This Row],[id]],prov_color!A:A,prov_color!C:C)</f>
        <v>85</v>
      </c>
      <c r="P586" t="str">
        <f>_xlfn.XLOOKUP(VALINA[[#This Row],[id]],Table4[id],Table4[name])</f>
        <v>Altai</v>
      </c>
      <c r="Q586" t="str">
        <f>_xlfn.XLOOKUP(VALINA[[#This Row],[name]],Trans!A:A,Trans!B:B)</f>
        <v>Altai</v>
      </c>
    </row>
    <row r="587" spans="1:17" x14ac:dyDescent="0.25">
      <c r="A587">
        <v>586</v>
      </c>
      <c r="B587" t="s">
        <v>653</v>
      </c>
      <c r="C587" t="s">
        <v>701</v>
      </c>
      <c r="D587" t="s">
        <v>803</v>
      </c>
      <c r="E587" t="s">
        <v>22</v>
      </c>
      <c r="F587" t="s">
        <v>15</v>
      </c>
      <c r="G587" t="s">
        <v>122</v>
      </c>
      <c r="H587" t="s">
        <v>703</v>
      </c>
      <c r="I587" t="s">
        <v>20</v>
      </c>
      <c r="J587" t="s">
        <v>810</v>
      </c>
      <c r="K587">
        <v>4</v>
      </c>
      <c r="L587">
        <v>2</v>
      </c>
      <c r="M587">
        <v>1</v>
      </c>
      <c r="N587">
        <v>0</v>
      </c>
      <c r="O587">
        <f>_xlfn.XLOOKUP(VALINA[[#This Row],[id]],prov_color!A:A,prov_color!C:C)</f>
        <v>63</v>
      </c>
      <c r="P587" t="str">
        <f>_xlfn.XLOOKUP(VALINA[[#This Row],[id]],Table4[id],Table4[name])</f>
        <v>Demianka</v>
      </c>
      <c r="Q587" t="str">
        <f>_xlfn.XLOOKUP(VALINA[[#This Row],[name]],Trans!A:A,Trans!B:B)</f>
        <v>Demianka</v>
      </c>
    </row>
    <row r="588" spans="1:17" x14ac:dyDescent="0.25">
      <c r="A588">
        <v>587</v>
      </c>
      <c r="B588" t="s">
        <v>653</v>
      </c>
      <c r="C588" t="s">
        <v>701</v>
      </c>
      <c r="D588" t="s">
        <v>803</v>
      </c>
      <c r="E588" t="s">
        <v>34</v>
      </c>
      <c r="F588" t="s">
        <v>15</v>
      </c>
      <c r="G588" t="s">
        <v>26</v>
      </c>
      <c r="H588" t="s">
        <v>703</v>
      </c>
      <c r="I588" t="s">
        <v>41</v>
      </c>
      <c r="J588" t="s">
        <v>811</v>
      </c>
      <c r="K588">
        <v>4</v>
      </c>
      <c r="L588">
        <v>3</v>
      </c>
      <c r="M588">
        <v>1</v>
      </c>
      <c r="N588">
        <v>0</v>
      </c>
      <c r="O588">
        <f>_xlfn.XLOOKUP(VALINA[[#This Row],[id]],prov_color!A:A,prov_color!C:C)</f>
        <v>111</v>
      </c>
      <c r="P588" t="str">
        <f>_xlfn.XLOOKUP(VALINA[[#This Row],[id]],Table4[id],Table4[name])</f>
        <v>Barabinsk</v>
      </c>
      <c r="Q588" t="str">
        <f>_xlfn.XLOOKUP(VALINA[[#This Row],[name]],Trans!A:A,Trans!B:B)</f>
        <v>Barabinsk</v>
      </c>
    </row>
    <row r="589" spans="1:17" x14ac:dyDescent="0.25">
      <c r="A589">
        <v>588</v>
      </c>
      <c r="B589" t="s">
        <v>653</v>
      </c>
      <c r="C589" t="s">
        <v>701</v>
      </c>
      <c r="D589" t="s">
        <v>803</v>
      </c>
      <c r="E589" t="s">
        <v>22</v>
      </c>
      <c r="F589" t="s">
        <v>15</v>
      </c>
      <c r="G589" t="s">
        <v>122</v>
      </c>
      <c r="H589" t="s">
        <v>703</v>
      </c>
      <c r="I589" t="s">
        <v>20</v>
      </c>
      <c r="J589" t="s">
        <v>812</v>
      </c>
      <c r="K589">
        <v>4</v>
      </c>
      <c r="L589">
        <v>3</v>
      </c>
      <c r="M589">
        <v>1</v>
      </c>
      <c r="N589">
        <v>0</v>
      </c>
      <c r="O589">
        <f>_xlfn.XLOOKUP(VALINA[[#This Row],[id]],prov_color!A:A,prov_color!C:C)</f>
        <v>108</v>
      </c>
      <c r="P589" t="str">
        <f>_xlfn.XLOOKUP(VALINA[[#This Row],[id]],Table4[id],Table4[name])</f>
        <v>Ob</v>
      </c>
      <c r="Q589" t="str">
        <f>_xlfn.XLOOKUP(VALINA[[#This Row],[name]],Trans!A:A,Trans!B:B)</f>
        <v>Ob</v>
      </c>
    </row>
    <row r="590" spans="1:17" x14ac:dyDescent="0.25">
      <c r="A590">
        <v>589</v>
      </c>
      <c r="B590" t="s">
        <v>653</v>
      </c>
      <c r="C590" t="s">
        <v>701</v>
      </c>
      <c r="D590" t="s">
        <v>803</v>
      </c>
      <c r="E590" t="s">
        <v>22</v>
      </c>
      <c r="F590" t="s">
        <v>15</v>
      </c>
      <c r="G590" t="s">
        <v>122</v>
      </c>
      <c r="H590" t="s">
        <v>703</v>
      </c>
      <c r="I590" t="s">
        <v>20</v>
      </c>
      <c r="J590" t="s">
        <v>813</v>
      </c>
      <c r="K590">
        <v>4</v>
      </c>
      <c r="L590">
        <v>4</v>
      </c>
      <c r="M590">
        <v>1</v>
      </c>
      <c r="N590">
        <v>0</v>
      </c>
      <c r="O590">
        <f>_xlfn.XLOOKUP(VALINA[[#This Row],[id]],prov_color!A:A,prov_color!C:C)</f>
        <v>101</v>
      </c>
      <c r="P590" t="str">
        <f>_xlfn.XLOOKUP(VALINA[[#This Row],[id]],Table4[id],Table4[name])</f>
        <v>Tomsk</v>
      </c>
      <c r="Q590" t="str">
        <f>_xlfn.XLOOKUP(VALINA[[#This Row],[name]],Trans!A:A,Trans!B:B)</f>
        <v>Tomsk</v>
      </c>
    </row>
    <row r="591" spans="1:17" x14ac:dyDescent="0.25">
      <c r="A591">
        <v>590</v>
      </c>
      <c r="B591" t="s">
        <v>653</v>
      </c>
      <c r="C591" t="s">
        <v>701</v>
      </c>
      <c r="D591" t="s">
        <v>814</v>
      </c>
      <c r="E591" t="s">
        <v>22</v>
      </c>
      <c r="F591" t="s">
        <v>15</v>
      </c>
      <c r="G591" t="s">
        <v>122</v>
      </c>
      <c r="H591" t="s">
        <v>703</v>
      </c>
      <c r="I591" t="s">
        <v>18</v>
      </c>
      <c r="J591" t="s">
        <v>815</v>
      </c>
      <c r="K591">
        <v>5</v>
      </c>
      <c r="L591">
        <v>2</v>
      </c>
      <c r="M591">
        <v>1</v>
      </c>
      <c r="N591">
        <v>0</v>
      </c>
      <c r="O591">
        <f>_xlfn.XLOOKUP(VALINA[[#This Row],[id]],prov_color!A:A,prov_color!C:C)</f>
        <v>89</v>
      </c>
      <c r="P591" t="str">
        <f>_xlfn.XLOOKUP(VALINA[[#This Row],[id]],Table4[id],Table4[name])</f>
        <v>Angara</v>
      </c>
      <c r="Q591" t="str">
        <f>_xlfn.XLOOKUP(VALINA[[#This Row],[name]],Trans!A:A,Trans!B:B)</f>
        <v>Angara</v>
      </c>
    </row>
    <row r="592" spans="1:17" x14ac:dyDescent="0.25">
      <c r="A592">
        <v>591</v>
      </c>
      <c r="B592" t="s">
        <v>653</v>
      </c>
      <c r="C592" t="s">
        <v>701</v>
      </c>
      <c r="D592" t="s">
        <v>814</v>
      </c>
      <c r="E592" t="s">
        <v>34</v>
      </c>
      <c r="F592" t="s">
        <v>15</v>
      </c>
      <c r="G592" t="s">
        <v>122</v>
      </c>
      <c r="H592" t="s">
        <v>703</v>
      </c>
      <c r="I592" t="s">
        <v>20</v>
      </c>
      <c r="J592" t="s">
        <v>816</v>
      </c>
      <c r="K592">
        <v>4</v>
      </c>
      <c r="L592">
        <v>5</v>
      </c>
      <c r="M592">
        <v>1</v>
      </c>
      <c r="N592">
        <v>0</v>
      </c>
      <c r="O592">
        <f>_xlfn.XLOOKUP(VALINA[[#This Row],[id]],prov_color!A:A,prov_color!C:C)</f>
        <v>79</v>
      </c>
      <c r="P592" t="str">
        <f>_xlfn.XLOOKUP(VALINA[[#This Row],[id]],Table4[id],Table4[name])</f>
        <v>Krasnoyarsk</v>
      </c>
      <c r="Q592" t="str">
        <f>_xlfn.XLOOKUP(VALINA[[#This Row],[name]],Trans!A:A,Trans!B:B)</f>
        <v>Krasnoyarsk</v>
      </c>
    </row>
    <row r="593" spans="1:17" x14ac:dyDescent="0.25">
      <c r="A593">
        <v>592</v>
      </c>
      <c r="B593" t="s">
        <v>653</v>
      </c>
      <c r="C593" t="s">
        <v>701</v>
      </c>
      <c r="D593" t="s">
        <v>814</v>
      </c>
      <c r="E593" t="s">
        <v>34</v>
      </c>
      <c r="F593" t="s">
        <v>15</v>
      </c>
      <c r="G593" t="s">
        <v>122</v>
      </c>
      <c r="H593" t="s">
        <v>703</v>
      </c>
      <c r="I593" t="s">
        <v>20</v>
      </c>
      <c r="J593" t="s">
        <v>817</v>
      </c>
      <c r="K593">
        <v>4</v>
      </c>
      <c r="L593">
        <v>2</v>
      </c>
      <c r="M593">
        <v>1</v>
      </c>
      <c r="N593">
        <v>0</v>
      </c>
      <c r="O593">
        <f>_xlfn.XLOOKUP(VALINA[[#This Row],[id]],prov_color!A:A,prov_color!C:C)</f>
        <v>66</v>
      </c>
      <c r="P593" t="str">
        <f>_xlfn.XLOOKUP(VALINA[[#This Row],[id]],Table4[id],Table4[name])</f>
        <v>Balakhta</v>
      </c>
      <c r="Q593" t="str">
        <f>_xlfn.XLOOKUP(VALINA[[#This Row],[name]],Trans!A:A,Trans!B:B)</f>
        <v>Balakhta</v>
      </c>
    </row>
    <row r="594" spans="1:17" x14ac:dyDescent="0.25">
      <c r="A594">
        <v>593</v>
      </c>
      <c r="B594" t="s">
        <v>653</v>
      </c>
      <c r="C594" t="s">
        <v>701</v>
      </c>
      <c r="D594" t="s">
        <v>814</v>
      </c>
      <c r="E594" t="s">
        <v>22</v>
      </c>
      <c r="F594" t="s">
        <v>15</v>
      </c>
      <c r="G594" t="s">
        <v>122</v>
      </c>
      <c r="H594" t="s">
        <v>703</v>
      </c>
      <c r="I594" t="s">
        <v>20</v>
      </c>
      <c r="J594" t="s">
        <v>818</v>
      </c>
      <c r="K594">
        <v>5</v>
      </c>
      <c r="L594">
        <v>2</v>
      </c>
      <c r="M594">
        <v>1</v>
      </c>
      <c r="N594">
        <v>0</v>
      </c>
      <c r="O594">
        <f>_xlfn.XLOOKUP(VALINA[[#This Row],[id]],prov_color!A:A,prov_color!C:C)</f>
        <v>68</v>
      </c>
      <c r="P594" t="str">
        <f>_xlfn.XLOOKUP(VALINA[[#This Row],[id]],Table4[id],Table4[name])</f>
        <v>Tchuma</v>
      </c>
      <c r="Q594" t="str">
        <f>_xlfn.XLOOKUP(VALINA[[#This Row],[name]],Trans!A:A,Trans!B:B)</f>
        <v>Tchuma</v>
      </c>
    </row>
    <row r="595" spans="1:17" x14ac:dyDescent="0.25">
      <c r="A595">
        <v>594</v>
      </c>
      <c r="B595" t="s">
        <v>653</v>
      </c>
      <c r="C595" t="s">
        <v>701</v>
      </c>
      <c r="D595" t="s">
        <v>814</v>
      </c>
      <c r="E595" t="s">
        <v>34</v>
      </c>
      <c r="F595" t="s">
        <v>15</v>
      </c>
      <c r="G595" t="s">
        <v>122</v>
      </c>
      <c r="H595" t="s">
        <v>703</v>
      </c>
      <c r="I595" t="s">
        <v>20</v>
      </c>
      <c r="J595" t="s">
        <v>819</v>
      </c>
      <c r="K595">
        <v>4</v>
      </c>
      <c r="L595">
        <v>2</v>
      </c>
      <c r="M595">
        <v>1</v>
      </c>
      <c r="N595">
        <v>0</v>
      </c>
      <c r="O595">
        <f>_xlfn.XLOOKUP(VALINA[[#This Row],[id]],prov_color!A:A,prov_color!C:C)</f>
        <v>87</v>
      </c>
      <c r="P595" t="str">
        <f>_xlfn.XLOOKUP(VALINA[[#This Row],[id]],Table4[id],Table4[name])</f>
        <v>Bratsk</v>
      </c>
      <c r="Q595" t="str">
        <f>_xlfn.XLOOKUP(VALINA[[#This Row],[name]],Trans!A:A,Trans!B:B)</f>
        <v>Bratsk</v>
      </c>
    </row>
    <row r="596" spans="1:17" x14ac:dyDescent="0.25">
      <c r="A596">
        <v>595</v>
      </c>
      <c r="B596" t="s">
        <v>653</v>
      </c>
      <c r="C596" t="s">
        <v>701</v>
      </c>
      <c r="D596" t="s">
        <v>820</v>
      </c>
      <c r="E596" t="s">
        <v>34</v>
      </c>
      <c r="F596" t="s">
        <v>15</v>
      </c>
      <c r="G596" t="s">
        <v>122</v>
      </c>
      <c r="H596" t="s">
        <v>821</v>
      </c>
      <c r="I596" t="s">
        <v>20</v>
      </c>
      <c r="J596" t="s">
        <v>822</v>
      </c>
      <c r="K596">
        <v>6</v>
      </c>
      <c r="L596">
        <v>2</v>
      </c>
      <c r="M596">
        <v>1</v>
      </c>
      <c r="N596">
        <v>0</v>
      </c>
      <c r="O596">
        <f>_xlfn.XLOOKUP(VALINA[[#This Row],[id]],prov_color!A:A,prov_color!C:C)</f>
        <v>75</v>
      </c>
      <c r="P596" t="str">
        <f>_xlfn.XLOOKUP(VALINA[[#This Row],[id]],Table4[id],Table4[name])</f>
        <v>Oka</v>
      </c>
      <c r="Q596" t="str">
        <f>_xlfn.XLOOKUP(VALINA[[#This Row],[name]],Trans!A:A,Trans!B:B)</f>
        <v>Oka</v>
      </c>
    </row>
    <row r="597" spans="1:17" x14ac:dyDescent="0.25">
      <c r="A597">
        <v>596</v>
      </c>
      <c r="B597" t="s">
        <v>653</v>
      </c>
      <c r="C597" t="s">
        <v>701</v>
      </c>
      <c r="D597" t="s">
        <v>814</v>
      </c>
      <c r="E597" t="s">
        <v>14</v>
      </c>
      <c r="F597" t="s">
        <v>15</v>
      </c>
      <c r="G597" t="s">
        <v>122</v>
      </c>
      <c r="H597" t="s">
        <v>703</v>
      </c>
      <c r="I597" t="s">
        <v>20</v>
      </c>
      <c r="J597" t="s">
        <v>823</v>
      </c>
      <c r="K597">
        <v>6</v>
      </c>
      <c r="L597">
        <v>3</v>
      </c>
      <c r="M597">
        <v>1</v>
      </c>
      <c r="N597">
        <v>0</v>
      </c>
      <c r="O597">
        <f>_xlfn.XLOOKUP(VALINA[[#This Row],[id]],prov_color!A:A,prov_color!C:C)</f>
        <v>86</v>
      </c>
      <c r="P597" t="str">
        <f>_xlfn.XLOOKUP(VALINA[[#This Row],[id]],Table4[id],Table4[name])</f>
        <v>Touva</v>
      </c>
      <c r="Q597" t="str">
        <f>_xlfn.XLOOKUP(VALINA[[#This Row],[name]],Trans!A:A,Trans!B:B)</f>
        <v>Touva</v>
      </c>
    </row>
    <row r="598" spans="1:17" x14ac:dyDescent="0.25">
      <c r="A598">
        <v>597</v>
      </c>
      <c r="B598" t="s">
        <v>653</v>
      </c>
      <c r="C598" t="s">
        <v>701</v>
      </c>
      <c r="D598" t="s">
        <v>820</v>
      </c>
      <c r="E598" t="s">
        <v>14</v>
      </c>
      <c r="F598" t="s">
        <v>15</v>
      </c>
      <c r="G598" t="s">
        <v>122</v>
      </c>
      <c r="H598" t="s">
        <v>821</v>
      </c>
      <c r="I598" t="s">
        <v>20</v>
      </c>
      <c r="J598" t="s">
        <v>824</v>
      </c>
      <c r="K598">
        <v>7</v>
      </c>
      <c r="L598">
        <v>1</v>
      </c>
      <c r="M598">
        <v>1</v>
      </c>
      <c r="N598">
        <v>0</v>
      </c>
      <c r="O598">
        <f>_xlfn.XLOOKUP(VALINA[[#This Row],[id]],prov_color!A:A,prov_color!C:C)</f>
        <v>98</v>
      </c>
      <c r="P598" t="str">
        <f>_xlfn.XLOOKUP(VALINA[[#This Row],[id]],Table4[id],Table4[name])</f>
        <v>Saian</v>
      </c>
      <c r="Q598" t="str">
        <f>_xlfn.XLOOKUP(VALINA[[#This Row],[name]],Trans!A:A,Trans!B:B)</f>
        <v>Saian</v>
      </c>
    </row>
    <row r="599" spans="1:17" x14ac:dyDescent="0.25">
      <c r="A599">
        <v>598</v>
      </c>
      <c r="B599" t="s">
        <v>653</v>
      </c>
      <c r="C599" t="s">
        <v>701</v>
      </c>
      <c r="D599" t="s">
        <v>820</v>
      </c>
      <c r="E599" t="s">
        <v>34</v>
      </c>
      <c r="F599" t="s">
        <v>15</v>
      </c>
      <c r="G599" t="s">
        <v>122</v>
      </c>
      <c r="H599" t="s">
        <v>821</v>
      </c>
      <c r="I599" t="s">
        <v>20</v>
      </c>
      <c r="J599" t="s">
        <v>825</v>
      </c>
      <c r="K599">
        <v>6</v>
      </c>
      <c r="L599">
        <v>1</v>
      </c>
      <c r="M599">
        <v>1</v>
      </c>
      <c r="N599">
        <v>0</v>
      </c>
      <c r="O599">
        <f>_xlfn.XLOOKUP(VALINA[[#This Row],[id]],prov_color!A:A,prov_color!C:C)</f>
        <v>60</v>
      </c>
      <c r="P599" t="str">
        <f>_xlfn.XLOOKUP(VALINA[[#This Row],[id]],Table4[id],Table4[name])</f>
        <v>Zima</v>
      </c>
      <c r="Q599" t="str">
        <f>_xlfn.XLOOKUP(VALINA[[#This Row],[name]],Trans!A:A,Trans!B:B)</f>
        <v>Zima</v>
      </c>
    </row>
    <row r="600" spans="1:17" x14ac:dyDescent="0.25">
      <c r="A600">
        <v>599</v>
      </c>
      <c r="B600" t="s">
        <v>653</v>
      </c>
      <c r="C600" t="s">
        <v>701</v>
      </c>
      <c r="D600" t="s">
        <v>820</v>
      </c>
      <c r="E600" t="s">
        <v>14</v>
      </c>
      <c r="F600" t="s">
        <v>15</v>
      </c>
      <c r="G600" t="s">
        <v>122</v>
      </c>
      <c r="H600" t="s">
        <v>821</v>
      </c>
      <c r="I600" t="s">
        <v>20</v>
      </c>
      <c r="J600" t="s">
        <v>826</v>
      </c>
      <c r="K600">
        <v>7</v>
      </c>
      <c r="L600">
        <v>2</v>
      </c>
      <c r="M600">
        <v>1</v>
      </c>
      <c r="N600">
        <v>0</v>
      </c>
      <c r="O600">
        <f>_xlfn.XLOOKUP(VALINA[[#This Row],[id]],prov_color!A:A,prov_color!C:C)</f>
        <v>64</v>
      </c>
      <c r="P600" t="str">
        <f>_xlfn.XLOOKUP(VALINA[[#This Row],[id]],Table4[id],Table4[name])</f>
        <v>Tannu Ola</v>
      </c>
      <c r="Q600" t="str">
        <f>_xlfn.XLOOKUP(VALINA[[#This Row],[name]],Trans!A:A,Trans!B:B)</f>
        <v>Tannu Ola</v>
      </c>
    </row>
    <row r="601" spans="1:17" x14ac:dyDescent="0.25">
      <c r="A601">
        <v>600</v>
      </c>
      <c r="B601" t="s">
        <v>653</v>
      </c>
      <c r="C601" t="s">
        <v>701</v>
      </c>
      <c r="D601" t="s">
        <v>820</v>
      </c>
      <c r="E601" t="s">
        <v>34</v>
      </c>
      <c r="F601" t="s">
        <v>15</v>
      </c>
      <c r="G601" t="s">
        <v>122</v>
      </c>
      <c r="H601" t="s">
        <v>821</v>
      </c>
      <c r="I601" t="s">
        <v>27</v>
      </c>
      <c r="J601" t="s">
        <v>827</v>
      </c>
      <c r="K601">
        <v>6</v>
      </c>
      <c r="L601">
        <v>3</v>
      </c>
      <c r="M601">
        <v>1</v>
      </c>
      <c r="N601">
        <v>0</v>
      </c>
      <c r="O601">
        <f>_xlfn.XLOOKUP(VALINA[[#This Row],[id]],prov_color!A:A,prov_color!C:C)</f>
        <v>82</v>
      </c>
      <c r="P601" t="str">
        <f>_xlfn.XLOOKUP(VALINA[[#This Row],[id]],Table4[id],Table4[name])</f>
        <v>Irkutsk</v>
      </c>
      <c r="Q601" t="str">
        <f>_xlfn.XLOOKUP(VALINA[[#This Row],[name]],Trans!A:A,Trans!B:B)</f>
        <v>Irkutsk</v>
      </c>
    </row>
    <row r="602" spans="1:17" x14ac:dyDescent="0.25">
      <c r="A602">
        <v>601</v>
      </c>
      <c r="B602" t="s">
        <v>653</v>
      </c>
      <c r="C602" t="s">
        <v>701</v>
      </c>
      <c r="D602" t="s">
        <v>820</v>
      </c>
      <c r="E602" t="s">
        <v>14</v>
      </c>
      <c r="F602" t="s">
        <v>15</v>
      </c>
      <c r="G602" t="s">
        <v>122</v>
      </c>
      <c r="H602" t="s">
        <v>821</v>
      </c>
      <c r="I602" t="s">
        <v>27</v>
      </c>
      <c r="J602" t="s">
        <v>828</v>
      </c>
      <c r="K602">
        <v>6</v>
      </c>
      <c r="L602">
        <v>1</v>
      </c>
      <c r="M602">
        <v>1</v>
      </c>
      <c r="N602">
        <v>0</v>
      </c>
      <c r="O602">
        <f>_xlfn.XLOOKUP(VALINA[[#This Row],[id]],prov_color!A:A,prov_color!C:C)</f>
        <v>70</v>
      </c>
      <c r="P602" t="str">
        <f>_xlfn.XLOOKUP(VALINA[[#This Row],[id]],Table4[id],Table4[name])</f>
        <v>Chatga</v>
      </c>
      <c r="Q602" t="str">
        <f>_xlfn.XLOOKUP(VALINA[[#This Row],[name]],Trans!A:A,Trans!B:B)</f>
        <v>Chatga</v>
      </c>
    </row>
    <row r="603" spans="1:17" x14ac:dyDescent="0.25">
      <c r="A603">
        <v>602</v>
      </c>
      <c r="B603" t="s">
        <v>653</v>
      </c>
      <c r="C603" t="s">
        <v>701</v>
      </c>
      <c r="D603" t="s">
        <v>820</v>
      </c>
      <c r="E603" t="s">
        <v>34</v>
      </c>
      <c r="F603" t="s">
        <v>15</v>
      </c>
      <c r="G603" t="s">
        <v>122</v>
      </c>
      <c r="H603" t="s">
        <v>821</v>
      </c>
      <c r="I603" t="s">
        <v>41</v>
      </c>
      <c r="J603" t="s">
        <v>829</v>
      </c>
      <c r="K603">
        <v>6</v>
      </c>
      <c r="L603">
        <v>2</v>
      </c>
      <c r="M603">
        <v>1</v>
      </c>
      <c r="N603">
        <v>0</v>
      </c>
      <c r="O603">
        <f>_xlfn.XLOOKUP(VALINA[[#This Row],[id]],prov_color!A:A,prov_color!C:C)</f>
        <v>77</v>
      </c>
      <c r="P603" t="str">
        <f>_xlfn.XLOOKUP(VALINA[[#This Row],[id]],Table4[id],Table4[name])</f>
        <v>Selenga</v>
      </c>
      <c r="Q603" t="str">
        <f>_xlfn.XLOOKUP(VALINA[[#This Row],[name]],Trans!A:A,Trans!B:B)</f>
        <v>Selenga</v>
      </c>
    </row>
    <row r="604" spans="1:17" x14ac:dyDescent="0.25">
      <c r="A604">
        <v>603</v>
      </c>
      <c r="B604" t="s">
        <v>653</v>
      </c>
      <c r="C604" t="s">
        <v>701</v>
      </c>
      <c r="D604" t="s">
        <v>820</v>
      </c>
      <c r="E604" t="s">
        <v>22</v>
      </c>
      <c r="F604" t="s">
        <v>15</v>
      </c>
      <c r="G604" t="s">
        <v>122</v>
      </c>
      <c r="H604" t="s">
        <v>821</v>
      </c>
      <c r="I604" t="s">
        <v>20</v>
      </c>
      <c r="J604" t="s">
        <v>830</v>
      </c>
      <c r="K604">
        <v>6</v>
      </c>
      <c r="L604">
        <v>2</v>
      </c>
      <c r="M604">
        <v>1</v>
      </c>
      <c r="N604">
        <v>0</v>
      </c>
      <c r="O604">
        <f>_xlfn.XLOOKUP(VALINA[[#This Row],[id]],prov_color!A:A,prov_color!C:C)</f>
        <v>65</v>
      </c>
      <c r="P604" t="str">
        <f>_xlfn.XLOOKUP(VALINA[[#This Row],[id]],Table4[id],Table4[name])</f>
        <v>Ulan Ude</v>
      </c>
      <c r="Q604" t="str">
        <f>_xlfn.XLOOKUP(VALINA[[#This Row],[name]],Trans!A:A,Trans!B:B)</f>
        <v>Ulan Ude</v>
      </c>
    </row>
    <row r="605" spans="1:17" x14ac:dyDescent="0.25">
      <c r="A605">
        <v>604</v>
      </c>
      <c r="B605" t="s">
        <v>653</v>
      </c>
      <c r="C605" t="s">
        <v>701</v>
      </c>
      <c r="D605" t="s">
        <v>820</v>
      </c>
      <c r="E605" t="s">
        <v>14</v>
      </c>
      <c r="F605" t="s">
        <v>15</v>
      </c>
      <c r="G605" t="s">
        <v>122</v>
      </c>
      <c r="H605" t="s">
        <v>821</v>
      </c>
      <c r="I605" t="s">
        <v>18</v>
      </c>
      <c r="J605" t="s">
        <v>831</v>
      </c>
      <c r="K605">
        <v>8</v>
      </c>
      <c r="L605">
        <v>1</v>
      </c>
      <c r="M605">
        <v>1</v>
      </c>
      <c r="N605">
        <v>0</v>
      </c>
      <c r="O605">
        <f>_xlfn.XLOOKUP(VALINA[[#This Row],[id]],prov_color!A:A,prov_color!C:C)</f>
        <v>82</v>
      </c>
      <c r="P605" t="str">
        <f>_xlfn.XLOOKUP(VALINA[[#This Row],[id]],Table4[id],Table4[name])</f>
        <v>Buriat</v>
      </c>
      <c r="Q605" t="str">
        <f>_xlfn.XLOOKUP(VALINA[[#This Row],[name]],Trans!A:A,Trans!B:B)</f>
        <v>Buriat</v>
      </c>
    </row>
    <row r="606" spans="1:17" x14ac:dyDescent="0.25">
      <c r="A606">
        <v>605</v>
      </c>
      <c r="B606" t="s">
        <v>653</v>
      </c>
      <c r="C606" t="s">
        <v>701</v>
      </c>
      <c r="D606" t="s">
        <v>820</v>
      </c>
      <c r="E606" t="s">
        <v>22</v>
      </c>
      <c r="F606" t="s">
        <v>15</v>
      </c>
      <c r="G606" t="s">
        <v>122</v>
      </c>
      <c r="H606" t="s">
        <v>821</v>
      </c>
      <c r="I606" t="s">
        <v>41</v>
      </c>
      <c r="J606" t="s">
        <v>832</v>
      </c>
      <c r="K606">
        <v>6</v>
      </c>
      <c r="L606">
        <v>4</v>
      </c>
      <c r="M606">
        <v>1</v>
      </c>
      <c r="N606">
        <v>0</v>
      </c>
      <c r="O606">
        <f>_xlfn.XLOOKUP(VALINA[[#This Row],[id]],prov_color!A:A,prov_color!C:C)</f>
        <v>77</v>
      </c>
      <c r="P606" t="str">
        <f>_xlfn.XLOOKUP(VALINA[[#This Row],[id]],Table4[id],Table4[name])</f>
        <v>Tchita</v>
      </c>
      <c r="Q606" t="str">
        <f>_xlfn.XLOOKUP(VALINA[[#This Row],[name]],Trans!A:A,Trans!B:B)</f>
        <v>Tchita</v>
      </c>
    </row>
    <row r="607" spans="1:17" x14ac:dyDescent="0.25">
      <c r="A607">
        <v>606</v>
      </c>
      <c r="B607" t="s">
        <v>653</v>
      </c>
      <c r="C607" t="s">
        <v>701</v>
      </c>
      <c r="D607" t="s">
        <v>820</v>
      </c>
      <c r="E607" t="s">
        <v>22</v>
      </c>
      <c r="F607" t="s">
        <v>15</v>
      </c>
      <c r="G607" t="s">
        <v>122</v>
      </c>
      <c r="H607" t="s">
        <v>821</v>
      </c>
      <c r="I607" t="s">
        <v>20</v>
      </c>
      <c r="J607" t="s">
        <v>833</v>
      </c>
      <c r="K607">
        <v>7</v>
      </c>
      <c r="L607">
        <v>2</v>
      </c>
      <c r="M607">
        <v>1</v>
      </c>
      <c r="N607">
        <v>0</v>
      </c>
      <c r="O607">
        <f>_xlfn.XLOOKUP(VALINA[[#This Row],[id]],prov_color!A:A,prov_color!C:C)</f>
        <v>70</v>
      </c>
      <c r="P607" t="str">
        <f>_xlfn.XLOOKUP(VALINA[[#This Row],[id]],Table4[id],Table4[name])</f>
        <v>Kalakan</v>
      </c>
      <c r="Q607" t="str">
        <f>_xlfn.XLOOKUP(VALINA[[#This Row],[name]],Trans!A:A,Trans!B:B)</f>
        <v>Kalakan</v>
      </c>
    </row>
    <row r="608" spans="1:17" x14ac:dyDescent="0.25">
      <c r="A608">
        <v>607</v>
      </c>
      <c r="B608" t="s">
        <v>653</v>
      </c>
      <c r="C608" t="s">
        <v>701</v>
      </c>
      <c r="D608" t="s">
        <v>834</v>
      </c>
      <c r="E608" t="s">
        <v>22</v>
      </c>
      <c r="F608" t="s">
        <v>15</v>
      </c>
      <c r="G608" t="s">
        <v>122</v>
      </c>
      <c r="H608" t="s">
        <v>821</v>
      </c>
      <c r="I608" t="s">
        <v>20</v>
      </c>
      <c r="J608" t="s">
        <v>835</v>
      </c>
      <c r="K608">
        <v>7</v>
      </c>
      <c r="L608">
        <v>3</v>
      </c>
      <c r="M608">
        <v>1</v>
      </c>
      <c r="N608">
        <v>0</v>
      </c>
      <c r="O608">
        <f>_xlfn.XLOOKUP(VALINA[[#This Row],[id]],prov_color!A:A,prov_color!C:C)</f>
        <v>73</v>
      </c>
      <c r="P608" t="str">
        <f>_xlfn.XLOOKUP(VALINA[[#This Row],[id]],Table4[id],Table4[name])</f>
        <v>Sretensk</v>
      </c>
      <c r="Q608" t="str">
        <f>_xlfn.XLOOKUP(VALINA[[#This Row],[name]],Trans!A:A,Trans!B:B)</f>
        <v>Sretensk</v>
      </c>
    </row>
    <row r="609" spans="1:17" x14ac:dyDescent="0.25">
      <c r="A609">
        <v>608</v>
      </c>
      <c r="B609" t="s">
        <v>653</v>
      </c>
      <c r="C609" t="s">
        <v>701</v>
      </c>
      <c r="D609" t="s">
        <v>834</v>
      </c>
      <c r="E609" t="s">
        <v>22</v>
      </c>
      <c r="F609" t="s">
        <v>15</v>
      </c>
      <c r="G609" t="s">
        <v>122</v>
      </c>
      <c r="H609" t="s">
        <v>821</v>
      </c>
      <c r="I609" t="s">
        <v>212</v>
      </c>
      <c r="J609" t="s">
        <v>836</v>
      </c>
      <c r="K609">
        <v>7</v>
      </c>
      <c r="L609">
        <v>2</v>
      </c>
      <c r="M609">
        <v>1</v>
      </c>
      <c r="N609">
        <v>0</v>
      </c>
      <c r="O609">
        <f>_xlfn.XLOOKUP(VALINA[[#This Row],[id]],prov_color!A:A,prov_color!C:C)</f>
        <v>67</v>
      </c>
      <c r="P609" t="str">
        <f>_xlfn.XLOOKUP(VALINA[[#This Row],[id]],Table4[id],Table4[name])</f>
        <v>Kalar</v>
      </c>
      <c r="Q609" t="str">
        <f>_xlfn.XLOOKUP(VALINA[[#This Row],[name]],Trans!A:A,Trans!B:B)</f>
        <v>Kalar</v>
      </c>
    </row>
    <row r="610" spans="1:17" x14ac:dyDescent="0.25">
      <c r="A610">
        <v>609</v>
      </c>
      <c r="B610" t="s">
        <v>653</v>
      </c>
      <c r="C610" t="s">
        <v>701</v>
      </c>
      <c r="D610" t="s">
        <v>834</v>
      </c>
      <c r="E610" t="s">
        <v>22</v>
      </c>
      <c r="F610" t="s">
        <v>15</v>
      </c>
      <c r="G610" t="s">
        <v>122</v>
      </c>
      <c r="H610" t="s">
        <v>821</v>
      </c>
      <c r="I610" t="s">
        <v>27</v>
      </c>
      <c r="J610" t="s">
        <v>837</v>
      </c>
      <c r="K610">
        <v>7</v>
      </c>
      <c r="L610">
        <v>2</v>
      </c>
      <c r="M610">
        <v>1</v>
      </c>
      <c r="N610">
        <v>0</v>
      </c>
      <c r="O610">
        <f>_xlfn.XLOOKUP(VALINA[[#This Row],[id]],prov_color!A:A,prov_color!C:C)</f>
        <v>64</v>
      </c>
      <c r="P610" t="str">
        <f>_xlfn.XLOOKUP(VALINA[[#This Row],[id]],Table4[id],Table4[name])</f>
        <v>Mogotcha</v>
      </c>
      <c r="Q610" t="str">
        <f>_xlfn.XLOOKUP(VALINA[[#This Row],[name]],Trans!A:A,Trans!B:B)</f>
        <v>Mogotcha</v>
      </c>
    </row>
    <row r="611" spans="1:17" x14ac:dyDescent="0.25">
      <c r="A611">
        <v>610</v>
      </c>
      <c r="B611" t="s">
        <v>653</v>
      </c>
      <c r="C611" t="s">
        <v>701</v>
      </c>
      <c r="D611" t="s">
        <v>834</v>
      </c>
      <c r="E611" t="s">
        <v>22</v>
      </c>
      <c r="F611" t="s">
        <v>15</v>
      </c>
      <c r="G611" t="s">
        <v>122</v>
      </c>
      <c r="H611" t="s">
        <v>821</v>
      </c>
      <c r="I611" t="s">
        <v>27</v>
      </c>
      <c r="J611" t="s">
        <v>838</v>
      </c>
      <c r="K611">
        <v>7</v>
      </c>
      <c r="L611">
        <v>2</v>
      </c>
      <c r="M611">
        <v>1</v>
      </c>
      <c r="N611">
        <v>0</v>
      </c>
      <c r="O611">
        <f>_xlfn.XLOOKUP(VALINA[[#This Row],[id]],prov_color!A:A,prov_color!C:C)</f>
        <v>89</v>
      </c>
      <c r="P611" t="str">
        <f>_xlfn.XLOOKUP(VALINA[[#This Row],[id]],Table4[id],Table4[name])</f>
        <v>Djagdi</v>
      </c>
      <c r="Q611" t="str">
        <f>_xlfn.XLOOKUP(VALINA[[#This Row],[name]],Trans!A:A,Trans!B:B)</f>
        <v>Djagdi</v>
      </c>
    </row>
    <row r="612" spans="1:17" x14ac:dyDescent="0.25">
      <c r="A612">
        <v>611</v>
      </c>
      <c r="B612" t="s">
        <v>653</v>
      </c>
      <c r="C612" t="s">
        <v>701</v>
      </c>
      <c r="D612" t="s">
        <v>834</v>
      </c>
      <c r="E612" t="s">
        <v>34</v>
      </c>
      <c r="F612" t="s">
        <v>15</v>
      </c>
      <c r="G612" t="s">
        <v>122</v>
      </c>
      <c r="H612" t="s">
        <v>821</v>
      </c>
      <c r="I612" t="s">
        <v>20</v>
      </c>
      <c r="J612" t="s">
        <v>839</v>
      </c>
      <c r="K612">
        <v>6</v>
      </c>
      <c r="L612">
        <v>3</v>
      </c>
      <c r="M612">
        <v>1</v>
      </c>
      <c r="N612">
        <v>0</v>
      </c>
      <c r="O612">
        <f>_xlfn.XLOOKUP(VALINA[[#This Row],[id]],prov_color!A:A,prov_color!C:C)</f>
        <v>46</v>
      </c>
      <c r="P612" t="str">
        <f>_xlfn.XLOOKUP(VALINA[[#This Row],[id]],Table4[id],Table4[name])</f>
        <v>Chilka</v>
      </c>
      <c r="Q612" t="str">
        <f>_xlfn.XLOOKUP(VALINA[[#This Row],[name]],Trans!A:A,Trans!B:B)</f>
        <v>Chilka</v>
      </c>
    </row>
    <row r="613" spans="1:17" x14ac:dyDescent="0.25">
      <c r="A613">
        <v>612</v>
      </c>
      <c r="B613" t="s">
        <v>653</v>
      </c>
      <c r="C613" t="s">
        <v>701</v>
      </c>
      <c r="D613" t="s">
        <v>834</v>
      </c>
      <c r="E613" t="s">
        <v>22</v>
      </c>
      <c r="F613" t="s">
        <v>15</v>
      </c>
      <c r="G613" t="s">
        <v>122</v>
      </c>
      <c r="H613" t="s">
        <v>821</v>
      </c>
      <c r="I613" t="s">
        <v>27</v>
      </c>
      <c r="J613" t="s">
        <v>840</v>
      </c>
      <c r="K613">
        <v>8</v>
      </c>
      <c r="L613">
        <v>1</v>
      </c>
      <c r="M613">
        <v>1</v>
      </c>
      <c r="N613">
        <v>0</v>
      </c>
      <c r="O613">
        <f>_xlfn.XLOOKUP(VALINA[[#This Row],[id]],prov_color!A:A,prov_color!C:C)</f>
        <v>76</v>
      </c>
      <c r="P613" t="str">
        <f>_xlfn.XLOOKUP(VALINA[[#This Row],[id]],Table4[id],Table4[name])</f>
        <v>Stanovoe</v>
      </c>
      <c r="Q613" t="str">
        <f>_xlfn.XLOOKUP(VALINA[[#This Row],[name]],Trans!A:A,Trans!B:B)</f>
        <v>Stanovoe</v>
      </c>
    </row>
    <row r="614" spans="1:17" x14ac:dyDescent="0.25">
      <c r="A614">
        <v>613</v>
      </c>
      <c r="B614" t="s">
        <v>653</v>
      </c>
      <c r="C614" t="s">
        <v>701</v>
      </c>
      <c r="D614" t="s">
        <v>841</v>
      </c>
      <c r="E614" t="s">
        <v>22</v>
      </c>
      <c r="F614" t="s">
        <v>15</v>
      </c>
      <c r="G614" t="s">
        <v>122</v>
      </c>
      <c r="H614" t="s">
        <v>703</v>
      </c>
      <c r="I614" t="s">
        <v>20</v>
      </c>
      <c r="J614" t="s">
        <v>842</v>
      </c>
      <c r="K614">
        <v>7</v>
      </c>
      <c r="L614">
        <v>1</v>
      </c>
      <c r="M614">
        <v>1</v>
      </c>
      <c r="N614">
        <v>0</v>
      </c>
      <c r="O614">
        <f>_xlfn.XLOOKUP(VALINA[[#This Row],[id]],prov_color!A:A,prov_color!C:C)</f>
        <v>74</v>
      </c>
      <c r="P614" t="str">
        <f>_xlfn.XLOOKUP(VALINA[[#This Row],[id]],Table4[id],Table4[name])</f>
        <v>Baladok</v>
      </c>
      <c r="Q614" t="str">
        <f>_xlfn.XLOOKUP(VALINA[[#This Row],[name]],Trans!A:A,Trans!B:B)</f>
        <v>Baladok</v>
      </c>
    </row>
    <row r="615" spans="1:17" x14ac:dyDescent="0.25">
      <c r="A615">
        <v>614</v>
      </c>
      <c r="B615" t="s">
        <v>653</v>
      </c>
      <c r="C615" t="s">
        <v>701</v>
      </c>
      <c r="D615" t="s">
        <v>841</v>
      </c>
      <c r="E615" t="s">
        <v>22</v>
      </c>
      <c r="F615" t="s">
        <v>15</v>
      </c>
      <c r="G615" t="s">
        <v>122</v>
      </c>
      <c r="H615" t="s">
        <v>703</v>
      </c>
      <c r="I615" t="s">
        <v>27</v>
      </c>
      <c r="J615" t="s">
        <v>843</v>
      </c>
      <c r="K615">
        <v>7</v>
      </c>
      <c r="L615">
        <v>1</v>
      </c>
      <c r="M615">
        <v>1</v>
      </c>
      <c r="N615">
        <v>0</v>
      </c>
      <c r="O615">
        <f>_xlfn.XLOOKUP(VALINA[[#This Row],[id]],prov_color!A:A,prov_color!C:C)</f>
        <v>70</v>
      </c>
      <c r="P615" t="str">
        <f>_xlfn.XLOOKUP(VALINA[[#This Row],[id]],Table4[id],Table4[name])</f>
        <v>Djugdjur</v>
      </c>
      <c r="Q615" t="str">
        <f>_xlfn.XLOOKUP(VALINA[[#This Row],[name]],Trans!A:A,Trans!B:B)</f>
        <v>Djugdjur</v>
      </c>
    </row>
    <row r="616" spans="1:17" x14ac:dyDescent="0.25">
      <c r="A616">
        <v>615</v>
      </c>
      <c r="B616" t="s">
        <v>653</v>
      </c>
      <c r="C616" t="s">
        <v>701</v>
      </c>
      <c r="D616" t="s">
        <v>841</v>
      </c>
      <c r="E616" t="s">
        <v>14</v>
      </c>
      <c r="F616" t="s">
        <v>15</v>
      </c>
      <c r="G616" t="s">
        <v>122</v>
      </c>
      <c r="H616" t="s">
        <v>703</v>
      </c>
      <c r="I616" t="s">
        <v>18</v>
      </c>
      <c r="J616" t="s">
        <v>844</v>
      </c>
      <c r="K616">
        <v>8</v>
      </c>
      <c r="L616">
        <v>1</v>
      </c>
      <c r="M616">
        <v>1</v>
      </c>
      <c r="N616">
        <v>0</v>
      </c>
      <c r="O616">
        <f>_xlfn.XLOOKUP(VALINA[[#This Row],[id]],prov_color!A:A,prov_color!C:C)</f>
        <v>45</v>
      </c>
      <c r="P616" t="str">
        <f>_xlfn.XLOOKUP(VALINA[[#This Row],[id]],Table4[id],Table4[name])</f>
        <v>Enkan</v>
      </c>
      <c r="Q616" t="str">
        <f>_xlfn.XLOOKUP(VALINA[[#This Row],[name]],Trans!A:A,Trans!B:B)</f>
        <v>Enkan</v>
      </c>
    </row>
    <row r="617" spans="1:17" x14ac:dyDescent="0.25">
      <c r="A617">
        <v>616</v>
      </c>
      <c r="B617" t="s">
        <v>653</v>
      </c>
      <c r="C617" t="s">
        <v>701</v>
      </c>
      <c r="D617" t="s">
        <v>841</v>
      </c>
      <c r="E617" t="s">
        <v>22</v>
      </c>
      <c r="F617" t="s">
        <v>15</v>
      </c>
      <c r="G617" t="s">
        <v>122</v>
      </c>
      <c r="H617" t="s">
        <v>703</v>
      </c>
      <c r="I617" t="s">
        <v>27</v>
      </c>
      <c r="J617" t="s">
        <v>845</v>
      </c>
      <c r="K617">
        <v>6</v>
      </c>
      <c r="L617">
        <v>2</v>
      </c>
      <c r="M617">
        <v>1</v>
      </c>
      <c r="N617">
        <v>0</v>
      </c>
      <c r="O617">
        <f>_xlfn.XLOOKUP(VALINA[[#This Row],[id]],prov_color!A:A,prov_color!C:C)</f>
        <v>47</v>
      </c>
      <c r="P617" t="str">
        <f>_xlfn.XLOOKUP(VALINA[[#This Row],[id]],Table4[id],Table4[name])</f>
        <v>Okhotsk</v>
      </c>
      <c r="Q617" t="str">
        <f>_xlfn.XLOOKUP(VALINA[[#This Row],[name]],Trans!A:A,Trans!B:B)</f>
        <v>Okhotsk</v>
      </c>
    </row>
    <row r="618" spans="1:17" x14ac:dyDescent="0.25">
      <c r="A618">
        <v>617</v>
      </c>
      <c r="B618" t="s">
        <v>653</v>
      </c>
      <c r="C618" t="s">
        <v>701</v>
      </c>
      <c r="D618" t="s">
        <v>841</v>
      </c>
      <c r="E618" t="s">
        <v>14</v>
      </c>
      <c r="F618" t="s">
        <v>15</v>
      </c>
      <c r="G618" t="s">
        <v>122</v>
      </c>
      <c r="H618" t="s">
        <v>703</v>
      </c>
      <c r="I618" t="s">
        <v>20</v>
      </c>
      <c r="J618" t="s">
        <v>846</v>
      </c>
      <c r="K618">
        <v>7</v>
      </c>
      <c r="L618">
        <v>1</v>
      </c>
      <c r="M618">
        <v>1</v>
      </c>
      <c r="N618">
        <v>0</v>
      </c>
      <c r="O618">
        <f>_xlfn.XLOOKUP(VALINA[[#This Row],[id]],prov_color!A:A,prov_color!C:C)</f>
        <v>47</v>
      </c>
      <c r="P618" t="str">
        <f>_xlfn.XLOOKUP(VALINA[[#This Row],[id]],Table4[id],Table4[name])</f>
        <v>Magadan</v>
      </c>
      <c r="Q618" t="str">
        <f>_xlfn.XLOOKUP(VALINA[[#This Row],[name]],Trans!A:A,Trans!B:B)</f>
        <v>Magadan</v>
      </c>
    </row>
    <row r="619" spans="1:17" x14ac:dyDescent="0.25">
      <c r="A619">
        <v>618</v>
      </c>
      <c r="B619" t="s">
        <v>653</v>
      </c>
      <c r="C619" t="s">
        <v>701</v>
      </c>
      <c r="D619" t="s">
        <v>847</v>
      </c>
      <c r="E619" t="s">
        <v>14</v>
      </c>
      <c r="F619" t="s">
        <v>15</v>
      </c>
      <c r="G619" t="s">
        <v>16</v>
      </c>
      <c r="H619" t="s">
        <v>703</v>
      </c>
      <c r="I619" t="s">
        <v>212</v>
      </c>
      <c r="J619" t="s">
        <v>848</v>
      </c>
      <c r="K619">
        <v>9</v>
      </c>
      <c r="L619">
        <v>1</v>
      </c>
      <c r="M619">
        <v>1</v>
      </c>
      <c r="N619">
        <v>0</v>
      </c>
      <c r="O619">
        <f>_xlfn.XLOOKUP(VALINA[[#This Row],[id]],prov_color!A:A,prov_color!C:C)</f>
        <v>71</v>
      </c>
      <c r="P619" t="str">
        <f>_xlfn.XLOOKUP(VALINA[[#This Row],[id]],Table4[id],Table4[name])</f>
        <v>Kolyma</v>
      </c>
      <c r="Q619" t="str">
        <f>_xlfn.XLOOKUP(VALINA[[#This Row],[name]],Trans!A:A,Trans!B:B)</f>
        <v>Kolyma</v>
      </c>
    </row>
    <row r="620" spans="1:17" x14ac:dyDescent="0.25">
      <c r="A620">
        <v>619</v>
      </c>
      <c r="B620" t="s">
        <v>653</v>
      </c>
      <c r="C620" t="s">
        <v>701</v>
      </c>
      <c r="D620" t="s">
        <v>847</v>
      </c>
      <c r="E620" t="s">
        <v>14</v>
      </c>
      <c r="F620" t="s">
        <v>15</v>
      </c>
      <c r="G620" t="s">
        <v>16</v>
      </c>
      <c r="H620" t="s">
        <v>703</v>
      </c>
      <c r="I620" t="s">
        <v>20</v>
      </c>
      <c r="J620" t="s">
        <v>849</v>
      </c>
      <c r="K620">
        <v>9</v>
      </c>
      <c r="L620">
        <v>1</v>
      </c>
      <c r="M620">
        <v>1</v>
      </c>
      <c r="N620">
        <v>0</v>
      </c>
      <c r="O620">
        <f>_xlfn.XLOOKUP(VALINA[[#This Row],[id]],prov_color!A:A,prov_color!C:C)</f>
        <v>55</v>
      </c>
      <c r="P620" t="str">
        <f>_xlfn.XLOOKUP(VALINA[[#This Row],[id]],Table4[id],Table4[name])</f>
        <v>Chelekov</v>
      </c>
      <c r="Q620" t="str">
        <f>_xlfn.XLOOKUP(VALINA[[#This Row],[name]],Trans!A:A,Trans!B:B)</f>
        <v>Chelekov</v>
      </c>
    </row>
    <row r="621" spans="1:17" x14ac:dyDescent="0.25">
      <c r="A621">
        <v>620</v>
      </c>
      <c r="B621" t="s">
        <v>653</v>
      </c>
      <c r="C621" t="s">
        <v>701</v>
      </c>
      <c r="D621" t="s">
        <v>847</v>
      </c>
      <c r="E621" t="s">
        <v>14</v>
      </c>
      <c r="F621" t="s">
        <v>15</v>
      </c>
      <c r="G621" t="s">
        <v>16</v>
      </c>
      <c r="H621" t="s">
        <v>703</v>
      </c>
      <c r="I621" t="s">
        <v>20</v>
      </c>
      <c r="J621" t="s">
        <v>850</v>
      </c>
      <c r="K621">
        <v>8</v>
      </c>
      <c r="L621">
        <v>1</v>
      </c>
      <c r="M621">
        <v>1</v>
      </c>
      <c r="N621">
        <v>0</v>
      </c>
      <c r="O621">
        <f>_xlfn.XLOOKUP(VALINA[[#This Row],[id]],prov_color!A:A,prov_color!C:C)</f>
        <v>58</v>
      </c>
      <c r="P621" t="str">
        <f>_xlfn.XLOOKUP(VALINA[[#This Row],[id]],Table4[id],Table4[name])</f>
        <v>Kamenkoie</v>
      </c>
      <c r="Q621" t="str">
        <f>_xlfn.XLOOKUP(VALINA[[#This Row],[name]],Trans!A:A,Trans!B:B)</f>
        <v>Kamenkoie</v>
      </c>
    </row>
    <row r="622" spans="1:17" x14ac:dyDescent="0.25">
      <c r="A622">
        <v>621</v>
      </c>
      <c r="B622" t="s">
        <v>653</v>
      </c>
      <c r="C622" t="s">
        <v>701</v>
      </c>
      <c r="D622" t="s">
        <v>847</v>
      </c>
      <c r="E622" t="s">
        <v>14</v>
      </c>
      <c r="F622" t="s">
        <v>15</v>
      </c>
      <c r="G622" t="s">
        <v>16</v>
      </c>
      <c r="H622" t="s">
        <v>703</v>
      </c>
      <c r="I622" t="s">
        <v>20</v>
      </c>
      <c r="J622" t="s">
        <v>851</v>
      </c>
      <c r="K622">
        <v>9</v>
      </c>
      <c r="L622">
        <v>1</v>
      </c>
      <c r="M622">
        <v>1</v>
      </c>
      <c r="N622">
        <v>0</v>
      </c>
      <c r="O622">
        <f>_xlfn.XLOOKUP(VALINA[[#This Row],[id]],prov_color!A:A,prov_color!C:C)</f>
        <v>54</v>
      </c>
      <c r="P622" t="str">
        <f>_xlfn.XLOOKUP(VALINA[[#This Row],[id]],Table4[id],Table4[name])</f>
        <v>Korfa</v>
      </c>
      <c r="Q622" t="str">
        <f>_xlfn.XLOOKUP(VALINA[[#This Row],[name]],Trans!A:A,Trans!B:B)</f>
        <v>Korfa</v>
      </c>
    </row>
    <row r="623" spans="1:17" x14ac:dyDescent="0.25">
      <c r="A623">
        <v>622</v>
      </c>
      <c r="B623" t="s">
        <v>653</v>
      </c>
      <c r="C623" t="s">
        <v>701</v>
      </c>
      <c r="D623" t="s">
        <v>847</v>
      </c>
      <c r="E623" t="s">
        <v>14</v>
      </c>
      <c r="F623" t="s">
        <v>15</v>
      </c>
      <c r="G623" t="s">
        <v>16</v>
      </c>
      <c r="H623" t="s">
        <v>703</v>
      </c>
      <c r="I623" t="s">
        <v>27</v>
      </c>
      <c r="J623" t="s">
        <v>852</v>
      </c>
      <c r="K623">
        <v>7</v>
      </c>
      <c r="L623">
        <v>1</v>
      </c>
      <c r="M623">
        <v>1</v>
      </c>
      <c r="N623">
        <v>0</v>
      </c>
      <c r="O623">
        <f>_xlfn.XLOOKUP(VALINA[[#This Row],[id]],prov_color!A:A,prov_color!C:C)</f>
        <v>52</v>
      </c>
      <c r="P623" t="str">
        <f>_xlfn.XLOOKUP(VALINA[[#This Row],[id]],Table4[id],Table4[name])</f>
        <v>Palana</v>
      </c>
      <c r="Q623" t="str">
        <f>_xlfn.XLOOKUP(VALINA[[#This Row],[name]],Trans!A:A,Trans!B:B)</f>
        <v>Palana</v>
      </c>
    </row>
    <row r="624" spans="1:17" x14ac:dyDescent="0.25">
      <c r="A624">
        <v>623</v>
      </c>
      <c r="B624" t="s">
        <v>653</v>
      </c>
      <c r="C624" t="s">
        <v>701</v>
      </c>
      <c r="D624" t="s">
        <v>841</v>
      </c>
      <c r="E624" t="s">
        <v>22</v>
      </c>
      <c r="F624" t="s">
        <v>15</v>
      </c>
      <c r="G624" t="s">
        <v>122</v>
      </c>
      <c r="H624" t="s">
        <v>703</v>
      </c>
      <c r="I624" t="s">
        <v>1612</v>
      </c>
      <c r="J624" t="s">
        <v>853</v>
      </c>
      <c r="K624">
        <v>7</v>
      </c>
      <c r="L624">
        <v>2</v>
      </c>
      <c r="M624">
        <v>1</v>
      </c>
      <c r="N624">
        <v>0</v>
      </c>
      <c r="O624">
        <f>_xlfn.XLOOKUP(VALINA[[#This Row],[id]],prov_color!A:A,prov_color!C:C)</f>
        <v>39</v>
      </c>
      <c r="P624" t="str">
        <f>_xlfn.XLOOKUP(VALINA[[#This Row],[id]],Table4[id],Table4[name])</f>
        <v>Tchumkan</v>
      </c>
      <c r="Q624" t="str">
        <f>_xlfn.XLOOKUP(VALINA[[#This Row],[name]],Trans!A:A,Trans!B:B)</f>
        <v>Tchumkan</v>
      </c>
    </row>
    <row r="625" spans="1:17" x14ac:dyDescent="0.25">
      <c r="A625">
        <v>624</v>
      </c>
      <c r="B625" t="s">
        <v>653</v>
      </c>
      <c r="C625" t="s">
        <v>701</v>
      </c>
      <c r="D625" t="s">
        <v>841</v>
      </c>
      <c r="E625" t="s">
        <v>22</v>
      </c>
      <c r="F625" t="s">
        <v>15</v>
      </c>
      <c r="G625" t="s">
        <v>122</v>
      </c>
      <c r="H625" t="s">
        <v>703</v>
      </c>
      <c r="I625" t="s">
        <v>20</v>
      </c>
      <c r="J625" t="s">
        <v>854</v>
      </c>
      <c r="K625">
        <v>7</v>
      </c>
      <c r="L625">
        <v>1</v>
      </c>
      <c r="M625">
        <v>1</v>
      </c>
      <c r="N625">
        <v>0</v>
      </c>
      <c r="O625">
        <f>_xlfn.XLOOKUP(VALINA[[#This Row],[id]],prov_color!A:A,prov_color!C:C)</f>
        <v>54</v>
      </c>
      <c r="P625" t="str">
        <f>_xlfn.XLOOKUP(VALINA[[#This Row],[id]],Table4[id],Table4[name])</f>
        <v>Amgoun</v>
      </c>
      <c r="Q625" t="str">
        <f>_xlfn.XLOOKUP(VALINA[[#This Row],[name]],Trans!A:A,Trans!B:B)</f>
        <v>Amgoun</v>
      </c>
    </row>
    <row r="626" spans="1:17" x14ac:dyDescent="0.25">
      <c r="A626">
        <v>625</v>
      </c>
      <c r="B626" t="s">
        <v>653</v>
      </c>
      <c r="C626" t="s">
        <v>701</v>
      </c>
      <c r="D626" t="s">
        <v>841</v>
      </c>
      <c r="E626" t="s">
        <v>22</v>
      </c>
      <c r="F626" t="s">
        <v>15</v>
      </c>
      <c r="G626" t="s">
        <v>122</v>
      </c>
      <c r="H626" t="s">
        <v>855</v>
      </c>
      <c r="I626" t="s">
        <v>27</v>
      </c>
      <c r="J626" t="s">
        <v>856</v>
      </c>
      <c r="K626">
        <v>6</v>
      </c>
      <c r="L626">
        <v>1</v>
      </c>
      <c r="M626">
        <v>2</v>
      </c>
      <c r="N626">
        <v>0</v>
      </c>
      <c r="O626">
        <f>_xlfn.XLOOKUP(VALINA[[#This Row],[id]],prov_color!A:A,prov_color!C:C)</f>
        <v>33</v>
      </c>
      <c r="P626" t="str">
        <f>_xlfn.XLOOKUP(VALINA[[#This Row],[id]],Table4[id],Table4[name])</f>
        <v>Bogorodsk</v>
      </c>
      <c r="Q626" t="str">
        <f>_xlfn.XLOOKUP(VALINA[[#This Row],[name]],Trans!A:A,Trans!B:B)</f>
        <v>Bogorodsk</v>
      </c>
    </row>
    <row r="627" spans="1:17" x14ac:dyDescent="0.25">
      <c r="A627">
        <v>626</v>
      </c>
      <c r="B627" t="s">
        <v>653</v>
      </c>
      <c r="C627" t="s">
        <v>701</v>
      </c>
      <c r="D627" t="s">
        <v>841</v>
      </c>
      <c r="E627" t="s">
        <v>14</v>
      </c>
      <c r="F627" t="s">
        <v>15</v>
      </c>
      <c r="G627" t="s">
        <v>122</v>
      </c>
      <c r="H627" t="s">
        <v>855</v>
      </c>
      <c r="I627" t="s">
        <v>27</v>
      </c>
      <c r="J627" t="s">
        <v>857</v>
      </c>
      <c r="K627">
        <v>7</v>
      </c>
      <c r="L627">
        <v>1</v>
      </c>
      <c r="M627">
        <v>2</v>
      </c>
      <c r="N627">
        <v>0</v>
      </c>
      <c r="O627">
        <f>_xlfn.XLOOKUP(VALINA[[#This Row],[id]],prov_color!A:A,prov_color!C:C)</f>
        <v>47</v>
      </c>
      <c r="P627" t="str">
        <f>_xlfn.XLOOKUP(VALINA[[#This Row],[id]],Table4[id],Table4[name])</f>
        <v>Vanin</v>
      </c>
      <c r="Q627" t="str">
        <f>_xlfn.XLOOKUP(VALINA[[#This Row],[name]],Trans!A:A,Trans!B:B)</f>
        <v>Vanin</v>
      </c>
    </row>
    <row r="628" spans="1:17" x14ac:dyDescent="0.25">
      <c r="A628">
        <v>627</v>
      </c>
      <c r="B628" t="s">
        <v>653</v>
      </c>
      <c r="C628" t="s">
        <v>701</v>
      </c>
      <c r="D628" t="s">
        <v>841</v>
      </c>
      <c r="E628" t="s">
        <v>22</v>
      </c>
      <c r="F628" t="s">
        <v>858</v>
      </c>
      <c r="G628" t="s">
        <v>122</v>
      </c>
      <c r="H628" t="s">
        <v>859</v>
      </c>
      <c r="I628" t="s">
        <v>1612</v>
      </c>
      <c r="J628" t="s">
        <v>860</v>
      </c>
      <c r="K628">
        <v>6</v>
      </c>
      <c r="L628">
        <v>1</v>
      </c>
      <c r="M628">
        <v>2</v>
      </c>
      <c r="N628">
        <v>0</v>
      </c>
      <c r="O628">
        <f>_xlfn.XLOOKUP(VALINA[[#This Row],[id]],prov_color!A:A,prov_color!C:C)</f>
        <v>57</v>
      </c>
      <c r="P628" t="str">
        <f>_xlfn.XLOOKUP(VALINA[[#This Row],[id]],Table4[id],Table4[name])</f>
        <v>Sofiisk</v>
      </c>
      <c r="Q628" t="str">
        <f>_xlfn.XLOOKUP(VALINA[[#This Row],[name]],Trans!A:A,Trans!B:B)</f>
        <v>Sofiisk</v>
      </c>
    </row>
    <row r="629" spans="1:17" x14ac:dyDescent="0.25">
      <c r="A629">
        <v>628</v>
      </c>
      <c r="B629" t="s">
        <v>653</v>
      </c>
      <c r="C629" t="s">
        <v>701</v>
      </c>
      <c r="D629" t="s">
        <v>841</v>
      </c>
      <c r="E629" t="s">
        <v>22</v>
      </c>
      <c r="F629" t="s">
        <v>858</v>
      </c>
      <c r="G629" t="s">
        <v>122</v>
      </c>
      <c r="H629" t="s">
        <v>859</v>
      </c>
      <c r="I629" t="s">
        <v>20</v>
      </c>
      <c r="J629" t="s">
        <v>861</v>
      </c>
      <c r="K629">
        <v>6</v>
      </c>
      <c r="L629">
        <v>2</v>
      </c>
      <c r="M629">
        <v>3</v>
      </c>
      <c r="N629">
        <v>0</v>
      </c>
      <c r="O629">
        <f>_xlfn.XLOOKUP(VALINA[[#This Row],[id]],prov_color!A:A,prov_color!C:C)</f>
        <v>47</v>
      </c>
      <c r="P629" t="str">
        <f>_xlfn.XLOOKUP(VALINA[[#This Row],[id]],Table4[id],Table4[name])</f>
        <v>Amour</v>
      </c>
      <c r="Q629" t="str">
        <f>_xlfn.XLOOKUP(VALINA[[#This Row],[name]],Trans!A:A,Trans!B:B)</f>
        <v>Amour</v>
      </c>
    </row>
    <row r="630" spans="1:17" x14ac:dyDescent="0.25">
      <c r="A630">
        <v>629</v>
      </c>
      <c r="B630" t="s">
        <v>653</v>
      </c>
      <c r="C630" t="s">
        <v>701</v>
      </c>
      <c r="D630" t="s">
        <v>841</v>
      </c>
      <c r="E630" t="s">
        <v>22</v>
      </c>
      <c r="F630" t="s">
        <v>15</v>
      </c>
      <c r="G630" t="s">
        <v>122</v>
      </c>
      <c r="H630" t="s">
        <v>703</v>
      </c>
      <c r="I630" t="s">
        <v>20</v>
      </c>
      <c r="J630" t="s">
        <v>862</v>
      </c>
      <c r="K630">
        <v>6</v>
      </c>
      <c r="L630">
        <v>2</v>
      </c>
      <c r="M630">
        <v>1</v>
      </c>
      <c r="N630">
        <v>0</v>
      </c>
      <c r="O630">
        <f>_xlfn.XLOOKUP(VALINA[[#This Row],[id]],prov_color!A:A,prov_color!C:C)</f>
        <v>49</v>
      </c>
      <c r="P630" t="str">
        <f>_xlfn.XLOOKUP(VALINA[[#This Row],[id]],Table4[id],Table4[name])</f>
        <v>Tchekunda</v>
      </c>
      <c r="Q630" t="str">
        <f>_xlfn.XLOOKUP(VALINA[[#This Row],[name]],Trans!A:A,Trans!B:B)</f>
        <v>Tchekunda</v>
      </c>
    </row>
    <row r="631" spans="1:17" x14ac:dyDescent="0.25">
      <c r="A631">
        <v>630</v>
      </c>
      <c r="B631" t="s">
        <v>653</v>
      </c>
      <c r="C631" t="s">
        <v>701</v>
      </c>
      <c r="D631" t="s">
        <v>834</v>
      </c>
      <c r="E631" t="s">
        <v>22</v>
      </c>
      <c r="F631" t="s">
        <v>15</v>
      </c>
      <c r="G631" t="s">
        <v>122</v>
      </c>
      <c r="H631" t="s">
        <v>821</v>
      </c>
      <c r="I631" t="s">
        <v>20</v>
      </c>
      <c r="J631" t="s">
        <v>863</v>
      </c>
      <c r="K631">
        <v>7</v>
      </c>
      <c r="L631">
        <v>2</v>
      </c>
      <c r="M631">
        <v>1</v>
      </c>
      <c r="N631">
        <v>0</v>
      </c>
      <c r="O631">
        <f>_xlfn.XLOOKUP(VALINA[[#This Row],[id]],prov_color!A:A,prov_color!C:C)</f>
        <v>39</v>
      </c>
      <c r="P631" t="str">
        <f>_xlfn.XLOOKUP(VALINA[[#This Row],[id]],Table4[id],Table4[name])</f>
        <v>Boureia</v>
      </c>
      <c r="Q631" t="str">
        <f>_xlfn.XLOOKUP(VALINA[[#This Row],[name]],Trans!A:A,Trans!B:B)</f>
        <v>Boureia</v>
      </c>
    </row>
    <row r="632" spans="1:17" x14ac:dyDescent="0.25">
      <c r="A632">
        <v>631</v>
      </c>
      <c r="B632" t="s">
        <v>653</v>
      </c>
      <c r="C632" t="s">
        <v>701</v>
      </c>
      <c r="D632" t="s">
        <v>834</v>
      </c>
      <c r="E632" t="s">
        <v>34</v>
      </c>
      <c r="F632" t="s">
        <v>15</v>
      </c>
      <c r="G632" t="s">
        <v>122</v>
      </c>
      <c r="H632" t="s">
        <v>821</v>
      </c>
      <c r="I632" t="s">
        <v>20</v>
      </c>
      <c r="J632" t="s">
        <v>864</v>
      </c>
      <c r="K632">
        <v>7</v>
      </c>
      <c r="L632">
        <v>3</v>
      </c>
      <c r="M632">
        <v>1</v>
      </c>
      <c r="N632">
        <v>0</v>
      </c>
      <c r="O632">
        <f>_xlfn.XLOOKUP(VALINA[[#This Row],[id]],prov_color!A:A,prov_color!C:C)</f>
        <v>44</v>
      </c>
      <c r="P632" t="str">
        <f>_xlfn.XLOOKUP(VALINA[[#This Row],[id]],Table4[id],Table4[name])</f>
        <v>Ekimcan</v>
      </c>
      <c r="Q632" t="str">
        <f>_xlfn.XLOOKUP(VALINA[[#This Row],[name]],Trans!A:A,Trans!B:B)</f>
        <v>Ekimcan</v>
      </c>
    </row>
    <row r="633" spans="1:17" x14ac:dyDescent="0.25">
      <c r="A633">
        <v>632</v>
      </c>
      <c r="B633" t="s">
        <v>653</v>
      </c>
      <c r="C633" t="s">
        <v>701</v>
      </c>
      <c r="D633" t="s">
        <v>834</v>
      </c>
      <c r="E633" t="s">
        <v>34</v>
      </c>
      <c r="F633" t="s">
        <v>15</v>
      </c>
      <c r="G633" t="s">
        <v>122</v>
      </c>
      <c r="H633" t="s">
        <v>821</v>
      </c>
      <c r="I633" t="s">
        <v>20</v>
      </c>
      <c r="J633" t="s">
        <v>865</v>
      </c>
      <c r="K633">
        <v>6</v>
      </c>
      <c r="L633">
        <v>3</v>
      </c>
      <c r="M633">
        <v>1</v>
      </c>
      <c r="N633">
        <v>0</v>
      </c>
      <c r="O633">
        <f>_xlfn.XLOOKUP(VALINA[[#This Row],[id]],prov_color!A:A,prov_color!C:C)</f>
        <v>47</v>
      </c>
      <c r="P633" t="str">
        <f>_xlfn.XLOOKUP(VALINA[[#This Row],[id]],Table4[id],Table4[name])</f>
        <v>Nerchiinsk</v>
      </c>
      <c r="Q633" t="str">
        <f>_xlfn.XLOOKUP(VALINA[[#This Row],[name]],Trans!A:A,Trans!B:B)</f>
        <v>Nerchiinsk</v>
      </c>
    </row>
    <row r="634" spans="1:17" x14ac:dyDescent="0.25">
      <c r="A634">
        <v>633</v>
      </c>
      <c r="B634" t="s">
        <v>653</v>
      </c>
      <c r="C634" t="s">
        <v>701</v>
      </c>
      <c r="D634" t="s">
        <v>834</v>
      </c>
      <c r="E634" t="s">
        <v>22</v>
      </c>
      <c r="F634" t="s">
        <v>858</v>
      </c>
      <c r="G634" t="s">
        <v>122</v>
      </c>
      <c r="H634" t="s">
        <v>821</v>
      </c>
      <c r="I634" t="s">
        <v>20</v>
      </c>
      <c r="J634" t="s">
        <v>866</v>
      </c>
      <c r="K634">
        <v>7</v>
      </c>
      <c r="L634">
        <v>2</v>
      </c>
      <c r="M634">
        <v>1</v>
      </c>
      <c r="N634">
        <v>0</v>
      </c>
      <c r="O634">
        <f>_xlfn.XLOOKUP(VALINA[[#This Row],[id]],prov_color!A:A,prov_color!C:C)</f>
        <v>52</v>
      </c>
      <c r="P634" t="str">
        <f>_xlfn.XLOOKUP(VALINA[[#This Row],[id]],Table4[id],Table4[name])</f>
        <v>Norsk</v>
      </c>
      <c r="Q634" t="str">
        <f>_xlfn.XLOOKUP(VALINA[[#This Row],[name]],Trans!A:A,Trans!B:B)</f>
        <v>Norsk</v>
      </c>
    </row>
    <row r="635" spans="1:17" x14ac:dyDescent="0.25">
      <c r="A635">
        <v>634</v>
      </c>
      <c r="B635" t="s">
        <v>653</v>
      </c>
      <c r="C635" t="s">
        <v>701</v>
      </c>
      <c r="D635" t="s">
        <v>834</v>
      </c>
      <c r="E635" t="s">
        <v>22</v>
      </c>
      <c r="F635" t="s">
        <v>858</v>
      </c>
      <c r="G635" t="s">
        <v>122</v>
      </c>
      <c r="H635" t="s">
        <v>859</v>
      </c>
      <c r="I635" t="s">
        <v>20</v>
      </c>
      <c r="J635" t="s">
        <v>867</v>
      </c>
      <c r="K635">
        <v>7</v>
      </c>
      <c r="L635">
        <v>2</v>
      </c>
      <c r="M635">
        <v>3</v>
      </c>
      <c r="N635">
        <v>0</v>
      </c>
      <c r="O635">
        <f>_xlfn.XLOOKUP(VALINA[[#This Row],[id]],prov_color!A:A,prov_color!C:C)</f>
        <v>45</v>
      </c>
      <c r="P635" t="str">
        <f>_xlfn.XLOOKUP(VALINA[[#This Row],[id]],Table4[id],Table4[name])</f>
        <v>Birobidjan</v>
      </c>
      <c r="Q635" t="str">
        <f>_xlfn.XLOOKUP(VALINA[[#This Row],[name]],Trans!A:A,Trans!B:B)</f>
        <v>Birobidjan</v>
      </c>
    </row>
    <row r="636" spans="1:17" x14ac:dyDescent="0.25">
      <c r="A636">
        <v>635</v>
      </c>
      <c r="B636" t="s">
        <v>653</v>
      </c>
      <c r="C636" t="s">
        <v>868</v>
      </c>
      <c r="D636" t="s">
        <v>869</v>
      </c>
      <c r="E636" t="s">
        <v>22</v>
      </c>
      <c r="F636" t="s">
        <v>858</v>
      </c>
      <c r="G636" t="s">
        <v>122</v>
      </c>
      <c r="H636" t="s">
        <v>859</v>
      </c>
      <c r="I636" t="s">
        <v>352</v>
      </c>
      <c r="J636" t="s">
        <v>870</v>
      </c>
      <c r="K636">
        <v>7</v>
      </c>
      <c r="L636">
        <v>4</v>
      </c>
      <c r="M636">
        <v>6</v>
      </c>
      <c r="N636">
        <v>0</v>
      </c>
      <c r="O636">
        <f>_xlfn.XLOOKUP(VALINA[[#This Row],[id]],prov_color!A:A,prov_color!C:C)</f>
        <v>57</v>
      </c>
      <c r="P636" t="str">
        <f>_xlfn.XLOOKUP(VALINA[[#This Row],[id]],Table4[id],Table4[name])</f>
        <v>Heilongjiang</v>
      </c>
      <c r="Q636" t="str">
        <f>_xlfn.XLOOKUP(VALINA[[#This Row],[name]],Trans!A:A,Trans!B:B)</f>
        <v>Heilongjiang</v>
      </c>
    </row>
    <row r="637" spans="1:17" x14ac:dyDescent="0.25">
      <c r="A637">
        <v>636</v>
      </c>
      <c r="B637" t="s">
        <v>653</v>
      </c>
      <c r="C637" t="s">
        <v>868</v>
      </c>
      <c r="D637" t="s">
        <v>869</v>
      </c>
      <c r="E637" t="s">
        <v>22</v>
      </c>
      <c r="F637" t="s">
        <v>858</v>
      </c>
      <c r="G637" t="s">
        <v>122</v>
      </c>
      <c r="H637" t="s">
        <v>859</v>
      </c>
      <c r="I637" t="s">
        <v>20</v>
      </c>
      <c r="J637" t="s">
        <v>871</v>
      </c>
      <c r="K637">
        <v>6</v>
      </c>
      <c r="L637">
        <v>2</v>
      </c>
      <c r="M637">
        <v>3</v>
      </c>
      <c r="N637">
        <v>0</v>
      </c>
      <c r="O637">
        <f>_xlfn.XLOOKUP(VALINA[[#This Row],[id]],prov_color!A:A,prov_color!C:C)</f>
        <v>50</v>
      </c>
      <c r="P637" t="str">
        <f>_xlfn.XLOOKUP(VALINA[[#This Row],[id]],Table4[id],Table4[name])</f>
        <v>Viazemski</v>
      </c>
      <c r="Q637" t="str">
        <f>_xlfn.XLOOKUP(VALINA[[#This Row],[name]],Trans!A:A,Trans!B:B)</f>
        <v>Viazemski</v>
      </c>
    </row>
    <row r="638" spans="1:17" x14ac:dyDescent="0.25">
      <c r="A638">
        <v>637</v>
      </c>
      <c r="B638" t="s">
        <v>653</v>
      </c>
      <c r="C638" t="s">
        <v>868</v>
      </c>
      <c r="D638" t="s">
        <v>869</v>
      </c>
      <c r="E638" t="s">
        <v>14</v>
      </c>
      <c r="F638" t="s">
        <v>858</v>
      </c>
      <c r="G638" t="s">
        <v>122</v>
      </c>
      <c r="H638" t="s">
        <v>859</v>
      </c>
      <c r="I638" t="s">
        <v>20</v>
      </c>
      <c r="J638" t="s">
        <v>872</v>
      </c>
      <c r="K638">
        <v>7</v>
      </c>
      <c r="L638">
        <v>1</v>
      </c>
      <c r="M638">
        <v>2</v>
      </c>
      <c r="N638">
        <v>0</v>
      </c>
      <c r="O638">
        <f>_xlfn.XLOOKUP(VALINA[[#This Row],[id]],prov_color!A:A,prov_color!C:C)</f>
        <v>44</v>
      </c>
      <c r="P638" t="str">
        <f>_xlfn.XLOOKUP(VALINA[[#This Row],[id]],Table4[id],Table4[name])</f>
        <v>Sikhote</v>
      </c>
      <c r="Q638" t="str">
        <f>_xlfn.XLOOKUP(VALINA[[#This Row],[name]],Trans!A:A,Trans!B:B)</f>
        <v>Sikhote</v>
      </c>
    </row>
    <row r="639" spans="1:17" x14ac:dyDescent="0.25">
      <c r="A639">
        <v>638</v>
      </c>
      <c r="B639" t="s">
        <v>653</v>
      </c>
      <c r="C639" t="s">
        <v>868</v>
      </c>
      <c r="D639" t="s">
        <v>869</v>
      </c>
      <c r="E639" t="s">
        <v>14</v>
      </c>
      <c r="F639" t="s">
        <v>858</v>
      </c>
      <c r="G639" t="s">
        <v>122</v>
      </c>
      <c r="H639" t="s">
        <v>859</v>
      </c>
      <c r="I639" t="s">
        <v>141</v>
      </c>
      <c r="J639" t="s">
        <v>873</v>
      </c>
      <c r="K639">
        <v>7</v>
      </c>
      <c r="L639">
        <v>1</v>
      </c>
      <c r="M639">
        <v>2</v>
      </c>
      <c r="N639">
        <v>0</v>
      </c>
      <c r="O639">
        <f>_xlfn.XLOOKUP(VALINA[[#This Row],[id]],prov_color!A:A,prov_color!C:C)</f>
        <v>37</v>
      </c>
      <c r="P639" t="str">
        <f>_xlfn.XLOOKUP(VALINA[[#This Row],[id]],Table4[id],Table4[name])</f>
        <v>Nelma</v>
      </c>
      <c r="Q639" t="str">
        <f>_xlfn.XLOOKUP(VALINA[[#This Row],[name]],Trans!A:A,Trans!B:B)</f>
        <v>Nelma</v>
      </c>
    </row>
    <row r="640" spans="1:17" x14ac:dyDescent="0.25">
      <c r="A640">
        <v>639</v>
      </c>
      <c r="B640" t="s">
        <v>653</v>
      </c>
      <c r="C640" t="s">
        <v>868</v>
      </c>
      <c r="D640" t="s">
        <v>869</v>
      </c>
      <c r="E640" t="s">
        <v>14</v>
      </c>
      <c r="F640" t="s">
        <v>858</v>
      </c>
      <c r="G640" t="s">
        <v>122</v>
      </c>
      <c r="H640" t="s">
        <v>859</v>
      </c>
      <c r="I640" t="s">
        <v>27</v>
      </c>
      <c r="J640" t="s">
        <v>874</v>
      </c>
      <c r="K640">
        <v>7</v>
      </c>
      <c r="L640">
        <v>1</v>
      </c>
      <c r="M640">
        <v>2</v>
      </c>
      <c r="N640">
        <v>0</v>
      </c>
      <c r="O640">
        <f>_xlfn.XLOOKUP(VALINA[[#This Row],[id]],prov_color!A:A,prov_color!C:C)</f>
        <v>52</v>
      </c>
      <c r="P640" t="str">
        <f>_xlfn.XLOOKUP(VALINA[[#This Row],[id]],Table4[id],Table4[name])</f>
        <v>Olga</v>
      </c>
      <c r="Q640" t="str">
        <f>_xlfn.XLOOKUP(VALINA[[#This Row],[name]],Trans!A:A,Trans!B:B)</f>
        <v>Olga</v>
      </c>
    </row>
    <row r="641" spans="1:17" x14ac:dyDescent="0.25">
      <c r="A641">
        <v>640</v>
      </c>
      <c r="B641" t="s">
        <v>653</v>
      </c>
      <c r="C641" t="s">
        <v>868</v>
      </c>
      <c r="D641" t="s">
        <v>869</v>
      </c>
      <c r="E641" t="s">
        <v>22</v>
      </c>
      <c r="F641" t="s">
        <v>858</v>
      </c>
      <c r="G641" t="s">
        <v>122</v>
      </c>
      <c r="H641" t="s">
        <v>859</v>
      </c>
      <c r="I641" t="s">
        <v>27</v>
      </c>
      <c r="J641" t="s">
        <v>875</v>
      </c>
      <c r="K641">
        <v>5</v>
      </c>
      <c r="L641">
        <v>3</v>
      </c>
      <c r="M641">
        <v>2</v>
      </c>
      <c r="N641">
        <v>0</v>
      </c>
      <c r="O641">
        <f>_xlfn.XLOOKUP(VALINA[[#This Row],[id]],prov_color!A:A,prov_color!C:C)</f>
        <v>49</v>
      </c>
      <c r="P641" t="str">
        <f>_xlfn.XLOOKUP(VALINA[[#This Row],[id]],Table4[id],Table4[name])</f>
        <v>Nakhodka</v>
      </c>
      <c r="Q641" t="str">
        <f>_xlfn.XLOOKUP(VALINA[[#This Row],[name]],Trans!A:A,Trans!B:B)</f>
        <v>Nakhodka</v>
      </c>
    </row>
    <row r="642" spans="1:17" x14ac:dyDescent="0.25">
      <c r="A642">
        <v>641</v>
      </c>
      <c r="B642" t="s">
        <v>653</v>
      </c>
      <c r="C642" t="s">
        <v>876</v>
      </c>
      <c r="D642" t="s">
        <v>877</v>
      </c>
      <c r="E642" t="s">
        <v>34</v>
      </c>
      <c r="F642" t="s">
        <v>858</v>
      </c>
      <c r="G642" t="s">
        <v>35</v>
      </c>
      <c r="H642" t="s">
        <v>878</v>
      </c>
      <c r="I642" t="s">
        <v>43</v>
      </c>
      <c r="J642" t="s">
        <v>879</v>
      </c>
      <c r="K642">
        <v>5</v>
      </c>
      <c r="L642">
        <v>9</v>
      </c>
      <c r="M642">
        <v>8</v>
      </c>
      <c r="N642">
        <v>0</v>
      </c>
      <c r="O642">
        <f>_xlfn.XLOOKUP(VALINA[[#This Row],[id]],prov_color!A:A,prov_color!C:C)</f>
        <v>31</v>
      </c>
      <c r="P642" t="str">
        <f>_xlfn.XLOOKUP(VALINA[[#This Row],[id]],Table4[id],Table4[name])</f>
        <v>Kyongju</v>
      </c>
      <c r="Q642" t="str">
        <f>_xlfn.XLOOKUP(VALINA[[#This Row],[name]],Trans!A:A,Trans!B:B)</f>
        <v>Kyongju</v>
      </c>
    </row>
    <row r="643" spans="1:17" x14ac:dyDescent="0.25">
      <c r="A643">
        <v>642</v>
      </c>
      <c r="B643" t="s">
        <v>653</v>
      </c>
      <c r="C643" t="s">
        <v>876</v>
      </c>
      <c r="D643" t="s">
        <v>877</v>
      </c>
      <c r="E643" t="s">
        <v>14</v>
      </c>
      <c r="F643" t="s">
        <v>858</v>
      </c>
      <c r="G643" t="s">
        <v>26</v>
      </c>
      <c r="H643" t="s">
        <v>878</v>
      </c>
      <c r="I643" t="s">
        <v>685</v>
      </c>
      <c r="J643" t="s">
        <v>880</v>
      </c>
      <c r="K643">
        <v>9</v>
      </c>
      <c r="L643">
        <v>13</v>
      </c>
      <c r="M643">
        <v>7</v>
      </c>
      <c r="N643">
        <v>0</v>
      </c>
      <c r="O643">
        <f>_xlfn.XLOOKUP(VALINA[[#This Row],[id]],prov_color!A:A,prov_color!C:C)</f>
        <v>44</v>
      </c>
      <c r="P643" t="str">
        <f>_xlfn.XLOOKUP(VALINA[[#This Row],[id]],Table4[id],Table4[name])</f>
        <v>Yalu</v>
      </c>
      <c r="Q643" t="str">
        <f>_xlfn.XLOOKUP(VALINA[[#This Row],[name]],Trans!A:A,Trans!B:B)</f>
        <v>Yalu</v>
      </c>
    </row>
    <row r="644" spans="1:17" x14ac:dyDescent="0.25">
      <c r="A644">
        <v>643</v>
      </c>
      <c r="B644" t="s">
        <v>653</v>
      </c>
      <c r="C644" t="s">
        <v>868</v>
      </c>
      <c r="D644" t="s">
        <v>869</v>
      </c>
      <c r="E644" t="s">
        <v>14</v>
      </c>
      <c r="F644" t="s">
        <v>858</v>
      </c>
      <c r="G644" t="s">
        <v>26</v>
      </c>
      <c r="H644" t="s">
        <v>859</v>
      </c>
      <c r="I644" t="s">
        <v>141</v>
      </c>
      <c r="J644" t="s">
        <v>881</v>
      </c>
      <c r="K644">
        <v>6</v>
      </c>
      <c r="L644">
        <v>6</v>
      </c>
      <c r="M644">
        <v>7</v>
      </c>
      <c r="N644">
        <v>0</v>
      </c>
      <c r="O644">
        <f>_xlfn.XLOOKUP(VALINA[[#This Row],[id]],prov_color!A:A,prov_color!C:C)</f>
        <v>57</v>
      </c>
      <c r="P644" t="str">
        <f>_xlfn.XLOOKUP(VALINA[[#This Row],[id]],Table4[id],Table4[name])</f>
        <v>Jilin</v>
      </c>
      <c r="Q644" t="str">
        <f>_xlfn.XLOOKUP(VALINA[[#This Row],[name]],Trans!A:A,Trans!B:B)</f>
        <v>Jilin</v>
      </c>
    </row>
    <row r="645" spans="1:17" x14ac:dyDescent="0.25">
      <c r="A645">
        <v>644</v>
      </c>
      <c r="B645" t="s">
        <v>653</v>
      </c>
      <c r="C645" t="s">
        <v>868</v>
      </c>
      <c r="D645" t="s">
        <v>869</v>
      </c>
      <c r="E645" t="s">
        <v>34</v>
      </c>
      <c r="F645" t="s">
        <v>858</v>
      </c>
      <c r="G645" t="s">
        <v>26</v>
      </c>
      <c r="H645" t="s">
        <v>859</v>
      </c>
      <c r="I645" t="s">
        <v>687</v>
      </c>
      <c r="J645" t="s">
        <v>882</v>
      </c>
      <c r="K645">
        <v>5</v>
      </c>
      <c r="L645">
        <v>6</v>
      </c>
      <c r="M645">
        <v>3</v>
      </c>
      <c r="N645">
        <v>0</v>
      </c>
      <c r="O645">
        <f>_xlfn.XLOOKUP(VALINA[[#This Row],[id]],prov_color!A:A,prov_color!C:C)</f>
        <v>46</v>
      </c>
      <c r="P645" t="str">
        <f>_xlfn.XLOOKUP(VALINA[[#This Row],[id]],Table4[id],Table4[name])</f>
        <v>Baicheng</v>
      </c>
      <c r="Q645" t="str">
        <f>_xlfn.XLOOKUP(VALINA[[#This Row],[name]],Trans!A:A,Trans!B:B)</f>
        <v>Baicheng</v>
      </c>
    </row>
    <row r="646" spans="1:17" x14ac:dyDescent="0.25">
      <c r="A646">
        <v>645</v>
      </c>
      <c r="B646" t="s">
        <v>653</v>
      </c>
      <c r="C646" t="s">
        <v>868</v>
      </c>
      <c r="D646" t="s">
        <v>869</v>
      </c>
      <c r="E646" t="s">
        <v>34</v>
      </c>
      <c r="F646" t="s">
        <v>858</v>
      </c>
      <c r="G646" t="s">
        <v>26</v>
      </c>
      <c r="H646" t="s">
        <v>859</v>
      </c>
      <c r="I646" t="s">
        <v>352</v>
      </c>
      <c r="J646" t="s">
        <v>883</v>
      </c>
      <c r="K646">
        <v>5</v>
      </c>
      <c r="L646">
        <v>9</v>
      </c>
      <c r="M646">
        <v>2</v>
      </c>
      <c r="N646">
        <v>0</v>
      </c>
      <c r="O646">
        <f>_xlfn.XLOOKUP(VALINA[[#This Row],[id]],prov_color!A:A,prov_color!C:C)</f>
        <v>44</v>
      </c>
      <c r="P646" t="str">
        <f>_xlfn.XLOOKUP(VALINA[[#This Row],[id]],Table4[id],Table4[name])</f>
        <v>Jehol</v>
      </c>
      <c r="Q646" t="str">
        <f>_xlfn.XLOOKUP(VALINA[[#This Row],[name]],Trans!A:A,Trans!B:B)</f>
        <v>Jehol</v>
      </c>
    </row>
    <row r="647" spans="1:17" x14ac:dyDescent="0.25">
      <c r="A647">
        <v>646</v>
      </c>
      <c r="B647" t="s">
        <v>653</v>
      </c>
      <c r="C647" t="s">
        <v>868</v>
      </c>
      <c r="D647" t="s">
        <v>869</v>
      </c>
      <c r="E647" t="s">
        <v>34</v>
      </c>
      <c r="F647" t="s">
        <v>858</v>
      </c>
      <c r="G647" t="s">
        <v>26</v>
      </c>
      <c r="H647" t="s">
        <v>859</v>
      </c>
      <c r="I647" t="s">
        <v>27</v>
      </c>
      <c r="J647" t="s">
        <v>884</v>
      </c>
      <c r="K647">
        <v>4</v>
      </c>
      <c r="L647">
        <v>8</v>
      </c>
      <c r="M647">
        <v>5</v>
      </c>
      <c r="N647">
        <v>0</v>
      </c>
      <c r="O647">
        <f>_xlfn.XLOOKUP(VALINA[[#This Row],[id]],prov_color!A:A,prov_color!C:C)</f>
        <v>40</v>
      </c>
      <c r="P647" t="str">
        <f>_xlfn.XLOOKUP(VALINA[[#This Row],[id]],Table4[id],Table4[name])</f>
        <v>Liaotung</v>
      </c>
      <c r="Q647" t="str">
        <f>_xlfn.XLOOKUP(VALINA[[#This Row],[name]],Trans!A:A,Trans!B:B)</f>
        <v>Liaotung</v>
      </c>
    </row>
    <row r="648" spans="1:17" x14ac:dyDescent="0.25">
      <c r="A648">
        <v>647</v>
      </c>
      <c r="B648" t="s">
        <v>653</v>
      </c>
      <c r="C648" t="s">
        <v>868</v>
      </c>
      <c r="D648" t="s">
        <v>885</v>
      </c>
      <c r="E648" t="s">
        <v>34</v>
      </c>
      <c r="F648" t="s">
        <v>858</v>
      </c>
      <c r="G648" t="s">
        <v>35</v>
      </c>
      <c r="H648" t="s">
        <v>886</v>
      </c>
      <c r="I648" t="s">
        <v>43</v>
      </c>
      <c r="J648" t="s">
        <v>887</v>
      </c>
      <c r="K648">
        <v>5</v>
      </c>
      <c r="L648">
        <v>19</v>
      </c>
      <c r="M648">
        <v>5</v>
      </c>
      <c r="N648">
        <v>0</v>
      </c>
      <c r="O648">
        <f>_xlfn.XLOOKUP(VALINA[[#This Row],[id]],prov_color!A:A,prov_color!C:C)</f>
        <v>37</v>
      </c>
      <c r="P648" t="str">
        <f>_xlfn.XLOOKUP(VALINA[[#This Row],[id]],Table4[id],Table4[name])</f>
        <v>Liaoning</v>
      </c>
      <c r="Q648" t="str">
        <f>_xlfn.XLOOKUP(VALINA[[#This Row],[name]],Trans!A:A,Trans!B:B)</f>
        <v>Liaoning</v>
      </c>
    </row>
    <row r="649" spans="1:17" x14ac:dyDescent="0.25">
      <c r="A649">
        <v>648</v>
      </c>
      <c r="B649" t="s">
        <v>653</v>
      </c>
      <c r="C649" t="s">
        <v>868</v>
      </c>
      <c r="D649" t="s">
        <v>885</v>
      </c>
      <c r="E649" t="s">
        <v>34</v>
      </c>
      <c r="F649" t="s">
        <v>858</v>
      </c>
      <c r="G649" t="s">
        <v>26</v>
      </c>
      <c r="H649" t="s">
        <v>886</v>
      </c>
      <c r="I649" t="s">
        <v>41</v>
      </c>
      <c r="J649" t="s">
        <v>888</v>
      </c>
      <c r="K649">
        <v>6</v>
      </c>
      <c r="L649">
        <v>9</v>
      </c>
      <c r="M649">
        <v>4</v>
      </c>
      <c r="N649">
        <v>0</v>
      </c>
      <c r="O649">
        <f>_xlfn.XLOOKUP(VALINA[[#This Row],[id]],prov_color!A:A,prov_color!C:C)</f>
        <v>42</v>
      </c>
      <c r="P649" t="str">
        <f>_xlfn.XLOOKUP(VALINA[[#This Row],[id]],Table4[id],Table4[name])</f>
        <v>Hepei</v>
      </c>
      <c r="Q649" t="str">
        <f>_xlfn.XLOOKUP(VALINA[[#This Row],[name]],Trans!A:A,Trans!B:B)</f>
        <v>Hepei</v>
      </c>
    </row>
    <row r="650" spans="1:17" x14ac:dyDescent="0.25">
      <c r="A650">
        <v>649</v>
      </c>
      <c r="B650" t="s">
        <v>653</v>
      </c>
      <c r="C650" t="s">
        <v>868</v>
      </c>
      <c r="D650" t="s">
        <v>885</v>
      </c>
      <c r="E650" t="s">
        <v>34</v>
      </c>
      <c r="F650" t="s">
        <v>858</v>
      </c>
      <c r="G650" t="s">
        <v>35</v>
      </c>
      <c r="H650" t="s">
        <v>886</v>
      </c>
      <c r="I650" t="s">
        <v>687</v>
      </c>
      <c r="J650" t="s">
        <v>889</v>
      </c>
      <c r="K650">
        <v>4</v>
      </c>
      <c r="L650">
        <v>15</v>
      </c>
      <c r="M650">
        <v>10</v>
      </c>
      <c r="N650">
        <v>0</v>
      </c>
      <c r="O650">
        <f>_xlfn.XLOOKUP(VALINA[[#This Row],[id]],prov_color!A:A,prov_color!C:C)</f>
        <v>46</v>
      </c>
      <c r="P650" t="str">
        <f>_xlfn.XLOOKUP(VALINA[[#This Row],[id]],Table4[id],Table4[name])</f>
        <v>Hebei</v>
      </c>
      <c r="Q650" t="str">
        <f>_xlfn.XLOOKUP(VALINA[[#This Row],[name]],Trans!A:A,Trans!B:B)</f>
        <v>Hebei</v>
      </c>
    </row>
    <row r="651" spans="1:17" x14ac:dyDescent="0.25">
      <c r="A651">
        <v>650</v>
      </c>
      <c r="B651" t="s">
        <v>653</v>
      </c>
      <c r="C651" t="s">
        <v>868</v>
      </c>
      <c r="D651" t="s">
        <v>885</v>
      </c>
      <c r="E651" t="s">
        <v>14</v>
      </c>
      <c r="F651" t="s">
        <v>858</v>
      </c>
      <c r="G651" t="s">
        <v>35</v>
      </c>
      <c r="H651" t="s">
        <v>886</v>
      </c>
      <c r="I651" t="s">
        <v>43</v>
      </c>
      <c r="J651" t="s">
        <v>890</v>
      </c>
      <c r="K651">
        <v>5</v>
      </c>
      <c r="L651">
        <v>10</v>
      </c>
      <c r="M651">
        <v>6</v>
      </c>
      <c r="N651">
        <v>0</v>
      </c>
      <c r="O651">
        <f>_xlfn.XLOOKUP(VALINA[[#This Row],[id]],prov_color!A:A,prov_color!C:C)</f>
        <v>53</v>
      </c>
      <c r="P651" t="str">
        <f>_xlfn.XLOOKUP(VALINA[[#This Row],[id]],Table4[id],Table4[name])</f>
        <v>Shandong</v>
      </c>
      <c r="Q651" t="str">
        <f>_xlfn.XLOOKUP(VALINA[[#This Row],[name]],Trans!A:A,Trans!B:B)</f>
        <v>Shandong</v>
      </c>
    </row>
    <row r="652" spans="1:17" x14ac:dyDescent="0.25">
      <c r="A652">
        <v>651</v>
      </c>
      <c r="B652" t="s">
        <v>653</v>
      </c>
      <c r="C652" t="s">
        <v>868</v>
      </c>
      <c r="D652" t="s">
        <v>885</v>
      </c>
      <c r="E652" t="s">
        <v>34</v>
      </c>
      <c r="F652" t="s">
        <v>858</v>
      </c>
      <c r="G652" t="s">
        <v>35</v>
      </c>
      <c r="H652" t="s">
        <v>886</v>
      </c>
      <c r="I652" t="s">
        <v>43</v>
      </c>
      <c r="J652" t="s">
        <v>891</v>
      </c>
      <c r="K652">
        <v>4</v>
      </c>
      <c r="L652">
        <v>12</v>
      </c>
      <c r="M652">
        <v>5</v>
      </c>
      <c r="N652">
        <v>0</v>
      </c>
      <c r="O652">
        <f>_xlfn.XLOOKUP(VALINA[[#This Row],[id]],prov_color!A:A,prov_color!C:C)</f>
        <v>35</v>
      </c>
      <c r="P652" t="str">
        <f>_xlfn.XLOOKUP(VALINA[[#This Row],[id]],Table4[id],Table4[name])</f>
        <v>Jinan</v>
      </c>
      <c r="Q652" t="str">
        <f>_xlfn.XLOOKUP(VALINA[[#This Row],[name]],Trans!A:A,Trans!B:B)</f>
        <v>Jinan</v>
      </c>
    </row>
    <row r="653" spans="1:17" x14ac:dyDescent="0.25">
      <c r="A653">
        <v>652</v>
      </c>
      <c r="B653" t="s">
        <v>653</v>
      </c>
      <c r="C653" t="s">
        <v>868</v>
      </c>
      <c r="D653" t="s">
        <v>892</v>
      </c>
      <c r="E653" t="s">
        <v>34</v>
      </c>
      <c r="F653" t="s">
        <v>858</v>
      </c>
      <c r="G653" t="s">
        <v>35</v>
      </c>
      <c r="H653" t="s">
        <v>886</v>
      </c>
      <c r="I653" t="s">
        <v>43</v>
      </c>
      <c r="J653" t="s">
        <v>893</v>
      </c>
      <c r="K653">
        <v>9</v>
      </c>
      <c r="L653">
        <v>15</v>
      </c>
      <c r="M653">
        <v>8</v>
      </c>
      <c r="N653">
        <v>0</v>
      </c>
      <c r="O653">
        <f>_xlfn.XLOOKUP(VALINA[[#This Row],[id]],prov_color!A:A,prov_color!C:C)</f>
        <v>33</v>
      </c>
      <c r="P653" t="str">
        <f>_xlfn.XLOOKUP(VALINA[[#This Row],[id]],Table4[id],Table4[name])</f>
        <v>Jiangsu</v>
      </c>
      <c r="Q653" t="str">
        <f>_xlfn.XLOOKUP(VALINA[[#This Row],[name]],Trans!A:A,Trans!B:B)</f>
        <v>Jiangsu</v>
      </c>
    </row>
    <row r="654" spans="1:17" x14ac:dyDescent="0.25">
      <c r="A654">
        <v>653</v>
      </c>
      <c r="B654" t="s">
        <v>653</v>
      </c>
      <c r="C654" t="s">
        <v>868</v>
      </c>
      <c r="D654" t="s">
        <v>892</v>
      </c>
      <c r="E654" t="s">
        <v>80</v>
      </c>
      <c r="F654" t="s">
        <v>858</v>
      </c>
      <c r="G654" t="s">
        <v>75</v>
      </c>
      <c r="H654" t="s">
        <v>886</v>
      </c>
      <c r="I654" t="s">
        <v>685</v>
      </c>
      <c r="J654" t="s">
        <v>892</v>
      </c>
      <c r="K654">
        <v>9</v>
      </c>
      <c r="L654">
        <v>18</v>
      </c>
      <c r="M654">
        <v>8</v>
      </c>
      <c r="N654">
        <v>0</v>
      </c>
      <c r="O654">
        <f>_xlfn.XLOOKUP(VALINA[[#This Row],[id]],prov_color!A:A,prov_color!C:C)</f>
        <v>34</v>
      </c>
      <c r="P654" t="str">
        <f>_xlfn.XLOOKUP(VALINA[[#This Row],[id]],Table4[id],Table4[name])</f>
        <v>Shanghai</v>
      </c>
      <c r="Q654" t="str">
        <f>_xlfn.XLOOKUP(VALINA[[#This Row],[name]],Trans!A:A,Trans!B:B)</f>
        <v>Shanghai</v>
      </c>
    </row>
    <row r="655" spans="1:17" x14ac:dyDescent="0.25">
      <c r="A655">
        <v>654</v>
      </c>
      <c r="B655" t="s">
        <v>653</v>
      </c>
      <c r="C655" t="s">
        <v>868</v>
      </c>
      <c r="D655" t="s">
        <v>892</v>
      </c>
      <c r="E655" t="s">
        <v>34</v>
      </c>
      <c r="F655" t="s">
        <v>858</v>
      </c>
      <c r="G655" t="s">
        <v>75</v>
      </c>
      <c r="H655" t="s">
        <v>886</v>
      </c>
      <c r="I655" t="s">
        <v>43</v>
      </c>
      <c r="J655" t="s">
        <v>894</v>
      </c>
      <c r="K655">
        <v>9</v>
      </c>
      <c r="L655">
        <v>16</v>
      </c>
      <c r="M655">
        <v>6</v>
      </c>
      <c r="N655">
        <v>0</v>
      </c>
      <c r="O655">
        <f>_xlfn.XLOOKUP(VALINA[[#This Row],[id]],prov_color!A:A,prov_color!C:C)</f>
        <v>44</v>
      </c>
      <c r="P655" t="str">
        <f>_xlfn.XLOOKUP(VALINA[[#This Row],[id]],Table4[id],Table4[name])</f>
        <v>Anhui</v>
      </c>
      <c r="Q655" t="str">
        <f>_xlfn.XLOOKUP(VALINA[[#This Row],[name]],Trans!A:A,Trans!B:B)</f>
        <v>Anhui</v>
      </c>
    </row>
    <row r="656" spans="1:17" x14ac:dyDescent="0.25">
      <c r="A656">
        <v>655</v>
      </c>
      <c r="B656" t="s">
        <v>653</v>
      </c>
      <c r="C656" t="s">
        <v>868</v>
      </c>
      <c r="D656" t="s">
        <v>892</v>
      </c>
      <c r="E656" t="s">
        <v>14</v>
      </c>
      <c r="F656" t="s">
        <v>858</v>
      </c>
      <c r="G656" t="s">
        <v>75</v>
      </c>
      <c r="H656" t="s">
        <v>886</v>
      </c>
      <c r="I656" t="s">
        <v>27</v>
      </c>
      <c r="J656" t="s">
        <v>895</v>
      </c>
      <c r="K656">
        <v>9</v>
      </c>
      <c r="L656">
        <v>15</v>
      </c>
      <c r="M656">
        <v>6</v>
      </c>
      <c r="N656">
        <v>0</v>
      </c>
      <c r="O656">
        <f>_xlfn.XLOOKUP(VALINA[[#This Row],[id]],prov_color!A:A,prov_color!C:C)</f>
        <v>38</v>
      </c>
      <c r="P656" t="str">
        <f>_xlfn.XLOOKUP(VALINA[[#This Row],[id]],Table4[id],Table4[name])</f>
        <v>Zhejiang</v>
      </c>
      <c r="Q656" t="str">
        <f>_xlfn.XLOOKUP(VALINA[[#This Row],[name]],Trans!A:A,Trans!B:B)</f>
        <v>Zhejiang</v>
      </c>
    </row>
    <row r="657" spans="1:17" x14ac:dyDescent="0.25">
      <c r="A657">
        <v>656</v>
      </c>
      <c r="B657" t="s">
        <v>653</v>
      </c>
      <c r="C657" t="s">
        <v>868</v>
      </c>
      <c r="D657" t="s">
        <v>896</v>
      </c>
      <c r="E657" t="s">
        <v>22</v>
      </c>
      <c r="F657" t="s">
        <v>858</v>
      </c>
      <c r="G657" t="s">
        <v>75</v>
      </c>
      <c r="H657" t="s">
        <v>886</v>
      </c>
      <c r="I657" t="s">
        <v>687</v>
      </c>
      <c r="J657" t="s">
        <v>897</v>
      </c>
      <c r="K657">
        <v>9</v>
      </c>
      <c r="L657">
        <v>9</v>
      </c>
      <c r="M657">
        <v>4</v>
      </c>
      <c r="N657">
        <v>0</v>
      </c>
      <c r="O657">
        <f>_xlfn.XLOOKUP(VALINA[[#This Row],[id]],prov_color!A:A,prov_color!C:C)</f>
        <v>44</v>
      </c>
      <c r="P657" t="str">
        <f>_xlfn.XLOOKUP(VALINA[[#This Row],[id]],Table4[id],Table4[name])</f>
        <v>Fujian</v>
      </c>
      <c r="Q657" t="str">
        <f>_xlfn.XLOOKUP(VALINA[[#This Row],[name]],Trans!A:A,Trans!B:B)</f>
        <v>Fujian</v>
      </c>
    </row>
    <row r="658" spans="1:17" x14ac:dyDescent="0.25">
      <c r="A658">
        <v>657</v>
      </c>
      <c r="B658" t="s">
        <v>653</v>
      </c>
      <c r="C658" t="s">
        <v>868</v>
      </c>
      <c r="D658" t="s">
        <v>896</v>
      </c>
      <c r="E658" t="s">
        <v>14</v>
      </c>
      <c r="F658" t="s">
        <v>858</v>
      </c>
      <c r="G658" t="s">
        <v>75</v>
      </c>
      <c r="H658" t="s">
        <v>898</v>
      </c>
      <c r="I658" t="s">
        <v>685</v>
      </c>
      <c r="J658" t="s">
        <v>899</v>
      </c>
      <c r="K658">
        <v>9</v>
      </c>
      <c r="L658">
        <v>10</v>
      </c>
      <c r="M658">
        <v>6</v>
      </c>
      <c r="N658">
        <v>0</v>
      </c>
      <c r="O658">
        <f>_xlfn.XLOOKUP(VALINA[[#This Row],[id]],prov_color!A:A,prov_color!C:C)</f>
        <v>36</v>
      </c>
      <c r="P658" t="str">
        <f>_xlfn.XLOOKUP(VALINA[[#This Row],[id]],Table4[id],Table4[name])</f>
        <v>Kowloon</v>
      </c>
      <c r="Q658" t="str">
        <f>_xlfn.XLOOKUP(VALINA[[#This Row],[name]],Trans!A:A,Trans!B:B)</f>
        <v>Kowloon</v>
      </c>
    </row>
    <row r="659" spans="1:17" x14ac:dyDescent="0.25">
      <c r="A659">
        <v>658</v>
      </c>
      <c r="B659" t="s">
        <v>653</v>
      </c>
      <c r="C659" t="s">
        <v>868</v>
      </c>
      <c r="D659" t="s">
        <v>896</v>
      </c>
      <c r="E659" t="s">
        <v>22</v>
      </c>
      <c r="F659" t="s">
        <v>858</v>
      </c>
      <c r="G659" t="s">
        <v>75</v>
      </c>
      <c r="H659" t="s">
        <v>898</v>
      </c>
      <c r="I659" t="s">
        <v>685</v>
      </c>
      <c r="J659" t="s">
        <v>900</v>
      </c>
      <c r="K659">
        <v>9</v>
      </c>
      <c r="L659">
        <v>8</v>
      </c>
      <c r="M659">
        <v>5</v>
      </c>
      <c r="N659">
        <v>0</v>
      </c>
      <c r="O659">
        <f>_xlfn.XLOOKUP(VALINA[[#This Row],[id]],prov_color!A:A,prov_color!C:C)</f>
        <v>34</v>
      </c>
      <c r="P659" t="str">
        <f>_xlfn.XLOOKUP(VALINA[[#This Row],[id]],Table4[id],Table4[name])</f>
        <v>Guangzhou</v>
      </c>
      <c r="Q659" t="str">
        <f>_xlfn.XLOOKUP(VALINA[[#This Row],[name]],Trans!A:A,Trans!B:B)</f>
        <v>Guangzhou</v>
      </c>
    </row>
    <row r="660" spans="1:17" x14ac:dyDescent="0.25">
      <c r="A660">
        <v>659</v>
      </c>
      <c r="B660" t="s">
        <v>653</v>
      </c>
      <c r="C660" t="s">
        <v>868</v>
      </c>
      <c r="D660" t="s">
        <v>896</v>
      </c>
      <c r="E660" t="s">
        <v>34</v>
      </c>
      <c r="F660" t="s">
        <v>858</v>
      </c>
      <c r="G660" t="s">
        <v>75</v>
      </c>
      <c r="H660" t="s">
        <v>898</v>
      </c>
      <c r="I660" t="s">
        <v>685</v>
      </c>
      <c r="J660" t="s">
        <v>901</v>
      </c>
      <c r="K660">
        <v>9</v>
      </c>
      <c r="L660">
        <v>19</v>
      </c>
      <c r="M660">
        <v>5</v>
      </c>
      <c r="N660">
        <v>0</v>
      </c>
      <c r="O660">
        <f>_xlfn.XLOOKUP(VALINA[[#This Row],[id]],prov_color!A:A,prov_color!C:C)</f>
        <v>40</v>
      </c>
      <c r="P660" t="str">
        <f>_xlfn.XLOOKUP(VALINA[[#This Row],[id]],Table4[id],Table4[name])</f>
        <v>Guangdong</v>
      </c>
      <c r="Q660" t="str">
        <f>_xlfn.XLOOKUP(VALINA[[#This Row],[name]],Trans!A:A,Trans!B:B)</f>
        <v>Guangdong</v>
      </c>
    </row>
    <row r="661" spans="1:17" x14ac:dyDescent="0.25">
      <c r="A661">
        <v>660</v>
      </c>
      <c r="B661" t="s">
        <v>653</v>
      </c>
      <c r="C661" t="s">
        <v>868</v>
      </c>
      <c r="D661" t="s">
        <v>896</v>
      </c>
      <c r="E661" t="s">
        <v>34</v>
      </c>
      <c r="F661" t="s">
        <v>858</v>
      </c>
      <c r="G661" t="s">
        <v>75</v>
      </c>
      <c r="H661" t="s">
        <v>898</v>
      </c>
      <c r="I661" t="s">
        <v>27</v>
      </c>
      <c r="J661" t="s">
        <v>902</v>
      </c>
      <c r="K661">
        <v>9</v>
      </c>
      <c r="L661">
        <v>6</v>
      </c>
      <c r="M661">
        <v>3</v>
      </c>
      <c r="N661">
        <v>0</v>
      </c>
      <c r="O661">
        <f>_xlfn.XLOOKUP(VALINA[[#This Row],[id]],prov_color!A:A,prov_color!C:C)</f>
        <v>14</v>
      </c>
      <c r="P661" t="str">
        <f>_xlfn.XLOOKUP(VALINA[[#This Row],[id]],Table4[id],Table4[name])</f>
        <v>Hainan</v>
      </c>
      <c r="Q661" t="str">
        <f>_xlfn.XLOOKUP(VALINA[[#This Row],[name]],Trans!A:A,Trans!B:B)</f>
        <v>Hainan</v>
      </c>
    </row>
    <row r="662" spans="1:17" x14ac:dyDescent="0.25">
      <c r="A662">
        <v>661</v>
      </c>
      <c r="B662" t="s">
        <v>653</v>
      </c>
      <c r="C662" t="s">
        <v>868</v>
      </c>
      <c r="D662" t="s">
        <v>896</v>
      </c>
      <c r="E662" t="s">
        <v>14</v>
      </c>
      <c r="F662" t="s">
        <v>858</v>
      </c>
      <c r="G662" t="s">
        <v>75</v>
      </c>
      <c r="H662" t="s">
        <v>898</v>
      </c>
      <c r="I662" t="s">
        <v>685</v>
      </c>
      <c r="J662" t="s">
        <v>903</v>
      </c>
      <c r="K662">
        <v>9</v>
      </c>
      <c r="L662">
        <v>9</v>
      </c>
      <c r="M662">
        <v>4</v>
      </c>
      <c r="N662">
        <v>0</v>
      </c>
      <c r="O662">
        <f>_xlfn.XLOOKUP(VALINA[[#This Row],[id]],prov_color!A:A,prov_color!C:C)</f>
        <v>35</v>
      </c>
      <c r="P662" t="str">
        <f>_xlfn.XLOOKUP(VALINA[[#This Row],[id]],Table4[id],Table4[name])</f>
        <v>Guangxi</v>
      </c>
      <c r="Q662" t="str">
        <f>_xlfn.XLOOKUP(VALINA[[#This Row],[name]],Trans!A:A,Trans!B:B)</f>
        <v>Guangxi</v>
      </c>
    </row>
    <row r="663" spans="1:17" x14ac:dyDescent="0.25">
      <c r="A663">
        <v>662</v>
      </c>
      <c r="B663" t="s">
        <v>653</v>
      </c>
      <c r="C663" t="s">
        <v>904</v>
      </c>
      <c r="D663" t="s">
        <v>905</v>
      </c>
      <c r="E663" t="s">
        <v>80</v>
      </c>
      <c r="F663" t="s">
        <v>799</v>
      </c>
      <c r="G663" t="s">
        <v>75</v>
      </c>
      <c r="H663" t="s">
        <v>906</v>
      </c>
      <c r="I663" t="s">
        <v>1612</v>
      </c>
      <c r="J663" t="s">
        <v>907</v>
      </c>
      <c r="K663">
        <v>5</v>
      </c>
      <c r="L663">
        <v>11</v>
      </c>
      <c r="M663">
        <v>6</v>
      </c>
      <c r="N663">
        <v>0</v>
      </c>
      <c r="O663">
        <f>_xlfn.XLOOKUP(VALINA[[#This Row],[id]],prov_color!A:A,prov_color!C:C)</f>
        <v>30</v>
      </c>
      <c r="P663" t="str">
        <f>_xlfn.XLOOKUP(VALINA[[#This Row],[id]],Table4[id],Table4[name])</f>
        <v>Hanoi</v>
      </c>
      <c r="Q663" t="str">
        <f>_xlfn.XLOOKUP(VALINA[[#This Row],[name]],Trans!A:A,Trans!B:B)</f>
        <v>Hanoi</v>
      </c>
    </row>
    <row r="664" spans="1:17" x14ac:dyDescent="0.25">
      <c r="A664">
        <v>663</v>
      </c>
      <c r="B664" t="s">
        <v>653</v>
      </c>
      <c r="C664" t="s">
        <v>904</v>
      </c>
      <c r="D664" t="s">
        <v>905</v>
      </c>
      <c r="E664" t="s">
        <v>22</v>
      </c>
      <c r="F664" t="s">
        <v>799</v>
      </c>
      <c r="G664" t="s">
        <v>75</v>
      </c>
      <c r="H664" t="s">
        <v>906</v>
      </c>
      <c r="I664" t="s">
        <v>27</v>
      </c>
      <c r="J664" t="s">
        <v>908</v>
      </c>
      <c r="K664">
        <v>6</v>
      </c>
      <c r="L664">
        <v>8</v>
      </c>
      <c r="M664">
        <v>5</v>
      </c>
      <c r="N664">
        <v>0</v>
      </c>
      <c r="O664">
        <f>_xlfn.XLOOKUP(VALINA[[#This Row],[id]],prov_color!A:A,prov_color!C:C)</f>
        <v>36</v>
      </c>
      <c r="P664" t="str">
        <f>_xlfn.XLOOKUP(VALINA[[#This Row],[id]],Table4[id],Table4[name])</f>
        <v>Tanh Noah</v>
      </c>
      <c r="Q664" t="str">
        <f>_xlfn.XLOOKUP(VALINA[[#This Row],[name]],Trans!A:A,Trans!B:B)</f>
        <v>Tanh Noah</v>
      </c>
    </row>
    <row r="665" spans="1:17" x14ac:dyDescent="0.25">
      <c r="A665">
        <v>664</v>
      </c>
      <c r="B665" t="s">
        <v>653</v>
      </c>
      <c r="C665" t="s">
        <v>904</v>
      </c>
      <c r="D665" t="s">
        <v>905</v>
      </c>
      <c r="E665" t="s">
        <v>14</v>
      </c>
      <c r="F665" t="s">
        <v>748</v>
      </c>
      <c r="G665" t="s">
        <v>75</v>
      </c>
      <c r="H665" t="s">
        <v>909</v>
      </c>
      <c r="I665" t="s">
        <v>685</v>
      </c>
      <c r="J665" t="s">
        <v>910</v>
      </c>
      <c r="K665">
        <v>7</v>
      </c>
      <c r="L665">
        <v>8</v>
      </c>
      <c r="M665">
        <v>5</v>
      </c>
      <c r="N665">
        <v>0</v>
      </c>
      <c r="O665">
        <f>_xlfn.XLOOKUP(VALINA[[#This Row],[id]],prov_color!A:A,prov_color!C:C)</f>
        <v>56</v>
      </c>
      <c r="P665" t="str">
        <f>_xlfn.XLOOKUP(VALINA[[#This Row],[id]],Table4[id],Table4[name])</f>
        <v>Da Nang</v>
      </c>
      <c r="Q665" t="str">
        <f>_xlfn.XLOOKUP(VALINA[[#This Row],[name]],Trans!A:A,Trans!B:B)</f>
        <v>Da Nang</v>
      </c>
    </row>
    <row r="666" spans="1:17" x14ac:dyDescent="0.25">
      <c r="A666">
        <v>665</v>
      </c>
      <c r="B666" t="s">
        <v>653</v>
      </c>
      <c r="C666" t="s">
        <v>904</v>
      </c>
      <c r="D666" t="s">
        <v>905</v>
      </c>
      <c r="E666" t="s">
        <v>22</v>
      </c>
      <c r="F666" t="s">
        <v>748</v>
      </c>
      <c r="G666" t="s">
        <v>75</v>
      </c>
      <c r="H666" t="s">
        <v>909</v>
      </c>
      <c r="I666" t="s">
        <v>27</v>
      </c>
      <c r="J666" t="s">
        <v>911</v>
      </c>
      <c r="K666">
        <v>6</v>
      </c>
      <c r="L666">
        <v>7</v>
      </c>
      <c r="M666">
        <v>3</v>
      </c>
      <c r="N666">
        <v>0</v>
      </c>
      <c r="O666">
        <f>_xlfn.XLOOKUP(VALINA[[#This Row],[id]],prov_color!A:A,prov_color!C:C)</f>
        <v>46</v>
      </c>
      <c r="P666" t="str">
        <f>_xlfn.XLOOKUP(VALINA[[#This Row],[id]],Table4[id],Table4[name])</f>
        <v>Da Lat</v>
      </c>
      <c r="Q666" t="str">
        <f>_xlfn.XLOOKUP(VALINA[[#This Row],[name]],Trans!A:A,Trans!B:B)</f>
        <v>Da Lat</v>
      </c>
    </row>
    <row r="667" spans="1:17" x14ac:dyDescent="0.25">
      <c r="A667">
        <v>666</v>
      </c>
      <c r="B667" t="s">
        <v>653</v>
      </c>
      <c r="C667" t="s">
        <v>904</v>
      </c>
      <c r="D667" t="s">
        <v>905</v>
      </c>
      <c r="E667" t="s">
        <v>80</v>
      </c>
      <c r="F667" t="s">
        <v>799</v>
      </c>
      <c r="G667" t="s">
        <v>75</v>
      </c>
      <c r="H667" t="s">
        <v>912</v>
      </c>
      <c r="I667" t="s">
        <v>687</v>
      </c>
      <c r="J667" t="s">
        <v>913</v>
      </c>
      <c r="K667">
        <v>6</v>
      </c>
      <c r="L667">
        <v>7</v>
      </c>
      <c r="M667">
        <v>4</v>
      </c>
      <c r="N667">
        <v>0</v>
      </c>
      <c r="O667">
        <f>_xlfn.XLOOKUP(VALINA[[#This Row],[id]],prov_color!A:A,prov_color!C:C)</f>
        <v>28</v>
      </c>
      <c r="P667" t="str">
        <f>_xlfn.XLOOKUP(VALINA[[#This Row],[id]],Table4[id],Table4[name])</f>
        <v>Mekong Delta</v>
      </c>
      <c r="Q667" t="str">
        <f>_xlfn.XLOOKUP(VALINA[[#This Row],[name]],Trans!A:A,Trans!B:B)</f>
        <v>Mekong Delta</v>
      </c>
    </row>
    <row r="668" spans="1:17" x14ac:dyDescent="0.25">
      <c r="A668">
        <v>667</v>
      </c>
      <c r="B668" t="s">
        <v>653</v>
      </c>
      <c r="C668" t="s">
        <v>904</v>
      </c>
      <c r="D668" t="s">
        <v>914</v>
      </c>
      <c r="E668" t="s">
        <v>80</v>
      </c>
      <c r="F668" t="s">
        <v>799</v>
      </c>
      <c r="G668" t="s">
        <v>75</v>
      </c>
      <c r="H668" t="s">
        <v>912</v>
      </c>
      <c r="I668" t="s">
        <v>915</v>
      </c>
      <c r="J668" t="s">
        <v>916</v>
      </c>
      <c r="K668">
        <v>9</v>
      </c>
      <c r="L668">
        <v>7</v>
      </c>
      <c r="M668">
        <v>3</v>
      </c>
      <c r="N668">
        <v>0</v>
      </c>
      <c r="O668">
        <f>_xlfn.XLOOKUP(VALINA[[#This Row],[id]],prov_color!A:A,prov_color!C:C)</f>
        <v>35</v>
      </c>
      <c r="P668" t="str">
        <f>_xlfn.XLOOKUP(VALINA[[#This Row],[id]],Table4[id],Table4[name])</f>
        <v>Khmer</v>
      </c>
      <c r="Q668" t="str">
        <f>_xlfn.XLOOKUP(VALINA[[#This Row],[name]],Trans!A:A,Trans!B:B)</f>
        <v>Khmer</v>
      </c>
    </row>
    <row r="669" spans="1:17" x14ac:dyDescent="0.25">
      <c r="A669">
        <v>668</v>
      </c>
      <c r="B669" t="s">
        <v>653</v>
      </c>
      <c r="C669" t="s">
        <v>904</v>
      </c>
      <c r="D669" t="s">
        <v>914</v>
      </c>
      <c r="E669" t="s">
        <v>22</v>
      </c>
      <c r="F669" t="s">
        <v>799</v>
      </c>
      <c r="G669" t="s">
        <v>75</v>
      </c>
      <c r="H669" t="s">
        <v>912</v>
      </c>
      <c r="I669" t="s">
        <v>1612</v>
      </c>
      <c r="J669" t="s">
        <v>917</v>
      </c>
      <c r="K669">
        <v>9</v>
      </c>
      <c r="L669">
        <v>12</v>
      </c>
      <c r="M669">
        <v>5</v>
      </c>
      <c r="N669">
        <v>0</v>
      </c>
      <c r="O669">
        <f>_xlfn.XLOOKUP(VALINA[[#This Row],[id]],prov_color!A:A,prov_color!C:C)</f>
        <v>55</v>
      </c>
      <c r="P669" t="str">
        <f>_xlfn.XLOOKUP(VALINA[[#This Row],[id]],Table4[id],Table4[name])</f>
        <v>Cambodia</v>
      </c>
      <c r="Q669" t="str">
        <f>_xlfn.XLOOKUP(VALINA[[#This Row],[name]],Trans!A:A,Trans!B:B)</f>
        <v>Cambodia</v>
      </c>
    </row>
    <row r="670" spans="1:17" x14ac:dyDescent="0.25">
      <c r="A670">
        <v>669</v>
      </c>
      <c r="B670" t="s">
        <v>653</v>
      </c>
      <c r="C670" t="s">
        <v>904</v>
      </c>
      <c r="D670" t="s">
        <v>914</v>
      </c>
      <c r="E670" t="s">
        <v>22</v>
      </c>
      <c r="F670" t="s">
        <v>799</v>
      </c>
      <c r="G670" t="s">
        <v>75</v>
      </c>
      <c r="H670" t="s">
        <v>918</v>
      </c>
      <c r="I670" t="s">
        <v>43</v>
      </c>
      <c r="J670" t="s">
        <v>919</v>
      </c>
      <c r="K670">
        <v>9</v>
      </c>
      <c r="L670">
        <v>9</v>
      </c>
      <c r="M670">
        <v>4</v>
      </c>
      <c r="N670">
        <v>0</v>
      </c>
      <c r="O670">
        <f>_xlfn.XLOOKUP(VALINA[[#This Row],[id]],prov_color!A:A,prov_color!C:C)</f>
        <v>49</v>
      </c>
      <c r="P670" t="str">
        <f>_xlfn.XLOOKUP(VALINA[[#This Row],[id]],Table4[id],Table4[name])</f>
        <v>Laos</v>
      </c>
      <c r="Q670" t="str">
        <f>_xlfn.XLOOKUP(VALINA[[#This Row],[name]],Trans!A:A,Trans!B:B)</f>
        <v>Laos</v>
      </c>
    </row>
    <row r="671" spans="1:17" x14ac:dyDescent="0.25">
      <c r="A671">
        <v>670</v>
      </c>
      <c r="B671" t="s">
        <v>653</v>
      </c>
      <c r="C671" t="s">
        <v>904</v>
      </c>
      <c r="D671" t="s">
        <v>914</v>
      </c>
      <c r="E671" t="s">
        <v>22</v>
      </c>
      <c r="F671" t="s">
        <v>799</v>
      </c>
      <c r="G671" t="s">
        <v>75</v>
      </c>
      <c r="H671" t="s">
        <v>918</v>
      </c>
      <c r="I671" t="s">
        <v>685</v>
      </c>
      <c r="J671" t="s">
        <v>920</v>
      </c>
      <c r="K671">
        <v>9</v>
      </c>
      <c r="L671">
        <v>15</v>
      </c>
      <c r="M671">
        <v>6</v>
      </c>
      <c r="N671">
        <v>0</v>
      </c>
      <c r="O671">
        <f>_xlfn.XLOOKUP(VALINA[[#This Row],[id]],prov_color!A:A,prov_color!C:C)</f>
        <v>44</v>
      </c>
      <c r="P671" t="str">
        <f>_xlfn.XLOOKUP(VALINA[[#This Row],[id]],Table4[id],Table4[name])</f>
        <v>Bangkok</v>
      </c>
      <c r="Q671" t="str">
        <f>_xlfn.XLOOKUP(VALINA[[#This Row],[name]],Trans!A:A,Trans!B:B)</f>
        <v>Bangkok</v>
      </c>
    </row>
    <row r="672" spans="1:17" x14ac:dyDescent="0.25">
      <c r="A672">
        <v>671</v>
      </c>
      <c r="B672" t="s">
        <v>653</v>
      </c>
      <c r="C672" t="s">
        <v>904</v>
      </c>
      <c r="D672" t="s">
        <v>921</v>
      </c>
      <c r="E672" t="s">
        <v>80</v>
      </c>
      <c r="F672" t="s">
        <v>748</v>
      </c>
      <c r="G672" t="s">
        <v>75</v>
      </c>
      <c r="H672" t="s">
        <v>922</v>
      </c>
      <c r="I672" t="s">
        <v>1612</v>
      </c>
      <c r="J672" t="s">
        <v>923</v>
      </c>
      <c r="K672">
        <v>4</v>
      </c>
      <c r="L672">
        <v>4</v>
      </c>
      <c r="M672">
        <v>3</v>
      </c>
      <c r="N672">
        <v>0</v>
      </c>
      <c r="O672">
        <f>_xlfn.XLOOKUP(VALINA[[#This Row],[id]],prov_color!A:A,prov_color!C:C)</f>
        <v>32</v>
      </c>
      <c r="P672" t="str">
        <f>_xlfn.XLOOKUP(VALINA[[#This Row],[id]],Table4[id],Table4[name])</f>
        <v>Chin</v>
      </c>
      <c r="Q672" t="str">
        <f>_xlfn.XLOOKUP(VALINA[[#This Row],[name]],Trans!A:A,Trans!B:B)</f>
        <v>Chin</v>
      </c>
    </row>
    <row r="673" spans="1:17" x14ac:dyDescent="0.25">
      <c r="A673">
        <v>672</v>
      </c>
      <c r="B673" t="s">
        <v>653</v>
      </c>
      <c r="C673" t="s">
        <v>904</v>
      </c>
      <c r="D673" t="s">
        <v>924</v>
      </c>
      <c r="E673" t="s">
        <v>80</v>
      </c>
      <c r="F673" t="s">
        <v>799</v>
      </c>
      <c r="G673" t="s">
        <v>75</v>
      </c>
      <c r="H673" t="s">
        <v>922</v>
      </c>
      <c r="I673" t="s">
        <v>212</v>
      </c>
      <c r="J673" t="s">
        <v>925</v>
      </c>
      <c r="K673">
        <v>8</v>
      </c>
      <c r="L673">
        <v>7</v>
      </c>
      <c r="M673">
        <v>5</v>
      </c>
      <c r="N673">
        <v>0</v>
      </c>
      <c r="O673">
        <f>_xlfn.XLOOKUP(VALINA[[#This Row],[id]],prov_color!A:A,prov_color!C:C)</f>
        <v>37</v>
      </c>
      <c r="P673" t="str">
        <f>_xlfn.XLOOKUP(VALINA[[#This Row],[id]],Table4[id],Table4[name])</f>
        <v>Tarakan</v>
      </c>
      <c r="Q673" t="str">
        <f>_xlfn.XLOOKUP(VALINA[[#This Row],[name]],Trans!A:A,Trans!B:B)</f>
        <v>Tarakan</v>
      </c>
    </row>
    <row r="674" spans="1:17" x14ac:dyDescent="0.25">
      <c r="A674">
        <v>673</v>
      </c>
      <c r="B674" t="s">
        <v>653</v>
      </c>
      <c r="C674" t="s">
        <v>904</v>
      </c>
      <c r="D674" t="s">
        <v>924</v>
      </c>
      <c r="E674" t="s">
        <v>80</v>
      </c>
      <c r="F674" t="s">
        <v>799</v>
      </c>
      <c r="G674" t="s">
        <v>75</v>
      </c>
      <c r="H674" t="s">
        <v>926</v>
      </c>
      <c r="I674" t="s">
        <v>687</v>
      </c>
      <c r="J674" t="s">
        <v>927</v>
      </c>
      <c r="K674">
        <v>9</v>
      </c>
      <c r="L674">
        <v>6</v>
      </c>
      <c r="M674">
        <v>5</v>
      </c>
      <c r="N674">
        <v>0</v>
      </c>
      <c r="O674">
        <f>_xlfn.XLOOKUP(VALINA[[#This Row],[id]],prov_color!A:A,prov_color!C:C)</f>
        <v>43</v>
      </c>
      <c r="P674" t="str">
        <f>_xlfn.XLOOKUP(VALINA[[#This Row],[id]],Table4[id],Table4[name])</f>
        <v>Irrawady</v>
      </c>
      <c r="Q674" t="str">
        <f>_xlfn.XLOOKUP(VALINA[[#This Row],[name]],Trans!A:A,Trans!B:B)</f>
        <v>Irrawady</v>
      </c>
    </row>
    <row r="675" spans="1:17" x14ac:dyDescent="0.25">
      <c r="A675">
        <v>674</v>
      </c>
      <c r="B675" t="s">
        <v>653</v>
      </c>
      <c r="C675" t="s">
        <v>904</v>
      </c>
      <c r="D675" t="s">
        <v>924</v>
      </c>
      <c r="E675" t="s">
        <v>22</v>
      </c>
      <c r="F675" t="s">
        <v>799</v>
      </c>
      <c r="G675" t="s">
        <v>75</v>
      </c>
      <c r="H675" t="s">
        <v>926</v>
      </c>
      <c r="I675" t="s">
        <v>687</v>
      </c>
      <c r="J675" t="s">
        <v>928</v>
      </c>
      <c r="K675">
        <v>9</v>
      </c>
      <c r="L675">
        <v>6</v>
      </c>
      <c r="M675">
        <v>3</v>
      </c>
      <c r="N675">
        <v>0</v>
      </c>
      <c r="O675">
        <f>_xlfn.XLOOKUP(VALINA[[#This Row],[id]],prov_color!A:A,prov_color!C:C)</f>
        <v>34</v>
      </c>
      <c r="P675" t="str">
        <f>_xlfn.XLOOKUP(VALINA[[#This Row],[id]],Table4[id],Table4[name])</f>
        <v>Kwai</v>
      </c>
      <c r="Q675" t="str">
        <f>_xlfn.XLOOKUP(VALINA[[#This Row],[name]],Trans!A:A,Trans!B:B)</f>
        <v>Kwai</v>
      </c>
    </row>
    <row r="676" spans="1:17" x14ac:dyDescent="0.25">
      <c r="A676">
        <v>675</v>
      </c>
      <c r="B676" t="s">
        <v>653</v>
      </c>
      <c r="C676" t="s">
        <v>904</v>
      </c>
      <c r="D676" t="s">
        <v>914</v>
      </c>
      <c r="E676" t="s">
        <v>22</v>
      </c>
      <c r="F676" t="s">
        <v>799</v>
      </c>
      <c r="G676" t="s">
        <v>75</v>
      </c>
      <c r="H676" t="s">
        <v>918</v>
      </c>
      <c r="I676" t="s">
        <v>27</v>
      </c>
      <c r="J676" t="s">
        <v>929</v>
      </c>
      <c r="K676">
        <v>9</v>
      </c>
      <c r="L676">
        <v>6</v>
      </c>
      <c r="M676">
        <v>2</v>
      </c>
      <c r="N676">
        <v>0</v>
      </c>
      <c r="O676">
        <f>_xlfn.XLOOKUP(VALINA[[#This Row],[id]],prov_color!A:A,prov_color!C:C)</f>
        <v>32</v>
      </c>
      <c r="P676" t="str">
        <f>_xlfn.XLOOKUP(VALINA[[#This Row],[id]],Table4[id],Table4[name])</f>
        <v>Phuket</v>
      </c>
      <c r="Q676" t="str">
        <f>_xlfn.XLOOKUP(VALINA[[#This Row],[name]],Trans!A:A,Trans!B:B)</f>
        <v>Phuket</v>
      </c>
    </row>
    <row r="677" spans="1:17" x14ac:dyDescent="0.25">
      <c r="A677">
        <v>676</v>
      </c>
      <c r="B677" t="s">
        <v>653</v>
      </c>
      <c r="C677" t="s">
        <v>904</v>
      </c>
      <c r="D677" t="s">
        <v>930</v>
      </c>
      <c r="E677" t="s">
        <v>22</v>
      </c>
      <c r="F677" t="s">
        <v>609</v>
      </c>
      <c r="G677" t="s">
        <v>75</v>
      </c>
      <c r="H677" t="s">
        <v>931</v>
      </c>
      <c r="I677" t="s">
        <v>27</v>
      </c>
      <c r="J677" t="s">
        <v>932</v>
      </c>
      <c r="K677">
        <v>7</v>
      </c>
      <c r="L677">
        <v>4</v>
      </c>
      <c r="M677">
        <v>3</v>
      </c>
      <c r="N677">
        <v>0</v>
      </c>
      <c r="O677">
        <f>_xlfn.XLOOKUP(VALINA[[#This Row],[id]],prov_color!A:A,prov_color!C:C)</f>
        <v>33</v>
      </c>
      <c r="P677" t="str">
        <f>_xlfn.XLOOKUP(VALINA[[#This Row],[id]],Table4[id],Table4[name])</f>
        <v>Perak</v>
      </c>
      <c r="Q677" t="str">
        <f>_xlfn.XLOOKUP(VALINA[[#This Row],[name]],Trans!A:A,Trans!B:B)</f>
        <v>Perak</v>
      </c>
    </row>
    <row r="678" spans="1:17" x14ac:dyDescent="0.25">
      <c r="A678">
        <v>677</v>
      </c>
      <c r="B678" t="s">
        <v>653</v>
      </c>
      <c r="C678" t="s">
        <v>904</v>
      </c>
      <c r="D678" t="s">
        <v>930</v>
      </c>
      <c r="E678" t="s">
        <v>22</v>
      </c>
      <c r="F678" t="s">
        <v>609</v>
      </c>
      <c r="G678" t="s">
        <v>75</v>
      </c>
      <c r="H678" t="s">
        <v>931</v>
      </c>
      <c r="I678" t="s">
        <v>687</v>
      </c>
      <c r="J678" t="s">
        <v>933</v>
      </c>
      <c r="K678">
        <v>6</v>
      </c>
      <c r="L678">
        <v>14</v>
      </c>
      <c r="M678">
        <v>6</v>
      </c>
      <c r="N678">
        <v>0</v>
      </c>
      <c r="O678">
        <f>_xlfn.XLOOKUP(VALINA[[#This Row],[id]],prov_color!A:A,prov_color!C:C)</f>
        <v>27</v>
      </c>
      <c r="P678" t="str">
        <f>_xlfn.XLOOKUP(VALINA[[#This Row],[id]],Table4[id],Table4[name])</f>
        <v>Malacca</v>
      </c>
      <c r="Q678" t="str">
        <f>_xlfn.XLOOKUP(VALINA[[#This Row],[name]],Trans!A:A,Trans!B:B)</f>
        <v>Malacca</v>
      </c>
    </row>
    <row r="679" spans="1:17" x14ac:dyDescent="0.25">
      <c r="A679">
        <v>678</v>
      </c>
      <c r="B679" t="s">
        <v>653</v>
      </c>
      <c r="C679" t="s">
        <v>904</v>
      </c>
      <c r="D679" t="s">
        <v>930</v>
      </c>
      <c r="E679" t="s">
        <v>22</v>
      </c>
      <c r="F679" t="s">
        <v>609</v>
      </c>
      <c r="G679" t="s">
        <v>75</v>
      </c>
      <c r="H679" t="s">
        <v>931</v>
      </c>
      <c r="I679" t="s">
        <v>27</v>
      </c>
      <c r="J679" t="s">
        <v>934</v>
      </c>
      <c r="K679">
        <v>7</v>
      </c>
      <c r="L679">
        <v>8</v>
      </c>
      <c r="M679">
        <v>4</v>
      </c>
      <c r="N679">
        <v>0</v>
      </c>
      <c r="O679">
        <f>_xlfn.XLOOKUP(VALINA[[#This Row],[id]],prov_color!A:A,prov_color!C:C)</f>
        <v>23</v>
      </c>
      <c r="P679" t="str">
        <f>_xlfn.XLOOKUP(VALINA[[#This Row],[id]],Table4[id],Table4[name])</f>
        <v>Johor</v>
      </c>
      <c r="Q679" t="str">
        <f>_xlfn.XLOOKUP(VALINA[[#This Row],[name]],Trans!A:A,Trans!B:B)</f>
        <v>Johor</v>
      </c>
    </row>
    <row r="680" spans="1:17" x14ac:dyDescent="0.25">
      <c r="A680">
        <v>679</v>
      </c>
      <c r="B680" t="s">
        <v>653</v>
      </c>
      <c r="C680" t="s">
        <v>935</v>
      </c>
      <c r="D680" t="s">
        <v>936</v>
      </c>
      <c r="E680" t="s">
        <v>22</v>
      </c>
      <c r="F680" t="s">
        <v>609</v>
      </c>
      <c r="G680" t="s">
        <v>75</v>
      </c>
      <c r="H680" t="s">
        <v>931</v>
      </c>
      <c r="I680" t="s">
        <v>687</v>
      </c>
      <c r="J680" t="s">
        <v>936</v>
      </c>
      <c r="K680">
        <v>6</v>
      </c>
      <c r="L680">
        <v>12</v>
      </c>
      <c r="M680">
        <v>6</v>
      </c>
      <c r="N680">
        <v>0</v>
      </c>
      <c r="O680">
        <f>_xlfn.XLOOKUP(VALINA[[#This Row],[id]],prov_color!A:A,prov_color!C:C)</f>
        <v>31</v>
      </c>
      <c r="P680" t="str">
        <f>_xlfn.XLOOKUP(VALINA[[#This Row],[id]],Table4[id],Table4[name])</f>
        <v>Ajeh</v>
      </c>
      <c r="Q680" t="str">
        <f>_xlfn.XLOOKUP(VALINA[[#This Row],[name]],Trans!A:A,Trans!B:B)</f>
        <v>Ajeh</v>
      </c>
    </row>
    <row r="681" spans="1:17" x14ac:dyDescent="0.25">
      <c r="A681">
        <v>680</v>
      </c>
      <c r="B681" t="s">
        <v>653</v>
      </c>
      <c r="C681" t="s">
        <v>935</v>
      </c>
      <c r="D681" t="s">
        <v>936</v>
      </c>
      <c r="E681" t="s">
        <v>22</v>
      </c>
      <c r="F681" t="s">
        <v>799</v>
      </c>
      <c r="G681" t="s">
        <v>75</v>
      </c>
      <c r="H681" t="s">
        <v>931</v>
      </c>
      <c r="I681" t="s">
        <v>1612</v>
      </c>
      <c r="J681" t="s">
        <v>937</v>
      </c>
      <c r="K681">
        <v>9</v>
      </c>
      <c r="L681">
        <v>8</v>
      </c>
      <c r="M681">
        <v>4</v>
      </c>
      <c r="N681">
        <v>0</v>
      </c>
      <c r="O681">
        <f>_xlfn.XLOOKUP(VALINA[[#This Row],[id]],prov_color!A:A,prov_color!C:C)</f>
        <v>54</v>
      </c>
      <c r="P681" t="str">
        <f>_xlfn.XLOOKUP(VALINA[[#This Row],[id]],Table4[id],Table4[name])</f>
        <v>Riau</v>
      </c>
      <c r="Q681" t="str">
        <f>_xlfn.XLOOKUP(VALINA[[#This Row],[name]],Trans!A:A,Trans!B:B)</f>
        <v>Riau</v>
      </c>
    </row>
    <row r="682" spans="1:17" x14ac:dyDescent="0.25">
      <c r="A682">
        <v>681</v>
      </c>
      <c r="B682" t="s">
        <v>653</v>
      </c>
      <c r="C682" t="s">
        <v>935</v>
      </c>
      <c r="D682" t="s">
        <v>938</v>
      </c>
      <c r="E682" t="s">
        <v>22</v>
      </c>
      <c r="F682" t="s">
        <v>799</v>
      </c>
      <c r="G682" t="s">
        <v>75</v>
      </c>
      <c r="H682" t="s">
        <v>931</v>
      </c>
      <c r="I682" t="s">
        <v>18</v>
      </c>
      <c r="J682" t="s">
        <v>939</v>
      </c>
      <c r="K682">
        <v>5</v>
      </c>
      <c r="L682">
        <v>8</v>
      </c>
      <c r="M682">
        <v>4</v>
      </c>
      <c r="N682">
        <v>0</v>
      </c>
      <c r="O682">
        <f>_xlfn.XLOOKUP(VALINA[[#This Row],[id]],prov_color!A:A,prov_color!C:C)</f>
        <v>60</v>
      </c>
      <c r="P682" t="str">
        <f>_xlfn.XLOOKUP(VALINA[[#This Row],[id]],Table4[id],Table4[name])</f>
        <v>Jambi</v>
      </c>
      <c r="Q682" t="str">
        <f>_xlfn.XLOOKUP(VALINA[[#This Row],[name]],Trans!A:A,Trans!B:B)</f>
        <v>Jambi</v>
      </c>
    </row>
    <row r="683" spans="1:17" x14ac:dyDescent="0.25">
      <c r="A683">
        <v>682</v>
      </c>
      <c r="B683" t="s">
        <v>653</v>
      </c>
      <c r="C683" t="s">
        <v>935</v>
      </c>
      <c r="D683" t="s">
        <v>938</v>
      </c>
      <c r="E683" t="s">
        <v>80</v>
      </c>
      <c r="F683" t="s">
        <v>609</v>
      </c>
      <c r="G683" t="s">
        <v>75</v>
      </c>
      <c r="H683" t="s">
        <v>931</v>
      </c>
      <c r="I683" t="s">
        <v>687</v>
      </c>
      <c r="J683" t="s">
        <v>940</v>
      </c>
      <c r="K683">
        <v>5</v>
      </c>
      <c r="L683">
        <v>10</v>
      </c>
      <c r="M683">
        <v>5</v>
      </c>
      <c r="N683">
        <v>0</v>
      </c>
      <c r="O683">
        <f>_xlfn.XLOOKUP(VALINA[[#This Row],[id]],prov_color!A:A,prov_color!C:C)</f>
        <v>41</v>
      </c>
      <c r="P683" t="str">
        <f>_xlfn.XLOOKUP(VALINA[[#This Row],[id]],Table4[id],Table4[name])</f>
        <v>Palembang</v>
      </c>
      <c r="Q683" t="str">
        <f>_xlfn.XLOOKUP(VALINA[[#This Row],[name]],Trans!A:A,Trans!B:B)</f>
        <v>Palembang</v>
      </c>
    </row>
    <row r="684" spans="1:17" x14ac:dyDescent="0.25">
      <c r="A684">
        <v>683</v>
      </c>
      <c r="B684" t="s">
        <v>653</v>
      </c>
      <c r="C684" t="s">
        <v>941</v>
      </c>
      <c r="D684" t="s">
        <v>942</v>
      </c>
      <c r="E684" t="s">
        <v>14</v>
      </c>
      <c r="F684" t="s">
        <v>15</v>
      </c>
      <c r="G684" t="s">
        <v>26</v>
      </c>
      <c r="H684" t="s">
        <v>855</v>
      </c>
      <c r="I684" t="s">
        <v>27</v>
      </c>
      <c r="J684" t="s">
        <v>943</v>
      </c>
      <c r="K684">
        <v>7</v>
      </c>
      <c r="L684">
        <v>1</v>
      </c>
      <c r="M684">
        <v>1</v>
      </c>
      <c r="N684">
        <v>0</v>
      </c>
      <c r="O684">
        <f>_xlfn.XLOOKUP(VALINA[[#This Row],[id]],prov_color!A:A,prov_color!C:C)</f>
        <v>37</v>
      </c>
      <c r="P684" t="str">
        <f>_xlfn.XLOOKUP(VALINA[[#This Row],[id]],Table4[id],Table4[name])</f>
        <v>Ezochi</v>
      </c>
      <c r="Q684" t="str">
        <f>_xlfn.XLOOKUP(VALINA[[#This Row],[name]],Trans!A:A,Trans!B:B)</f>
        <v>Ezochi</v>
      </c>
    </row>
    <row r="685" spans="1:17" x14ac:dyDescent="0.25">
      <c r="A685">
        <v>684</v>
      </c>
      <c r="B685" t="s">
        <v>653</v>
      </c>
      <c r="C685" t="s">
        <v>941</v>
      </c>
      <c r="D685" t="s">
        <v>942</v>
      </c>
      <c r="E685" t="s">
        <v>34</v>
      </c>
      <c r="F685" t="s">
        <v>944</v>
      </c>
      <c r="G685" t="s">
        <v>35</v>
      </c>
      <c r="H685" t="s">
        <v>945</v>
      </c>
      <c r="I685" t="s">
        <v>43</v>
      </c>
      <c r="J685" t="s">
        <v>946</v>
      </c>
      <c r="K685">
        <v>5</v>
      </c>
      <c r="L685">
        <v>14</v>
      </c>
      <c r="M685">
        <v>6</v>
      </c>
      <c r="N685">
        <v>0</v>
      </c>
      <c r="O685">
        <f>_xlfn.XLOOKUP(VALINA[[#This Row],[id]],prov_color!A:A,prov_color!C:C)</f>
        <v>34</v>
      </c>
      <c r="P685" t="str">
        <f>_xlfn.XLOOKUP(VALINA[[#This Row],[id]],Table4[id],Table4[name])</f>
        <v>Tohoku</v>
      </c>
      <c r="Q685" t="str">
        <f>_xlfn.XLOOKUP(VALINA[[#This Row],[name]],Trans!A:A,Trans!B:B)</f>
        <v>Tohoku</v>
      </c>
    </row>
    <row r="686" spans="1:17" x14ac:dyDescent="0.25">
      <c r="A686">
        <v>685</v>
      </c>
      <c r="B686" t="s">
        <v>653</v>
      </c>
      <c r="C686" t="s">
        <v>941</v>
      </c>
      <c r="D686" t="s">
        <v>942</v>
      </c>
      <c r="E686" t="s">
        <v>14</v>
      </c>
      <c r="F686" t="s">
        <v>944</v>
      </c>
      <c r="G686" t="s">
        <v>35</v>
      </c>
      <c r="H686" t="s">
        <v>945</v>
      </c>
      <c r="I686" t="s">
        <v>43</v>
      </c>
      <c r="J686" t="s">
        <v>947</v>
      </c>
      <c r="K686">
        <v>3</v>
      </c>
      <c r="L686">
        <v>18</v>
      </c>
      <c r="M686">
        <v>8</v>
      </c>
      <c r="N686">
        <v>0</v>
      </c>
      <c r="O686">
        <f>_xlfn.XLOOKUP(VALINA[[#This Row],[id]],prov_color!A:A,prov_color!C:C)</f>
        <v>22</v>
      </c>
      <c r="P686" t="str">
        <f>_xlfn.XLOOKUP(VALINA[[#This Row],[id]],Table4[id],Table4[name])</f>
        <v>Kanto</v>
      </c>
      <c r="Q686" t="str">
        <f>_xlfn.XLOOKUP(VALINA[[#This Row],[name]],Trans!A:A,Trans!B:B)</f>
        <v>Kanto</v>
      </c>
    </row>
    <row r="687" spans="1:17" x14ac:dyDescent="0.25">
      <c r="A687">
        <v>686</v>
      </c>
      <c r="B687" t="s">
        <v>653</v>
      </c>
      <c r="C687" t="s">
        <v>941</v>
      </c>
      <c r="D687" t="s">
        <v>942</v>
      </c>
      <c r="E687" t="s">
        <v>14</v>
      </c>
      <c r="F687" t="s">
        <v>944</v>
      </c>
      <c r="G687" t="s">
        <v>35</v>
      </c>
      <c r="H687" t="s">
        <v>945</v>
      </c>
      <c r="I687" t="s">
        <v>685</v>
      </c>
      <c r="J687" t="s">
        <v>948</v>
      </c>
      <c r="K687">
        <v>3</v>
      </c>
      <c r="L687">
        <v>18</v>
      </c>
      <c r="M687">
        <v>8</v>
      </c>
      <c r="N687">
        <v>0</v>
      </c>
      <c r="O687">
        <f>_xlfn.XLOOKUP(VALINA[[#This Row],[id]],prov_color!A:A,prov_color!C:C)</f>
        <v>22</v>
      </c>
      <c r="P687" t="str">
        <f>_xlfn.XLOOKUP(VALINA[[#This Row],[id]],Table4[id],Table4[name])</f>
        <v>Kansai</v>
      </c>
      <c r="Q687" t="str">
        <f>_xlfn.XLOOKUP(VALINA[[#This Row],[name]],Trans!A:A,Trans!B:B)</f>
        <v>Kansai</v>
      </c>
    </row>
    <row r="688" spans="1:17" x14ac:dyDescent="0.25">
      <c r="A688">
        <v>687</v>
      </c>
      <c r="B688" t="s">
        <v>653</v>
      </c>
      <c r="C688" t="s">
        <v>941</v>
      </c>
      <c r="D688" t="s">
        <v>942</v>
      </c>
      <c r="E688" t="s">
        <v>34</v>
      </c>
      <c r="F688" t="s">
        <v>944</v>
      </c>
      <c r="G688" t="s">
        <v>35</v>
      </c>
      <c r="H688" t="s">
        <v>945</v>
      </c>
      <c r="I688" t="s">
        <v>27</v>
      </c>
      <c r="J688" t="s">
        <v>949</v>
      </c>
      <c r="K688">
        <v>3</v>
      </c>
      <c r="L688">
        <v>17</v>
      </c>
      <c r="M688">
        <v>6</v>
      </c>
      <c r="N688">
        <v>0</v>
      </c>
      <c r="O688">
        <f>_xlfn.XLOOKUP(VALINA[[#This Row],[id]],prov_color!A:A,prov_color!C:C)</f>
        <v>18</v>
      </c>
      <c r="P688" t="str">
        <f>_xlfn.XLOOKUP(VALINA[[#This Row],[id]],Table4[id],Table4[name])</f>
        <v>Shikoku</v>
      </c>
      <c r="Q688" t="str">
        <f>_xlfn.XLOOKUP(VALINA[[#This Row],[name]],Trans!A:A,Trans!B:B)</f>
        <v>Shikoku</v>
      </c>
    </row>
    <row r="689" spans="1:17" x14ac:dyDescent="0.25">
      <c r="A689">
        <v>688</v>
      </c>
      <c r="B689" t="s">
        <v>653</v>
      </c>
      <c r="C689" t="s">
        <v>941</v>
      </c>
      <c r="D689" t="s">
        <v>942</v>
      </c>
      <c r="E689" t="s">
        <v>14</v>
      </c>
      <c r="F689" t="s">
        <v>944</v>
      </c>
      <c r="G689" t="s">
        <v>35</v>
      </c>
      <c r="H689" t="s">
        <v>945</v>
      </c>
      <c r="I689" t="s">
        <v>685</v>
      </c>
      <c r="J689" t="s">
        <v>950</v>
      </c>
      <c r="K689">
        <v>3</v>
      </c>
      <c r="L689">
        <v>19</v>
      </c>
      <c r="M689">
        <v>8</v>
      </c>
      <c r="N689">
        <v>0</v>
      </c>
      <c r="O689">
        <f>_xlfn.XLOOKUP(VALINA[[#This Row],[id]],prov_color!A:A,prov_color!C:C)</f>
        <v>28</v>
      </c>
      <c r="P689" t="str">
        <f>_xlfn.XLOOKUP(VALINA[[#This Row],[id]],Table4[id],Table4[name])</f>
        <v>Kyushu</v>
      </c>
      <c r="Q689" t="str">
        <f>_xlfn.XLOOKUP(VALINA[[#This Row],[name]],Trans!A:A,Trans!B:B)</f>
        <v>Kyushu</v>
      </c>
    </row>
    <row r="690" spans="1:17" x14ac:dyDescent="0.25">
      <c r="A690">
        <v>689</v>
      </c>
      <c r="B690" t="s">
        <v>653</v>
      </c>
      <c r="C690" t="s">
        <v>868</v>
      </c>
      <c r="D690" t="s">
        <v>951</v>
      </c>
      <c r="E690" t="s">
        <v>14</v>
      </c>
      <c r="F690" t="s">
        <v>15</v>
      </c>
      <c r="G690" t="s">
        <v>75</v>
      </c>
      <c r="H690" t="s">
        <v>952</v>
      </c>
      <c r="I690" t="s">
        <v>685</v>
      </c>
      <c r="J690" t="s">
        <v>953</v>
      </c>
      <c r="K690">
        <v>9</v>
      </c>
      <c r="L690">
        <v>4</v>
      </c>
      <c r="M690">
        <v>1</v>
      </c>
      <c r="N690">
        <v>0</v>
      </c>
      <c r="O690">
        <f>_xlfn.XLOOKUP(VALINA[[#This Row],[id]],prov_color!A:A,prov_color!C:C)</f>
        <v>25</v>
      </c>
      <c r="P690" t="str">
        <f>_xlfn.XLOOKUP(VALINA[[#This Row],[id]],Table4[id],Table4[name])</f>
        <v>Taiwan</v>
      </c>
      <c r="Q690" t="str">
        <f>_xlfn.XLOOKUP(VALINA[[#This Row],[name]],Trans!A:A,Trans!B:B)</f>
        <v>Taiwan</v>
      </c>
    </row>
    <row r="691" spans="1:17" x14ac:dyDescent="0.25">
      <c r="A691">
        <v>690</v>
      </c>
      <c r="B691" t="s">
        <v>653</v>
      </c>
      <c r="C691" t="s">
        <v>935</v>
      </c>
      <c r="D691" t="s">
        <v>954</v>
      </c>
      <c r="E691" t="s">
        <v>80</v>
      </c>
      <c r="F691" t="s">
        <v>15</v>
      </c>
      <c r="G691" t="s">
        <v>75</v>
      </c>
      <c r="H691" t="s">
        <v>955</v>
      </c>
      <c r="I691" t="s">
        <v>18</v>
      </c>
      <c r="J691" t="s">
        <v>956</v>
      </c>
      <c r="K691">
        <v>4</v>
      </c>
      <c r="L691">
        <v>10</v>
      </c>
      <c r="M691">
        <v>4</v>
      </c>
      <c r="N691">
        <v>0</v>
      </c>
      <c r="O691">
        <f>_xlfn.XLOOKUP(VALINA[[#This Row],[id]],prov_color!A:A,prov_color!C:C)</f>
        <v>42</v>
      </c>
      <c r="P691" t="str">
        <f>_xlfn.XLOOKUP(VALINA[[#This Row],[id]],Table4[id],Table4[name])</f>
        <v>Luzon</v>
      </c>
      <c r="Q691" t="str">
        <f>_xlfn.XLOOKUP(VALINA[[#This Row],[name]],Trans!A:A,Trans!B:B)</f>
        <v>Luzon</v>
      </c>
    </row>
    <row r="692" spans="1:17" x14ac:dyDescent="0.25">
      <c r="A692">
        <v>691</v>
      </c>
      <c r="B692" t="s">
        <v>653</v>
      </c>
      <c r="C692" t="s">
        <v>935</v>
      </c>
      <c r="D692" t="s">
        <v>954</v>
      </c>
      <c r="E692" t="s">
        <v>22</v>
      </c>
      <c r="F692" t="s">
        <v>15</v>
      </c>
      <c r="G692" t="s">
        <v>75</v>
      </c>
      <c r="H692" t="s">
        <v>955</v>
      </c>
      <c r="I692" t="s">
        <v>73</v>
      </c>
      <c r="J692" t="s">
        <v>957</v>
      </c>
      <c r="K692">
        <v>5</v>
      </c>
      <c r="L692">
        <v>10</v>
      </c>
      <c r="M692">
        <v>4</v>
      </c>
      <c r="N692">
        <v>0</v>
      </c>
      <c r="O692">
        <f>_xlfn.XLOOKUP(VALINA[[#This Row],[id]],prov_color!A:A,prov_color!C:C)</f>
        <v>33</v>
      </c>
      <c r="P692" t="str">
        <f>_xlfn.XLOOKUP(VALINA[[#This Row],[id]],Table4[id],Table4[name])</f>
        <v>Mindoro</v>
      </c>
      <c r="Q692" t="str">
        <f>_xlfn.XLOOKUP(VALINA[[#This Row],[name]],Trans!A:A,Trans!B:B)</f>
        <v>Mindoro</v>
      </c>
    </row>
    <row r="693" spans="1:17" x14ac:dyDescent="0.25">
      <c r="A693">
        <v>692</v>
      </c>
      <c r="B693" t="s">
        <v>653</v>
      </c>
      <c r="C693" t="s">
        <v>935</v>
      </c>
      <c r="D693" t="s">
        <v>954</v>
      </c>
      <c r="E693" t="s">
        <v>22</v>
      </c>
      <c r="F693" t="s">
        <v>15</v>
      </c>
      <c r="G693" t="s">
        <v>75</v>
      </c>
      <c r="H693" t="s">
        <v>955</v>
      </c>
      <c r="I693" t="s">
        <v>687</v>
      </c>
      <c r="J693" t="s">
        <v>958</v>
      </c>
      <c r="K693">
        <v>5</v>
      </c>
      <c r="L693">
        <v>8</v>
      </c>
      <c r="M693">
        <v>3</v>
      </c>
      <c r="N693">
        <v>0</v>
      </c>
      <c r="O693">
        <f>_xlfn.XLOOKUP(VALINA[[#This Row],[id]],prov_color!A:A,prov_color!C:C)</f>
        <v>21</v>
      </c>
      <c r="P693" t="str">
        <f>_xlfn.XLOOKUP(VALINA[[#This Row],[id]],Table4[id],Table4[name])</f>
        <v>Samar</v>
      </c>
      <c r="Q693" t="str">
        <f>_xlfn.XLOOKUP(VALINA[[#This Row],[name]],Trans!A:A,Trans!B:B)</f>
        <v>Samar</v>
      </c>
    </row>
    <row r="694" spans="1:17" x14ac:dyDescent="0.25">
      <c r="A694">
        <v>693</v>
      </c>
      <c r="B694" t="s">
        <v>653</v>
      </c>
      <c r="C694" t="s">
        <v>935</v>
      </c>
      <c r="D694" t="s">
        <v>954</v>
      </c>
      <c r="E694" t="s">
        <v>14</v>
      </c>
      <c r="F694" t="s">
        <v>609</v>
      </c>
      <c r="G694" t="s">
        <v>75</v>
      </c>
      <c r="H694" t="s">
        <v>955</v>
      </c>
      <c r="I694" t="s">
        <v>687</v>
      </c>
      <c r="J694" t="s">
        <v>959</v>
      </c>
      <c r="K694">
        <v>6</v>
      </c>
      <c r="L694">
        <v>8</v>
      </c>
      <c r="M694">
        <v>3</v>
      </c>
      <c r="N694">
        <v>0</v>
      </c>
      <c r="O694">
        <f>_xlfn.XLOOKUP(VALINA[[#This Row],[id]],prov_color!A:A,prov_color!C:C)</f>
        <v>57</v>
      </c>
      <c r="P694" t="str">
        <f>_xlfn.XLOOKUP(VALINA[[#This Row],[id]],Table4[id],Table4[name])</f>
        <v>Mindanao</v>
      </c>
      <c r="Q694" t="str">
        <f>_xlfn.XLOOKUP(VALINA[[#This Row],[name]],Trans!A:A,Trans!B:B)</f>
        <v>Mindanao</v>
      </c>
    </row>
    <row r="695" spans="1:17" x14ac:dyDescent="0.25">
      <c r="A695">
        <v>694</v>
      </c>
      <c r="B695" t="s">
        <v>653</v>
      </c>
      <c r="C695" t="s">
        <v>935</v>
      </c>
      <c r="D695" t="s">
        <v>954</v>
      </c>
      <c r="E695" t="s">
        <v>22</v>
      </c>
      <c r="F695" t="s">
        <v>15</v>
      </c>
      <c r="G695" t="s">
        <v>75</v>
      </c>
      <c r="H695" t="s">
        <v>955</v>
      </c>
      <c r="I695" t="s">
        <v>27</v>
      </c>
      <c r="J695" t="s">
        <v>960</v>
      </c>
      <c r="K695">
        <v>7</v>
      </c>
      <c r="L695">
        <v>7</v>
      </c>
      <c r="M695">
        <v>3</v>
      </c>
      <c r="N695">
        <v>0</v>
      </c>
      <c r="O695">
        <f>_xlfn.XLOOKUP(VALINA[[#This Row],[id]],prov_color!A:A,prov_color!C:C)</f>
        <v>14</v>
      </c>
      <c r="P695" t="str">
        <f>_xlfn.XLOOKUP(VALINA[[#This Row],[id]],Table4[id],Table4[name])</f>
        <v>Palawan</v>
      </c>
      <c r="Q695" t="str">
        <f>_xlfn.XLOOKUP(VALINA[[#This Row],[name]],Trans!A:A,Trans!B:B)</f>
        <v>Palawan</v>
      </c>
    </row>
    <row r="696" spans="1:17" x14ac:dyDescent="0.25">
      <c r="A696">
        <v>695</v>
      </c>
      <c r="B696" t="s">
        <v>653</v>
      </c>
      <c r="C696" t="s">
        <v>935</v>
      </c>
      <c r="D696" t="s">
        <v>961</v>
      </c>
      <c r="E696" t="s">
        <v>14</v>
      </c>
      <c r="F696" t="s">
        <v>15</v>
      </c>
      <c r="G696" t="s">
        <v>75</v>
      </c>
      <c r="H696" t="s">
        <v>931</v>
      </c>
      <c r="I696" t="s">
        <v>687</v>
      </c>
      <c r="J696" t="s">
        <v>962</v>
      </c>
      <c r="K696">
        <v>4</v>
      </c>
      <c r="L696">
        <v>6</v>
      </c>
      <c r="M696">
        <v>3</v>
      </c>
      <c r="N696">
        <v>0</v>
      </c>
      <c r="O696">
        <f>_xlfn.XLOOKUP(VALINA[[#This Row],[id]],prov_color!A:A,prov_color!C:C)</f>
        <v>54</v>
      </c>
      <c r="P696" t="str">
        <f>_xlfn.XLOOKUP(VALINA[[#This Row],[id]],Table4[id],Table4[name])</f>
        <v>Sabah</v>
      </c>
      <c r="Q696" t="str">
        <f>_xlfn.XLOOKUP(VALINA[[#This Row],[name]],Trans!A:A,Trans!B:B)</f>
        <v>Sabah</v>
      </c>
    </row>
    <row r="697" spans="1:17" x14ac:dyDescent="0.25">
      <c r="A697">
        <v>696</v>
      </c>
      <c r="B697" t="s">
        <v>653</v>
      </c>
      <c r="C697" t="s">
        <v>935</v>
      </c>
      <c r="D697" t="s">
        <v>961</v>
      </c>
      <c r="E697" t="s">
        <v>22</v>
      </c>
      <c r="F697" t="s">
        <v>609</v>
      </c>
      <c r="G697" t="s">
        <v>75</v>
      </c>
      <c r="H697" t="s">
        <v>931</v>
      </c>
      <c r="I697" t="s">
        <v>687</v>
      </c>
      <c r="J697" t="s">
        <v>963</v>
      </c>
      <c r="K697">
        <v>4</v>
      </c>
      <c r="L697">
        <v>14</v>
      </c>
      <c r="M697">
        <v>6</v>
      </c>
      <c r="N697">
        <v>0</v>
      </c>
      <c r="O697">
        <f>_xlfn.XLOOKUP(VALINA[[#This Row],[id]],prov_color!A:A,prov_color!C:C)</f>
        <v>33</v>
      </c>
      <c r="P697" t="str">
        <f>_xlfn.XLOOKUP(VALINA[[#This Row],[id]],Table4[id],Table4[name])</f>
        <v>Brunei</v>
      </c>
      <c r="Q697" t="str">
        <f>_xlfn.XLOOKUP(VALINA[[#This Row],[name]],Trans!A:A,Trans!B:B)</f>
        <v>Brunei</v>
      </c>
    </row>
    <row r="698" spans="1:17" x14ac:dyDescent="0.25">
      <c r="A698">
        <v>697</v>
      </c>
      <c r="B698" t="s">
        <v>653</v>
      </c>
      <c r="C698" t="s">
        <v>935</v>
      </c>
      <c r="D698" t="s">
        <v>961</v>
      </c>
      <c r="E698" t="s">
        <v>22</v>
      </c>
      <c r="F698" t="s">
        <v>748</v>
      </c>
      <c r="G698" t="s">
        <v>75</v>
      </c>
      <c r="H698" t="s">
        <v>931</v>
      </c>
      <c r="I698" t="s">
        <v>1612</v>
      </c>
      <c r="J698" t="s">
        <v>964</v>
      </c>
      <c r="K698">
        <v>3</v>
      </c>
      <c r="L698">
        <v>6</v>
      </c>
      <c r="M698">
        <v>3</v>
      </c>
      <c r="N698">
        <v>0</v>
      </c>
      <c r="O698">
        <f>_xlfn.XLOOKUP(VALINA[[#This Row],[id]],prov_color!A:A,prov_color!C:C)</f>
        <v>49</v>
      </c>
      <c r="P698" t="str">
        <f>_xlfn.XLOOKUP(VALINA[[#This Row],[id]],Table4[id],Table4[name])</f>
        <v>Sarawak</v>
      </c>
      <c r="Q698" t="str">
        <f>_xlfn.XLOOKUP(VALINA[[#This Row],[name]],Trans!A:A,Trans!B:B)</f>
        <v>Sarawak</v>
      </c>
    </row>
    <row r="699" spans="1:17" x14ac:dyDescent="0.25">
      <c r="A699">
        <v>698</v>
      </c>
      <c r="B699" t="s">
        <v>653</v>
      </c>
      <c r="C699" t="s">
        <v>935</v>
      </c>
      <c r="D699" t="s">
        <v>961</v>
      </c>
      <c r="E699" t="s">
        <v>80</v>
      </c>
      <c r="F699" t="s">
        <v>748</v>
      </c>
      <c r="G699" t="s">
        <v>75</v>
      </c>
      <c r="H699" t="s">
        <v>965</v>
      </c>
      <c r="I699" t="s">
        <v>141</v>
      </c>
      <c r="J699" t="s">
        <v>966</v>
      </c>
      <c r="K699">
        <v>4</v>
      </c>
      <c r="L699">
        <v>6</v>
      </c>
      <c r="M699">
        <v>3</v>
      </c>
      <c r="N699">
        <v>0</v>
      </c>
      <c r="O699">
        <f>_xlfn.XLOOKUP(VALINA[[#This Row],[id]],prov_color!A:A,prov_color!C:C)</f>
        <v>49</v>
      </c>
      <c r="P699" t="str">
        <f>_xlfn.XLOOKUP(VALINA[[#This Row],[id]],Table4[id],Table4[name])</f>
        <v>Bandjarmasin</v>
      </c>
      <c r="Q699" t="str">
        <f>_xlfn.XLOOKUP(VALINA[[#This Row],[name]],Trans!A:A,Trans!B:B)</f>
        <v>Bandjarmasin</v>
      </c>
    </row>
    <row r="700" spans="1:17" x14ac:dyDescent="0.25">
      <c r="A700">
        <v>699</v>
      </c>
      <c r="B700" t="s">
        <v>653</v>
      </c>
      <c r="C700" t="s">
        <v>935</v>
      </c>
      <c r="D700" t="s">
        <v>961</v>
      </c>
      <c r="E700" t="s">
        <v>80</v>
      </c>
      <c r="F700" t="s">
        <v>748</v>
      </c>
      <c r="G700" t="s">
        <v>75</v>
      </c>
      <c r="H700" t="s">
        <v>965</v>
      </c>
      <c r="I700" t="s">
        <v>685</v>
      </c>
      <c r="J700" t="s">
        <v>967</v>
      </c>
      <c r="K700">
        <v>4</v>
      </c>
      <c r="L700">
        <v>6</v>
      </c>
      <c r="M700">
        <v>3</v>
      </c>
      <c r="N700">
        <v>0</v>
      </c>
      <c r="O700">
        <f>_xlfn.XLOOKUP(VALINA[[#This Row],[id]],prov_color!A:A,prov_color!C:C)</f>
        <v>44</v>
      </c>
      <c r="P700" t="str">
        <f>_xlfn.XLOOKUP(VALINA[[#This Row],[id]],Table4[id],Table4[name])</f>
        <v>Selatan</v>
      </c>
      <c r="Q700" t="str">
        <f>_xlfn.XLOOKUP(VALINA[[#This Row],[name]],Trans!A:A,Trans!B:B)</f>
        <v>Selatan</v>
      </c>
    </row>
    <row r="701" spans="1:17" x14ac:dyDescent="0.25">
      <c r="A701">
        <v>700</v>
      </c>
      <c r="B701" t="s">
        <v>653</v>
      </c>
      <c r="C701" t="s">
        <v>935</v>
      </c>
      <c r="D701" t="s">
        <v>961</v>
      </c>
      <c r="E701" t="s">
        <v>80</v>
      </c>
      <c r="F701" t="s">
        <v>748</v>
      </c>
      <c r="G701" t="s">
        <v>75</v>
      </c>
      <c r="H701" t="s">
        <v>965</v>
      </c>
      <c r="I701" t="s">
        <v>27</v>
      </c>
      <c r="J701" t="s">
        <v>968</v>
      </c>
      <c r="K701">
        <v>4</v>
      </c>
      <c r="L701">
        <v>5</v>
      </c>
      <c r="M701">
        <v>2</v>
      </c>
      <c r="N701">
        <v>0</v>
      </c>
      <c r="O701">
        <f>_xlfn.XLOOKUP(VALINA[[#This Row],[id]],prov_color!A:A,prov_color!C:C)</f>
        <v>39</v>
      </c>
      <c r="P701" t="str">
        <f>_xlfn.XLOOKUP(VALINA[[#This Row],[id]],Table4[id],Table4[name])</f>
        <v>Kalimantan</v>
      </c>
      <c r="Q701" t="str">
        <f>_xlfn.XLOOKUP(VALINA[[#This Row],[name]],Trans!A:A,Trans!B:B)</f>
        <v>Kalimantan</v>
      </c>
    </row>
    <row r="702" spans="1:17" x14ac:dyDescent="0.25">
      <c r="A702">
        <v>701</v>
      </c>
      <c r="B702" t="s">
        <v>653</v>
      </c>
      <c r="C702" t="s">
        <v>935</v>
      </c>
      <c r="D702" t="s">
        <v>969</v>
      </c>
      <c r="E702" t="s">
        <v>22</v>
      </c>
      <c r="F702" t="s">
        <v>748</v>
      </c>
      <c r="G702" t="s">
        <v>75</v>
      </c>
      <c r="H702" t="s">
        <v>965</v>
      </c>
      <c r="I702" t="s">
        <v>687</v>
      </c>
      <c r="J702" t="s">
        <v>970</v>
      </c>
      <c r="K702">
        <v>3</v>
      </c>
      <c r="L702">
        <v>12</v>
      </c>
      <c r="M702">
        <v>6</v>
      </c>
      <c r="N702">
        <v>0</v>
      </c>
      <c r="O702">
        <f>_xlfn.XLOOKUP(VALINA[[#This Row],[id]],prov_color!A:A,prov_color!C:C)</f>
        <v>15</v>
      </c>
      <c r="P702" t="str">
        <f>_xlfn.XLOOKUP(VALINA[[#This Row],[id]],Table4[id],Table4[name])</f>
        <v>Sunda</v>
      </c>
      <c r="Q702" t="str">
        <f>_xlfn.XLOOKUP(VALINA[[#This Row],[name]],Trans!A:A,Trans!B:B)</f>
        <v>Sunda</v>
      </c>
    </row>
    <row r="703" spans="1:17" x14ac:dyDescent="0.25">
      <c r="A703">
        <v>702</v>
      </c>
      <c r="B703" t="s">
        <v>653</v>
      </c>
      <c r="C703" t="s">
        <v>935</v>
      </c>
      <c r="D703" t="s">
        <v>969</v>
      </c>
      <c r="E703" t="s">
        <v>80</v>
      </c>
      <c r="F703" t="s">
        <v>748</v>
      </c>
      <c r="G703" t="s">
        <v>75</v>
      </c>
      <c r="H703" t="s">
        <v>965</v>
      </c>
      <c r="I703" t="s">
        <v>73</v>
      </c>
      <c r="J703" t="s">
        <v>971</v>
      </c>
      <c r="K703">
        <v>3</v>
      </c>
      <c r="L703">
        <v>16</v>
      </c>
      <c r="M703">
        <v>8</v>
      </c>
      <c r="N703">
        <v>0</v>
      </c>
      <c r="O703">
        <f>_xlfn.XLOOKUP(VALINA[[#This Row],[id]],prov_color!A:A,prov_color!C:C)</f>
        <v>14</v>
      </c>
      <c r="P703" t="str">
        <f>_xlfn.XLOOKUP(VALINA[[#This Row],[id]],Table4[id],Table4[name])</f>
        <v>Jakarta</v>
      </c>
      <c r="Q703" t="str">
        <f>_xlfn.XLOOKUP(VALINA[[#This Row],[name]],Trans!A:A,Trans!B:B)</f>
        <v>Jakarta</v>
      </c>
    </row>
    <row r="704" spans="1:17" x14ac:dyDescent="0.25">
      <c r="A704">
        <v>703</v>
      </c>
      <c r="B704" t="s">
        <v>653</v>
      </c>
      <c r="C704" t="s">
        <v>935</v>
      </c>
      <c r="D704" t="s">
        <v>969</v>
      </c>
      <c r="E704" t="s">
        <v>14</v>
      </c>
      <c r="F704" t="s">
        <v>748</v>
      </c>
      <c r="G704" t="s">
        <v>75</v>
      </c>
      <c r="H704" t="s">
        <v>965</v>
      </c>
      <c r="I704" t="s">
        <v>103</v>
      </c>
      <c r="J704" t="s">
        <v>972</v>
      </c>
      <c r="K704">
        <v>3</v>
      </c>
      <c r="L704">
        <v>14</v>
      </c>
      <c r="M704">
        <v>6</v>
      </c>
      <c r="N704">
        <v>0</v>
      </c>
      <c r="O704">
        <f>_xlfn.XLOOKUP(VALINA[[#This Row],[id]],prov_color!A:A,prov_color!C:C)</f>
        <v>16</v>
      </c>
      <c r="P704" t="str">
        <f>_xlfn.XLOOKUP(VALINA[[#This Row],[id]],Table4[id],Table4[name])</f>
        <v>Bandung</v>
      </c>
      <c r="Q704" t="str">
        <f>_xlfn.XLOOKUP(VALINA[[#This Row],[name]],Trans!A:A,Trans!B:B)</f>
        <v>Bandung</v>
      </c>
    </row>
    <row r="705" spans="1:17" x14ac:dyDescent="0.25">
      <c r="A705">
        <v>704</v>
      </c>
      <c r="B705" t="s">
        <v>653</v>
      </c>
      <c r="C705" t="s">
        <v>935</v>
      </c>
      <c r="D705" t="s">
        <v>973</v>
      </c>
      <c r="E705" t="s">
        <v>14</v>
      </c>
      <c r="F705" t="s">
        <v>748</v>
      </c>
      <c r="G705" t="s">
        <v>75</v>
      </c>
      <c r="H705" t="s">
        <v>965</v>
      </c>
      <c r="I705" t="s">
        <v>103</v>
      </c>
      <c r="J705" t="s">
        <v>974</v>
      </c>
      <c r="K705">
        <v>3</v>
      </c>
      <c r="L705">
        <v>16</v>
      </c>
      <c r="M705">
        <v>7</v>
      </c>
      <c r="N705">
        <v>0</v>
      </c>
      <c r="O705">
        <f>_xlfn.XLOOKUP(VALINA[[#This Row],[id]],prov_color!A:A,prov_color!C:C)</f>
        <v>35</v>
      </c>
      <c r="P705" t="str">
        <f>_xlfn.XLOOKUP(VALINA[[#This Row],[id]],Table4[id],Table4[name])</f>
        <v>Surabaja</v>
      </c>
      <c r="Q705" t="str">
        <f>_xlfn.XLOOKUP(VALINA[[#This Row],[name]],Trans!A:A,Trans!B:B)</f>
        <v>Surabaja</v>
      </c>
    </row>
    <row r="706" spans="1:17" x14ac:dyDescent="0.25">
      <c r="A706">
        <v>705</v>
      </c>
      <c r="B706" t="s">
        <v>653</v>
      </c>
      <c r="C706" t="s">
        <v>935</v>
      </c>
      <c r="D706" t="s">
        <v>973</v>
      </c>
      <c r="E706" t="s">
        <v>80</v>
      </c>
      <c r="F706" t="s">
        <v>748</v>
      </c>
      <c r="G706" t="s">
        <v>75</v>
      </c>
      <c r="H706" t="s">
        <v>965</v>
      </c>
      <c r="I706" t="s">
        <v>84</v>
      </c>
      <c r="J706" t="s">
        <v>975</v>
      </c>
      <c r="K706">
        <v>3</v>
      </c>
      <c r="L706">
        <v>12</v>
      </c>
      <c r="M706">
        <v>5</v>
      </c>
      <c r="N706">
        <v>0</v>
      </c>
      <c r="O706">
        <f>_xlfn.XLOOKUP(VALINA[[#This Row],[id]],prov_color!A:A,prov_color!C:C)</f>
        <v>8</v>
      </c>
      <c r="P706" t="str">
        <f>_xlfn.XLOOKUP(VALINA[[#This Row],[id]],Table4[id],Table4[name])</f>
        <v>Bali</v>
      </c>
      <c r="Q706" t="str">
        <f>_xlfn.XLOOKUP(VALINA[[#This Row],[name]],Trans!A:A,Trans!B:B)</f>
        <v>Bali</v>
      </c>
    </row>
    <row r="707" spans="1:17" x14ac:dyDescent="0.25">
      <c r="A707">
        <v>706</v>
      </c>
      <c r="B707" t="s">
        <v>653</v>
      </c>
      <c r="C707" t="s">
        <v>935</v>
      </c>
      <c r="D707" t="s">
        <v>976</v>
      </c>
      <c r="E707" t="s">
        <v>22</v>
      </c>
      <c r="F707" t="s">
        <v>15</v>
      </c>
      <c r="G707" t="s">
        <v>75</v>
      </c>
      <c r="H707" t="s">
        <v>977</v>
      </c>
      <c r="I707" t="s">
        <v>687</v>
      </c>
      <c r="J707" t="s">
        <v>978</v>
      </c>
      <c r="K707">
        <v>3</v>
      </c>
      <c r="L707">
        <v>8</v>
      </c>
      <c r="M707">
        <v>2</v>
      </c>
      <c r="N707">
        <v>0</v>
      </c>
      <c r="O707">
        <f>_xlfn.XLOOKUP(VALINA[[#This Row],[id]],prov_color!A:A,prov_color!C:C)</f>
        <v>36</v>
      </c>
      <c r="P707" t="str">
        <f>_xlfn.XLOOKUP(VALINA[[#This Row],[id]],Table4[id],Table4[name])</f>
        <v>Manado</v>
      </c>
      <c r="Q707" t="str">
        <f>_xlfn.XLOOKUP(VALINA[[#This Row],[name]],Trans!A:A,Trans!B:B)</f>
        <v>Manado</v>
      </c>
    </row>
    <row r="708" spans="1:17" x14ac:dyDescent="0.25">
      <c r="A708">
        <v>707</v>
      </c>
      <c r="B708" t="s">
        <v>653</v>
      </c>
      <c r="C708" t="s">
        <v>935</v>
      </c>
      <c r="D708" t="s">
        <v>976</v>
      </c>
      <c r="E708" t="s">
        <v>14</v>
      </c>
      <c r="F708" t="s">
        <v>15</v>
      </c>
      <c r="G708" t="s">
        <v>75</v>
      </c>
      <c r="H708" t="s">
        <v>977</v>
      </c>
      <c r="I708" t="s">
        <v>84</v>
      </c>
      <c r="J708" t="s">
        <v>979</v>
      </c>
      <c r="K708">
        <v>3</v>
      </c>
      <c r="L708">
        <v>10</v>
      </c>
      <c r="M708">
        <v>3</v>
      </c>
      <c r="N708">
        <v>0</v>
      </c>
      <c r="O708">
        <f>_xlfn.XLOOKUP(VALINA[[#This Row],[id]],prov_color!A:A,prov_color!C:C)</f>
        <v>33</v>
      </c>
      <c r="P708" t="str">
        <f>_xlfn.XLOOKUP(VALINA[[#This Row],[id]],Table4[id],Table4[name])</f>
        <v>Sulawesi</v>
      </c>
      <c r="Q708" t="str">
        <f>_xlfn.XLOOKUP(VALINA[[#This Row],[name]],Trans!A:A,Trans!B:B)</f>
        <v>Sulawesi</v>
      </c>
    </row>
    <row r="709" spans="1:17" x14ac:dyDescent="0.25">
      <c r="A709">
        <v>708</v>
      </c>
      <c r="B709" t="s">
        <v>653</v>
      </c>
      <c r="C709" t="s">
        <v>935</v>
      </c>
      <c r="D709" t="s">
        <v>976</v>
      </c>
      <c r="E709" t="s">
        <v>80</v>
      </c>
      <c r="F709" t="s">
        <v>15</v>
      </c>
      <c r="G709" t="s">
        <v>75</v>
      </c>
      <c r="H709" t="s">
        <v>977</v>
      </c>
      <c r="I709" t="s">
        <v>687</v>
      </c>
      <c r="J709" t="s">
        <v>980</v>
      </c>
      <c r="K709">
        <v>3</v>
      </c>
      <c r="L709">
        <v>14</v>
      </c>
      <c r="M709">
        <v>5</v>
      </c>
      <c r="N709">
        <v>0</v>
      </c>
      <c r="O709">
        <f>_xlfn.XLOOKUP(VALINA[[#This Row],[id]],prov_color!A:A,prov_color!C:C)</f>
        <v>21</v>
      </c>
      <c r="P709" t="str">
        <f>_xlfn.XLOOKUP(VALINA[[#This Row],[id]],Table4[id],Table4[name])</f>
        <v>Makassar</v>
      </c>
      <c r="Q709" t="str">
        <f>_xlfn.XLOOKUP(VALINA[[#This Row],[name]],Trans!A:A,Trans!B:B)</f>
        <v>Makassar</v>
      </c>
    </row>
    <row r="710" spans="1:17" x14ac:dyDescent="0.25">
      <c r="A710">
        <v>709</v>
      </c>
      <c r="B710" t="s">
        <v>653</v>
      </c>
      <c r="C710" t="s">
        <v>935</v>
      </c>
      <c r="D710" t="s">
        <v>976</v>
      </c>
      <c r="E710" t="s">
        <v>22</v>
      </c>
      <c r="F710" t="s">
        <v>15</v>
      </c>
      <c r="G710" t="s">
        <v>75</v>
      </c>
      <c r="H710" t="s">
        <v>977</v>
      </c>
      <c r="I710" t="s">
        <v>687</v>
      </c>
      <c r="J710" t="s">
        <v>981</v>
      </c>
      <c r="K710">
        <v>3</v>
      </c>
      <c r="L710">
        <v>10</v>
      </c>
      <c r="M710">
        <v>3</v>
      </c>
      <c r="N710">
        <v>0</v>
      </c>
      <c r="O710">
        <f>_xlfn.XLOOKUP(VALINA[[#This Row],[id]],prov_color!A:A,prov_color!C:C)</f>
        <v>29</v>
      </c>
      <c r="P710" t="str">
        <f>_xlfn.XLOOKUP(VALINA[[#This Row],[id]],Table4[id],Table4[name])</f>
        <v>Salabanka</v>
      </c>
      <c r="Q710" t="str">
        <f>_xlfn.XLOOKUP(VALINA[[#This Row],[name]],Trans!A:A,Trans!B:B)</f>
        <v>Salabanka</v>
      </c>
    </row>
    <row r="711" spans="1:17" x14ac:dyDescent="0.25">
      <c r="A711">
        <v>710</v>
      </c>
      <c r="B711" t="s">
        <v>653</v>
      </c>
      <c r="C711" t="s">
        <v>935</v>
      </c>
      <c r="D711" t="s">
        <v>982</v>
      </c>
      <c r="E711" t="s">
        <v>22</v>
      </c>
      <c r="F711" t="s">
        <v>748</v>
      </c>
      <c r="G711" t="s">
        <v>75</v>
      </c>
      <c r="H711" t="s">
        <v>977</v>
      </c>
      <c r="I711" t="s">
        <v>84</v>
      </c>
      <c r="J711" t="s">
        <v>983</v>
      </c>
      <c r="K711">
        <v>3</v>
      </c>
      <c r="L711">
        <v>10</v>
      </c>
      <c r="M711">
        <v>3</v>
      </c>
      <c r="N711">
        <v>0</v>
      </c>
      <c r="O711">
        <f>_xlfn.XLOOKUP(VALINA[[#This Row],[id]],prov_color!A:A,prov_color!C:C)</f>
        <v>8</v>
      </c>
      <c r="P711" t="str">
        <f>_xlfn.XLOOKUP(VALINA[[#This Row],[id]],Table4[id],Table4[name])</f>
        <v>Sumbawa</v>
      </c>
      <c r="Q711" t="str">
        <f>_xlfn.XLOOKUP(VALINA[[#This Row],[name]],Trans!A:A,Trans!B:B)</f>
        <v>Sumbawa</v>
      </c>
    </row>
    <row r="712" spans="1:17" x14ac:dyDescent="0.25">
      <c r="A712">
        <v>711</v>
      </c>
      <c r="B712" t="s">
        <v>653</v>
      </c>
      <c r="C712" t="s">
        <v>935</v>
      </c>
      <c r="D712" t="s">
        <v>982</v>
      </c>
      <c r="E712" t="s">
        <v>22</v>
      </c>
      <c r="F712" t="s">
        <v>15</v>
      </c>
      <c r="G712" t="s">
        <v>75</v>
      </c>
      <c r="H712" t="s">
        <v>977</v>
      </c>
      <c r="I712" t="s">
        <v>687</v>
      </c>
      <c r="J712" t="s">
        <v>984</v>
      </c>
      <c r="K712">
        <v>3</v>
      </c>
      <c r="L712">
        <v>8</v>
      </c>
      <c r="M712">
        <v>3</v>
      </c>
      <c r="N712">
        <v>0</v>
      </c>
      <c r="O712">
        <f>_xlfn.XLOOKUP(VALINA[[#This Row],[id]],prov_color!A:A,prov_color!C:C)</f>
        <v>15</v>
      </c>
      <c r="P712" t="str">
        <f>_xlfn.XLOOKUP(VALINA[[#This Row],[id]],Table4[id],Table4[name])</f>
        <v>Flores</v>
      </c>
      <c r="Q712" t="str">
        <f>_xlfn.XLOOKUP(VALINA[[#This Row],[name]],Trans!A:A,Trans!B:B)</f>
        <v>Flores</v>
      </c>
    </row>
    <row r="713" spans="1:17" x14ac:dyDescent="0.25">
      <c r="A713">
        <v>712</v>
      </c>
      <c r="B713" t="s">
        <v>653</v>
      </c>
      <c r="C713" t="s">
        <v>935</v>
      </c>
      <c r="D713" t="s">
        <v>982</v>
      </c>
      <c r="E713" t="s">
        <v>22</v>
      </c>
      <c r="F713" t="s">
        <v>15</v>
      </c>
      <c r="G713" t="s">
        <v>75</v>
      </c>
      <c r="H713" t="s">
        <v>977</v>
      </c>
      <c r="I713" t="s">
        <v>687</v>
      </c>
      <c r="J713" t="s">
        <v>985</v>
      </c>
      <c r="K713">
        <v>5</v>
      </c>
      <c r="L713">
        <v>6</v>
      </c>
      <c r="M713">
        <v>2</v>
      </c>
      <c r="N713">
        <v>0</v>
      </c>
      <c r="O713">
        <f>_xlfn.XLOOKUP(VALINA[[#This Row],[id]],prov_color!A:A,prov_color!C:C)</f>
        <v>30</v>
      </c>
      <c r="P713" t="str">
        <f>_xlfn.XLOOKUP(VALINA[[#This Row],[id]],Table4[id],Table4[name])</f>
        <v>Timor</v>
      </c>
      <c r="Q713" t="str">
        <f>_xlfn.XLOOKUP(VALINA[[#This Row],[name]],Trans!A:A,Trans!B:B)</f>
        <v>Timor</v>
      </c>
    </row>
    <row r="714" spans="1:17" x14ac:dyDescent="0.25">
      <c r="A714">
        <v>713</v>
      </c>
      <c r="B714" t="s">
        <v>653</v>
      </c>
      <c r="C714" t="s">
        <v>935</v>
      </c>
      <c r="D714" t="s">
        <v>986</v>
      </c>
      <c r="E714" t="s">
        <v>22</v>
      </c>
      <c r="F714" t="s">
        <v>15</v>
      </c>
      <c r="G714" t="s">
        <v>75</v>
      </c>
      <c r="H714" t="s">
        <v>977</v>
      </c>
      <c r="I714" t="s">
        <v>687</v>
      </c>
      <c r="J714" t="s">
        <v>987</v>
      </c>
      <c r="K714">
        <v>4</v>
      </c>
      <c r="L714">
        <v>12</v>
      </c>
      <c r="M714">
        <v>4</v>
      </c>
      <c r="N714">
        <v>0</v>
      </c>
      <c r="O714">
        <f>_xlfn.XLOOKUP(VALINA[[#This Row],[id]],prov_color!A:A,prov_color!C:C)</f>
        <v>18</v>
      </c>
      <c r="P714" t="str">
        <f>_xlfn.XLOOKUP(VALINA[[#This Row],[id]],Table4[id],Table4[name])</f>
        <v>Tindore</v>
      </c>
      <c r="Q714" t="str">
        <f>_xlfn.XLOOKUP(VALINA[[#This Row],[name]],Trans!A:A,Trans!B:B)</f>
        <v>Tindore</v>
      </c>
    </row>
    <row r="715" spans="1:17" x14ac:dyDescent="0.25">
      <c r="A715">
        <v>714</v>
      </c>
      <c r="B715" t="s">
        <v>653</v>
      </c>
      <c r="C715" t="s">
        <v>935</v>
      </c>
      <c r="D715" t="s">
        <v>986</v>
      </c>
      <c r="E715" t="s">
        <v>22</v>
      </c>
      <c r="F715" t="s">
        <v>15</v>
      </c>
      <c r="G715" t="s">
        <v>75</v>
      </c>
      <c r="H715" t="s">
        <v>977</v>
      </c>
      <c r="I715" t="s">
        <v>84</v>
      </c>
      <c r="J715" t="s">
        <v>988</v>
      </c>
      <c r="K715">
        <v>5</v>
      </c>
      <c r="L715">
        <v>6</v>
      </c>
      <c r="M715">
        <v>2</v>
      </c>
      <c r="N715">
        <v>0</v>
      </c>
      <c r="O715">
        <f>_xlfn.XLOOKUP(VALINA[[#This Row],[id]],prov_color!A:A,prov_color!C:C)</f>
        <v>9</v>
      </c>
      <c r="P715" t="str">
        <f>_xlfn.XLOOKUP(VALINA[[#This Row],[id]],Table4[id],Table4[name])</f>
        <v>Buru</v>
      </c>
      <c r="Q715" t="str">
        <f>_xlfn.XLOOKUP(VALINA[[#This Row],[name]],Trans!A:A,Trans!B:B)</f>
        <v>Buru</v>
      </c>
    </row>
    <row r="716" spans="1:17" x14ac:dyDescent="0.25">
      <c r="A716">
        <v>715</v>
      </c>
      <c r="B716" t="s">
        <v>653</v>
      </c>
      <c r="C716" t="s">
        <v>935</v>
      </c>
      <c r="D716" t="s">
        <v>986</v>
      </c>
      <c r="E716" t="s">
        <v>22</v>
      </c>
      <c r="F716" t="s">
        <v>15</v>
      </c>
      <c r="G716" t="s">
        <v>75</v>
      </c>
      <c r="H716" t="s">
        <v>977</v>
      </c>
      <c r="I716" t="s">
        <v>687</v>
      </c>
      <c r="J716" t="s">
        <v>989</v>
      </c>
      <c r="K716">
        <v>5</v>
      </c>
      <c r="L716">
        <v>6</v>
      </c>
      <c r="M716">
        <v>2</v>
      </c>
      <c r="N716">
        <v>0</v>
      </c>
      <c r="O716">
        <f>_xlfn.XLOOKUP(VALINA[[#This Row],[id]],prov_color!A:A,prov_color!C:C)</f>
        <v>15</v>
      </c>
      <c r="P716" t="str">
        <f>_xlfn.XLOOKUP(VALINA[[#This Row],[id]],Table4[id],Table4[name])</f>
        <v>Ceram</v>
      </c>
      <c r="Q716" t="str">
        <f>_xlfn.XLOOKUP(VALINA[[#This Row],[name]],Trans!A:A,Trans!B:B)</f>
        <v>Ceram</v>
      </c>
    </row>
    <row r="717" spans="1:17" x14ac:dyDescent="0.25">
      <c r="A717">
        <v>716</v>
      </c>
      <c r="B717" t="s">
        <v>990</v>
      </c>
      <c r="C717" t="s">
        <v>991</v>
      </c>
      <c r="D717" t="s">
        <v>992</v>
      </c>
      <c r="E717" t="s">
        <v>14</v>
      </c>
      <c r="F717" t="s">
        <v>15</v>
      </c>
      <c r="G717" t="s">
        <v>75</v>
      </c>
      <c r="H717" t="s">
        <v>993</v>
      </c>
      <c r="I717" t="s">
        <v>27</v>
      </c>
      <c r="J717" t="s">
        <v>994</v>
      </c>
      <c r="K717">
        <v>8</v>
      </c>
      <c r="L717">
        <v>1</v>
      </c>
      <c r="M717">
        <v>1</v>
      </c>
      <c r="N717">
        <v>0</v>
      </c>
      <c r="O717">
        <f>_xlfn.XLOOKUP(VALINA[[#This Row],[id]],prov_color!A:A,prov_color!C:C)</f>
        <v>51</v>
      </c>
      <c r="P717" t="str">
        <f>_xlfn.XLOOKUP(VALINA[[#This Row],[id]],Table4[id],Table4[name])</f>
        <v>Sorong</v>
      </c>
      <c r="Q717" t="str">
        <f>_xlfn.XLOOKUP(VALINA[[#This Row],[name]],Trans!A:A,Trans!B:B)</f>
        <v>Sorong</v>
      </c>
    </row>
    <row r="718" spans="1:17" x14ac:dyDescent="0.25">
      <c r="A718">
        <v>717</v>
      </c>
      <c r="B718" t="s">
        <v>990</v>
      </c>
      <c r="C718" t="s">
        <v>991</v>
      </c>
      <c r="D718" t="s">
        <v>992</v>
      </c>
      <c r="E718" t="s">
        <v>80</v>
      </c>
      <c r="F718" t="s">
        <v>15</v>
      </c>
      <c r="G718" t="s">
        <v>75</v>
      </c>
      <c r="H718" t="s">
        <v>993</v>
      </c>
      <c r="I718" t="s">
        <v>27</v>
      </c>
      <c r="J718" t="s">
        <v>995</v>
      </c>
      <c r="K718">
        <v>7</v>
      </c>
      <c r="L718">
        <v>1</v>
      </c>
      <c r="M718">
        <v>1</v>
      </c>
      <c r="N718">
        <v>0</v>
      </c>
      <c r="O718">
        <f>_xlfn.XLOOKUP(VALINA[[#This Row],[id]],prov_color!A:A,prov_color!C:C)</f>
        <v>41</v>
      </c>
      <c r="P718" t="str">
        <f>_xlfn.XLOOKUP(VALINA[[#This Row],[id]],Table4[id],Table4[name])</f>
        <v>Kalepam</v>
      </c>
      <c r="Q718" t="str">
        <f>_xlfn.XLOOKUP(VALINA[[#This Row],[name]],Trans!A:A,Trans!B:B)</f>
        <v>Kalepam</v>
      </c>
    </row>
    <row r="719" spans="1:17" x14ac:dyDescent="0.25">
      <c r="A719">
        <v>718</v>
      </c>
      <c r="B719" t="s">
        <v>990</v>
      </c>
      <c r="C719" t="s">
        <v>991</v>
      </c>
      <c r="D719" t="s">
        <v>992</v>
      </c>
      <c r="E719" t="s">
        <v>22</v>
      </c>
      <c r="F719" t="s">
        <v>15</v>
      </c>
      <c r="G719" t="s">
        <v>75</v>
      </c>
      <c r="H719" t="s">
        <v>993</v>
      </c>
      <c r="I719" t="s">
        <v>18</v>
      </c>
      <c r="J719" t="s">
        <v>996</v>
      </c>
      <c r="K719">
        <v>9</v>
      </c>
      <c r="L719">
        <v>1</v>
      </c>
      <c r="M719">
        <v>1</v>
      </c>
      <c r="N719">
        <v>0</v>
      </c>
      <c r="O719">
        <f>_xlfn.XLOOKUP(VALINA[[#This Row],[id]],prov_color!A:A,prov_color!C:C)</f>
        <v>24</v>
      </c>
      <c r="P719" t="str">
        <f>_xlfn.XLOOKUP(VALINA[[#This Row],[id]],Table4[id],Table4[name])</f>
        <v>Wewak</v>
      </c>
      <c r="Q719" t="str">
        <f>_xlfn.XLOOKUP(VALINA[[#This Row],[name]],Trans!A:A,Trans!B:B)</f>
        <v>Wewak</v>
      </c>
    </row>
    <row r="720" spans="1:17" x14ac:dyDescent="0.25">
      <c r="A720">
        <v>719</v>
      </c>
      <c r="B720" t="s">
        <v>990</v>
      </c>
      <c r="C720" t="s">
        <v>991</v>
      </c>
      <c r="D720" t="s">
        <v>992</v>
      </c>
      <c r="E720" t="s">
        <v>22</v>
      </c>
      <c r="F720" t="s">
        <v>15</v>
      </c>
      <c r="G720" t="s">
        <v>75</v>
      </c>
      <c r="H720" t="s">
        <v>993</v>
      </c>
      <c r="I720" t="s">
        <v>27</v>
      </c>
      <c r="J720" t="s">
        <v>997</v>
      </c>
      <c r="K720">
        <v>9</v>
      </c>
      <c r="L720">
        <v>1</v>
      </c>
      <c r="M720">
        <v>1</v>
      </c>
      <c r="N720">
        <v>0</v>
      </c>
      <c r="O720">
        <f>_xlfn.XLOOKUP(VALINA[[#This Row],[id]],prov_color!A:A,prov_color!C:C)</f>
        <v>21</v>
      </c>
      <c r="P720" t="str">
        <f>_xlfn.XLOOKUP(VALINA[[#This Row],[id]],Table4[id],Table4[name])</f>
        <v>Rabaul</v>
      </c>
      <c r="Q720" t="str">
        <f>_xlfn.XLOOKUP(VALINA[[#This Row],[name]],Trans!A:A,Trans!B:B)</f>
        <v>Rabaul</v>
      </c>
    </row>
    <row r="721" spans="1:17" x14ac:dyDescent="0.25">
      <c r="A721">
        <v>720</v>
      </c>
      <c r="B721" t="s">
        <v>990</v>
      </c>
      <c r="C721" t="s">
        <v>991</v>
      </c>
      <c r="D721" t="s">
        <v>998</v>
      </c>
      <c r="E721" t="s">
        <v>34</v>
      </c>
      <c r="F721" t="s">
        <v>15</v>
      </c>
      <c r="G721" t="s">
        <v>35</v>
      </c>
      <c r="H721" t="s">
        <v>999</v>
      </c>
      <c r="I721" t="s">
        <v>41</v>
      </c>
      <c r="J721" t="s">
        <v>1000</v>
      </c>
      <c r="K721">
        <v>3</v>
      </c>
      <c r="L721">
        <v>5</v>
      </c>
      <c r="M721">
        <v>1</v>
      </c>
      <c r="N721">
        <v>0</v>
      </c>
      <c r="O721">
        <f>_xlfn.XLOOKUP(VALINA[[#This Row],[id]],prov_color!A:A,prov_color!C:C)</f>
        <v>62</v>
      </c>
      <c r="P721" t="str">
        <f>_xlfn.XLOOKUP(VALINA[[#This Row],[id]],Table4[id],Table4[name])</f>
        <v>Manunda</v>
      </c>
      <c r="Q721" t="str">
        <f>_xlfn.XLOOKUP(VALINA[[#This Row],[name]],Trans!A:A,Trans!B:B)</f>
        <v>Manunda</v>
      </c>
    </row>
    <row r="722" spans="1:17" x14ac:dyDescent="0.25">
      <c r="A722">
        <v>721</v>
      </c>
      <c r="B722" t="s">
        <v>990</v>
      </c>
      <c r="C722" t="s">
        <v>991</v>
      </c>
      <c r="D722" t="s">
        <v>998</v>
      </c>
      <c r="E722" t="s">
        <v>34</v>
      </c>
      <c r="F722" t="s">
        <v>15</v>
      </c>
      <c r="G722" t="s">
        <v>35</v>
      </c>
      <c r="H722" t="s">
        <v>999</v>
      </c>
      <c r="I722" t="s">
        <v>41</v>
      </c>
      <c r="J722" t="s">
        <v>1001</v>
      </c>
      <c r="K722">
        <v>3</v>
      </c>
      <c r="L722">
        <v>6</v>
      </c>
      <c r="M722">
        <v>1</v>
      </c>
      <c r="N722">
        <v>0</v>
      </c>
      <c r="O722">
        <f>_xlfn.XLOOKUP(VALINA[[#This Row],[id]],prov_color!A:A,prov_color!C:C)</f>
        <v>81</v>
      </c>
      <c r="P722" t="str">
        <f>_xlfn.XLOOKUP(VALINA[[#This Row],[id]],Table4[id],Table4[name])</f>
        <v>Murumbidgee</v>
      </c>
      <c r="Q722" t="str">
        <f>_xlfn.XLOOKUP(VALINA[[#This Row],[name]],Trans!A:A,Trans!B:B)</f>
        <v>Murumbidgee</v>
      </c>
    </row>
    <row r="723" spans="1:17" x14ac:dyDescent="0.25">
      <c r="A723">
        <v>722</v>
      </c>
      <c r="B723" t="s">
        <v>990</v>
      </c>
      <c r="C723" t="s">
        <v>991</v>
      </c>
      <c r="D723" t="s">
        <v>998</v>
      </c>
      <c r="E723" t="s">
        <v>34</v>
      </c>
      <c r="F723" t="s">
        <v>15</v>
      </c>
      <c r="G723" t="s">
        <v>35</v>
      </c>
      <c r="H723" t="s">
        <v>999</v>
      </c>
      <c r="I723" t="s">
        <v>43</v>
      </c>
      <c r="J723" t="s">
        <v>1002</v>
      </c>
      <c r="K723">
        <v>3</v>
      </c>
      <c r="L723">
        <v>8</v>
      </c>
      <c r="M723">
        <v>1</v>
      </c>
      <c r="N723">
        <v>0</v>
      </c>
      <c r="O723">
        <f>_xlfn.XLOOKUP(VALINA[[#This Row],[id]],prov_color!A:A,prov_color!C:C)</f>
        <v>57</v>
      </c>
      <c r="P723" t="str">
        <f>_xlfn.XLOOKUP(VALINA[[#This Row],[id]],Table4[id],Table4[name])</f>
        <v>Yarra</v>
      </c>
      <c r="Q723" t="str">
        <f>_xlfn.XLOOKUP(VALINA[[#This Row],[name]],Trans!A:A,Trans!B:B)</f>
        <v>Yarra</v>
      </c>
    </row>
    <row r="724" spans="1:17" x14ac:dyDescent="0.25">
      <c r="A724">
        <v>723</v>
      </c>
      <c r="B724" t="s">
        <v>990</v>
      </c>
      <c r="C724" t="s">
        <v>991</v>
      </c>
      <c r="D724" t="s">
        <v>1003</v>
      </c>
      <c r="E724" t="s">
        <v>34</v>
      </c>
      <c r="F724" t="s">
        <v>15</v>
      </c>
      <c r="G724" t="s">
        <v>35</v>
      </c>
      <c r="H724" t="s">
        <v>999</v>
      </c>
      <c r="I724" t="s">
        <v>41</v>
      </c>
      <c r="J724" t="s">
        <v>1004</v>
      </c>
      <c r="K724">
        <v>3</v>
      </c>
      <c r="L724">
        <v>6</v>
      </c>
      <c r="M724">
        <v>1</v>
      </c>
      <c r="N724">
        <v>0</v>
      </c>
      <c r="O724">
        <f>_xlfn.XLOOKUP(VALINA[[#This Row],[id]],prov_color!A:A,prov_color!C:C)</f>
        <v>54</v>
      </c>
      <c r="P724" t="str">
        <f>_xlfn.XLOOKUP(VALINA[[#This Row],[id]],Table4[id],Table4[name])</f>
        <v>Wagga</v>
      </c>
      <c r="Q724" t="str">
        <f>_xlfn.XLOOKUP(VALINA[[#This Row],[name]],Trans!A:A,Trans!B:B)</f>
        <v>Wagga</v>
      </c>
    </row>
    <row r="725" spans="1:17" x14ac:dyDescent="0.25">
      <c r="A725">
        <v>724</v>
      </c>
      <c r="B725" t="s">
        <v>990</v>
      </c>
      <c r="C725" t="s">
        <v>991</v>
      </c>
      <c r="D725" t="s">
        <v>1003</v>
      </c>
      <c r="E725" t="s">
        <v>34</v>
      </c>
      <c r="F725" t="s">
        <v>15</v>
      </c>
      <c r="G725" t="s">
        <v>35</v>
      </c>
      <c r="H725" t="s">
        <v>999</v>
      </c>
      <c r="I725" t="s">
        <v>43</v>
      </c>
      <c r="J725" t="s">
        <v>1005</v>
      </c>
      <c r="K725">
        <v>3</v>
      </c>
      <c r="L725">
        <v>7</v>
      </c>
      <c r="M725">
        <v>1</v>
      </c>
      <c r="N725">
        <v>0</v>
      </c>
      <c r="O725">
        <f>_xlfn.XLOOKUP(VALINA[[#This Row],[id]],prov_color!A:A,prov_color!C:C)</f>
        <v>65</v>
      </c>
      <c r="P725" t="str">
        <f>_xlfn.XLOOKUP(VALINA[[#This Row],[id]],Table4[id],Table4[name])</f>
        <v>Wollongong</v>
      </c>
      <c r="Q725" t="str">
        <f>_xlfn.XLOOKUP(VALINA[[#This Row],[name]],Trans!A:A,Trans!B:B)</f>
        <v>Wollongong</v>
      </c>
    </row>
    <row r="726" spans="1:17" x14ac:dyDescent="0.25">
      <c r="A726">
        <v>725</v>
      </c>
      <c r="B726" t="s">
        <v>990</v>
      </c>
      <c r="C726" t="s">
        <v>991</v>
      </c>
      <c r="D726" t="s">
        <v>1003</v>
      </c>
      <c r="E726" t="s">
        <v>22</v>
      </c>
      <c r="F726" t="s">
        <v>15</v>
      </c>
      <c r="G726" t="s">
        <v>35</v>
      </c>
      <c r="H726" t="s">
        <v>999</v>
      </c>
      <c r="I726" t="s">
        <v>41</v>
      </c>
      <c r="J726" t="s">
        <v>1006</v>
      </c>
      <c r="K726">
        <v>3</v>
      </c>
      <c r="L726">
        <v>5</v>
      </c>
      <c r="M726">
        <v>1</v>
      </c>
      <c r="N726">
        <v>0</v>
      </c>
      <c r="O726">
        <f>_xlfn.XLOOKUP(VALINA[[#This Row],[id]],prov_color!A:A,prov_color!C:C)</f>
        <v>63</v>
      </c>
      <c r="P726" t="str">
        <f>_xlfn.XLOOKUP(VALINA[[#This Row],[id]],Table4[id],Table4[name])</f>
        <v>Nandewar</v>
      </c>
      <c r="Q726" t="str">
        <f>_xlfn.XLOOKUP(VALINA[[#This Row],[name]],Trans!A:A,Trans!B:B)</f>
        <v>Nandewar</v>
      </c>
    </row>
    <row r="727" spans="1:17" x14ac:dyDescent="0.25">
      <c r="A727">
        <v>726</v>
      </c>
      <c r="B727" t="s">
        <v>990</v>
      </c>
      <c r="C727" t="s">
        <v>991</v>
      </c>
      <c r="D727" t="s">
        <v>1003</v>
      </c>
      <c r="E727" t="s">
        <v>22</v>
      </c>
      <c r="F727" t="s">
        <v>15</v>
      </c>
      <c r="G727" t="s">
        <v>75</v>
      </c>
      <c r="H727" t="s">
        <v>999</v>
      </c>
      <c r="I727" t="s">
        <v>27</v>
      </c>
      <c r="J727" t="s">
        <v>1007</v>
      </c>
      <c r="K727">
        <v>4</v>
      </c>
      <c r="L727">
        <v>5</v>
      </c>
      <c r="M727">
        <v>1</v>
      </c>
      <c r="N727">
        <v>0</v>
      </c>
      <c r="O727">
        <f>_xlfn.XLOOKUP(VALINA[[#This Row],[id]],prov_color!A:A,prov_color!C:C)</f>
        <v>67</v>
      </c>
      <c r="P727" t="str">
        <f>_xlfn.XLOOKUP(VALINA[[#This Row],[id]],Table4[id],Table4[name])</f>
        <v>Towoomba</v>
      </c>
      <c r="Q727" t="str">
        <f>_xlfn.XLOOKUP(VALINA[[#This Row],[name]],Trans!A:A,Trans!B:B)</f>
        <v>Towoomba</v>
      </c>
    </row>
    <row r="728" spans="1:17" x14ac:dyDescent="0.25">
      <c r="A728">
        <v>727</v>
      </c>
      <c r="B728" t="s">
        <v>990</v>
      </c>
      <c r="C728" t="s">
        <v>991</v>
      </c>
      <c r="D728" t="s">
        <v>1008</v>
      </c>
      <c r="E728" t="s">
        <v>34</v>
      </c>
      <c r="F728" t="s">
        <v>15</v>
      </c>
      <c r="G728" t="s">
        <v>35</v>
      </c>
      <c r="H728" t="s">
        <v>1009</v>
      </c>
      <c r="I728" t="s">
        <v>43</v>
      </c>
      <c r="J728" t="s">
        <v>1010</v>
      </c>
      <c r="K728">
        <v>4</v>
      </c>
      <c r="L728">
        <v>7</v>
      </c>
      <c r="M728">
        <v>1</v>
      </c>
      <c r="N728">
        <v>0</v>
      </c>
      <c r="O728">
        <f>_xlfn.XLOOKUP(VALINA[[#This Row],[id]],prov_color!A:A,prov_color!C:C)</f>
        <v>36</v>
      </c>
      <c r="P728" t="str">
        <f>_xlfn.XLOOKUP(VALINA[[#This Row],[id]],Table4[id],Table4[name])</f>
        <v>Whangarei</v>
      </c>
      <c r="Q728" t="str">
        <f>_xlfn.XLOOKUP(VALINA[[#This Row],[name]],Trans!A:A,Trans!B:B)</f>
        <v>Whangarei</v>
      </c>
    </row>
    <row r="729" spans="1:17" x14ac:dyDescent="0.25">
      <c r="A729">
        <v>728</v>
      </c>
      <c r="B729" t="s">
        <v>990</v>
      </c>
      <c r="C729" t="s">
        <v>991</v>
      </c>
      <c r="D729" t="s">
        <v>1008</v>
      </c>
      <c r="E729" t="s">
        <v>34</v>
      </c>
      <c r="F729" t="s">
        <v>15</v>
      </c>
      <c r="G729" t="s">
        <v>35</v>
      </c>
      <c r="H729" t="s">
        <v>1009</v>
      </c>
      <c r="I729" t="s">
        <v>41</v>
      </c>
      <c r="J729" t="s">
        <v>1011</v>
      </c>
      <c r="K729">
        <v>4</v>
      </c>
      <c r="L729">
        <v>5</v>
      </c>
      <c r="M729">
        <v>1</v>
      </c>
      <c r="N729">
        <v>0</v>
      </c>
      <c r="O729">
        <f>_xlfn.XLOOKUP(VALINA[[#This Row],[id]],prov_color!A:A,prov_color!C:C)</f>
        <v>49</v>
      </c>
      <c r="P729" t="str">
        <f>_xlfn.XLOOKUP(VALINA[[#This Row],[id]],Table4[id],Table4[name])</f>
        <v>Taranaki</v>
      </c>
      <c r="Q729" t="str">
        <f>_xlfn.XLOOKUP(VALINA[[#This Row],[name]],Trans!A:A,Trans!B:B)</f>
        <v>Taranaki</v>
      </c>
    </row>
    <row r="730" spans="1:17" x14ac:dyDescent="0.25">
      <c r="A730">
        <v>729</v>
      </c>
      <c r="B730" t="s">
        <v>990</v>
      </c>
      <c r="C730" t="s">
        <v>991</v>
      </c>
      <c r="D730" t="s">
        <v>1008</v>
      </c>
      <c r="E730" t="s">
        <v>14</v>
      </c>
      <c r="F730" t="s">
        <v>15</v>
      </c>
      <c r="G730" t="s">
        <v>35</v>
      </c>
      <c r="H730" t="s">
        <v>1009</v>
      </c>
      <c r="I730" t="s">
        <v>41</v>
      </c>
      <c r="J730" t="s">
        <v>1012</v>
      </c>
      <c r="K730">
        <v>4</v>
      </c>
      <c r="L730">
        <v>6</v>
      </c>
      <c r="M730">
        <v>1</v>
      </c>
      <c r="N730">
        <v>0</v>
      </c>
      <c r="O730">
        <f>_xlfn.XLOOKUP(VALINA[[#This Row],[id]],prov_color!A:A,prov_color!C:C)</f>
        <v>34</v>
      </c>
      <c r="P730" t="str">
        <f>_xlfn.XLOOKUP(VALINA[[#This Row],[id]],Table4[id],Table4[name])</f>
        <v>Wairoa</v>
      </c>
      <c r="Q730" t="str">
        <f>_xlfn.XLOOKUP(VALINA[[#This Row],[name]],Trans!A:A,Trans!B:B)</f>
        <v>Wairoa</v>
      </c>
    </row>
    <row r="731" spans="1:17" x14ac:dyDescent="0.25">
      <c r="A731">
        <v>730</v>
      </c>
      <c r="B731" t="s">
        <v>990</v>
      </c>
      <c r="C731" t="s">
        <v>991</v>
      </c>
      <c r="D731" t="s">
        <v>1008</v>
      </c>
      <c r="E731" t="s">
        <v>14</v>
      </c>
      <c r="F731" t="s">
        <v>15</v>
      </c>
      <c r="G731" t="s">
        <v>35</v>
      </c>
      <c r="H731" t="s">
        <v>1009</v>
      </c>
      <c r="I731" t="s">
        <v>41</v>
      </c>
      <c r="J731" t="s">
        <v>1013</v>
      </c>
      <c r="K731">
        <v>5</v>
      </c>
      <c r="L731">
        <v>5</v>
      </c>
      <c r="M731">
        <v>1</v>
      </c>
      <c r="N731">
        <v>0</v>
      </c>
      <c r="O731">
        <f>_xlfn.XLOOKUP(VALINA[[#This Row],[id]],prov_color!A:A,prov_color!C:C)</f>
        <v>48</v>
      </c>
      <c r="P731" t="str">
        <f>_xlfn.XLOOKUP(VALINA[[#This Row],[id]],Table4[id],Table4[name])</f>
        <v>Timaru</v>
      </c>
      <c r="Q731" t="str">
        <f>_xlfn.XLOOKUP(VALINA[[#This Row],[name]],Trans!A:A,Trans!B:B)</f>
        <v>Timaru</v>
      </c>
    </row>
    <row r="732" spans="1:17" x14ac:dyDescent="0.25">
      <c r="A732">
        <v>731</v>
      </c>
      <c r="B732" t="s">
        <v>990</v>
      </c>
      <c r="C732" t="s">
        <v>991</v>
      </c>
      <c r="D732" t="s">
        <v>1014</v>
      </c>
      <c r="E732" t="s">
        <v>22</v>
      </c>
      <c r="F732" t="s">
        <v>15</v>
      </c>
      <c r="G732" t="s">
        <v>35</v>
      </c>
      <c r="H732" t="s">
        <v>999</v>
      </c>
      <c r="I732" t="s">
        <v>27</v>
      </c>
      <c r="J732" t="s">
        <v>1015</v>
      </c>
      <c r="K732">
        <v>2</v>
      </c>
      <c r="L732">
        <v>6</v>
      </c>
      <c r="M732">
        <v>1</v>
      </c>
      <c r="N732">
        <v>0</v>
      </c>
      <c r="O732">
        <f>_xlfn.XLOOKUP(VALINA[[#This Row],[id]],prov_color!A:A,prov_color!C:C)</f>
        <v>36</v>
      </c>
      <c r="P732" t="str">
        <f>_xlfn.XLOOKUP(VALINA[[#This Row],[id]],Table4[id],Table4[name])</f>
        <v>Macquarie</v>
      </c>
      <c r="Q732" t="str">
        <f>_xlfn.XLOOKUP(VALINA[[#This Row],[name]],Trans!A:A,Trans!B:B)</f>
        <v>Macquarie</v>
      </c>
    </row>
    <row r="733" spans="1:17" x14ac:dyDescent="0.25">
      <c r="A733">
        <v>732</v>
      </c>
      <c r="B733" t="s">
        <v>1016</v>
      </c>
      <c r="C733" t="s">
        <v>1017</v>
      </c>
      <c r="D733" t="s">
        <v>1018</v>
      </c>
      <c r="E733" t="s">
        <v>34</v>
      </c>
      <c r="F733" t="s">
        <v>609</v>
      </c>
      <c r="G733" t="s">
        <v>35</v>
      </c>
      <c r="H733" t="s">
        <v>669</v>
      </c>
      <c r="I733" t="s">
        <v>27</v>
      </c>
      <c r="J733" t="s">
        <v>1019</v>
      </c>
      <c r="K733">
        <v>0</v>
      </c>
      <c r="L733">
        <v>8</v>
      </c>
      <c r="M733">
        <v>2</v>
      </c>
      <c r="N733">
        <v>0</v>
      </c>
      <c r="O733">
        <f>_xlfn.XLOOKUP(VALINA[[#This Row],[id]],prov_color!A:A,prov_color!C:C)</f>
        <v>16</v>
      </c>
      <c r="P733" t="str">
        <f>_xlfn.XLOOKUP(VALINA[[#This Row],[id]],Table4[id],Table4[name])</f>
        <v>Tangiers</v>
      </c>
      <c r="Q733" t="str">
        <f>_xlfn.XLOOKUP(VALINA[[#This Row],[name]],Trans!A:A,Trans!B:B)</f>
        <v>Tangiers</v>
      </c>
    </row>
    <row r="734" spans="1:17" x14ac:dyDescent="0.25">
      <c r="A734">
        <v>733</v>
      </c>
      <c r="B734" t="s">
        <v>1016</v>
      </c>
      <c r="C734" t="s">
        <v>1017</v>
      </c>
      <c r="D734" t="s">
        <v>1018</v>
      </c>
      <c r="E734" t="s">
        <v>14</v>
      </c>
      <c r="F734" t="s">
        <v>609</v>
      </c>
      <c r="G734" t="s">
        <v>35</v>
      </c>
      <c r="H734" t="s">
        <v>669</v>
      </c>
      <c r="I734" t="s">
        <v>43</v>
      </c>
      <c r="J734" t="s">
        <v>1020</v>
      </c>
      <c r="K734">
        <v>0</v>
      </c>
      <c r="L734">
        <v>12</v>
      </c>
      <c r="M734">
        <v>5</v>
      </c>
      <c r="N734">
        <v>0</v>
      </c>
      <c r="O734">
        <f>_xlfn.XLOOKUP(VALINA[[#This Row],[id]],prov_color!A:A,prov_color!C:C)</f>
        <v>72</v>
      </c>
      <c r="P734" t="str">
        <f>_xlfn.XLOOKUP(VALINA[[#This Row],[id]],Table4[id],Table4[name])</f>
        <v>Fez</v>
      </c>
      <c r="Q734" t="str">
        <f>_xlfn.XLOOKUP(VALINA[[#This Row],[name]],Trans!A:A,Trans!B:B)</f>
        <v>Fez</v>
      </c>
    </row>
    <row r="735" spans="1:17" x14ac:dyDescent="0.25">
      <c r="A735">
        <v>734</v>
      </c>
      <c r="B735" t="s">
        <v>1016</v>
      </c>
      <c r="C735" t="s">
        <v>1017</v>
      </c>
      <c r="D735" t="s">
        <v>1018</v>
      </c>
      <c r="E735" t="s">
        <v>34</v>
      </c>
      <c r="F735" t="s">
        <v>609</v>
      </c>
      <c r="G735" t="s">
        <v>35</v>
      </c>
      <c r="H735" t="s">
        <v>669</v>
      </c>
      <c r="I735" t="s">
        <v>37</v>
      </c>
      <c r="J735" t="s">
        <v>1021</v>
      </c>
      <c r="K735">
        <v>0</v>
      </c>
      <c r="L735">
        <v>6</v>
      </c>
      <c r="M735">
        <v>3</v>
      </c>
      <c r="N735">
        <v>0</v>
      </c>
      <c r="O735">
        <f>_xlfn.XLOOKUP(VALINA[[#This Row],[id]],prov_color!A:A,prov_color!C:C)</f>
        <v>38</v>
      </c>
      <c r="P735" t="str">
        <f>_xlfn.XLOOKUP(VALINA[[#This Row],[id]],Table4[id],Table4[name])</f>
        <v>Orania</v>
      </c>
      <c r="Q735" t="str">
        <f>_xlfn.XLOOKUP(VALINA[[#This Row],[name]],Trans!A:A,Trans!B:B)</f>
        <v>Orania</v>
      </c>
    </row>
    <row r="736" spans="1:17" x14ac:dyDescent="0.25">
      <c r="A736">
        <v>735</v>
      </c>
      <c r="B736" t="s">
        <v>1016</v>
      </c>
      <c r="C736" t="s">
        <v>1017</v>
      </c>
      <c r="D736" t="s">
        <v>1018</v>
      </c>
      <c r="E736" t="s">
        <v>14</v>
      </c>
      <c r="F736" t="s">
        <v>609</v>
      </c>
      <c r="G736" t="s">
        <v>35</v>
      </c>
      <c r="H736" t="s">
        <v>616</v>
      </c>
      <c r="I736" t="s">
        <v>41</v>
      </c>
      <c r="J736" t="s">
        <v>1022</v>
      </c>
      <c r="K736">
        <v>0</v>
      </c>
      <c r="L736">
        <v>4</v>
      </c>
      <c r="M736">
        <v>1</v>
      </c>
      <c r="N736">
        <v>0</v>
      </c>
      <c r="O736">
        <f>_xlfn.XLOOKUP(VALINA[[#This Row],[id]],prov_color!A:A,prov_color!C:C)</f>
        <v>50</v>
      </c>
      <c r="P736" t="str">
        <f>_xlfn.XLOOKUP(VALINA[[#This Row],[id]],Table4[id],Table4[name])</f>
        <v>Atlas</v>
      </c>
      <c r="Q736" t="str">
        <f>_xlfn.XLOOKUP(VALINA[[#This Row],[name]],Trans!A:A,Trans!B:B)</f>
        <v>Atlas</v>
      </c>
    </row>
    <row r="737" spans="1:17" x14ac:dyDescent="0.25">
      <c r="A737">
        <v>736</v>
      </c>
      <c r="B737" t="s">
        <v>1016</v>
      </c>
      <c r="C737" t="s">
        <v>1017</v>
      </c>
      <c r="D737" t="s">
        <v>1018</v>
      </c>
      <c r="E737" t="s">
        <v>14</v>
      </c>
      <c r="F737" t="s">
        <v>609</v>
      </c>
      <c r="G737" t="s">
        <v>35</v>
      </c>
      <c r="H737" t="s">
        <v>616</v>
      </c>
      <c r="I737" t="s">
        <v>141</v>
      </c>
      <c r="J737" t="s">
        <v>1023</v>
      </c>
      <c r="K737">
        <v>0</v>
      </c>
      <c r="L737">
        <v>4</v>
      </c>
      <c r="M737">
        <v>1</v>
      </c>
      <c r="N737">
        <v>0</v>
      </c>
      <c r="O737">
        <f>_xlfn.XLOOKUP(VALINA[[#This Row],[id]],prov_color!A:A,prov_color!C:C)</f>
        <v>49</v>
      </c>
      <c r="P737" t="str">
        <f>_xlfn.XLOOKUP(VALINA[[#This Row],[id]],Table4[id],Table4[name])</f>
        <v>Aures</v>
      </c>
      <c r="Q737" t="str">
        <f>_xlfn.XLOOKUP(VALINA[[#This Row],[name]],Trans!A:A,Trans!B:B)</f>
        <v>Aures</v>
      </c>
    </row>
    <row r="738" spans="1:17" x14ac:dyDescent="0.25">
      <c r="A738">
        <v>737</v>
      </c>
      <c r="B738" t="s">
        <v>1016</v>
      </c>
      <c r="C738" t="s">
        <v>1017</v>
      </c>
      <c r="D738" t="s">
        <v>1018</v>
      </c>
      <c r="E738" t="s">
        <v>34</v>
      </c>
      <c r="F738" t="s">
        <v>609</v>
      </c>
      <c r="G738" t="s">
        <v>35</v>
      </c>
      <c r="H738" t="s">
        <v>669</v>
      </c>
      <c r="I738" t="s">
        <v>43</v>
      </c>
      <c r="J738" t="s">
        <v>1024</v>
      </c>
      <c r="K738">
        <v>0</v>
      </c>
      <c r="L738">
        <v>7</v>
      </c>
      <c r="M738">
        <v>4</v>
      </c>
      <c r="N738">
        <v>0</v>
      </c>
      <c r="O738">
        <f>_xlfn.XLOOKUP(VALINA[[#This Row],[id]],prov_color!A:A,prov_color!C:C)</f>
        <v>31</v>
      </c>
      <c r="P738" t="str">
        <f>_xlfn.XLOOKUP(VALINA[[#This Row],[id]],Table4[id],Table4[name])</f>
        <v>Al Djazair</v>
      </c>
      <c r="Q738" t="str">
        <f>_xlfn.XLOOKUP(VALINA[[#This Row],[name]],Trans!A:A,Trans!B:B)</f>
        <v>Al-Djazair</v>
      </c>
    </row>
    <row r="739" spans="1:17" x14ac:dyDescent="0.25">
      <c r="A739">
        <v>738</v>
      </c>
      <c r="B739" t="s">
        <v>1016</v>
      </c>
      <c r="C739" t="s">
        <v>1017</v>
      </c>
      <c r="D739" t="s">
        <v>1018</v>
      </c>
      <c r="E739" t="s">
        <v>14</v>
      </c>
      <c r="F739" t="s">
        <v>609</v>
      </c>
      <c r="G739" t="s">
        <v>35</v>
      </c>
      <c r="H739" t="s">
        <v>616</v>
      </c>
      <c r="I739" t="s">
        <v>43</v>
      </c>
      <c r="J739" t="s">
        <v>1025</v>
      </c>
      <c r="K739">
        <v>0</v>
      </c>
      <c r="L739">
        <v>5</v>
      </c>
      <c r="M739">
        <v>1</v>
      </c>
      <c r="N739">
        <v>0</v>
      </c>
      <c r="O739">
        <f>_xlfn.XLOOKUP(VALINA[[#This Row],[id]],prov_color!A:A,prov_color!C:C)</f>
        <v>33</v>
      </c>
      <c r="P739" t="str">
        <f>_xlfn.XLOOKUP(VALINA[[#This Row],[id]],Table4[id],Table4[name])</f>
        <v>Kabylia</v>
      </c>
      <c r="Q739" t="str">
        <f>_xlfn.XLOOKUP(VALINA[[#This Row],[name]],Trans!A:A,Trans!B:B)</f>
        <v>Kabylia</v>
      </c>
    </row>
    <row r="740" spans="1:17" x14ac:dyDescent="0.25">
      <c r="A740">
        <v>739</v>
      </c>
      <c r="B740" t="s">
        <v>1016</v>
      </c>
      <c r="C740" t="s">
        <v>1017</v>
      </c>
      <c r="D740" t="s">
        <v>1018</v>
      </c>
      <c r="E740" t="s">
        <v>52</v>
      </c>
      <c r="F740" t="s">
        <v>609</v>
      </c>
      <c r="G740" t="s">
        <v>35</v>
      </c>
      <c r="H740" t="s">
        <v>669</v>
      </c>
      <c r="I740" t="s">
        <v>43</v>
      </c>
      <c r="J740" t="s">
        <v>1026</v>
      </c>
      <c r="K740">
        <v>0</v>
      </c>
      <c r="L740">
        <v>8</v>
      </c>
      <c r="M740">
        <v>1</v>
      </c>
      <c r="N740">
        <v>0</v>
      </c>
      <c r="O740">
        <f>_xlfn.XLOOKUP(VALINA[[#This Row],[id]],prov_color!A:A,prov_color!C:C)</f>
        <v>42</v>
      </c>
      <c r="P740" t="str">
        <f>_xlfn.XLOOKUP(VALINA[[#This Row],[id]],Table4[id],Table4[name])</f>
        <v>Tunisia</v>
      </c>
      <c r="Q740" t="str">
        <f>_xlfn.XLOOKUP(VALINA[[#This Row],[name]],Trans!A:A,Trans!B:B)</f>
        <v>Tunisia</v>
      </c>
    </row>
    <row r="741" spans="1:17" x14ac:dyDescent="0.25">
      <c r="A741">
        <v>740</v>
      </c>
      <c r="B741" t="s">
        <v>1016</v>
      </c>
      <c r="C741" t="s">
        <v>1017</v>
      </c>
      <c r="D741" t="s">
        <v>1018</v>
      </c>
      <c r="E741" t="s">
        <v>52</v>
      </c>
      <c r="F741" t="s">
        <v>609</v>
      </c>
      <c r="G741" t="s">
        <v>47</v>
      </c>
      <c r="H741" t="s">
        <v>669</v>
      </c>
      <c r="I741" t="s">
        <v>915</v>
      </c>
      <c r="J741" t="s">
        <v>1027</v>
      </c>
      <c r="K741">
        <v>0</v>
      </c>
      <c r="L741">
        <v>3</v>
      </c>
      <c r="M741">
        <v>1</v>
      </c>
      <c r="N741">
        <v>0</v>
      </c>
      <c r="O741">
        <f>_xlfn.XLOOKUP(VALINA[[#This Row],[id]],prov_color!A:A,prov_color!C:C)</f>
        <v>61</v>
      </c>
      <c r="P741" t="str">
        <f>_xlfn.XLOOKUP(VALINA[[#This Row],[id]],Table4[id],Table4[name])</f>
        <v>Tripolitania</v>
      </c>
      <c r="Q741" t="str">
        <f>_xlfn.XLOOKUP(VALINA[[#This Row],[name]],Trans!A:A,Trans!B:B)</f>
        <v>Tripolitania</v>
      </c>
    </row>
    <row r="742" spans="1:17" x14ac:dyDescent="0.25">
      <c r="A742">
        <v>741</v>
      </c>
      <c r="B742" t="s">
        <v>1016</v>
      </c>
      <c r="C742" t="s">
        <v>1017</v>
      </c>
      <c r="D742" t="s">
        <v>1018</v>
      </c>
      <c r="E742" t="s">
        <v>52</v>
      </c>
      <c r="F742" t="s">
        <v>609</v>
      </c>
      <c r="G742" t="s">
        <v>47</v>
      </c>
      <c r="H742" t="s">
        <v>669</v>
      </c>
      <c r="I742" t="s">
        <v>41</v>
      </c>
      <c r="J742" t="s">
        <v>1028</v>
      </c>
      <c r="K742">
        <v>0</v>
      </c>
      <c r="L742">
        <v>3</v>
      </c>
      <c r="M742">
        <v>1</v>
      </c>
      <c r="N742">
        <v>0</v>
      </c>
      <c r="O742">
        <f>_xlfn.XLOOKUP(VALINA[[#This Row],[id]],prov_color!A:A,prov_color!C:C)</f>
        <v>77</v>
      </c>
      <c r="P742" t="str">
        <f>_xlfn.XLOOKUP(VALINA[[#This Row],[id]],Table4[id],Table4[name])</f>
        <v>Cyrenaica</v>
      </c>
      <c r="Q742" t="str">
        <f>_xlfn.XLOOKUP(VALINA[[#This Row],[name]],Trans!A:A,Trans!B:B)</f>
        <v>Cyrenaica</v>
      </c>
    </row>
    <row r="743" spans="1:17" x14ac:dyDescent="0.25">
      <c r="A743">
        <v>742</v>
      </c>
      <c r="B743" t="s">
        <v>1016</v>
      </c>
      <c r="C743" t="s">
        <v>1017</v>
      </c>
      <c r="D743" t="s">
        <v>1029</v>
      </c>
      <c r="E743" t="s">
        <v>52</v>
      </c>
      <c r="F743" t="s">
        <v>609</v>
      </c>
      <c r="G743" t="s">
        <v>47</v>
      </c>
      <c r="H743" t="s">
        <v>669</v>
      </c>
      <c r="I743" t="s">
        <v>41</v>
      </c>
      <c r="J743" t="s">
        <v>1030</v>
      </c>
      <c r="K743">
        <v>0</v>
      </c>
      <c r="L743">
        <v>1</v>
      </c>
      <c r="M743">
        <v>1</v>
      </c>
      <c r="N743">
        <v>0</v>
      </c>
      <c r="O743">
        <f>_xlfn.XLOOKUP(VALINA[[#This Row],[id]],prov_color!A:A,prov_color!C:C)</f>
        <v>59</v>
      </c>
      <c r="P743" t="str">
        <f>_xlfn.XLOOKUP(VALINA[[#This Row],[id]],Table4[id],Table4[name])</f>
        <v>Quattara</v>
      </c>
      <c r="Q743" t="str">
        <f>_xlfn.XLOOKUP(VALINA[[#This Row],[name]],Trans!A:A,Trans!B:B)</f>
        <v>Quattara</v>
      </c>
    </row>
    <row r="744" spans="1:17" x14ac:dyDescent="0.25">
      <c r="A744">
        <v>743</v>
      </c>
      <c r="B744" t="s">
        <v>1016</v>
      </c>
      <c r="C744" t="s">
        <v>1017</v>
      </c>
      <c r="D744" t="s">
        <v>1029</v>
      </c>
      <c r="E744" t="s">
        <v>34</v>
      </c>
      <c r="F744" t="s">
        <v>650</v>
      </c>
      <c r="G744" t="s">
        <v>47</v>
      </c>
      <c r="H744" t="s">
        <v>669</v>
      </c>
      <c r="I744" t="s">
        <v>43</v>
      </c>
      <c r="J744" t="s">
        <v>1031</v>
      </c>
      <c r="K744">
        <v>0</v>
      </c>
      <c r="L744">
        <v>2</v>
      </c>
      <c r="M744">
        <v>1</v>
      </c>
      <c r="N744">
        <v>0</v>
      </c>
      <c r="O744">
        <f>_xlfn.XLOOKUP(VALINA[[#This Row],[id]],prov_color!A:A,prov_color!C:C)</f>
        <v>41</v>
      </c>
      <c r="P744" t="str">
        <f>_xlfn.XLOOKUP(VALINA[[#This Row],[id]],Table4[id],Table4[name])</f>
        <v>Cataract</v>
      </c>
      <c r="Q744" t="str">
        <f>_xlfn.XLOOKUP(VALINA[[#This Row],[name]],Trans!A:A,Trans!B:B)</f>
        <v>Cataract</v>
      </c>
    </row>
    <row r="745" spans="1:17" x14ac:dyDescent="0.25">
      <c r="A745">
        <v>744</v>
      </c>
      <c r="B745" t="s">
        <v>1016</v>
      </c>
      <c r="C745" t="s">
        <v>1017</v>
      </c>
      <c r="D745" t="s">
        <v>1029</v>
      </c>
      <c r="E745" t="s">
        <v>34</v>
      </c>
      <c r="F745" t="s">
        <v>609</v>
      </c>
      <c r="G745" t="s">
        <v>47</v>
      </c>
      <c r="H745" t="s">
        <v>669</v>
      </c>
      <c r="I745" t="s">
        <v>43</v>
      </c>
      <c r="J745" t="s">
        <v>1032</v>
      </c>
      <c r="K745">
        <v>0</v>
      </c>
      <c r="L745">
        <v>11</v>
      </c>
      <c r="M745">
        <v>6</v>
      </c>
      <c r="N745">
        <v>0</v>
      </c>
      <c r="O745">
        <f>_xlfn.XLOOKUP(VALINA[[#This Row],[id]],prov_color!A:A,prov_color!C:C)</f>
        <v>29</v>
      </c>
      <c r="P745" t="str">
        <f>_xlfn.XLOOKUP(VALINA[[#This Row],[id]],Table4[id],Table4[name])</f>
        <v>Alexandria</v>
      </c>
      <c r="Q745" t="str">
        <f>_xlfn.XLOOKUP(VALINA[[#This Row],[name]],Trans!A:A,Trans!B:B)</f>
        <v>Alexandria</v>
      </c>
    </row>
    <row r="746" spans="1:17" x14ac:dyDescent="0.25">
      <c r="A746">
        <v>745</v>
      </c>
      <c r="B746" t="s">
        <v>1016</v>
      </c>
      <c r="C746" t="s">
        <v>1017</v>
      </c>
      <c r="D746" t="s">
        <v>1029</v>
      </c>
      <c r="E746" t="s">
        <v>80</v>
      </c>
      <c r="F746" t="s">
        <v>609</v>
      </c>
      <c r="G746" t="s">
        <v>35</v>
      </c>
      <c r="H746" t="s">
        <v>669</v>
      </c>
      <c r="I746" t="s">
        <v>27</v>
      </c>
      <c r="J746" t="s">
        <v>1033</v>
      </c>
      <c r="K746">
        <v>0</v>
      </c>
      <c r="L746">
        <v>7</v>
      </c>
      <c r="M746">
        <v>6</v>
      </c>
      <c r="N746">
        <v>0</v>
      </c>
      <c r="O746">
        <f>_xlfn.XLOOKUP(VALINA[[#This Row],[id]],prov_color!A:A,prov_color!C:C)</f>
        <v>22</v>
      </c>
      <c r="P746" t="str">
        <f>_xlfn.XLOOKUP(VALINA[[#This Row],[id]],Table4[id],Table4[name])</f>
        <v>Delta</v>
      </c>
      <c r="Q746" t="str">
        <f>_xlfn.XLOOKUP(VALINA[[#This Row],[name]],Trans!A:A,Trans!B:B)</f>
        <v>Delta</v>
      </c>
    </row>
    <row r="747" spans="1:17" x14ac:dyDescent="0.25">
      <c r="A747">
        <v>746</v>
      </c>
      <c r="B747" t="s">
        <v>1016</v>
      </c>
      <c r="C747" t="s">
        <v>1017</v>
      </c>
      <c r="D747" t="s">
        <v>1029</v>
      </c>
      <c r="E747" t="s">
        <v>34</v>
      </c>
      <c r="F747" t="s">
        <v>609</v>
      </c>
      <c r="G747" t="s">
        <v>47</v>
      </c>
      <c r="H747" t="s">
        <v>669</v>
      </c>
      <c r="I747" t="s">
        <v>43</v>
      </c>
      <c r="J747" t="s">
        <v>1029</v>
      </c>
      <c r="K747">
        <v>0</v>
      </c>
      <c r="L747">
        <v>16</v>
      </c>
      <c r="M747">
        <v>6</v>
      </c>
      <c r="N747">
        <v>0</v>
      </c>
      <c r="O747">
        <f>_xlfn.XLOOKUP(VALINA[[#This Row],[id]],prov_color!A:A,prov_color!C:C)</f>
        <v>24</v>
      </c>
      <c r="P747" t="str">
        <f>_xlfn.XLOOKUP(VALINA[[#This Row],[id]],Table4[id],Table4[name])</f>
        <v>Egypt</v>
      </c>
      <c r="Q747" t="str">
        <f>_xlfn.XLOOKUP(VALINA[[#This Row],[name]],Trans!A:A,Trans!B:B)</f>
        <v>Egypt</v>
      </c>
    </row>
    <row r="748" spans="1:17" x14ac:dyDescent="0.25">
      <c r="A748">
        <v>747</v>
      </c>
      <c r="B748" t="s">
        <v>1016</v>
      </c>
      <c r="C748" t="s">
        <v>1017</v>
      </c>
      <c r="D748" t="s">
        <v>1029</v>
      </c>
      <c r="E748" t="s">
        <v>34</v>
      </c>
      <c r="F748" t="s">
        <v>609</v>
      </c>
      <c r="G748" t="s">
        <v>47</v>
      </c>
      <c r="H748" t="s">
        <v>669</v>
      </c>
      <c r="I748" t="s">
        <v>43</v>
      </c>
      <c r="J748" t="s">
        <v>1034</v>
      </c>
      <c r="K748">
        <v>0</v>
      </c>
      <c r="L748">
        <v>9</v>
      </c>
      <c r="M748">
        <v>6</v>
      </c>
      <c r="N748">
        <v>0</v>
      </c>
      <c r="O748">
        <f>_xlfn.XLOOKUP(VALINA[[#This Row],[id]],prov_color!A:A,prov_color!C:C)</f>
        <v>43</v>
      </c>
      <c r="P748" t="str">
        <f>_xlfn.XLOOKUP(VALINA[[#This Row],[id]],Table4[id],Table4[name])</f>
        <v>Nile</v>
      </c>
      <c r="Q748" t="str">
        <f>_xlfn.XLOOKUP(VALINA[[#This Row],[name]],Trans!A:A,Trans!B:B)</f>
        <v>Nile</v>
      </c>
    </row>
    <row r="749" spans="1:17" x14ac:dyDescent="0.25">
      <c r="A749">
        <v>748</v>
      </c>
      <c r="B749" t="s">
        <v>1016</v>
      </c>
      <c r="C749" t="s">
        <v>1035</v>
      </c>
      <c r="D749" t="s">
        <v>1036</v>
      </c>
      <c r="E749" t="s">
        <v>52</v>
      </c>
      <c r="F749" t="s">
        <v>650</v>
      </c>
      <c r="G749" t="s">
        <v>47</v>
      </c>
      <c r="H749" t="s">
        <v>1037</v>
      </c>
      <c r="I749" t="s">
        <v>915</v>
      </c>
      <c r="J749" t="s">
        <v>1038</v>
      </c>
      <c r="K749">
        <v>7</v>
      </c>
      <c r="L749">
        <v>4</v>
      </c>
      <c r="M749">
        <v>2</v>
      </c>
      <c r="N749">
        <v>0</v>
      </c>
      <c r="O749">
        <f>_xlfn.XLOOKUP(VALINA[[#This Row],[id]],prov_color!A:A,prov_color!C:C)</f>
        <v>61</v>
      </c>
      <c r="P749" t="str">
        <f>_xlfn.XLOOKUP(VALINA[[#This Row],[id]],Table4[id],Table4[name])</f>
        <v>Batn al Hajar</v>
      </c>
      <c r="Q749" t="str">
        <f>_xlfn.XLOOKUP(VALINA[[#This Row],[name]],Trans!A:A,Trans!B:B)</f>
        <v>Batn al Hajar</v>
      </c>
    </row>
    <row r="750" spans="1:17" x14ac:dyDescent="0.25">
      <c r="A750">
        <v>749</v>
      </c>
      <c r="B750" t="s">
        <v>1016</v>
      </c>
      <c r="C750" t="s">
        <v>1035</v>
      </c>
      <c r="D750" t="s">
        <v>1036</v>
      </c>
      <c r="E750" t="s">
        <v>52</v>
      </c>
      <c r="F750" t="s">
        <v>650</v>
      </c>
      <c r="G750" t="s">
        <v>47</v>
      </c>
      <c r="H750" t="s">
        <v>1037</v>
      </c>
      <c r="I750" t="s">
        <v>1039</v>
      </c>
      <c r="J750" t="s">
        <v>1040</v>
      </c>
      <c r="K750">
        <v>9</v>
      </c>
      <c r="L750">
        <v>3</v>
      </c>
      <c r="M750">
        <v>2</v>
      </c>
      <c r="N750">
        <v>0</v>
      </c>
      <c r="O750">
        <f>_xlfn.XLOOKUP(VALINA[[#This Row],[id]],prov_color!A:A,prov_color!C:C)</f>
        <v>44</v>
      </c>
      <c r="P750" t="str">
        <f>_xlfn.XLOOKUP(VALINA[[#This Row],[id]],Table4[id],Table4[name])</f>
        <v>Nubia</v>
      </c>
      <c r="Q750" t="str">
        <f>_xlfn.XLOOKUP(VALINA[[#This Row],[name]],Trans!A:A,Trans!B:B)</f>
        <v>Nubia</v>
      </c>
    </row>
    <row r="751" spans="1:17" x14ac:dyDescent="0.25">
      <c r="A751">
        <v>750</v>
      </c>
      <c r="B751" t="s">
        <v>1016</v>
      </c>
      <c r="C751" t="s">
        <v>1035</v>
      </c>
      <c r="D751" t="s">
        <v>1036</v>
      </c>
      <c r="E751" t="s">
        <v>52</v>
      </c>
      <c r="F751" t="s">
        <v>650</v>
      </c>
      <c r="G751" t="s">
        <v>47</v>
      </c>
      <c r="H751" t="s">
        <v>1037</v>
      </c>
      <c r="I751" t="s">
        <v>1039</v>
      </c>
      <c r="J751" t="s">
        <v>1036</v>
      </c>
      <c r="K751">
        <v>9</v>
      </c>
      <c r="L751">
        <v>3</v>
      </c>
      <c r="M751">
        <v>2</v>
      </c>
      <c r="N751">
        <v>0</v>
      </c>
      <c r="O751">
        <f>_xlfn.XLOOKUP(VALINA[[#This Row],[id]],prov_color!A:A,prov_color!C:C)</f>
        <v>56</v>
      </c>
      <c r="P751" t="str">
        <f>_xlfn.XLOOKUP(VALINA[[#This Row],[id]],Table4[id],Table4[name])</f>
        <v>Sudan</v>
      </c>
      <c r="Q751" t="str">
        <f>_xlfn.XLOOKUP(VALINA[[#This Row],[name]],Trans!A:A,Trans!B:B)</f>
        <v>Sudan</v>
      </c>
    </row>
    <row r="752" spans="1:17" x14ac:dyDescent="0.25">
      <c r="A752">
        <v>751</v>
      </c>
      <c r="B752" t="s">
        <v>1016</v>
      </c>
      <c r="C752" t="s">
        <v>1035</v>
      </c>
      <c r="D752" t="s">
        <v>1036</v>
      </c>
      <c r="E752" t="s">
        <v>52</v>
      </c>
      <c r="F752" t="s">
        <v>650</v>
      </c>
      <c r="G752" t="s">
        <v>47</v>
      </c>
      <c r="H752" t="s">
        <v>1037</v>
      </c>
      <c r="I752" t="s">
        <v>1039</v>
      </c>
      <c r="J752" t="s">
        <v>1041</v>
      </c>
      <c r="K752">
        <v>9</v>
      </c>
      <c r="L752">
        <v>3</v>
      </c>
      <c r="M752">
        <v>2</v>
      </c>
      <c r="N752">
        <v>0</v>
      </c>
      <c r="O752">
        <f>_xlfn.XLOOKUP(VALINA[[#This Row],[id]],prov_color!A:A,prov_color!C:C)</f>
        <v>64</v>
      </c>
      <c r="P752" t="str">
        <f>_xlfn.XLOOKUP(VALINA[[#This Row],[id]],Table4[id],Table4[name])</f>
        <v>Bisharin</v>
      </c>
      <c r="Q752" t="str">
        <f>_xlfn.XLOOKUP(VALINA[[#This Row],[name]],Trans!A:A,Trans!B:B)</f>
        <v>Bisharin</v>
      </c>
    </row>
    <row r="753" spans="1:17" x14ac:dyDescent="0.25">
      <c r="A753">
        <v>752</v>
      </c>
      <c r="B753" t="s">
        <v>1016</v>
      </c>
      <c r="C753" t="s">
        <v>1035</v>
      </c>
      <c r="D753" t="s">
        <v>1042</v>
      </c>
      <c r="E753" t="s">
        <v>52</v>
      </c>
      <c r="F753" t="s">
        <v>609</v>
      </c>
      <c r="G753" t="s">
        <v>47</v>
      </c>
      <c r="H753" t="s">
        <v>1043</v>
      </c>
      <c r="I753" t="s">
        <v>1039</v>
      </c>
      <c r="J753" t="s">
        <v>1044</v>
      </c>
      <c r="K753">
        <v>9</v>
      </c>
      <c r="L753">
        <v>2</v>
      </c>
      <c r="M753">
        <v>1</v>
      </c>
      <c r="N753">
        <v>0</v>
      </c>
      <c r="O753">
        <f>_xlfn.XLOOKUP(VALINA[[#This Row],[id]],prov_color!A:A,prov_color!C:C)</f>
        <v>66</v>
      </c>
      <c r="P753" t="str">
        <f>_xlfn.XLOOKUP(VALINA[[#This Row],[id]],Table4[id],Table4[name])</f>
        <v>Massawa</v>
      </c>
      <c r="Q753" t="str">
        <f>_xlfn.XLOOKUP(VALINA[[#This Row],[name]],Trans!A:A,Trans!B:B)</f>
        <v>Massawa</v>
      </c>
    </row>
    <row r="754" spans="1:17" x14ac:dyDescent="0.25">
      <c r="A754">
        <v>753</v>
      </c>
      <c r="B754" t="s">
        <v>1016</v>
      </c>
      <c r="C754" t="s">
        <v>1035</v>
      </c>
      <c r="D754" t="s">
        <v>1042</v>
      </c>
      <c r="E754" t="s">
        <v>14</v>
      </c>
      <c r="F754" t="s">
        <v>609</v>
      </c>
      <c r="G754" t="s">
        <v>47</v>
      </c>
      <c r="H754" t="s">
        <v>1043</v>
      </c>
      <c r="I754" t="s">
        <v>84</v>
      </c>
      <c r="J754" t="s">
        <v>1045</v>
      </c>
      <c r="K754">
        <v>9</v>
      </c>
      <c r="L754">
        <v>1</v>
      </c>
      <c r="M754">
        <v>1</v>
      </c>
      <c r="N754">
        <v>0</v>
      </c>
      <c r="O754">
        <f>_xlfn.XLOOKUP(VALINA[[#This Row],[id]],prov_color!A:A,prov_color!C:C)</f>
        <v>45</v>
      </c>
      <c r="P754" t="str">
        <f>_xlfn.XLOOKUP(VALINA[[#This Row],[id]],Table4[id],Table4[name])</f>
        <v>Keren</v>
      </c>
      <c r="Q754" t="str">
        <f>_xlfn.XLOOKUP(VALINA[[#This Row],[name]],Trans!A:A,Trans!B:B)</f>
        <v>Keren</v>
      </c>
    </row>
    <row r="755" spans="1:17" x14ac:dyDescent="0.25">
      <c r="A755">
        <v>754</v>
      </c>
      <c r="B755" t="s">
        <v>1016</v>
      </c>
      <c r="C755" t="s">
        <v>1035</v>
      </c>
      <c r="D755" t="s">
        <v>1046</v>
      </c>
      <c r="E755" t="s">
        <v>14</v>
      </c>
      <c r="F755" t="s">
        <v>609</v>
      </c>
      <c r="G755" t="s">
        <v>47</v>
      </c>
      <c r="H755" t="s">
        <v>1047</v>
      </c>
      <c r="I755" t="s">
        <v>27</v>
      </c>
      <c r="J755" t="s">
        <v>1048</v>
      </c>
      <c r="K755">
        <v>8</v>
      </c>
      <c r="L755">
        <v>1</v>
      </c>
      <c r="M755">
        <v>1</v>
      </c>
      <c r="N755">
        <v>0</v>
      </c>
      <c r="O755">
        <f>_xlfn.XLOOKUP(VALINA[[#This Row],[id]],prov_color!A:A,prov_color!C:C)</f>
        <v>44</v>
      </c>
      <c r="P755" t="str">
        <f>_xlfn.XLOOKUP(VALINA[[#This Row],[id]],Table4[id],Table4[name])</f>
        <v>Issas</v>
      </c>
      <c r="Q755" t="str">
        <f>_xlfn.XLOOKUP(VALINA[[#This Row],[name]],Trans!A:A,Trans!B:B)</f>
        <v>Issas</v>
      </c>
    </row>
    <row r="756" spans="1:17" x14ac:dyDescent="0.25">
      <c r="A756">
        <v>755</v>
      </c>
      <c r="B756" t="s">
        <v>1016</v>
      </c>
      <c r="C756" t="s">
        <v>1035</v>
      </c>
      <c r="D756" t="s">
        <v>1046</v>
      </c>
      <c r="E756" t="s">
        <v>14</v>
      </c>
      <c r="F756" t="s">
        <v>609</v>
      </c>
      <c r="G756" t="s">
        <v>47</v>
      </c>
      <c r="H756" t="s">
        <v>1047</v>
      </c>
      <c r="I756" t="s">
        <v>1039</v>
      </c>
      <c r="J756" t="s">
        <v>1049</v>
      </c>
      <c r="K756">
        <v>8</v>
      </c>
      <c r="L756">
        <v>1</v>
      </c>
      <c r="M756">
        <v>1</v>
      </c>
      <c r="N756">
        <v>0</v>
      </c>
      <c r="O756">
        <f>_xlfn.XLOOKUP(VALINA[[#This Row],[id]],prov_color!A:A,prov_color!C:C)</f>
        <v>31</v>
      </c>
      <c r="P756" t="str">
        <f>_xlfn.XLOOKUP(VALINA[[#This Row],[id]],Table4[id],Table4[name])</f>
        <v>Afars</v>
      </c>
      <c r="Q756" t="str">
        <f>_xlfn.XLOOKUP(VALINA[[#This Row],[name]],Trans!A:A,Trans!B:B)</f>
        <v>Afars</v>
      </c>
    </row>
    <row r="757" spans="1:17" x14ac:dyDescent="0.25">
      <c r="A757">
        <v>756</v>
      </c>
      <c r="B757" t="s">
        <v>1016</v>
      </c>
      <c r="C757" t="s">
        <v>1035</v>
      </c>
      <c r="D757" t="s">
        <v>1050</v>
      </c>
      <c r="E757" t="s">
        <v>14</v>
      </c>
      <c r="F757" t="s">
        <v>650</v>
      </c>
      <c r="G757" t="s">
        <v>47</v>
      </c>
      <c r="H757" t="s">
        <v>1051</v>
      </c>
      <c r="I757" t="s">
        <v>27</v>
      </c>
      <c r="J757" t="s">
        <v>1050</v>
      </c>
      <c r="K757">
        <v>8</v>
      </c>
      <c r="L757">
        <v>2</v>
      </c>
      <c r="M757">
        <v>1</v>
      </c>
      <c r="N757">
        <v>0</v>
      </c>
      <c r="O757">
        <f>_xlfn.XLOOKUP(VALINA[[#This Row],[id]],prov_color!A:A,prov_color!C:C)</f>
        <v>12</v>
      </c>
      <c r="P757" t="str">
        <f>_xlfn.XLOOKUP(VALINA[[#This Row],[id]],Table4[id],Table4[name])</f>
        <v>Socotra</v>
      </c>
      <c r="Q757" t="str">
        <f>_xlfn.XLOOKUP(VALINA[[#This Row],[name]],Trans!A:A,Trans!B:B)</f>
        <v>Socotra</v>
      </c>
    </row>
    <row r="758" spans="1:17" x14ac:dyDescent="0.25">
      <c r="A758">
        <v>757</v>
      </c>
      <c r="B758" t="s">
        <v>1016</v>
      </c>
      <c r="C758" t="s">
        <v>1035</v>
      </c>
      <c r="D758" t="s">
        <v>1046</v>
      </c>
      <c r="E758" t="s">
        <v>52</v>
      </c>
      <c r="F758" t="s">
        <v>609</v>
      </c>
      <c r="G758" t="s">
        <v>47</v>
      </c>
      <c r="H758" t="s">
        <v>1051</v>
      </c>
      <c r="I758" t="s">
        <v>1039</v>
      </c>
      <c r="J758" t="s">
        <v>1046</v>
      </c>
      <c r="K758">
        <v>8</v>
      </c>
      <c r="L758">
        <v>1</v>
      </c>
      <c r="M758">
        <v>1</v>
      </c>
      <c r="N758">
        <v>0</v>
      </c>
      <c r="O758">
        <f>_xlfn.XLOOKUP(VALINA[[#This Row],[id]],prov_color!A:A,prov_color!C:C)</f>
        <v>43</v>
      </c>
      <c r="P758" t="str">
        <f>_xlfn.XLOOKUP(VALINA[[#This Row],[id]],Table4[id],Table4[name])</f>
        <v>Somalia</v>
      </c>
      <c r="Q758" t="str">
        <f>_xlfn.XLOOKUP(VALINA[[#This Row],[name]],Trans!A:A,Trans!B:B)</f>
        <v>Somalia</v>
      </c>
    </row>
    <row r="759" spans="1:17" x14ac:dyDescent="0.25">
      <c r="A759">
        <v>758</v>
      </c>
      <c r="B759" t="s">
        <v>1016</v>
      </c>
      <c r="C759" t="s">
        <v>1035</v>
      </c>
      <c r="D759" t="s">
        <v>1046</v>
      </c>
      <c r="E759" t="s">
        <v>52</v>
      </c>
      <c r="F759" t="s">
        <v>609</v>
      </c>
      <c r="G759" t="s">
        <v>47</v>
      </c>
      <c r="H759" t="s">
        <v>1051</v>
      </c>
      <c r="I759" t="s">
        <v>41</v>
      </c>
      <c r="J759" t="s">
        <v>1052</v>
      </c>
      <c r="K759">
        <v>9</v>
      </c>
      <c r="L759">
        <v>1</v>
      </c>
      <c r="M759">
        <v>1</v>
      </c>
      <c r="N759">
        <v>0</v>
      </c>
      <c r="O759">
        <f>_xlfn.XLOOKUP(VALINA[[#This Row],[id]],prov_color!A:A,prov_color!C:C)</f>
        <v>35</v>
      </c>
      <c r="P759" t="str">
        <f>_xlfn.XLOOKUP(VALINA[[#This Row],[id]],Table4[id],Table4[name])</f>
        <v>Ogaden</v>
      </c>
      <c r="Q759" t="str">
        <f>_xlfn.XLOOKUP(VALINA[[#This Row],[name]],Trans!A:A,Trans!B:B)</f>
        <v>Ogaden</v>
      </c>
    </row>
    <row r="760" spans="1:17" x14ac:dyDescent="0.25">
      <c r="A760">
        <v>759</v>
      </c>
      <c r="B760" t="s">
        <v>1016</v>
      </c>
      <c r="C760" t="s">
        <v>1035</v>
      </c>
      <c r="D760" t="s">
        <v>1046</v>
      </c>
      <c r="E760" t="s">
        <v>52</v>
      </c>
      <c r="F760" t="s">
        <v>609</v>
      </c>
      <c r="G760" t="s">
        <v>47</v>
      </c>
      <c r="H760" t="s">
        <v>1051</v>
      </c>
      <c r="I760" t="s">
        <v>1039</v>
      </c>
      <c r="J760" t="s">
        <v>1053</v>
      </c>
      <c r="K760">
        <v>7</v>
      </c>
      <c r="L760">
        <v>2</v>
      </c>
      <c r="M760">
        <v>1</v>
      </c>
      <c r="N760">
        <v>0</v>
      </c>
      <c r="O760">
        <f>_xlfn.XLOOKUP(VALINA[[#This Row],[id]],prov_color!A:A,prov_color!C:C)</f>
        <v>33</v>
      </c>
      <c r="P760" t="str">
        <f>_xlfn.XLOOKUP(VALINA[[#This Row],[id]],Table4[id],Table4[name])</f>
        <v>Mudugh</v>
      </c>
      <c r="Q760" t="str">
        <f>_xlfn.XLOOKUP(VALINA[[#This Row],[name]],Trans!A:A,Trans!B:B)</f>
        <v>Mudugh</v>
      </c>
    </row>
    <row r="761" spans="1:17" x14ac:dyDescent="0.25">
      <c r="A761">
        <v>760</v>
      </c>
      <c r="B761" t="s">
        <v>1016</v>
      </c>
      <c r="C761" t="s">
        <v>1035</v>
      </c>
      <c r="D761" t="s">
        <v>1046</v>
      </c>
      <c r="E761" t="s">
        <v>52</v>
      </c>
      <c r="F761" t="s">
        <v>609</v>
      </c>
      <c r="G761" t="s">
        <v>47</v>
      </c>
      <c r="H761" t="s">
        <v>1051</v>
      </c>
      <c r="I761" t="s">
        <v>687</v>
      </c>
      <c r="J761" t="s">
        <v>1054</v>
      </c>
      <c r="K761">
        <v>6</v>
      </c>
      <c r="L761">
        <v>1</v>
      </c>
      <c r="M761">
        <v>1</v>
      </c>
      <c r="N761">
        <v>0</v>
      </c>
      <c r="O761">
        <f>_xlfn.XLOOKUP(VALINA[[#This Row],[id]],prov_color!A:A,prov_color!C:C)</f>
        <v>36</v>
      </c>
      <c r="P761" t="str">
        <f>_xlfn.XLOOKUP(VALINA[[#This Row],[id]],Table4[id],Table4[name])</f>
        <v>Mogadiscio</v>
      </c>
      <c r="Q761" t="str">
        <f>_xlfn.XLOOKUP(VALINA[[#This Row],[name]],Trans!A:A,Trans!B:B)</f>
        <v>Mogadiscio</v>
      </c>
    </row>
    <row r="762" spans="1:17" x14ac:dyDescent="0.25">
      <c r="A762">
        <v>761</v>
      </c>
      <c r="B762" t="s">
        <v>1016</v>
      </c>
      <c r="C762" t="s">
        <v>1035</v>
      </c>
      <c r="D762" t="s">
        <v>1055</v>
      </c>
      <c r="E762" t="s">
        <v>34</v>
      </c>
      <c r="F762" t="s">
        <v>609</v>
      </c>
      <c r="G762" t="s">
        <v>75</v>
      </c>
      <c r="H762" t="s">
        <v>1056</v>
      </c>
      <c r="I762" t="s">
        <v>1039</v>
      </c>
      <c r="J762" t="s">
        <v>1057</v>
      </c>
      <c r="K762">
        <v>5</v>
      </c>
      <c r="L762">
        <v>2</v>
      </c>
      <c r="M762">
        <v>1</v>
      </c>
      <c r="N762">
        <v>0</v>
      </c>
      <c r="O762">
        <f>_xlfn.XLOOKUP(VALINA[[#This Row],[id]],prov_color!A:A,prov_color!C:C)</f>
        <v>37</v>
      </c>
      <c r="P762" t="str">
        <f>_xlfn.XLOOKUP(VALINA[[#This Row],[id]],Table4[id],Table4[name])</f>
        <v>Malindi</v>
      </c>
      <c r="Q762" t="str">
        <f>_xlfn.XLOOKUP(VALINA[[#This Row],[name]],Trans!A:A,Trans!B:B)</f>
        <v>Malindi</v>
      </c>
    </row>
    <row r="763" spans="1:17" x14ac:dyDescent="0.25">
      <c r="A763">
        <v>762</v>
      </c>
      <c r="B763" t="s">
        <v>1016</v>
      </c>
      <c r="C763" t="s">
        <v>1035</v>
      </c>
      <c r="D763" t="s">
        <v>1055</v>
      </c>
      <c r="E763" t="s">
        <v>34</v>
      </c>
      <c r="F763" t="s">
        <v>609</v>
      </c>
      <c r="G763" t="s">
        <v>75</v>
      </c>
      <c r="H763" t="s">
        <v>1056</v>
      </c>
      <c r="I763" t="s">
        <v>1039</v>
      </c>
      <c r="J763" t="s">
        <v>1058</v>
      </c>
      <c r="K763">
        <v>6</v>
      </c>
      <c r="L763">
        <v>2</v>
      </c>
      <c r="M763">
        <v>1</v>
      </c>
      <c r="N763">
        <v>0</v>
      </c>
      <c r="O763">
        <f>_xlfn.XLOOKUP(VALINA[[#This Row],[id]],prov_color!A:A,prov_color!C:C)</f>
        <v>36</v>
      </c>
      <c r="P763" t="str">
        <f>_xlfn.XLOOKUP(VALINA[[#This Row],[id]],Table4[id],Table4[name])</f>
        <v>Kenya</v>
      </c>
      <c r="Q763" t="str">
        <f>_xlfn.XLOOKUP(VALINA[[#This Row],[name]],Trans!A:A,Trans!B:B)</f>
        <v>Kenya</v>
      </c>
    </row>
    <row r="764" spans="1:17" x14ac:dyDescent="0.25">
      <c r="A764">
        <v>763</v>
      </c>
      <c r="B764" t="s">
        <v>1016</v>
      </c>
      <c r="C764" t="s">
        <v>1035</v>
      </c>
      <c r="D764" t="s">
        <v>1055</v>
      </c>
      <c r="E764" t="s">
        <v>22</v>
      </c>
      <c r="F764" t="s">
        <v>609</v>
      </c>
      <c r="G764" t="s">
        <v>75</v>
      </c>
      <c r="H764" t="s">
        <v>1056</v>
      </c>
      <c r="I764" t="s">
        <v>687</v>
      </c>
      <c r="J764" t="s">
        <v>1059</v>
      </c>
      <c r="K764">
        <v>7</v>
      </c>
      <c r="L764">
        <v>4</v>
      </c>
      <c r="M764">
        <v>1</v>
      </c>
      <c r="N764">
        <v>0</v>
      </c>
      <c r="O764">
        <f>_xlfn.XLOOKUP(VALINA[[#This Row],[id]],prov_color!A:A,prov_color!C:C)</f>
        <v>33</v>
      </c>
      <c r="P764" t="str">
        <f>_xlfn.XLOOKUP(VALINA[[#This Row],[id]],Table4[id],Table4[name])</f>
        <v>Mombasa</v>
      </c>
      <c r="Q764" t="str">
        <f>_xlfn.XLOOKUP(VALINA[[#This Row],[name]],Trans!A:A,Trans!B:B)</f>
        <v>Mombasa</v>
      </c>
    </row>
    <row r="765" spans="1:17" x14ac:dyDescent="0.25">
      <c r="A765">
        <v>764</v>
      </c>
      <c r="B765" t="s">
        <v>1016</v>
      </c>
      <c r="C765" t="s">
        <v>1035</v>
      </c>
      <c r="D765" t="s">
        <v>1055</v>
      </c>
      <c r="E765" t="s">
        <v>22</v>
      </c>
      <c r="F765" t="s">
        <v>609</v>
      </c>
      <c r="G765" t="s">
        <v>75</v>
      </c>
      <c r="H765" t="s">
        <v>1056</v>
      </c>
      <c r="I765" t="s">
        <v>1039</v>
      </c>
      <c r="J765" t="s">
        <v>1060</v>
      </c>
      <c r="K765">
        <v>5</v>
      </c>
      <c r="L765">
        <v>3</v>
      </c>
      <c r="M765">
        <v>2</v>
      </c>
      <c r="N765">
        <v>0</v>
      </c>
      <c r="O765">
        <f>_xlfn.XLOOKUP(VALINA[[#This Row],[id]],prov_color!A:A,prov_color!C:C)</f>
        <v>38</v>
      </c>
      <c r="P765" t="str">
        <f>_xlfn.XLOOKUP(VALINA[[#This Row],[id]],Table4[id],Table4[name])</f>
        <v>Tanga</v>
      </c>
      <c r="Q765" t="str">
        <f>_xlfn.XLOOKUP(VALINA[[#This Row],[name]],Trans!A:A,Trans!B:B)</f>
        <v>Tanga</v>
      </c>
    </row>
    <row r="766" spans="1:17" x14ac:dyDescent="0.25">
      <c r="A766">
        <v>765</v>
      </c>
      <c r="B766" t="s">
        <v>1016</v>
      </c>
      <c r="C766" t="s">
        <v>1035</v>
      </c>
      <c r="D766" t="s">
        <v>1055</v>
      </c>
      <c r="E766" t="s">
        <v>34</v>
      </c>
      <c r="F766" t="s">
        <v>609</v>
      </c>
      <c r="G766" t="s">
        <v>75</v>
      </c>
      <c r="H766" t="s">
        <v>1056</v>
      </c>
      <c r="I766" t="s">
        <v>687</v>
      </c>
      <c r="J766" t="s">
        <v>1061</v>
      </c>
      <c r="K766">
        <v>0</v>
      </c>
      <c r="L766">
        <v>5</v>
      </c>
      <c r="M766">
        <v>2</v>
      </c>
      <c r="N766">
        <v>0</v>
      </c>
      <c r="O766">
        <f>_xlfn.XLOOKUP(VALINA[[#This Row],[id]],prov_color!A:A,prov_color!C:C)</f>
        <v>6</v>
      </c>
      <c r="P766" t="str">
        <f>_xlfn.XLOOKUP(VALINA[[#This Row],[id]],Table4[id],Table4[name])</f>
        <v>Zanzibar</v>
      </c>
      <c r="Q766" t="str">
        <f>_xlfn.XLOOKUP(VALINA[[#This Row],[name]],Trans!A:A,Trans!B:B)</f>
        <v>Zanzibar</v>
      </c>
    </row>
    <row r="767" spans="1:17" x14ac:dyDescent="0.25">
      <c r="A767">
        <v>766</v>
      </c>
      <c r="B767" t="s">
        <v>1016</v>
      </c>
      <c r="C767" t="s">
        <v>1035</v>
      </c>
      <c r="D767" t="s">
        <v>1055</v>
      </c>
      <c r="E767" t="s">
        <v>22</v>
      </c>
      <c r="F767" t="s">
        <v>609</v>
      </c>
      <c r="G767" t="s">
        <v>75</v>
      </c>
      <c r="H767" t="s">
        <v>1056</v>
      </c>
      <c r="I767" t="s">
        <v>915</v>
      </c>
      <c r="J767" t="s">
        <v>1062</v>
      </c>
      <c r="K767">
        <v>5</v>
      </c>
      <c r="L767">
        <v>3</v>
      </c>
      <c r="M767">
        <v>2</v>
      </c>
      <c r="N767">
        <v>0</v>
      </c>
      <c r="O767">
        <f>_xlfn.XLOOKUP(VALINA[[#This Row],[id]],prov_color!A:A,prov_color!C:C)</f>
        <v>44</v>
      </c>
      <c r="P767" t="str">
        <f>_xlfn.XLOOKUP(VALINA[[#This Row],[id]],Table4[id],Table4[name])</f>
        <v>Rufiji</v>
      </c>
      <c r="Q767" t="str">
        <f>_xlfn.XLOOKUP(VALINA[[#This Row],[name]],Trans!A:A,Trans!B:B)</f>
        <v>Rufiji</v>
      </c>
    </row>
    <row r="768" spans="1:17" x14ac:dyDescent="0.25">
      <c r="A768">
        <v>767</v>
      </c>
      <c r="B768" t="s">
        <v>1016</v>
      </c>
      <c r="C768" t="s">
        <v>1035</v>
      </c>
      <c r="D768" t="s">
        <v>1055</v>
      </c>
      <c r="E768" t="s">
        <v>22</v>
      </c>
      <c r="F768" t="s">
        <v>609</v>
      </c>
      <c r="G768" t="s">
        <v>75</v>
      </c>
      <c r="H768" t="s">
        <v>1056</v>
      </c>
      <c r="I768" t="s">
        <v>1039</v>
      </c>
      <c r="J768" t="s">
        <v>1063</v>
      </c>
      <c r="K768">
        <v>5</v>
      </c>
      <c r="L768">
        <v>3</v>
      </c>
      <c r="M768">
        <v>2</v>
      </c>
      <c r="N768">
        <v>0</v>
      </c>
      <c r="O768">
        <f>_xlfn.XLOOKUP(VALINA[[#This Row],[id]],prov_color!A:A,prov_color!C:C)</f>
        <v>69</v>
      </c>
      <c r="P768" t="str">
        <f>_xlfn.XLOOKUP(VALINA[[#This Row],[id]],Table4[id],Table4[name])</f>
        <v>Lindi</v>
      </c>
      <c r="Q768" t="str">
        <f>_xlfn.XLOOKUP(VALINA[[#This Row],[name]],Trans!A:A,Trans!B:B)</f>
        <v>Lindi</v>
      </c>
    </row>
    <row r="769" spans="1:17" x14ac:dyDescent="0.25">
      <c r="A769">
        <v>768</v>
      </c>
      <c r="B769" t="s">
        <v>1016</v>
      </c>
      <c r="C769" t="s">
        <v>1035</v>
      </c>
      <c r="D769" t="s">
        <v>1055</v>
      </c>
      <c r="E769" t="s">
        <v>22</v>
      </c>
      <c r="F769" t="s">
        <v>609</v>
      </c>
      <c r="G769" t="s">
        <v>75</v>
      </c>
      <c r="H769" t="s">
        <v>1056</v>
      </c>
      <c r="I769" t="s">
        <v>1039</v>
      </c>
      <c r="J769" t="s">
        <v>1064</v>
      </c>
      <c r="K769">
        <v>5</v>
      </c>
      <c r="L769">
        <v>2</v>
      </c>
      <c r="M769">
        <v>2</v>
      </c>
      <c r="N769">
        <v>0</v>
      </c>
      <c r="O769">
        <f>_xlfn.XLOOKUP(VALINA[[#This Row],[id]],prov_color!A:A,prov_color!C:C)</f>
        <v>49</v>
      </c>
      <c r="P769" t="str">
        <f>_xlfn.XLOOKUP(VALINA[[#This Row],[id]],Table4[id],Table4[name])</f>
        <v>Mtawa</v>
      </c>
      <c r="Q769" t="str">
        <f>_xlfn.XLOOKUP(VALINA[[#This Row],[name]],Trans!A:A,Trans!B:B)</f>
        <v>Mtawa</v>
      </c>
    </row>
    <row r="770" spans="1:17" x14ac:dyDescent="0.25">
      <c r="A770">
        <v>769</v>
      </c>
      <c r="B770" t="s">
        <v>1016</v>
      </c>
      <c r="C770" t="s">
        <v>1035</v>
      </c>
      <c r="D770" t="s">
        <v>1055</v>
      </c>
      <c r="E770" t="s">
        <v>80</v>
      </c>
      <c r="F770" t="s">
        <v>609</v>
      </c>
      <c r="G770" t="s">
        <v>75</v>
      </c>
      <c r="H770" t="s">
        <v>1056</v>
      </c>
      <c r="I770" t="s">
        <v>915</v>
      </c>
      <c r="J770" t="s">
        <v>1065</v>
      </c>
      <c r="K770">
        <v>5</v>
      </c>
      <c r="L770">
        <v>2</v>
      </c>
      <c r="M770">
        <v>2</v>
      </c>
      <c r="N770">
        <v>0</v>
      </c>
      <c r="O770">
        <f>_xlfn.XLOOKUP(VALINA[[#This Row],[id]],prov_color!A:A,prov_color!C:C)</f>
        <v>45</v>
      </c>
      <c r="P770" t="str">
        <f>_xlfn.XLOOKUP(VALINA[[#This Row],[id]],Table4[id],Table4[name])</f>
        <v>Niassa</v>
      </c>
      <c r="Q770" t="str">
        <f>_xlfn.XLOOKUP(VALINA[[#This Row],[name]],Trans!A:A,Trans!B:B)</f>
        <v>Niassa</v>
      </c>
    </row>
    <row r="771" spans="1:17" x14ac:dyDescent="0.25">
      <c r="A771">
        <v>770</v>
      </c>
      <c r="B771" t="s">
        <v>1016</v>
      </c>
      <c r="C771" t="s">
        <v>1066</v>
      </c>
      <c r="D771" t="s">
        <v>1067</v>
      </c>
      <c r="E771" t="s">
        <v>80</v>
      </c>
      <c r="F771" t="s">
        <v>15</v>
      </c>
      <c r="G771" t="s">
        <v>75</v>
      </c>
      <c r="H771" t="s">
        <v>1068</v>
      </c>
      <c r="I771" t="s">
        <v>1039</v>
      </c>
      <c r="J771" t="s">
        <v>1069</v>
      </c>
      <c r="K771">
        <v>5</v>
      </c>
      <c r="L771">
        <v>2</v>
      </c>
      <c r="M771">
        <v>2</v>
      </c>
      <c r="N771">
        <v>0</v>
      </c>
      <c r="O771">
        <f>_xlfn.XLOOKUP(VALINA[[#This Row],[id]],prov_color!A:A,prov_color!C:C)</f>
        <v>41</v>
      </c>
      <c r="P771" t="str">
        <f>_xlfn.XLOOKUP(VALINA[[#This Row],[id]],Table4[id],Table4[name])</f>
        <v>Nampuia</v>
      </c>
      <c r="Q771" t="str">
        <f>_xlfn.XLOOKUP(VALINA[[#This Row],[name]],Trans!A:A,Trans!B:B)</f>
        <v>Nampuia</v>
      </c>
    </row>
    <row r="772" spans="1:17" x14ac:dyDescent="0.25">
      <c r="A772">
        <v>771</v>
      </c>
      <c r="B772" t="s">
        <v>1016</v>
      </c>
      <c r="C772" t="s">
        <v>1066</v>
      </c>
      <c r="D772" t="s">
        <v>1067</v>
      </c>
      <c r="E772" t="s">
        <v>80</v>
      </c>
      <c r="F772" t="s">
        <v>15</v>
      </c>
      <c r="G772" t="s">
        <v>75</v>
      </c>
      <c r="H772" t="s">
        <v>1068</v>
      </c>
      <c r="I772" t="s">
        <v>1039</v>
      </c>
      <c r="J772" t="s">
        <v>1070</v>
      </c>
      <c r="K772">
        <v>4</v>
      </c>
      <c r="L772">
        <v>3</v>
      </c>
      <c r="M772">
        <v>2</v>
      </c>
      <c r="N772">
        <v>0</v>
      </c>
      <c r="O772">
        <f>_xlfn.XLOOKUP(VALINA[[#This Row],[id]],prov_color!A:A,prov_color!C:C)</f>
        <v>43</v>
      </c>
      <c r="P772" t="str">
        <f>_xlfn.XLOOKUP(VALINA[[#This Row],[id]],Table4[id],Table4[name])</f>
        <v>Zambezia</v>
      </c>
      <c r="Q772" t="str">
        <f>_xlfn.XLOOKUP(VALINA[[#This Row],[name]],Trans!A:A,Trans!B:B)</f>
        <v>Zambezia</v>
      </c>
    </row>
    <row r="773" spans="1:17" x14ac:dyDescent="0.25">
      <c r="A773">
        <v>772</v>
      </c>
      <c r="B773" t="s">
        <v>1016</v>
      </c>
      <c r="C773" t="s">
        <v>1066</v>
      </c>
      <c r="D773" t="s">
        <v>1067</v>
      </c>
      <c r="E773" t="s">
        <v>80</v>
      </c>
      <c r="F773" t="s">
        <v>15</v>
      </c>
      <c r="G773" t="s">
        <v>75</v>
      </c>
      <c r="H773" t="s">
        <v>1071</v>
      </c>
      <c r="I773" t="s">
        <v>1039</v>
      </c>
      <c r="J773" t="s">
        <v>1072</v>
      </c>
      <c r="K773">
        <v>4</v>
      </c>
      <c r="L773">
        <v>3</v>
      </c>
      <c r="M773">
        <v>2</v>
      </c>
      <c r="N773">
        <v>0</v>
      </c>
      <c r="O773">
        <f>_xlfn.XLOOKUP(VALINA[[#This Row],[id]],prov_color!A:A,prov_color!C:C)</f>
        <v>42</v>
      </c>
      <c r="P773" t="str">
        <f>_xlfn.XLOOKUP(VALINA[[#This Row],[id]],Table4[id],Table4[name])</f>
        <v>Inhambane</v>
      </c>
      <c r="Q773" t="str">
        <f>_xlfn.XLOOKUP(VALINA[[#This Row],[name]],Trans!A:A,Trans!B:B)</f>
        <v>Inhambane</v>
      </c>
    </row>
    <row r="774" spans="1:17" x14ac:dyDescent="0.25">
      <c r="A774">
        <v>773</v>
      </c>
      <c r="B774" t="s">
        <v>1016</v>
      </c>
      <c r="C774" t="s">
        <v>1066</v>
      </c>
      <c r="D774" t="s">
        <v>1067</v>
      </c>
      <c r="E774" t="s">
        <v>22</v>
      </c>
      <c r="F774" t="s">
        <v>15</v>
      </c>
      <c r="G774" t="s">
        <v>75</v>
      </c>
      <c r="H774" t="s">
        <v>1073</v>
      </c>
      <c r="I774" t="s">
        <v>27</v>
      </c>
      <c r="J774" t="s">
        <v>1074</v>
      </c>
      <c r="K774">
        <v>4</v>
      </c>
      <c r="L774">
        <v>5</v>
      </c>
      <c r="M774">
        <v>4</v>
      </c>
      <c r="N774">
        <v>0</v>
      </c>
      <c r="O774">
        <f>_xlfn.XLOOKUP(VALINA[[#This Row],[id]],prov_color!A:A,prov_color!C:C)</f>
        <v>69</v>
      </c>
      <c r="P774" t="str">
        <f>_xlfn.XLOOKUP(VALINA[[#This Row],[id]],Table4[id],Table4[name])</f>
        <v>Natal</v>
      </c>
      <c r="Q774" t="str">
        <f>_xlfn.XLOOKUP(VALINA[[#This Row],[name]],Trans!A:A,Trans!B:B)</f>
        <v>Natal</v>
      </c>
    </row>
    <row r="775" spans="1:17" x14ac:dyDescent="0.25">
      <c r="A775">
        <v>774</v>
      </c>
      <c r="B775" t="s">
        <v>1016</v>
      </c>
      <c r="C775" t="s">
        <v>1066</v>
      </c>
      <c r="D775" t="s">
        <v>1075</v>
      </c>
      <c r="E775" t="s">
        <v>22</v>
      </c>
      <c r="F775" t="s">
        <v>15</v>
      </c>
      <c r="G775" t="s">
        <v>75</v>
      </c>
      <c r="H775" t="s">
        <v>1073</v>
      </c>
      <c r="I775" t="s">
        <v>43</v>
      </c>
      <c r="J775" t="s">
        <v>1076</v>
      </c>
      <c r="K775">
        <v>3</v>
      </c>
      <c r="L775">
        <v>5</v>
      </c>
      <c r="M775">
        <v>4</v>
      </c>
      <c r="N775">
        <v>0</v>
      </c>
      <c r="O775">
        <f>_xlfn.XLOOKUP(VALINA[[#This Row],[id]],prov_color!A:A,prov_color!C:C)</f>
        <v>55</v>
      </c>
      <c r="P775" t="str">
        <f>_xlfn.XLOOKUP(VALINA[[#This Row],[id]],Table4[id],Table4[name])</f>
        <v>Transkei</v>
      </c>
      <c r="Q775" t="str">
        <f>_xlfn.XLOOKUP(VALINA[[#This Row],[name]],Trans!A:A,Trans!B:B)</f>
        <v>Transkei</v>
      </c>
    </row>
    <row r="776" spans="1:17" x14ac:dyDescent="0.25">
      <c r="A776">
        <v>775</v>
      </c>
      <c r="B776" t="s">
        <v>1016</v>
      </c>
      <c r="C776" t="s">
        <v>1066</v>
      </c>
      <c r="D776" t="s">
        <v>1075</v>
      </c>
      <c r="E776" t="s">
        <v>14</v>
      </c>
      <c r="F776" t="s">
        <v>15</v>
      </c>
      <c r="G776" t="s">
        <v>35</v>
      </c>
      <c r="H776" t="s">
        <v>1077</v>
      </c>
      <c r="I776" t="s">
        <v>73</v>
      </c>
      <c r="J776" t="s">
        <v>1078</v>
      </c>
      <c r="K776">
        <v>3</v>
      </c>
      <c r="L776">
        <v>4</v>
      </c>
      <c r="M776">
        <v>2</v>
      </c>
      <c r="N776">
        <v>0</v>
      </c>
      <c r="O776">
        <f>_xlfn.XLOOKUP(VALINA[[#This Row],[id]],prov_color!A:A,prov_color!C:C)</f>
        <v>42</v>
      </c>
      <c r="P776" t="str">
        <f>_xlfn.XLOOKUP(VALINA[[#This Row],[id]],Table4[id],Table4[name])</f>
        <v>Ciskei</v>
      </c>
      <c r="Q776" t="str">
        <f>_xlfn.XLOOKUP(VALINA[[#This Row],[name]],Trans!A:A,Trans!B:B)</f>
        <v>Ciskei</v>
      </c>
    </row>
    <row r="777" spans="1:17" x14ac:dyDescent="0.25">
      <c r="A777">
        <v>776</v>
      </c>
      <c r="B777" t="s">
        <v>1016</v>
      </c>
      <c r="C777" t="s">
        <v>1066</v>
      </c>
      <c r="D777" t="s">
        <v>1075</v>
      </c>
      <c r="E777" t="s">
        <v>34</v>
      </c>
      <c r="F777" t="s">
        <v>15</v>
      </c>
      <c r="G777" t="s">
        <v>35</v>
      </c>
      <c r="H777" t="s">
        <v>1077</v>
      </c>
      <c r="I777" t="s">
        <v>43</v>
      </c>
      <c r="J777" t="s">
        <v>1079</v>
      </c>
      <c r="K777">
        <v>4</v>
      </c>
      <c r="L777">
        <v>4</v>
      </c>
      <c r="M777">
        <v>1</v>
      </c>
      <c r="N777">
        <v>0</v>
      </c>
      <c r="O777">
        <f>_xlfn.XLOOKUP(VALINA[[#This Row],[id]],prov_color!A:A,prov_color!C:C)</f>
        <v>51</v>
      </c>
      <c r="P777" t="str">
        <f>_xlfn.XLOOKUP(VALINA[[#This Row],[id]],Table4[id],Table4[name])</f>
        <v>Karroo</v>
      </c>
      <c r="Q777" t="str">
        <f>_xlfn.XLOOKUP(VALINA[[#This Row],[name]],Trans!A:A,Trans!B:B)</f>
        <v>Karroo</v>
      </c>
    </row>
    <row r="778" spans="1:17" x14ac:dyDescent="0.25">
      <c r="A778">
        <v>777</v>
      </c>
      <c r="B778" t="s">
        <v>1016</v>
      </c>
      <c r="C778" t="s">
        <v>1066</v>
      </c>
      <c r="D778" t="s">
        <v>1075</v>
      </c>
      <c r="E778" t="s">
        <v>34</v>
      </c>
      <c r="F778" t="s">
        <v>15</v>
      </c>
      <c r="G778" t="s">
        <v>35</v>
      </c>
      <c r="H778" t="s">
        <v>1080</v>
      </c>
      <c r="I778" t="s">
        <v>212</v>
      </c>
      <c r="J778" t="s">
        <v>1081</v>
      </c>
      <c r="K778">
        <v>4</v>
      </c>
      <c r="L778">
        <v>3</v>
      </c>
      <c r="M778">
        <v>1</v>
      </c>
      <c r="N778">
        <v>0</v>
      </c>
      <c r="O778">
        <f>_xlfn.XLOOKUP(VALINA[[#This Row],[id]],prov_color!A:A,prov_color!C:C)</f>
        <v>33</v>
      </c>
      <c r="P778" t="str">
        <f>_xlfn.XLOOKUP(VALINA[[#This Row],[id]],Table4[id],Table4[name])</f>
        <v>Bushman</v>
      </c>
      <c r="Q778" t="str">
        <f>_xlfn.XLOOKUP(VALINA[[#This Row],[name]],Trans!A:A,Trans!B:B)</f>
        <v>Bushman</v>
      </c>
    </row>
    <row r="779" spans="1:17" x14ac:dyDescent="0.25">
      <c r="A779">
        <v>778</v>
      </c>
      <c r="B779" t="s">
        <v>1016</v>
      </c>
      <c r="C779" t="s">
        <v>1066</v>
      </c>
      <c r="D779" t="s">
        <v>1075</v>
      </c>
      <c r="E779" t="s">
        <v>34</v>
      </c>
      <c r="F779" t="s">
        <v>15</v>
      </c>
      <c r="G779" t="s">
        <v>35</v>
      </c>
      <c r="H779" t="s">
        <v>1080</v>
      </c>
      <c r="I779" t="s">
        <v>37</v>
      </c>
      <c r="J779" t="s">
        <v>1082</v>
      </c>
      <c r="K779">
        <v>3</v>
      </c>
      <c r="L779">
        <v>7</v>
      </c>
      <c r="M779">
        <v>1</v>
      </c>
      <c r="N779">
        <v>0</v>
      </c>
      <c r="O779">
        <f>_xlfn.XLOOKUP(VALINA[[#This Row],[id]],prov_color!A:A,prov_color!C:C)</f>
        <v>31</v>
      </c>
      <c r="P779" t="str">
        <f>_xlfn.XLOOKUP(VALINA[[#This Row],[id]],Table4[id],Table4[name])</f>
        <v>Table</v>
      </c>
      <c r="Q779" t="str">
        <f>_xlfn.XLOOKUP(VALINA[[#This Row],[name]],Trans!A:A,Trans!B:B)</f>
        <v>Table</v>
      </c>
    </row>
    <row r="780" spans="1:17" x14ac:dyDescent="0.25">
      <c r="A780">
        <v>779</v>
      </c>
      <c r="B780" t="s">
        <v>1016</v>
      </c>
      <c r="C780" t="s">
        <v>1066</v>
      </c>
      <c r="D780" t="s">
        <v>1083</v>
      </c>
      <c r="E780" t="s">
        <v>52</v>
      </c>
      <c r="F780" t="s">
        <v>15</v>
      </c>
      <c r="G780" t="s">
        <v>47</v>
      </c>
      <c r="H780" t="s">
        <v>1080</v>
      </c>
      <c r="I780" t="s">
        <v>915</v>
      </c>
      <c r="J780" t="s">
        <v>1084</v>
      </c>
      <c r="K780">
        <v>9</v>
      </c>
      <c r="L780">
        <v>0</v>
      </c>
      <c r="M780">
        <v>1</v>
      </c>
      <c r="N780">
        <v>0</v>
      </c>
      <c r="O780">
        <f>_xlfn.XLOOKUP(VALINA[[#This Row],[id]],prov_color!A:A,prov_color!C:C)</f>
        <v>30</v>
      </c>
      <c r="P780" t="str">
        <f>_xlfn.XLOOKUP(VALINA[[#This Row],[id]],Table4[id],Table4[name])</f>
        <v>Namaqua</v>
      </c>
      <c r="Q780" t="str">
        <f>_xlfn.XLOOKUP(VALINA[[#This Row],[name]],Trans!A:A,Trans!B:B)</f>
        <v>Namaqua</v>
      </c>
    </row>
    <row r="781" spans="1:17" x14ac:dyDescent="0.25">
      <c r="A781">
        <v>780</v>
      </c>
      <c r="B781" t="s">
        <v>1016</v>
      </c>
      <c r="C781" t="s">
        <v>1066</v>
      </c>
      <c r="D781" t="s">
        <v>1083</v>
      </c>
      <c r="E781" t="s">
        <v>52</v>
      </c>
      <c r="F781" t="s">
        <v>15</v>
      </c>
      <c r="G781" t="s">
        <v>47</v>
      </c>
      <c r="H781" t="s">
        <v>1080</v>
      </c>
      <c r="I781" t="s">
        <v>27</v>
      </c>
      <c r="J781" t="s">
        <v>1085</v>
      </c>
      <c r="K781">
        <v>9</v>
      </c>
      <c r="L781">
        <v>1</v>
      </c>
      <c r="M781">
        <v>1</v>
      </c>
      <c r="N781">
        <v>0</v>
      </c>
      <c r="O781">
        <f>_xlfn.XLOOKUP(VALINA[[#This Row],[id]],prov_color!A:A,prov_color!C:C)</f>
        <v>42</v>
      </c>
      <c r="P781" t="str">
        <f>_xlfn.XLOOKUP(VALINA[[#This Row],[id]],Table4[id],Table4[name])</f>
        <v>Damara</v>
      </c>
      <c r="Q781" t="str">
        <f>_xlfn.XLOOKUP(VALINA[[#This Row],[name]],Trans!A:A,Trans!B:B)</f>
        <v>Damara</v>
      </c>
    </row>
    <row r="782" spans="1:17" x14ac:dyDescent="0.25">
      <c r="A782">
        <v>781</v>
      </c>
      <c r="B782" t="s">
        <v>1016</v>
      </c>
      <c r="C782" t="s">
        <v>1066</v>
      </c>
      <c r="D782" t="s">
        <v>1083</v>
      </c>
      <c r="E782" t="s">
        <v>34</v>
      </c>
      <c r="F782" t="s">
        <v>15</v>
      </c>
      <c r="G782" t="s">
        <v>47</v>
      </c>
      <c r="H782" t="s">
        <v>1080</v>
      </c>
      <c r="I782" t="s">
        <v>915</v>
      </c>
      <c r="J782" t="s">
        <v>1086</v>
      </c>
      <c r="K782">
        <v>9</v>
      </c>
      <c r="L782">
        <v>1</v>
      </c>
      <c r="M782">
        <v>1</v>
      </c>
      <c r="N782">
        <v>0</v>
      </c>
      <c r="O782">
        <f>_xlfn.XLOOKUP(VALINA[[#This Row],[id]],prov_color!A:A,prov_color!C:C)</f>
        <v>49</v>
      </c>
      <c r="P782" t="str">
        <f>_xlfn.XLOOKUP(VALINA[[#This Row],[id]],Table4[id],Table4[name])</f>
        <v>Ovambo</v>
      </c>
      <c r="Q782" t="str">
        <f>_xlfn.XLOOKUP(VALINA[[#This Row],[name]],Trans!A:A,Trans!B:B)</f>
        <v>Ovambo</v>
      </c>
    </row>
    <row r="783" spans="1:17" x14ac:dyDescent="0.25">
      <c r="A783">
        <v>782</v>
      </c>
      <c r="B783" t="s">
        <v>1016</v>
      </c>
      <c r="C783" t="s">
        <v>1066</v>
      </c>
      <c r="D783" t="s">
        <v>1087</v>
      </c>
      <c r="E783" t="s">
        <v>34</v>
      </c>
      <c r="F783" t="s">
        <v>15</v>
      </c>
      <c r="G783" t="s">
        <v>75</v>
      </c>
      <c r="H783" t="s">
        <v>1088</v>
      </c>
      <c r="I783" t="s">
        <v>1039</v>
      </c>
      <c r="J783" t="s">
        <v>1089</v>
      </c>
      <c r="K783">
        <v>4</v>
      </c>
      <c r="L783">
        <v>4</v>
      </c>
      <c r="M783">
        <v>1</v>
      </c>
      <c r="N783">
        <v>0</v>
      </c>
      <c r="O783">
        <f>_xlfn.XLOOKUP(VALINA[[#This Row],[id]],prov_color!A:A,prov_color!C:C)</f>
        <v>40</v>
      </c>
      <c r="P783" t="str">
        <f>_xlfn.XLOOKUP(VALINA[[#This Row],[id]],Table4[id],Table4[name])</f>
        <v>Curango</v>
      </c>
      <c r="Q783" t="str">
        <f>_xlfn.XLOOKUP(VALINA[[#This Row],[name]],Trans!A:A,Trans!B:B)</f>
        <v>Curango</v>
      </c>
    </row>
    <row r="784" spans="1:17" x14ac:dyDescent="0.25">
      <c r="A784">
        <v>783</v>
      </c>
      <c r="B784" t="s">
        <v>1016</v>
      </c>
      <c r="C784" t="s">
        <v>1066</v>
      </c>
      <c r="D784" t="s">
        <v>1087</v>
      </c>
      <c r="E784" t="s">
        <v>22</v>
      </c>
      <c r="F784" t="s">
        <v>15</v>
      </c>
      <c r="G784" t="s">
        <v>75</v>
      </c>
      <c r="H784" t="s">
        <v>1088</v>
      </c>
      <c r="I784" t="s">
        <v>1039</v>
      </c>
      <c r="J784" t="s">
        <v>1090</v>
      </c>
      <c r="K784">
        <v>5</v>
      </c>
      <c r="L784">
        <v>4</v>
      </c>
      <c r="M784">
        <v>1</v>
      </c>
      <c r="N784">
        <v>0</v>
      </c>
      <c r="O784">
        <f>_xlfn.XLOOKUP(VALINA[[#This Row],[id]],prov_color!A:A,prov_color!C:C)</f>
        <v>40</v>
      </c>
      <c r="P784" t="str">
        <f>_xlfn.XLOOKUP(VALINA[[#This Row],[id]],Table4[id],Table4[name])</f>
        <v>Lobito</v>
      </c>
      <c r="Q784" t="str">
        <f>_xlfn.XLOOKUP(VALINA[[#This Row],[name]],Trans!A:A,Trans!B:B)</f>
        <v>Lobito</v>
      </c>
    </row>
    <row r="785" spans="1:17" x14ac:dyDescent="0.25">
      <c r="A785">
        <v>784</v>
      </c>
      <c r="B785" t="s">
        <v>1016</v>
      </c>
      <c r="C785" t="s">
        <v>1066</v>
      </c>
      <c r="D785" t="s">
        <v>1087</v>
      </c>
      <c r="E785" t="s">
        <v>22</v>
      </c>
      <c r="F785" t="s">
        <v>15</v>
      </c>
      <c r="G785" t="s">
        <v>75</v>
      </c>
      <c r="H785" t="s">
        <v>1088</v>
      </c>
      <c r="I785" t="s">
        <v>1039</v>
      </c>
      <c r="J785" t="s">
        <v>1091</v>
      </c>
      <c r="K785">
        <v>5</v>
      </c>
      <c r="L785">
        <v>4</v>
      </c>
      <c r="M785">
        <v>1</v>
      </c>
      <c r="N785">
        <v>0</v>
      </c>
      <c r="O785">
        <f>_xlfn.XLOOKUP(VALINA[[#This Row],[id]],prov_color!A:A,prov_color!C:C)</f>
        <v>38</v>
      </c>
      <c r="P785" t="str">
        <f>_xlfn.XLOOKUP(VALINA[[#This Row],[id]],Table4[id],Table4[name])</f>
        <v>Luanda</v>
      </c>
      <c r="Q785" t="str">
        <f>_xlfn.XLOOKUP(VALINA[[#This Row],[name]],Trans!A:A,Trans!B:B)</f>
        <v>Luanda</v>
      </c>
    </row>
    <row r="786" spans="1:17" x14ac:dyDescent="0.25">
      <c r="A786">
        <v>785</v>
      </c>
      <c r="B786" t="s">
        <v>1016</v>
      </c>
      <c r="C786" t="s">
        <v>1066</v>
      </c>
      <c r="D786" t="s">
        <v>1087</v>
      </c>
      <c r="E786" t="s">
        <v>80</v>
      </c>
      <c r="F786" t="s">
        <v>15</v>
      </c>
      <c r="G786" t="s">
        <v>75</v>
      </c>
      <c r="H786" t="s">
        <v>1088</v>
      </c>
      <c r="I786" t="s">
        <v>1039</v>
      </c>
      <c r="J786" t="s">
        <v>1092</v>
      </c>
      <c r="K786">
        <v>8</v>
      </c>
      <c r="L786">
        <v>4</v>
      </c>
      <c r="M786">
        <v>2</v>
      </c>
      <c r="N786">
        <v>0</v>
      </c>
      <c r="O786">
        <f>_xlfn.XLOOKUP(VALINA[[#This Row],[id]],prov_color!A:A,prov_color!C:C)</f>
        <v>62</v>
      </c>
      <c r="P786" t="str">
        <f>_xlfn.XLOOKUP(VALINA[[#This Row],[id]],Table4[id],Table4[name])</f>
        <v>Zaire</v>
      </c>
      <c r="Q786" t="str">
        <f>_xlfn.XLOOKUP(VALINA[[#This Row],[name]],Trans!A:A,Trans!B:B)</f>
        <v>Zaire</v>
      </c>
    </row>
    <row r="787" spans="1:17" x14ac:dyDescent="0.25">
      <c r="A787">
        <v>786</v>
      </c>
      <c r="B787" t="s">
        <v>1016</v>
      </c>
      <c r="C787" t="s">
        <v>1093</v>
      </c>
      <c r="D787" t="s">
        <v>1094</v>
      </c>
      <c r="E787" t="s">
        <v>22</v>
      </c>
      <c r="F787" t="s">
        <v>15</v>
      </c>
      <c r="G787" t="s">
        <v>75</v>
      </c>
      <c r="H787" t="s">
        <v>1095</v>
      </c>
      <c r="I787" t="s">
        <v>1039</v>
      </c>
      <c r="J787" t="s">
        <v>1096</v>
      </c>
      <c r="K787">
        <v>8</v>
      </c>
      <c r="L787">
        <v>1</v>
      </c>
      <c r="M787">
        <v>1</v>
      </c>
      <c r="N787">
        <v>0</v>
      </c>
      <c r="O787">
        <f>_xlfn.XLOOKUP(VALINA[[#This Row],[id]],prov_color!A:A,prov_color!C:C)</f>
        <v>38</v>
      </c>
      <c r="P787" t="str">
        <f>_xlfn.XLOOKUP(VALINA[[#This Row],[id]],Table4[id],Table4[name])</f>
        <v>Cabinda</v>
      </c>
      <c r="Q787" t="str">
        <f>_xlfn.XLOOKUP(VALINA[[#This Row],[name]],Trans!A:A,Trans!B:B)</f>
        <v>Cabinda</v>
      </c>
    </row>
    <row r="788" spans="1:17" x14ac:dyDescent="0.25">
      <c r="A788">
        <v>787</v>
      </c>
      <c r="B788" t="s">
        <v>1016</v>
      </c>
      <c r="C788" t="s">
        <v>1093</v>
      </c>
      <c r="D788" t="s">
        <v>1094</v>
      </c>
      <c r="E788" t="s">
        <v>22</v>
      </c>
      <c r="F788" t="s">
        <v>15</v>
      </c>
      <c r="G788" t="s">
        <v>75</v>
      </c>
      <c r="H788" t="s">
        <v>1095</v>
      </c>
      <c r="I788" t="s">
        <v>1039</v>
      </c>
      <c r="J788" t="s">
        <v>1097</v>
      </c>
      <c r="K788">
        <v>7</v>
      </c>
      <c r="L788">
        <v>2</v>
      </c>
      <c r="M788">
        <v>1</v>
      </c>
      <c r="N788">
        <v>0</v>
      </c>
      <c r="O788">
        <f>_xlfn.XLOOKUP(VALINA[[#This Row],[id]],prov_color!A:A,prov_color!C:C)</f>
        <v>32</v>
      </c>
      <c r="P788" t="str">
        <f>_xlfn.XLOOKUP(VALINA[[#This Row],[id]],Table4[id],Table4[name])</f>
        <v>Mayumba</v>
      </c>
      <c r="Q788" t="str">
        <f>_xlfn.XLOOKUP(VALINA[[#This Row],[name]],Trans!A:A,Trans!B:B)</f>
        <v>Mayumba</v>
      </c>
    </row>
    <row r="789" spans="1:17" x14ac:dyDescent="0.25">
      <c r="A789">
        <v>788</v>
      </c>
      <c r="B789" t="s">
        <v>1016</v>
      </c>
      <c r="C789" t="s">
        <v>1093</v>
      </c>
      <c r="D789" t="s">
        <v>1098</v>
      </c>
      <c r="E789" t="s">
        <v>80</v>
      </c>
      <c r="F789" t="s">
        <v>15</v>
      </c>
      <c r="G789" t="s">
        <v>75</v>
      </c>
      <c r="H789" t="s">
        <v>1095</v>
      </c>
      <c r="I789" t="s">
        <v>915</v>
      </c>
      <c r="J789" t="s">
        <v>1099</v>
      </c>
      <c r="K789">
        <v>8</v>
      </c>
      <c r="L789">
        <v>2</v>
      </c>
      <c r="M789">
        <v>1</v>
      </c>
      <c r="N789">
        <v>0</v>
      </c>
      <c r="O789">
        <f>_xlfn.XLOOKUP(VALINA[[#This Row],[id]],prov_color!A:A,prov_color!C:C)</f>
        <v>31</v>
      </c>
      <c r="P789" t="str">
        <f>_xlfn.XLOOKUP(VALINA[[#This Row],[id]],Table4[id],Table4[name])</f>
        <v>Muni</v>
      </c>
      <c r="Q789" t="str">
        <f>_xlfn.XLOOKUP(VALINA[[#This Row],[name]],Trans!A:A,Trans!B:B)</f>
        <v>Muni</v>
      </c>
    </row>
    <row r="790" spans="1:17" x14ac:dyDescent="0.25">
      <c r="A790">
        <v>789</v>
      </c>
      <c r="B790" t="s">
        <v>1016</v>
      </c>
      <c r="C790" t="s">
        <v>1093</v>
      </c>
      <c r="D790" t="s">
        <v>1100</v>
      </c>
      <c r="E790" t="s">
        <v>22</v>
      </c>
      <c r="F790" t="s">
        <v>15</v>
      </c>
      <c r="G790" t="s">
        <v>75</v>
      </c>
      <c r="H790" t="s">
        <v>1095</v>
      </c>
      <c r="I790" t="s">
        <v>1039</v>
      </c>
      <c r="J790" t="s">
        <v>1101</v>
      </c>
      <c r="K790">
        <v>8</v>
      </c>
      <c r="L790">
        <v>2</v>
      </c>
      <c r="M790">
        <v>1</v>
      </c>
      <c r="N790">
        <v>0</v>
      </c>
      <c r="O790">
        <f>_xlfn.XLOOKUP(VALINA[[#This Row],[id]],prov_color!A:A,prov_color!C:C)</f>
        <v>45</v>
      </c>
      <c r="P790" t="str">
        <f>_xlfn.XLOOKUP(VALINA[[#This Row],[id]],Table4[id],Table4[name])</f>
        <v>Kribi</v>
      </c>
      <c r="Q790" t="str">
        <f>_xlfn.XLOOKUP(VALINA[[#This Row],[name]],Trans!A:A,Trans!B:B)</f>
        <v>Kribi</v>
      </c>
    </row>
    <row r="791" spans="1:17" x14ac:dyDescent="0.25">
      <c r="A791">
        <v>790</v>
      </c>
      <c r="B791" t="s">
        <v>1016</v>
      </c>
      <c r="C791" t="s">
        <v>1093</v>
      </c>
      <c r="D791" t="s">
        <v>1100</v>
      </c>
      <c r="E791" t="s">
        <v>22</v>
      </c>
      <c r="F791" t="s">
        <v>15</v>
      </c>
      <c r="G791" t="s">
        <v>75</v>
      </c>
      <c r="H791" t="s">
        <v>1095</v>
      </c>
      <c r="I791" t="s">
        <v>1039</v>
      </c>
      <c r="J791" t="s">
        <v>1102</v>
      </c>
      <c r="K791">
        <v>7</v>
      </c>
      <c r="L791">
        <v>2</v>
      </c>
      <c r="M791">
        <v>1</v>
      </c>
      <c r="N791">
        <v>0</v>
      </c>
      <c r="O791">
        <f>_xlfn.XLOOKUP(VALINA[[#This Row],[id]],prov_color!A:A,prov_color!C:C)</f>
        <v>35</v>
      </c>
      <c r="P791" t="str">
        <f>_xlfn.XLOOKUP(VALINA[[#This Row],[id]],Table4[id],Table4[name])</f>
        <v>Douala</v>
      </c>
      <c r="Q791" t="str">
        <f>_xlfn.XLOOKUP(VALINA[[#This Row],[name]],Trans!A:A,Trans!B:B)</f>
        <v>Douala</v>
      </c>
    </row>
    <row r="792" spans="1:17" x14ac:dyDescent="0.25">
      <c r="A792">
        <v>791</v>
      </c>
      <c r="B792" t="s">
        <v>1016</v>
      </c>
      <c r="C792" t="s">
        <v>1093</v>
      </c>
      <c r="D792" t="s">
        <v>1103</v>
      </c>
      <c r="E792" t="s">
        <v>80</v>
      </c>
      <c r="F792" t="s">
        <v>15</v>
      </c>
      <c r="G792" t="s">
        <v>75</v>
      </c>
      <c r="H792" t="s">
        <v>1104</v>
      </c>
      <c r="I792" t="s">
        <v>1039</v>
      </c>
      <c r="J792" t="s">
        <v>1105</v>
      </c>
      <c r="K792">
        <v>7</v>
      </c>
      <c r="L792">
        <v>2</v>
      </c>
      <c r="M792">
        <v>2</v>
      </c>
      <c r="N792">
        <v>0</v>
      </c>
      <c r="O792">
        <f>_xlfn.XLOOKUP(VALINA[[#This Row],[id]],prov_color!A:A,prov_color!C:C)</f>
        <v>32</v>
      </c>
      <c r="P792" t="str">
        <f>_xlfn.XLOOKUP(VALINA[[#This Row],[id]],Table4[id],Table4[name])</f>
        <v>Nigeria</v>
      </c>
      <c r="Q792" t="str">
        <f>_xlfn.XLOOKUP(VALINA[[#This Row],[name]],Trans!A:A,Trans!B:B)</f>
        <v>Nigeria</v>
      </c>
    </row>
    <row r="793" spans="1:17" x14ac:dyDescent="0.25">
      <c r="A793">
        <v>792</v>
      </c>
      <c r="B793" t="s">
        <v>1016</v>
      </c>
      <c r="C793" t="s">
        <v>1093</v>
      </c>
      <c r="D793" t="s">
        <v>1103</v>
      </c>
      <c r="E793" t="s">
        <v>22</v>
      </c>
      <c r="F793" t="s">
        <v>15</v>
      </c>
      <c r="G793" t="s">
        <v>75</v>
      </c>
      <c r="H793" t="s">
        <v>1104</v>
      </c>
      <c r="I793" t="s">
        <v>1039</v>
      </c>
      <c r="J793" t="s">
        <v>1106</v>
      </c>
      <c r="K793">
        <v>7</v>
      </c>
      <c r="L793">
        <v>3</v>
      </c>
      <c r="M793">
        <v>2</v>
      </c>
      <c r="N793">
        <v>0</v>
      </c>
      <c r="O793">
        <f>_xlfn.XLOOKUP(VALINA[[#This Row],[id]],prov_color!A:A,prov_color!C:C)</f>
        <v>23</v>
      </c>
      <c r="P793" t="str">
        <f>_xlfn.XLOOKUP(VALINA[[#This Row],[id]],Table4[id],Table4[name])</f>
        <v>Accra</v>
      </c>
      <c r="Q793" t="str">
        <f>_xlfn.XLOOKUP(VALINA[[#This Row],[name]],Trans!A:A,Trans!B:B)</f>
        <v>Accra</v>
      </c>
    </row>
    <row r="794" spans="1:17" x14ac:dyDescent="0.25">
      <c r="A794">
        <v>793</v>
      </c>
      <c r="B794" t="s">
        <v>1016</v>
      </c>
      <c r="C794" t="s">
        <v>1093</v>
      </c>
      <c r="D794" t="s">
        <v>1103</v>
      </c>
      <c r="E794" t="s">
        <v>80</v>
      </c>
      <c r="F794" t="s">
        <v>15</v>
      </c>
      <c r="G794" t="s">
        <v>75</v>
      </c>
      <c r="H794" t="s">
        <v>1104</v>
      </c>
      <c r="I794" t="s">
        <v>915</v>
      </c>
      <c r="J794" t="s">
        <v>1107</v>
      </c>
      <c r="K794">
        <v>7</v>
      </c>
      <c r="L794">
        <v>5</v>
      </c>
      <c r="M794">
        <v>2</v>
      </c>
      <c r="N794">
        <v>0</v>
      </c>
      <c r="O794">
        <f>_xlfn.XLOOKUP(VALINA[[#This Row],[id]],prov_color!A:A,prov_color!C:C)</f>
        <v>27</v>
      </c>
      <c r="P794" t="str">
        <f>_xlfn.XLOOKUP(VALINA[[#This Row],[id]],Table4[id],Table4[name])</f>
        <v>Ivoria</v>
      </c>
      <c r="Q794" t="str">
        <f>_xlfn.XLOOKUP(VALINA[[#This Row],[name]],Trans!A:A,Trans!B:B)</f>
        <v>Ivoria</v>
      </c>
    </row>
    <row r="795" spans="1:17" x14ac:dyDescent="0.25">
      <c r="A795">
        <v>794</v>
      </c>
      <c r="B795" t="s">
        <v>1016</v>
      </c>
      <c r="C795" t="s">
        <v>1093</v>
      </c>
      <c r="D795" t="s">
        <v>1103</v>
      </c>
      <c r="E795" t="s">
        <v>80</v>
      </c>
      <c r="F795" t="s">
        <v>15</v>
      </c>
      <c r="G795" t="s">
        <v>75</v>
      </c>
      <c r="H795" t="s">
        <v>1108</v>
      </c>
      <c r="I795" t="s">
        <v>1039</v>
      </c>
      <c r="J795" t="s">
        <v>1109</v>
      </c>
      <c r="K795">
        <v>8</v>
      </c>
      <c r="L795">
        <v>3</v>
      </c>
      <c r="M795">
        <v>2</v>
      </c>
      <c r="N795">
        <v>0</v>
      </c>
      <c r="O795">
        <f>_xlfn.XLOOKUP(VALINA[[#This Row],[id]],prov_color!A:A,prov_color!C:C)</f>
        <v>42</v>
      </c>
      <c r="P795" t="str">
        <f>_xlfn.XLOOKUP(VALINA[[#This Row],[id]],Table4[id],Table4[name])</f>
        <v>Palanas</v>
      </c>
      <c r="Q795" t="str">
        <f>_xlfn.XLOOKUP(VALINA[[#This Row],[name]],Trans!A:A,Trans!B:B)</f>
        <v>Palanas</v>
      </c>
    </row>
    <row r="796" spans="1:17" x14ac:dyDescent="0.25">
      <c r="A796">
        <v>795</v>
      </c>
      <c r="B796" t="s">
        <v>1016</v>
      </c>
      <c r="C796" t="s">
        <v>1093</v>
      </c>
      <c r="D796" t="s">
        <v>1110</v>
      </c>
      <c r="E796" t="s">
        <v>22</v>
      </c>
      <c r="F796" t="s">
        <v>15</v>
      </c>
      <c r="G796" t="s">
        <v>75</v>
      </c>
      <c r="H796" t="s">
        <v>1111</v>
      </c>
      <c r="I796" t="s">
        <v>915</v>
      </c>
      <c r="J796" t="s">
        <v>1112</v>
      </c>
      <c r="K796">
        <v>7</v>
      </c>
      <c r="L796">
        <v>5</v>
      </c>
      <c r="M796">
        <v>3</v>
      </c>
      <c r="N796">
        <v>0</v>
      </c>
      <c r="O796">
        <f>_xlfn.XLOOKUP(VALINA[[#This Row],[id]],prov_color!A:A,prov_color!C:C)</f>
        <v>38</v>
      </c>
      <c r="P796" t="str">
        <f>_xlfn.XLOOKUP(VALINA[[#This Row],[id]],Table4[id],Table4[name])</f>
        <v>Leone</v>
      </c>
      <c r="Q796" t="str">
        <f>_xlfn.XLOOKUP(VALINA[[#This Row],[name]],Trans!A:A,Trans!B:B)</f>
        <v>Leone</v>
      </c>
    </row>
    <row r="797" spans="1:17" x14ac:dyDescent="0.25">
      <c r="A797">
        <v>796</v>
      </c>
      <c r="B797" t="s">
        <v>1016</v>
      </c>
      <c r="C797" t="s">
        <v>1093</v>
      </c>
      <c r="D797" t="s">
        <v>1110</v>
      </c>
      <c r="E797" t="s">
        <v>22</v>
      </c>
      <c r="F797" t="s">
        <v>15</v>
      </c>
      <c r="G797" t="s">
        <v>75</v>
      </c>
      <c r="H797" t="s">
        <v>1113</v>
      </c>
      <c r="I797" t="s">
        <v>1039</v>
      </c>
      <c r="J797" t="s">
        <v>1114</v>
      </c>
      <c r="K797">
        <v>7</v>
      </c>
      <c r="L797">
        <v>4</v>
      </c>
      <c r="M797">
        <v>2</v>
      </c>
      <c r="N797">
        <v>0</v>
      </c>
      <c r="O797">
        <f>_xlfn.XLOOKUP(VALINA[[#This Row],[id]],prov_color!A:A,prov_color!C:C)</f>
        <v>38</v>
      </c>
      <c r="P797" t="str">
        <f>_xlfn.XLOOKUP(VALINA[[#This Row],[id]],Table4[id],Table4[name])</f>
        <v>Guinea</v>
      </c>
      <c r="Q797" t="str">
        <f>_xlfn.XLOOKUP(VALINA[[#This Row],[name]],Trans!A:A,Trans!B:B)</f>
        <v>Guinea</v>
      </c>
    </row>
    <row r="798" spans="1:17" x14ac:dyDescent="0.25">
      <c r="A798">
        <v>797</v>
      </c>
      <c r="B798" t="s">
        <v>1016</v>
      </c>
      <c r="C798" t="s">
        <v>1093</v>
      </c>
      <c r="D798" t="s">
        <v>1115</v>
      </c>
      <c r="E798" t="s">
        <v>80</v>
      </c>
      <c r="F798" t="s">
        <v>15</v>
      </c>
      <c r="G798" t="s">
        <v>75</v>
      </c>
      <c r="H798" t="s">
        <v>1113</v>
      </c>
      <c r="I798" t="s">
        <v>915</v>
      </c>
      <c r="J798" t="s">
        <v>1116</v>
      </c>
      <c r="K798">
        <v>7</v>
      </c>
      <c r="L798">
        <v>1</v>
      </c>
      <c r="M798">
        <v>1</v>
      </c>
      <c r="N798">
        <v>0</v>
      </c>
      <c r="O798">
        <f>_xlfn.XLOOKUP(VALINA[[#This Row],[id]],prov_color!A:A,prov_color!C:C)</f>
        <v>32</v>
      </c>
      <c r="P798" t="str">
        <f>_xlfn.XLOOKUP(VALINA[[#This Row],[id]],Table4[id],Table4[name])</f>
        <v>Casamance</v>
      </c>
      <c r="Q798" t="str">
        <f>_xlfn.XLOOKUP(VALINA[[#This Row],[name]],Trans!A:A,Trans!B:B)</f>
        <v>Casamance</v>
      </c>
    </row>
    <row r="799" spans="1:17" x14ac:dyDescent="0.25">
      <c r="A799">
        <v>798</v>
      </c>
      <c r="B799" t="s">
        <v>1016</v>
      </c>
      <c r="C799" t="s">
        <v>1093</v>
      </c>
      <c r="D799" t="s">
        <v>1115</v>
      </c>
      <c r="E799" t="s">
        <v>22</v>
      </c>
      <c r="F799" t="s">
        <v>15</v>
      </c>
      <c r="G799" t="s">
        <v>75</v>
      </c>
      <c r="H799" t="s">
        <v>1117</v>
      </c>
      <c r="I799" t="s">
        <v>1039</v>
      </c>
      <c r="J799" t="s">
        <v>1118</v>
      </c>
      <c r="K799">
        <v>6</v>
      </c>
      <c r="L799">
        <v>2</v>
      </c>
      <c r="M799">
        <v>1</v>
      </c>
      <c r="N799">
        <v>0</v>
      </c>
      <c r="O799">
        <f>_xlfn.XLOOKUP(VALINA[[#This Row],[id]],prov_color!A:A,prov_color!C:C)</f>
        <v>33</v>
      </c>
      <c r="P799" t="str">
        <f>_xlfn.XLOOKUP(VALINA[[#This Row],[id]],Table4[id],Table4[name])</f>
        <v>Gambia</v>
      </c>
      <c r="Q799" t="str">
        <f>_xlfn.XLOOKUP(VALINA[[#This Row],[name]],Trans!A:A,Trans!B:B)</f>
        <v>Gambia</v>
      </c>
    </row>
    <row r="800" spans="1:17" x14ac:dyDescent="0.25">
      <c r="A800">
        <v>799</v>
      </c>
      <c r="B800" t="s">
        <v>1016</v>
      </c>
      <c r="C800" t="s">
        <v>1093</v>
      </c>
      <c r="D800" t="s">
        <v>1115</v>
      </c>
      <c r="E800" t="s">
        <v>34</v>
      </c>
      <c r="F800" t="s">
        <v>15</v>
      </c>
      <c r="G800" t="s">
        <v>35</v>
      </c>
      <c r="H800" t="s">
        <v>1117</v>
      </c>
      <c r="I800" t="s">
        <v>1039</v>
      </c>
      <c r="J800" t="s">
        <v>1119</v>
      </c>
      <c r="K800">
        <v>4</v>
      </c>
      <c r="L800">
        <v>2</v>
      </c>
      <c r="M800">
        <v>1</v>
      </c>
      <c r="N800">
        <v>0</v>
      </c>
      <c r="O800">
        <f>_xlfn.XLOOKUP(VALINA[[#This Row],[id]],prov_color!A:A,prov_color!C:C)</f>
        <v>43</v>
      </c>
      <c r="P800" t="str">
        <f>_xlfn.XLOOKUP(VALINA[[#This Row],[id]],Table4[id],Table4[name])</f>
        <v>Dakar</v>
      </c>
      <c r="Q800" t="str">
        <f>_xlfn.XLOOKUP(VALINA[[#This Row],[name]],Trans!A:A,Trans!B:B)</f>
        <v>Dakar</v>
      </c>
    </row>
    <row r="801" spans="1:17" x14ac:dyDescent="0.25">
      <c r="A801">
        <v>800</v>
      </c>
      <c r="B801" t="s">
        <v>1016</v>
      </c>
      <c r="C801" t="s">
        <v>1093</v>
      </c>
      <c r="D801" t="s">
        <v>1115</v>
      </c>
      <c r="E801" t="s">
        <v>34</v>
      </c>
      <c r="F801" t="s">
        <v>609</v>
      </c>
      <c r="G801" t="s">
        <v>35</v>
      </c>
      <c r="H801" t="s">
        <v>1117</v>
      </c>
      <c r="I801" t="s">
        <v>915</v>
      </c>
      <c r="J801" t="s">
        <v>1115</v>
      </c>
      <c r="K801">
        <v>4</v>
      </c>
      <c r="L801">
        <v>3</v>
      </c>
      <c r="M801">
        <v>1</v>
      </c>
      <c r="N801">
        <v>0</v>
      </c>
      <c r="O801">
        <f>_xlfn.XLOOKUP(VALINA[[#This Row],[id]],prov_color!A:A,prov_color!C:C)</f>
        <v>33</v>
      </c>
      <c r="P801" t="str">
        <f>_xlfn.XLOOKUP(VALINA[[#This Row],[id]],Table4[id],Table4[name])</f>
        <v>Senegal</v>
      </c>
      <c r="Q801" t="str">
        <f>_xlfn.XLOOKUP(VALINA[[#This Row],[name]],Trans!A:A,Trans!B:B)</f>
        <v>Senegal</v>
      </c>
    </row>
    <row r="802" spans="1:17" x14ac:dyDescent="0.25">
      <c r="A802">
        <v>801</v>
      </c>
      <c r="B802" t="s">
        <v>1016</v>
      </c>
      <c r="C802" t="s">
        <v>1093</v>
      </c>
      <c r="D802" t="s">
        <v>1115</v>
      </c>
      <c r="E802" t="s">
        <v>52</v>
      </c>
      <c r="F802" t="s">
        <v>609</v>
      </c>
      <c r="G802" t="s">
        <v>47</v>
      </c>
      <c r="H802" t="s">
        <v>1117</v>
      </c>
      <c r="I802" t="s">
        <v>915</v>
      </c>
      <c r="J802" t="s">
        <v>1120</v>
      </c>
      <c r="K802">
        <v>8</v>
      </c>
      <c r="L802">
        <v>1</v>
      </c>
      <c r="M802">
        <v>1</v>
      </c>
      <c r="N802">
        <v>0</v>
      </c>
      <c r="O802">
        <f>_xlfn.XLOOKUP(VALINA[[#This Row],[id]],prov_color!A:A,prov_color!C:C)</f>
        <v>34</v>
      </c>
      <c r="P802" t="str">
        <f>_xlfn.XLOOKUP(VALINA[[#This Row],[id]],Table4[id],Table4[name])</f>
        <v>Louga</v>
      </c>
      <c r="Q802" t="str">
        <f>_xlfn.XLOOKUP(VALINA[[#This Row],[name]],Trans!A:A,Trans!B:B)</f>
        <v>Louga</v>
      </c>
    </row>
    <row r="803" spans="1:17" x14ac:dyDescent="0.25">
      <c r="A803">
        <v>802</v>
      </c>
      <c r="B803" t="s">
        <v>1016</v>
      </c>
      <c r="C803" t="s">
        <v>1093</v>
      </c>
      <c r="D803" t="s">
        <v>1121</v>
      </c>
      <c r="E803" t="s">
        <v>52</v>
      </c>
      <c r="F803" t="s">
        <v>609</v>
      </c>
      <c r="G803" t="s">
        <v>47</v>
      </c>
      <c r="H803" t="s">
        <v>616</v>
      </c>
      <c r="I803" t="s">
        <v>1039</v>
      </c>
      <c r="J803" t="s">
        <v>1122</v>
      </c>
      <c r="K803">
        <v>9</v>
      </c>
      <c r="L803">
        <v>1</v>
      </c>
      <c r="M803">
        <v>1</v>
      </c>
      <c r="N803">
        <v>0</v>
      </c>
      <c r="O803">
        <f>_xlfn.XLOOKUP(VALINA[[#This Row],[id]],prov_color!A:A,prov_color!C:C)</f>
        <v>50</v>
      </c>
      <c r="P803" t="str">
        <f>_xlfn.XLOOKUP(VALINA[[#This Row],[id]],Table4[id],Table4[name])</f>
        <v>Nouakchott</v>
      </c>
      <c r="Q803" t="str">
        <f>_xlfn.XLOOKUP(VALINA[[#This Row],[name]],Trans!A:A,Trans!B:B)</f>
        <v>Nouakchott</v>
      </c>
    </row>
    <row r="804" spans="1:17" x14ac:dyDescent="0.25">
      <c r="A804">
        <v>803</v>
      </c>
      <c r="B804" t="s">
        <v>1016</v>
      </c>
      <c r="C804" t="s">
        <v>1093</v>
      </c>
      <c r="D804" t="s">
        <v>1121</v>
      </c>
      <c r="E804" t="s">
        <v>52</v>
      </c>
      <c r="F804" t="s">
        <v>609</v>
      </c>
      <c r="G804" t="s">
        <v>47</v>
      </c>
      <c r="H804" t="s">
        <v>616</v>
      </c>
      <c r="I804" t="s">
        <v>27</v>
      </c>
      <c r="J804" t="s">
        <v>1123</v>
      </c>
      <c r="K804">
        <v>9</v>
      </c>
      <c r="L804">
        <v>1</v>
      </c>
      <c r="M804">
        <v>1</v>
      </c>
      <c r="N804">
        <v>0</v>
      </c>
      <c r="O804">
        <f>_xlfn.XLOOKUP(VALINA[[#This Row],[id]],prov_color!A:A,prov_color!C:C)</f>
        <v>54</v>
      </c>
      <c r="P804" t="str">
        <f>_xlfn.XLOOKUP(VALINA[[#This Row],[id]],Table4[id],Table4[name])</f>
        <v>Nouadibuh</v>
      </c>
      <c r="Q804" t="str">
        <f>_xlfn.XLOOKUP(VALINA[[#This Row],[name]],Trans!A:A,Trans!B:B)</f>
        <v>Nouadibuh</v>
      </c>
    </row>
    <row r="805" spans="1:17" x14ac:dyDescent="0.25">
      <c r="A805">
        <v>804</v>
      </c>
      <c r="B805" t="s">
        <v>1016</v>
      </c>
      <c r="C805" t="s">
        <v>1093</v>
      </c>
      <c r="D805" t="s">
        <v>1121</v>
      </c>
      <c r="E805" t="s">
        <v>52</v>
      </c>
      <c r="F805" t="s">
        <v>609</v>
      </c>
      <c r="G805" t="s">
        <v>47</v>
      </c>
      <c r="H805" t="s">
        <v>616</v>
      </c>
      <c r="I805" t="s">
        <v>1039</v>
      </c>
      <c r="J805" t="s">
        <v>1124</v>
      </c>
      <c r="K805">
        <v>9</v>
      </c>
      <c r="L805">
        <v>1</v>
      </c>
      <c r="M805">
        <v>1</v>
      </c>
      <c r="N805">
        <v>0</v>
      </c>
      <c r="O805">
        <f>_xlfn.XLOOKUP(VALINA[[#This Row],[id]],prov_color!A:A,prov_color!C:C)</f>
        <v>46</v>
      </c>
      <c r="P805" t="str">
        <f>_xlfn.XLOOKUP(VALINA[[#This Row],[id]],Table4[id],Table4[name])</f>
        <v>Tassaret</v>
      </c>
      <c r="Q805" t="str">
        <f>_xlfn.XLOOKUP(VALINA[[#This Row],[name]],Trans!A:A,Trans!B:B)</f>
        <v>Tassaret</v>
      </c>
    </row>
    <row r="806" spans="1:17" x14ac:dyDescent="0.25">
      <c r="A806">
        <v>805</v>
      </c>
      <c r="B806" t="s">
        <v>1016</v>
      </c>
      <c r="C806" t="s">
        <v>1093</v>
      </c>
      <c r="D806" t="s">
        <v>1121</v>
      </c>
      <c r="E806" t="s">
        <v>52</v>
      </c>
      <c r="F806" t="s">
        <v>609</v>
      </c>
      <c r="G806" t="s">
        <v>47</v>
      </c>
      <c r="H806" t="s">
        <v>616</v>
      </c>
      <c r="I806" t="s">
        <v>1039</v>
      </c>
      <c r="J806" t="s">
        <v>1125</v>
      </c>
      <c r="K806">
        <v>9</v>
      </c>
      <c r="L806">
        <v>2</v>
      </c>
      <c r="M806">
        <v>1</v>
      </c>
      <c r="N806">
        <v>0</v>
      </c>
      <c r="O806">
        <f>_xlfn.XLOOKUP(VALINA[[#This Row],[id]],prov_color!A:A,prov_color!C:C)</f>
        <v>43</v>
      </c>
      <c r="P806" t="str">
        <f>_xlfn.XLOOKUP(VALINA[[#This Row],[id]],Table4[id],Table4[name])</f>
        <v>Sahara</v>
      </c>
      <c r="Q806" t="str">
        <f>_xlfn.XLOOKUP(VALINA[[#This Row],[name]],Trans!A:A,Trans!B:B)</f>
        <v>Sahara</v>
      </c>
    </row>
    <row r="807" spans="1:17" x14ac:dyDescent="0.25">
      <c r="A807">
        <v>806</v>
      </c>
      <c r="B807" t="s">
        <v>1016</v>
      </c>
      <c r="C807" t="s">
        <v>1017</v>
      </c>
      <c r="D807" t="s">
        <v>1018</v>
      </c>
      <c r="E807" t="s">
        <v>14</v>
      </c>
      <c r="F807" t="s">
        <v>609</v>
      </c>
      <c r="G807" t="s">
        <v>35</v>
      </c>
      <c r="H807" t="s">
        <v>669</v>
      </c>
      <c r="I807" t="s">
        <v>41</v>
      </c>
      <c r="J807" t="s">
        <v>1126</v>
      </c>
      <c r="K807">
        <v>0</v>
      </c>
      <c r="L807">
        <v>9</v>
      </c>
      <c r="M807">
        <v>2</v>
      </c>
      <c r="N807">
        <v>0</v>
      </c>
      <c r="O807">
        <f>_xlfn.XLOOKUP(VALINA[[#This Row],[id]],prov_color!A:A,prov_color!C:C)</f>
        <v>68</v>
      </c>
      <c r="P807" t="str">
        <f>_xlfn.XLOOKUP(VALINA[[#This Row],[id]],Table4[id],Table4[name])</f>
        <v>Toubkal</v>
      </c>
      <c r="Q807" t="str">
        <f>_xlfn.XLOOKUP(VALINA[[#This Row],[name]],Trans!A:A,Trans!B:B)</f>
        <v>Toubkal</v>
      </c>
    </row>
    <row r="808" spans="1:17" x14ac:dyDescent="0.25">
      <c r="A808">
        <v>807</v>
      </c>
      <c r="B808" t="s">
        <v>1016</v>
      </c>
      <c r="C808" t="s">
        <v>1035</v>
      </c>
      <c r="D808" t="s">
        <v>1127</v>
      </c>
      <c r="E808" t="s">
        <v>22</v>
      </c>
      <c r="F808" t="s">
        <v>15</v>
      </c>
      <c r="G808" t="s">
        <v>75</v>
      </c>
      <c r="H808" t="s">
        <v>1128</v>
      </c>
      <c r="I808" t="s">
        <v>1039</v>
      </c>
      <c r="J808" t="s">
        <v>1129</v>
      </c>
      <c r="K808">
        <v>5</v>
      </c>
      <c r="L808">
        <v>2</v>
      </c>
      <c r="M808">
        <v>1</v>
      </c>
      <c r="N808">
        <v>0</v>
      </c>
      <c r="O808">
        <f>_xlfn.XLOOKUP(VALINA[[#This Row],[id]],prov_color!A:A,prov_color!C:C)</f>
        <v>52</v>
      </c>
      <c r="P808" t="str">
        <f>_xlfn.XLOOKUP(VALINA[[#This Row],[id]],Table4[id],Table4[name])</f>
        <v>Ambovombe</v>
      </c>
      <c r="Q808" t="str">
        <f>_xlfn.XLOOKUP(VALINA[[#This Row],[name]],Trans!A:A,Trans!B:B)</f>
        <v>Ambovombe</v>
      </c>
    </row>
    <row r="809" spans="1:17" x14ac:dyDescent="0.25">
      <c r="A809">
        <v>808</v>
      </c>
      <c r="B809" t="s">
        <v>1016</v>
      </c>
      <c r="C809" t="s">
        <v>1035</v>
      </c>
      <c r="D809" t="s">
        <v>1127</v>
      </c>
      <c r="E809" t="s">
        <v>22</v>
      </c>
      <c r="F809" t="s">
        <v>15</v>
      </c>
      <c r="G809" t="s">
        <v>75</v>
      </c>
      <c r="H809" t="s">
        <v>1128</v>
      </c>
      <c r="I809" t="s">
        <v>73</v>
      </c>
      <c r="J809" t="s">
        <v>1130</v>
      </c>
      <c r="K809">
        <v>6</v>
      </c>
      <c r="L809">
        <v>2</v>
      </c>
      <c r="M809">
        <v>1</v>
      </c>
      <c r="N809">
        <v>0</v>
      </c>
      <c r="O809">
        <f>_xlfn.XLOOKUP(VALINA[[#This Row],[id]],prov_color!A:A,prov_color!C:C)</f>
        <v>57</v>
      </c>
      <c r="P809" t="str">
        <f>_xlfn.XLOOKUP(VALINA[[#This Row],[id]],Table4[id],Table4[name])</f>
        <v>Antsirana</v>
      </c>
      <c r="Q809" t="str">
        <f>_xlfn.XLOOKUP(VALINA[[#This Row],[name]],Trans!A:A,Trans!B:B)</f>
        <v>Antsirana</v>
      </c>
    </row>
    <row r="810" spans="1:17" x14ac:dyDescent="0.25">
      <c r="A810">
        <v>809</v>
      </c>
      <c r="B810" t="s">
        <v>1016</v>
      </c>
      <c r="C810" t="s">
        <v>1035</v>
      </c>
      <c r="D810" t="s">
        <v>1131</v>
      </c>
      <c r="E810" t="s">
        <v>22</v>
      </c>
      <c r="F810" t="s">
        <v>15</v>
      </c>
      <c r="G810" t="s">
        <v>75</v>
      </c>
      <c r="H810" t="s">
        <v>1128</v>
      </c>
      <c r="I810" t="s">
        <v>73</v>
      </c>
      <c r="J810" t="s">
        <v>1132</v>
      </c>
      <c r="K810">
        <v>3</v>
      </c>
      <c r="L810">
        <v>5</v>
      </c>
      <c r="M810">
        <v>1</v>
      </c>
      <c r="N810">
        <v>0</v>
      </c>
      <c r="O810">
        <f>_xlfn.XLOOKUP(VALINA[[#This Row],[id]],prov_color!A:A,prov_color!C:C)</f>
        <v>6</v>
      </c>
      <c r="P810" t="str">
        <f>_xlfn.XLOOKUP(VALINA[[#This Row],[id]],Table4[id],Table4[name])</f>
        <v>Bourbon</v>
      </c>
      <c r="Q810" t="str">
        <f>_xlfn.XLOOKUP(VALINA[[#This Row],[name]],Trans!A:A,Trans!B:B)</f>
        <v>Bourbon</v>
      </c>
    </row>
    <row r="811" spans="1:17" x14ac:dyDescent="0.25">
      <c r="A811">
        <v>810</v>
      </c>
      <c r="B811" t="s">
        <v>1016</v>
      </c>
      <c r="C811" t="s">
        <v>1035</v>
      </c>
      <c r="D811" t="s">
        <v>1131</v>
      </c>
      <c r="E811" t="s">
        <v>22</v>
      </c>
      <c r="F811" t="s">
        <v>15</v>
      </c>
      <c r="G811" t="s">
        <v>75</v>
      </c>
      <c r="H811" t="s">
        <v>1128</v>
      </c>
      <c r="I811" t="s">
        <v>73</v>
      </c>
      <c r="J811" t="s">
        <v>1133</v>
      </c>
      <c r="K811">
        <v>3</v>
      </c>
      <c r="L811">
        <v>5</v>
      </c>
      <c r="M811">
        <v>1</v>
      </c>
      <c r="N811">
        <v>0</v>
      </c>
      <c r="O811">
        <f>_xlfn.XLOOKUP(VALINA[[#This Row],[id]],prov_color!A:A,prov_color!C:C)</f>
        <v>6</v>
      </c>
      <c r="P811" t="str">
        <f>_xlfn.XLOOKUP(VALINA[[#This Row],[id]],Table4[id],Table4[name])</f>
        <v>Mauritius</v>
      </c>
      <c r="Q811" t="str">
        <f>_xlfn.XLOOKUP(VALINA[[#This Row],[name]],Trans!A:A,Trans!B:B)</f>
        <v>Mauritius</v>
      </c>
    </row>
    <row r="812" spans="1:17" x14ac:dyDescent="0.25">
      <c r="A812">
        <v>811</v>
      </c>
      <c r="B812" t="s">
        <v>1016</v>
      </c>
      <c r="C812" t="s">
        <v>1035</v>
      </c>
      <c r="D812" t="s">
        <v>1134</v>
      </c>
      <c r="E812" t="s">
        <v>34</v>
      </c>
      <c r="F812" t="s">
        <v>15</v>
      </c>
      <c r="G812" t="s">
        <v>75</v>
      </c>
      <c r="H812" t="s">
        <v>1128</v>
      </c>
      <c r="I812" t="s">
        <v>687</v>
      </c>
      <c r="J812" t="s">
        <v>1135</v>
      </c>
      <c r="K812">
        <v>4</v>
      </c>
      <c r="L812">
        <v>2</v>
      </c>
      <c r="M812">
        <v>1</v>
      </c>
      <c r="N812">
        <v>0</v>
      </c>
      <c r="O812">
        <f>_xlfn.XLOOKUP(VALINA[[#This Row],[id]],prov_color!A:A,prov_color!C:C)</f>
        <v>6</v>
      </c>
      <c r="P812" t="str">
        <f>_xlfn.XLOOKUP(VALINA[[#This Row],[id]],Table4[id],Table4[name])</f>
        <v>Mahe</v>
      </c>
      <c r="Q812" t="str">
        <f>_xlfn.XLOOKUP(VALINA[[#This Row],[name]],Trans!A:A,Trans!B:B)</f>
        <v>Mahe</v>
      </c>
    </row>
    <row r="813" spans="1:17" x14ac:dyDescent="0.25">
      <c r="A813">
        <v>812</v>
      </c>
      <c r="B813" t="s">
        <v>990</v>
      </c>
      <c r="C813" t="s">
        <v>1136</v>
      </c>
      <c r="D813" t="s">
        <v>1137</v>
      </c>
      <c r="E813" t="s">
        <v>14</v>
      </c>
      <c r="F813" t="s">
        <v>15</v>
      </c>
      <c r="G813" t="s">
        <v>75</v>
      </c>
      <c r="H813" t="s">
        <v>1009</v>
      </c>
      <c r="I813" t="s">
        <v>73</v>
      </c>
      <c r="J813" t="s">
        <v>1138</v>
      </c>
      <c r="K813">
        <v>4</v>
      </c>
      <c r="L813">
        <v>3</v>
      </c>
      <c r="M813">
        <v>1</v>
      </c>
      <c r="N813">
        <v>0</v>
      </c>
      <c r="O813">
        <f>_xlfn.XLOOKUP(VALINA[[#This Row],[id]],prov_color!A:A,prov_color!C:C)</f>
        <v>12</v>
      </c>
      <c r="P813" t="str">
        <f>_xlfn.XLOOKUP(VALINA[[#This Row],[id]],Table4[id],Table4[name])</f>
        <v>Kauai</v>
      </c>
      <c r="Q813" t="str">
        <f>_xlfn.XLOOKUP(VALINA[[#This Row],[name]],Trans!A:A,Trans!B:B)</f>
        <v>Kauai</v>
      </c>
    </row>
    <row r="814" spans="1:17" x14ac:dyDescent="0.25">
      <c r="A814">
        <v>813</v>
      </c>
      <c r="B814" t="s">
        <v>990</v>
      </c>
      <c r="C814" t="s">
        <v>1136</v>
      </c>
      <c r="D814" t="s">
        <v>1137</v>
      </c>
      <c r="E814" t="s">
        <v>22</v>
      </c>
      <c r="F814" t="s">
        <v>15</v>
      </c>
      <c r="G814" t="s">
        <v>75</v>
      </c>
      <c r="H814" t="s">
        <v>1009</v>
      </c>
      <c r="I814" t="s">
        <v>73</v>
      </c>
      <c r="J814" t="s">
        <v>1139</v>
      </c>
      <c r="K814">
        <v>4</v>
      </c>
      <c r="L814">
        <v>3</v>
      </c>
      <c r="M814">
        <v>1</v>
      </c>
      <c r="N814">
        <v>0</v>
      </c>
      <c r="O814">
        <f>_xlfn.XLOOKUP(VALINA[[#This Row],[id]],prov_color!A:A,prov_color!C:C)</f>
        <v>15</v>
      </c>
      <c r="P814" t="str">
        <f>_xlfn.XLOOKUP(VALINA[[#This Row],[id]],Table4[id],Table4[name])</f>
        <v>Oahu</v>
      </c>
      <c r="Q814" t="str">
        <f>_xlfn.XLOOKUP(VALINA[[#This Row],[name]],Trans!A:A,Trans!B:B)</f>
        <v>Oahu</v>
      </c>
    </row>
    <row r="815" spans="1:17" x14ac:dyDescent="0.25">
      <c r="A815">
        <v>814</v>
      </c>
      <c r="B815" t="s">
        <v>990</v>
      </c>
      <c r="C815" t="s">
        <v>1136</v>
      </c>
      <c r="D815" t="s">
        <v>1140</v>
      </c>
      <c r="E815" t="s">
        <v>22</v>
      </c>
      <c r="F815" t="s">
        <v>15</v>
      </c>
      <c r="G815" t="s">
        <v>75</v>
      </c>
      <c r="H815" t="s">
        <v>1009</v>
      </c>
      <c r="I815" t="s">
        <v>687</v>
      </c>
      <c r="J815" t="s">
        <v>1141</v>
      </c>
      <c r="K815">
        <v>2</v>
      </c>
      <c r="L815">
        <v>3</v>
      </c>
      <c r="M815">
        <v>1</v>
      </c>
      <c r="N815">
        <v>0</v>
      </c>
      <c r="O815">
        <f>_xlfn.XLOOKUP(VALINA[[#This Row],[id]],prov_color!A:A,prov_color!C:C)</f>
        <v>9</v>
      </c>
      <c r="P815" t="str">
        <f>_xlfn.XLOOKUP(VALINA[[#This Row],[id]],Table4[id],Table4[name])</f>
        <v>Tahiti</v>
      </c>
      <c r="Q815" t="str">
        <f>_xlfn.XLOOKUP(VALINA[[#This Row],[name]],Trans!A:A,Trans!B:B)</f>
        <v>Tahiti</v>
      </c>
    </row>
    <row r="816" spans="1:17" x14ac:dyDescent="0.25">
      <c r="A816">
        <v>815</v>
      </c>
      <c r="B816" t="s">
        <v>990</v>
      </c>
      <c r="C816" t="s">
        <v>1136</v>
      </c>
      <c r="D816" t="s">
        <v>1142</v>
      </c>
      <c r="E816" t="s">
        <v>22</v>
      </c>
      <c r="F816" t="s">
        <v>15</v>
      </c>
      <c r="G816" t="s">
        <v>75</v>
      </c>
      <c r="H816" t="s">
        <v>1009</v>
      </c>
      <c r="I816" t="s">
        <v>73</v>
      </c>
      <c r="J816" t="s">
        <v>1143</v>
      </c>
      <c r="K816">
        <v>5</v>
      </c>
      <c r="L816">
        <v>3</v>
      </c>
      <c r="M816">
        <v>1</v>
      </c>
      <c r="N816">
        <v>0</v>
      </c>
      <c r="O816">
        <f>_xlfn.XLOOKUP(VALINA[[#This Row],[id]],prov_color!A:A,prov_color!C:C)</f>
        <v>9</v>
      </c>
      <c r="P816" t="str">
        <f>_xlfn.XLOOKUP(VALINA[[#This Row],[id]],Table4[id],Table4[name])</f>
        <v>Viti Levu</v>
      </c>
      <c r="Q816" t="str">
        <f>_xlfn.XLOOKUP(VALINA[[#This Row],[name]],Trans!A:A,Trans!B:B)</f>
        <v>Viti Levu</v>
      </c>
    </row>
    <row r="817" spans="1:17" x14ac:dyDescent="0.25">
      <c r="A817">
        <v>816</v>
      </c>
      <c r="B817" t="s">
        <v>1016</v>
      </c>
      <c r="C817" t="s">
        <v>1093</v>
      </c>
      <c r="D817" t="s">
        <v>1100</v>
      </c>
      <c r="E817" t="s">
        <v>22</v>
      </c>
      <c r="F817" t="s">
        <v>15</v>
      </c>
      <c r="G817" t="s">
        <v>75</v>
      </c>
      <c r="H817" t="s">
        <v>1104</v>
      </c>
      <c r="I817" t="s">
        <v>1039</v>
      </c>
      <c r="J817" t="s">
        <v>1144</v>
      </c>
      <c r="K817">
        <v>5</v>
      </c>
      <c r="L817">
        <v>2</v>
      </c>
      <c r="M817">
        <v>1</v>
      </c>
      <c r="N817">
        <v>0</v>
      </c>
      <c r="O817">
        <f>_xlfn.XLOOKUP(VALINA[[#This Row],[id]],prov_color!A:A,prov_color!C:C)</f>
        <v>6</v>
      </c>
      <c r="P817" t="str">
        <f>_xlfn.XLOOKUP(VALINA[[#This Row],[id]],Table4[id],Table4[name])</f>
        <v>Fernando Po</v>
      </c>
      <c r="Q817" t="str">
        <f>_xlfn.XLOOKUP(VALINA[[#This Row],[name]],Trans!A:A,Trans!B:B)</f>
        <v>Fernando Po</v>
      </c>
    </row>
    <row r="818" spans="1:17" x14ac:dyDescent="0.25">
      <c r="A818">
        <v>817</v>
      </c>
      <c r="B818" t="s">
        <v>1016</v>
      </c>
      <c r="C818" t="s">
        <v>1093</v>
      </c>
      <c r="D818" t="s">
        <v>1145</v>
      </c>
      <c r="E818" t="s">
        <v>14</v>
      </c>
      <c r="F818" t="s">
        <v>349</v>
      </c>
      <c r="G818" t="s">
        <v>35</v>
      </c>
      <c r="H818" t="s">
        <v>595</v>
      </c>
      <c r="I818" t="s">
        <v>73</v>
      </c>
      <c r="J818" t="s">
        <v>1731</v>
      </c>
      <c r="K818">
        <v>0</v>
      </c>
      <c r="L818">
        <v>3</v>
      </c>
      <c r="M818">
        <v>1</v>
      </c>
      <c r="N818">
        <v>0</v>
      </c>
      <c r="O818">
        <f>_xlfn.XLOOKUP(VALINA[[#This Row],[id]],prov_color!A:A,prov_color!C:C)</f>
        <v>12</v>
      </c>
      <c r="P818" t="str">
        <f>_xlfn.XLOOKUP(VALINA[[#This Row],[id]],Table4[id],Table4[name])</f>
        <v>The Canary Islands</v>
      </c>
      <c r="Q818" t="str">
        <f>_xlfn.XLOOKUP(VALINA[[#This Row],[name]],Trans!A:A,Trans!B:B)</f>
        <v>The Canary Islands</v>
      </c>
    </row>
    <row r="819" spans="1:17" x14ac:dyDescent="0.25">
      <c r="A819">
        <v>818</v>
      </c>
      <c r="B819" t="s">
        <v>1016</v>
      </c>
      <c r="C819" t="s">
        <v>1093</v>
      </c>
      <c r="D819" t="s">
        <v>1146</v>
      </c>
      <c r="E819" t="s">
        <v>22</v>
      </c>
      <c r="F819" t="s">
        <v>15</v>
      </c>
      <c r="G819" t="s">
        <v>75</v>
      </c>
      <c r="H819" t="s">
        <v>1117</v>
      </c>
      <c r="I819" t="s">
        <v>27</v>
      </c>
      <c r="J819" t="s">
        <v>1146</v>
      </c>
      <c r="K819">
        <v>3</v>
      </c>
      <c r="L819">
        <v>2</v>
      </c>
      <c r="M819">
        <v>1</v>
      </c>
      <c r="N819">
        <v>0</v>
      </c>
      <c r="O819">
        <f>_xlfn.XLOOKUP(VALINA[[#This Row],[id]],prov_color!A:A,prov_color!C:C)</f>
        <v>6</v>
      </c>
      <c r="P819" t="str">
        <f>_xlfn.XLOOKUP(VALINA[[#This Row],[id]],Table4[id],Table4[name])</f>
        <v>Cape Verde</v>
      </c>
      <c r="Q819" t="str">
        <f>_xlfn.XLOOKUP(VALINA[[#This Row],[name]],Trans!A:A,Trans!B:B)</f>
        <v>Cape Verde</v>
      </c>
    </row>
    <row r="820" spans="1:17" x14ac:dyDescent="0.25">
      <c r="A820">
        <v>819</v>
      </c>
      <c r="B820" t="s">
        <v>346</v>
      </c>
      <c r="C820" t="s">
        <v>516</v>
      </c>
      <c r="D820" t="s">
        <v>517</v>
      </c>
      <c r="E820" t="s">
        <v>22</v>
      </c>
      <c r="F820" t="s">
        <v>349</v>
      </c>
      <c r="G820" t="s">
        <v>35</v>
      </c>
      <c r="H820" t="s">
        <v>1147</v>
      </c>
      <c r="I820" t="s">
        <v>27</v>
      </c>
      <c r="J820" t="s">
        <v>1148</v>
      </c>
      <c r="K820">
        <v>0</v>
      </c>
      <c r="L820">
        <v>3</v>
      </c>
      <c r="M820">
        <v>2</v>
      </c>
      <c r="N820">
        <v>0</v>
      </c>
      <c r="O820">
        <f>_xlfn.XLOOKUP(VALINA[[#This Row],[id]],prov_color!A:A,prov_color!C:C)</f>
        <v>6</v>
      </c>
      <c r="P820" t="str">
        <f>_xlfn.XLOOKUP(VALINA[[#This Row],[id]],Table4[id],Table4[name])</f>
        <v>Malta</v>
      </c>
      <c r="Q820" t="str">
        <f>_xlfn.XLOOKUP(VALINA[[#This Row],[name]],Trans!A:A,Trans!B:B)</f>
        <v>Malta</v>
      </c>
    </row>
    <row r="821" spans="1:17" x14ac:dyDescent="0.25">
      <c r="A821">
        <v>820</v>
      </c>
      <c r="B821" t="s">
        <v>346</v>
      </c>
      <c r="C821" t="s">
        <v>516</v>
      </c>
      <c r="D821" t="s">
        <v>517</v>
      </c>
      <c r="E821" t="s">
        <v>14</v>
      </c>
      <c r="F821" t="s">
        <v>394</v>
      </c>
      <c r="G821" t="s">
        <v>35</v>
      </c>
      <c r="H821" t="s">
        <v>513</v>
      </c>
      <c r="I821" t="s">
        <v>27</v>
      </c>
      <c r="J821" t="s">
        <v>1149</v>
      </c>
      <c r="K821">
        <v>0</v>
      </c>
      <c r="L821">
        <v>4</v>
      </c>
      <c r="M821">
        <v>1</v>
      </c>
      <c r="N821">
        <v>0</v>
      </c>
      <c r="O821">
        <f>_xlfn.XLOOKUP(VALINA[[#This Row],[id]],prov_color!A:A,prov_color!C:C)</f>
        <v>6</v>
      </c>
      <c r="P821" t="str">
        <f>_xlfn.XLOOKUP(VALINA[[#This Row],[id]],Table4[id],Table4[name])</f>
        <v>Corfu</v>
      </c>
      <c r="Q821" t="str">
        <f>_xlfn.XLOOKUP(VALINA[[#This Row],[name]],Trans!A:A,Trans!B:B)</f>
        <v>Corfu</v>
      </c>
    </row>
    <row r="822" spans="1:17" x14ac:dyDescent="0.25">
      <c r="A822">
        <v>821</v>
      </c>
      <c r="B822" t="s">
        <v>346</v>
      </c>
      <c r="C822" t="s">
        <v>516</v>
      </c>
      <c r="D822" t="s">
        <v>594</v>
      </c>
      <c r="E822" t="s">
        <v>14</v>
      </c>
      <c r="F822" t="s">
        <v>349</v>
      </c>
      <c r="G822" t="s">
        <v>35</v>
      </c>
      <c r="H822" t="s">
        <v>595</v>
      </c>
      <c r="I822" t="s">
        <v>27</v>
      </c>
      <c r="J822" t="s">
        <v>1732</v>
      </c>
      <c r="K822">
        <v>0</v>
      </c>
      <c r="L822">
        <v>4</v>
      </c>
      <c r="M822">
        <v>1</v>
      </c>
      <c r="N822">
        <v>0</v>
      </c>
      <c r="O822">
        <f>_xlfn.XLOOKUP(VALINA[[#This Row],[id]],prov_color!A:A,prov_color!C:C)</f>
        <v>14</v>
      </c>
      <c r="P822" t="str">
        <f>_xlfn.XLOOKUP(VALINA[[#This Row],[id]],Table4[id],Table4[name])</f>
        <v>The Baleares</v>
      </c>
      <c r="Q822" t="str">
        <f>_xlfn.XLOOKUP(VALINA[[#This Row],[name]],Trans!A:A,Trans!B:B)</f>
        <v>The Baleares</v>
      </c>
    </row>
    <row r="823" spans="1:17" x14ac:dyDescent="0.25">
      <c r="A823">
        <v>822</v>
      </c>
      <c r="B823" t="s">
        <v>11</v>
      </c>
      <c r="C823" t="s">
        <v>45</v>
      </c>
      <c r="D823" t="s">
        <v>83</v>
      </c>
      <c r="E823" t="s">
        <v>22</v>
      </c>
      <c r="F823" t="s">
        <v>15</v>
      </c>
      <c r="G823" t="s">
        <v>75</v>
      </c>
      <c r="H823" t="s">
        <v>88</v>
      </c>
      <c r="I823" t="s">
        <v>131</v>
      </c>
      <c r="J823" t="s">
        <v>83</v>
      </c>
      <c r="K823">
        <v>5</v>
      </c>
      <c r="L823">
        <v>3</v>
      </c>
      <c r="M823">
        <v>1</v>
      </c>
      <c r="N823">
        <v>0</v>
      </c>
      <c r="O823">
        <f>_xlfn.XLOOKUP(VALINA[[#This Row],[id]],prov_color!A:A,prov_color!C:C)</f>
        <v>28</v>
      </c>
      <c r="P823" t="str">
        <f>_xlfn.XLOOKUP(VALINA[[#This Row],[id]],Table4[id],Table4[name])</f>
        <v>Costa Rica</v>
      </c>
      <c r="Q823" t="str">
        <f>_xlfn.XLOOKUP(VALINA[[#This Row],[name]],Trans!A:A,Trans!B:B)</f>
        <v>Costa Rica</v>
      </c>
    </row>
    <row r="824" spans="1:17" x14ac:dyDescent="0.25">
      <c r="A824">
        <v>823</v>
      </c>
      <c r="B824" t="s">
        <v>346</v>
      </c>
      <c r="C824" t="s">
        <v>516</v>
      </c>
      <c r="D824" t="s">
        <v>594</v>
      </c>
      <c r="E824" t="s">
        <v>14</v>
      </c>
      <c r="F824" t="s">
        <v>349</v>
      </c>
      <c r="G824" t="s">
        <v>35</v>
      </c>
      <c r="H824" t="s">
        <v>604</v>
      </c>
      <c r="I824" t="s">
        <v>27</v>
      </c>
      <c r="J824" t="s">
        <v>1733</v>
      </c>
      <c r="K824">
        <v>0</v>
      </c>
      <c r="L824">
        <v>3</v>
      </c>
      <c r="M824">
        <v>1</v>
      </c>
      <c r="N824">
        <v>0</v>
      </c>
      <c r="O824">
        <f>_xlfn.XLOOKUP(VALINA[[#This Row],[id]],prov_color!A:A,prov_color!C:C)</f>
        <v>6</v>
      </c>
      <c r="P824" t="str">
        <f>_xlfn.XLOOKUP(VALINA[[#This Row],[id]],Table4[id],Table4[name])</f>
        <v>The Azores</v>
      </c>
      <c r="Q824" t="str">
        <f>_xlfn.XLOOKUP(VALINA[[#This Row],[name]],Trans!A:A,Trans!B:B)</f>
        <v>The Azores</v>
      </c>
    </row>
    <row r="825" spans="1:17" x14ac:dyDescent="0.25">
      <c r="A825">
        <v>824</v>
      </c>
      <c r="B825" t="s">
        <v>1016</v>
      </c>
      <c r="C825" t="s">
        <v>1093</v>
      </c>
      <c r="D825" t="s">
        <v>1150</v>
      </c>
      <c r="E825" t="s">
        <v>14</v>
      </c>
      <c r="F825" t="s">
        <v>15</v>
      </c>
      <c r="G825" t="s">
        <v>35</v>
      </c>
      <c r="H825" t="s">
        <v>338</v>
      </c>
      <c r="I825" t="s">
        <v>27</v>
      </c>
      <c r="J825" t="s">
        <v>1734</v>
      </c>
      <c r="K825">
        <v>3</v>
      </c>
      <c r="L825">
        <v>1</v>
      </c>
      <c r="M825">
        <v>1</v>
      </c>
      <c r="N825">
        <v>0</v>
      </c>
      <c r="O825">
        <f>_xlfn.XLOOKUP(VALINA[[#This Row],[id]],prov_color!A:A,prov_color!C:C)</f>
        <v>6</v>
      </c>
      <c r="P825" t="str">
        <f>_xlfn.XLOOKUP(VALINA[[#This Row],[id]],Table4[id],Table4[name])</f>
        <v>St. Helena</v>
      </c>
      <c r="Q825" t="str">
        <f>_xlfn.XLOOKUP(VALINA[[#This Row],[name]],Trans!A:A,Trans!B:B)</f>
        <v>St. Helena</v>
      </c>
    </row>
    <row r="826" spans="1:17" x14ac:dyDescent="0.25">
      <c r="A826">
        <v>825</v>
      </c>
      <c r="B826" t="s">
        <v>11</v>
      </c>
      <c r="C826" t="s">
        <v>1640</v>
      </c>
      <c r="D826" t="s">
        <v>1641</v>
      </c>
      <c r="E826" t="s">
        <v>1316</v>
      </c>
      <c r="G826" t="s">
        <v>26</v>
      </c>
      <c r="J826" t="s">
        <v>1735</v>
      </c>
      <c r="N826">
        <v>0</v>
      </c>
      <c r="O826">
        <f>_xlfn.XLOOKUP(VALINA[[#This Row],[id]],prov_color!A:A,prov_color!C:C)</f>
        <v>628</v>
      </c>
      <c r="P826" t="str">
        <f>_xlfn.XLOOKUP(VALINA[[#This Row],[id]],Table4[id],Table4[name])</f>
        <v>Bering Straits</v>
      </c>
      <c r="Q826" t="str">
        <f>_xlfn.XLOOKUP(VALINA[[#This Row],[name]],Trans!A:A,Trans!B:B)</f>
        <v>Bering Straits</v>
      </c>
    </row>
    <row r="827" spans="1:17" x14ac:dyDescent="0.25">
      <c r="A827">
        <v>826</v>
      </c>
      <c r="B827" t="s">
        <v>11</v>
      </c>
      <c r="C827" t="s">
        <v>1642</v>
      </c>
      <c r="D827" t="s">
        <v>1641</v>
      </c>
      <c r="E827" t="s">
        <v>1316</v>
      </c>
      <c r="G827" t="s">
        <v>122</v>
      </c>
      <c r="J827" t="s">
        <v>1736</v>
      </c>
      <c r="N827">
        <v>0</v>
      </c>
      <c r="O827">
        <f>_xlfn.XLOOKUP(VALINA[[#This Row],[id]],prov_color!A:A,prov_color!C:C)</f>
        <v>419</v>
      </c>
      <c r="P827" t="str">
        <f>_xlfn.XLOOKUP(VALINA[[#This Row],[id]],Table4[id],Table4[name])</f>
        <v>Aleutian Sea</v>
      </c>
      <c r="Q827" t="str">
        <f>_xlfn.XLOOKUP(VALINA[[#This Row],[name]],Trans!A:A,Trans!B:B)</f>
        <v>Aleutian Sea</v>
      </c>
    </row>
    <row r="828" spans="1:17" x14ac:dyDescent="0.25">
      <c r="A828">
        <v>827</v>
      </c>
      <c r="B828" t="s">
        <v>11</v>
      </c>
      <c r="C828" t="s">
        <v>1642</v>
      </c>
      <c r="D828" t="s">
        <v>1641</v>
      </c>
      <c r="E828" t="s">
        <v>1316</v>
      </c>
      <c r="G828" t="s">
        <v>122</v>
      </c>
      <c r="J828" t="s">
        <v>1605</v>
      </c>
      <c r="N828">
        <v>0</v>
      </c>
      <c r="O828">
        <f>_xlfn.XLOOKUP(VALINA[[#This Row],[id]],prov_color!A:A,prov_color!C:C)</f>
        <v>190</v>
      </c>
      <c r="P828" t="str">
        <f>_xlfn.XLOOKUP(VALINA[[#This Row],[id]],Table4[id],Table4[name])</f>
        <v>Aleutian Islands</v>
      </c>
      <c r="Q828" t="str">
        <f>_xlfn.XLOOKUP(VALINA[[#This Row],[name]],Trans!A:A,Trans!B:B)</f>
        <v>Aleutian Islands</v>
      </c>
    </row>
    <row r="829" spans="1:17" x14ac:dyDescent="0.25">
      <c r="A829">
        <v>828</v>
      </c>
      <c r="B829" t="s">
        <v>11</v>
      </c>
      <c r="C829" t="s">
        <v>1642</v>
      </c>
      <c r="D829" t="s">
        <v>1641</v>
      </c>
      <c r="E829" t="s">
        <v>1316</v>
      </c>
      <c r="G829" t="s">
        <v>122</v>
      </c>
      <c r="J829" t="s">
        <v>1577</v>
      </c>
      <c r="N829">
        <v>0</v>
      </c>
      <c r="O829">
        <f>_xlfn.XLOOKUP(VALINA[[#This Row],[id]],prov_color!A:A,prov_color!C:C)</f>
        <v>218</v>
      </c>
      <c r="P829" t="str">
        <f>_xlfn.XLOOKUP(VALINA[[#This Row],[id]],Table4[id],Table4[name])</f>
        <v>Gulf of Alaska</v>
      </c>
      <c r="Q829" t="str">
        <f>_xlfn.XLOOKUP(VALINA[[#This Row],[name]],Trans!A:A,Trans!B:B)</f>
        <v>Gulf of Alaska</v>
      </c>
    </row>
    <row r="830" spans="1:17" x14ac:dyDescent="0.25">
      <c r="A830">
        <v>829</v>
      </c>
      <c r="B830" t="s">
        <v>11</v>
      </c>
      <c r="C830" t="s">
        <v>1643</v>
      </c>
      <c r="D830" t="s">
        <v>1644</v>
      </c>
      <c r="E830" t="s">
        <v>1316</v>
      </c>
      <c r="G830" t="s">
        <v>122</v>
      </c>
      <c r="J830" t="s">
        <v>210</v>
      </c>
      <c r="N830">
        <v>0</v>
      </c>
      <c r="O830">
        <f>_xlfn.XLOOKUP(VALINA[[#This Row],[id]],prov_color!A:A,prov_color!C:C)</f>
        <v>353</v>
      </c>
      <c r="P830" t="str">
        <f>_xlfn.XLOOKUP(VALINA[[#This Row],[id]],Table4[id],Table4[name])</f>
        <v>Hudson Bay</v>
      </c>
      <c r="Q830" t="str">
        <f>_xlfn.XLOOKUP(VALINA[[#This Row],[name]],Trans!A:A,Trans!B:B)</f>
        <v>Hudson Bay</v>
      </c>
    </row>
    <row r="831" spans="1:17" x14ac:dyDescent="0.25">
      <c r="A831">
        <v>830</v>
      </c>
      <c r="B831" t="s">
        <v>11</v>
      </c>
      <c r="C831" t="s">
        <v>1643</v>
      </c>
      <c r="D831" t="s">
        <v>1641</v>
      </c>
      <c r="E831" t="s">
        <v>1316</v>
      </c>
      <c r="G831" t="s">
        <v>122</v>
      </c>
      <c r="J831" t="s">
        <v>1581</v>
      </c>
      <c r="N831">
        <v>0</v>
      </c>
      <c r="O831">
        <f>_xlfn.XLOOKUP(VALINA[[#This Row],[id]],prov_color!A:A,prov_color!C:C)</f>
        <v>242</v>
      </c>
      <c r="P831" t="str">
        <f>_xlfn.XLOOKUP(VALINA[[#This Row],[id]],Table4[id],Table4[name])</f>
        <v>Hudson Straits</v>
      </c>
      <c r="Q831" t="str">
        <f>_xlfn.XLOOKUP(VALINA[[#This Row],[name]],Trans!A:A,Trans!B:B)</f>
        <v>Hudson Straits</v>
      </c>
    </row>
    <row r="832" spans="1:17" x14ac:dyDescent="0.25">
      <c r="A832">
        <v>831</v>
      </c>
      <c r="B832" t="s">
        <v>11</v>
      </c>
      <c r="C832" t="s">
        <v>1643</v>
      </c>
      <c r="D832" t="s">
        <v>1641</v>
      </c>
      <c r="E832" t="s">
        <v>1316</v>
      </c>
      <c r="G832" t="s">
        <v>122</v>
      </c>
      <c r="J832" t="s">
        <v>1580</v>
      </c>
      <c r="N832">
        <v>0</v>
      </c>
      <c r="O832">
        <f>_xlfn.XLOOKUP(VALINA[[#This Row],[id]],prov_color!A:A,prov_color!C:C)</f>
        <v>350</v>
      </c>
      <c r="P832" t="str">
        <f>_xlfn.XLOOKUP(VALINA[[#This Row],[id]],Table4[id],Table4[name])</f>
        <v>Sea of Baffin</v>
      </c>
      <c r="Q832" t="str">
        <f>_xlfn.XLOOKUP(VALINA[[#This Row],[name]],Trans!A:A,Trans!B:B)</f>
        <v>Sea of Baffin</v>
      </c>
    </row>
    <row r="833" spans="1:17" x14ac:dyDescent="0.25">
      <c r="A833">
        <v>832</v>
      </c>
      <c r="B833" t="s">
        <v>11</v>
      </c>
      <c r="C833" t="s">
        <v>1643</v>
      </c>
      <c r="D833" t="s">
        <v>1641</v>
      </c>
      <c r="E833" t="s">
        <v>1316</v>
      </c>
      <c r="G833" t="s">
        <v>26</v>
      </c>
      <c r="J833" t="s">
        <v>1579</v>
      </c>
      <c r="N833">
        <v>0</v>
      </c>
      <c r="O833">
        <f>_xlfn.XLOOKUP(VALINA[[#This Row],[id]],prov_color!A:A,prov_color!C:C)</f>
        <v>233</v>
      </c>
      <c r="P833" t="str">
        <f>_xlfn.XLOOKUP(VALINA[[#This Row],[id]],Table4[id],Table4[name])</f>
        <v>Strait of Labrador</v>
      </c>
      <c r="Q833" t="str">
        <f>_xlfn.XLOOKUP(VALINA[[#This Row],[name]],Trans!A:A,Trans!B:B)</f>
        <v>Strait of Labrador</v>
      </c>
    </row>
    <row r="834" spans="1:17" x14ac:dyDescent="0.25">
      <c r="A834">
        <v>833</v>
      </c>
      <c r="B834" t="s">
        <v>11</v>
      </c>
      <c r="C834" t="s">
        <v>1643</v>
      </c>
      <c r="D834" t="s">
        <v>1641</v>
      </c>
      <c r="E834" t="s">
        <v>1316</v>
      </c>
      <c r="J834" t="s">
        <v>1527</v>
      </c>
      <c r="N834">
        <v>0</v>
      </c>
      <c r="O834">
        <f>_xlfn.XLOOKUP(VALINA[[#This Row],[id]],prov_color!A:A,prov_color!C:C)</f>
        <v>101</v>
      </c>
      <c r="P834" t="str">
        <f>_xlfn.XLOOKUP(VALINA[[#This Row],[id]],Table4[id],Table4[name])</f>
        <v>Gulf of Saint Lawrence</v>
      </c>
      <c r="Q834" t="str">
        <f>_xlfn.XLOOKUP(VALINA[[#This Row],[name]],Trans!A:A,Trans!B:B)</f>
        <v>Gulf of Saint Lawrence</v>
      </c>
    </row>
    <row r="835" spans="1:17" x14ac:dyDescent="0.25">
      <c r="A835">
        <v>834</v>
      </c>
      <c r="B835" t="s">
        <v>11</v>
      </c>
      <c r="C835" t="s">
        <v>1643</v>
      </c>
      <c r="D835" t="s">
        <v>1641</v>
      </c>
      <c r="E835" t="s">
        <v>1316</v>
      </c>
      <c r="G835" t="s">
        <v>26</v>
      </c>
      <c r="J835" t="s">
        <v>1430</v>
      </c>
      <c r="N835">
        <v>0</v>
      </c>
      <c r="O835">
        <f>_xlfn.XLOOKUP(VALINA[[#This Row],[id]],prov_color!A:A,prov_color!C:C)</f>
        <v>354</v>
      </c>
      <c r="P835" t="str">
        <f>_xlfn.XLOOKUP(VALINA[[#This Row],[id]],Table4[id],Table4[name])</f>
        <v>Sea of Labrador</v>
      </c>
      <c r="Q835" t="str">
        <f>_xlfn.XLOOKUP(VALINA[[#This Row],[name]],Trans!A:A,Trans!B:B)</f>
        <v>Sea of Labrador</v>
      </c>
    </row>
    <row r="836" spans="1:17" x14ac:dyDescent="0.25">
      <c r="A836">
        <v>835</v>
      </c>
      <c r="B836" t="s">
        <v>11</v>
      </c>
      <c r="C836" t="s">
        <v>1645</v>
      </c>
      <c r="D836" t="s">
        <v>1641</v>
      </c>
      <c r="E836" t="s">
        <v>1316</v>
      </c>
      <c r="G836" t="s">
        <v>26</v>
      </c>
      <c r="J836" t="s">
        <v>1429</v>
      </c>
      <c r="N836">
        <v>0</v>
      </c>
      <c r="O836">
        <f>_xlfn.XLOOKUP(VALINA[[#This Row],[id]],prov_color!A:A,prov_color!C:C)</f>
        <v>607</v>
      </c>
      <c r="P836" t="str">
        <f>_xlfn.XLOOKUP(VALINA[[#This Row],[id]],Table4[id],Table4[name])</f>
        <v>Coast of Greenland</v>
      </c>
      <c r="Q836" t="str">
        <f>_xlfn.XLOOKUP(VALINA[[#This Row],[name]],Trans!A:A,Trans!B:B)</f>
        <v>Coast of Greenland</v>
      </c>
    </row>
    <row r="837" spans="1:17" x14ac:dyDescent="0.25">
      <c r="A837">
        <v>836</v>
      </c>
      <c r="B837" t="s">
        <v>346</v>
      </c>
      <c r="C837" t="s">
        <v>1645</v>
      </c>
      <c r="D837" t="s">
        <v>1641</v>
      </c>
      <c r="E837" t="s">
        <v>1316</v>
      </c>
      <c r="J837" t="s">
        <v>1487</v>
      </c>
      <c r="N837">
        <v>0</v>
      </c>
      <c r="O837">
        <f>_xlfn.XLOOKUP(VALINA[[#This Row],[id]],prov_color!A:A,prov_color!C:C)</f>
        <v>428</v>
      </c>
      <c r="P837" t="str">
        <f>_xlfn.XLOOKUP(VALINA[[#This Row],[id]],Table4[id],Table4[name])</f>
        <v>Coast of Iceland</v>
      </c>
      <c r="Q837" t="str">
        <f>_xlfn.XLOOKUP(VALINA[[#This Row],[name]],Trans!A:A,Trans!B:B)</f>
        <v>Coast of Iceland</v>
      </c>
    </row>
    <row r="838" spans="1:17" x14ac:dyDescent="0.25">
      <c r="A838">
        <v>837</v>
      </c>
      <c r="B838" t="s">
        <v>346</v>
      </c>
      <c r="C838" t="s">
        <v>1645</v>
      </c>
      <c r="D838" t="s">
        <v>1641</v>
      </c>
      <c r="E838" t="s">
        <v>1316</v>
      </c>
      <c r="G838" t="s">
        <v>26</v>
      </c>
      <c r="J838" t="s">
        <v>1737</v>
      </c>
      <c r="N838">
        <v>0</v>
      </c>
      <c r="O838">
        <f>_xlfn.XLOOKUP(VALINA[[#This Row],[id]],prov_color!A:A,prov_color!C:C)</f>
        <v>389</v>
      </c>
      <c r="P838" t="str">
        <f>_xlfn.XLOOKUP(VALINA[[#This Row],[id]],Table4[id],Table4[name])</f>
        <v>Icelandic Sea</v>
      </c>
      <c r="Q838" t="str">
        <f>_xlfn.XLOOKUP(VALINA[[#This Row],[name]],Trans!A:A,Trans!B:B)</f>
        <v>Icelandic Sea</v>
      </c>
    </row>
    <row r="839" spans="1:17" x14ac:dyDescent="0.25">
      <c r="A839">
        <v>838</v>
      </c>
      <c r="B839" t="s">
        <v>346</v>
      </c>
      <c r="C839" t="s">
        <v>1645</v>
      </c>
      <c r="D839" t="s">
        <v>1641</v>
      </c>
      <c r="E839" t="s">
        <v>1316</v>
      </c>
      <c r="G839" t="s">
        <v>26</v>
      </c>
      <c r="J839" t="s">
        <v>1486</v>
      </c>
      <c r="N839">
        <v>0</v>
      </c>
      <c r="O839">
        <f>_xlfn.XLOOKUP(VALINA[[#This Row],[id]],prov_color!A:A,prov_color!C:C)</f>
        <v>410</v>
      </c>
      <c r="P839" t="str">
        <f>_xlfn.XLOOKUP(VALINA[[#This Row],[id]],Table4[id],Table4[name])</f>
        <v>Jan Mayen Sea</v>
      </c>
      <c r="Q839" t="str">
        <f>_xlfn.XLOOKUP(VALINA[[#This Row],[name]],Trans!A:A,Trans!B:B)</f>
        <v>Jan Mayen Sea</v>
      </c>
    </row>
    <row r="840" spans="1:17" x14ac:dyDescent="0.25">
      <c r="A840">
        <v>839</v>
      </c>
      <c r="B840" t="s">
        <v>346</v>
      </c>
      <c r="C840" t="s">
        <v>1645</v>
      </c>
      <c r="D840" t="s">
        <v>1641</v>
      </c>
      <c r="E840" t="s">
        <v>1316</v>
      </c>
      <c r="G840" t="s">
        <v>26</v>
      </c>
      <c r="J840" t="s">
        <v>1485</v>
      </c>
      <c r="N840">
        <v>0</v>
      </c>
      <c r="O840">
        <f>_xlfn.XLOOKUP(VALINA[[#This Row],[id]],prov_color!A:A,prov_color!C:C)</f>
        <v>472</v>
      </c>
      <c r="P840" t="str">
        <f>_xlfn.XLOOKUP(VALINA[[#This Row],[id]],Table4[id],Table4[name])</f>
        <v>Spitzberg</v>
      </c>
      <c r="Q840" t="str">
        <f>_xlfn.XLOOKUP(VALINA[[#This Row],[name]],Trans!A:A,Trans!B:B)</f>
        <v>Spitzberg</v>
      </c>
    </row>
    <row r="841" spans="1:17" x14ac:dyDescent="0.25">
      <c r="A841">
        <v>840</v>
      </c>
      <c r="B841" t="s">
        <v>346</v>
      </c>
      <c r="C841" t="s">
        <v>1645</v>
      </c>
      <c r="D841" t="s">
        <v>1641</v>
      </c>
      <c r="E841" t="s">
        <v>1316</v>
      </c>
      <c r="J841" t="s">
        <v>1481</v>
      </c>
      <c r="N841">
        <v>0</v>
      </c>
      <c r="O841">
        <f>_xlfn.XLOOKUP(VALINA[[#This Row],[id]],prov_color!A:A,prov_color!C:C)</f>
        <v>81</v>
      </c>
      <c r="P841" t="str">
        <f>_xlfn.XLOOKUP(VALINA[[#This Row],[id]],Table4[id],Table4[name])</f>
        <v>Throndheim Fjord</v>
      </c>
      <c r="Q841" t="str">
        <f>_xlfn.XLOOKUP(VALINA[[#This Row],[name]],Trans!A:A,Trans!B:B)</f>
        <v>Throndheim Fjord</v>
      </c>
    </row>
    <row r="842" spans="1:17" x14ac:dyDescent="0.25">
      <c r="A842">
        <v>841</v>
      </c>
      <c r="B842" t="s">
        <v>346</v>
      </c>
      <c r="C842" t="s">
        <v>1645</v>
      </c>
      <c r="D842" t="s">
        <v>1641</v>
      </c>
      <c r="E842" t="s">
        <v>1316</v>
      </c>
      <c r="J842" t="s">
        <v>1738</v>
      </c>
      <c r="N842">
        <v>0</v>
      </c>
      <c r="O842">
        <f>_xlfn.XLOOKUP(VALINA[[#This Row],[id]],prov_color!A:A,prov_color!C:C)</f>
        <v>69</v>
      </c>
      <c r="P842" t="str">
        <f>_xlfn.XLOOKUP(VALINA[[#This Row],[id]],Table4[id],Table4[name])</f>
        <v>The Lofotens</v>
      </c>
      <c r="Q842" t="str">
        <f>_xlfn.XLOOKUP(VALINA[[#This Row],[name]],Trans!A:A,Trans!B:B)</f>
        <v>The Lofotens</v>
      </c>
    </row>
    <row r="843" spans="1:17" x14ac:dyDescent="0.25">
      <c r="A843">
        <v>842</v>
      </c>
      <c r="B843" t="s">
        <v>346</v>
      </c>
      <c r="C843" t="s">
        <v>1645</v>
      </c>
      <c r="D843" t="s">
        <v>1641</v>
      </c>
      <c r="E843" t="s">
        <v>1316</v>
      </c>
      <c r="G843" t="s">
        <v>26</v>
      </c>
      <c r="J843" t="s">
        <v>1480</v>
      </c>
      <c r="N843">
        <v>0</v>
      </c>
      <c r="O843">
        <f>_xlfn.XLOOKUP(VALINA[[#This Row],[id]],prov_color!A:A,prov_color!C:C)</f>
        <v>190</v>
      </c>
      <c r="P843" t="str">
        <f>_xlfn.XLOOKUP(VALINA[[#This Row],[id]],Table4[id],Table4[name])</f>
        <v>North Cape</v>
      </c>
      <c r="Q843" t="str">
        <f>_xlfn.XLOOKUP(VALINA[[#This Row],[name]],Trans!A:A,Trans!B:B)</f>
        <v>North Cape</v>
      </c>
    </row>
    <row r="844" spans="1:17" x14ac:dyDescent="0.25">
      <c r="A844">
        <v>843</v>
      </c>
      <c r="B844" t="s">
        <v>346</v>
      </c>
      <c r="C844" t="s">
        <v>1645</v>
      </c>
      <c r="D844" t="s">
        <v>1641</v>
      </c>
      <c r="E844" t="s">
        <v>1316</v>
      </c>
      <c r="G844" t="s">
        <v>122</v>
      </c>
      <c r="J844" t="s">
        <v>1322</v>
      </c>
      <c r="N844">
        <v>0</v>
      </c>
      <c r="O844">
        <f>_xlfn.XLOOKUP(VALINA[[#This Row],[id]],prov_color!A:A,prov_color!C:C)</f>
        <v>402</v>
      </c>
      <c r="P844" t="str">
        <f>_xlfn.XLOOKUP(VALINA[[#This Row],[id]],Table4[id],Table4[name])</f>
        <v>White Sea</v>
      </c>
      <c r="Q844" t="str">
        <f>_xlfn.XLOOKUP(VALINA[[#This Row],[name]],Trans!A:A,Trans!B:B)</f>
        <v>White Sea</v>
      </c>
    </row>
    <row r="845" spans="1:17" x14ac:dyDescent="0.25">
      <c r="A845">
        <v>844</v>
      </c>
      <c r="B845" t="s">
        <v>653</v>
      </c>
      <c r="C845" t="s">
        <v>1646</v>
      </c>
      <c r="D845" t="s">
        <v>1641</v>
      </c>
      <c r="E845" t="s">
        <v>1316</v>
      </c>
      <c r="G845" t="s">
        <v>26</v>
      </c>
      <c r="J845" t="s">
        <v>1368</v>
      </c>
      <c r="N845">
        <v>0</v>
      </c>
      <c r="O845">
        <f>_xlfn.XLOOKUP(VALINA[[#This Row],[id]],prov_color!A:A,prov_color!C:C)</f>
        <v>77</v>
      </c>
      <c r="P845" t="str">
        <f>_xlfn.XLOOKUP(VALINA[[#This Row],[id]],Table4[id],Table4[name])</f>
        <v>Bay of Ajan</v>
      </c>
      <c r="Q845" t="str">
        <f>_xlfn.XLOOKUP(VALINA[[#This Row],[name]],Trans!A:A,Trans!B:B)</f>
        <v>Bay of Ajan</v>
      </c>
    </row>
    <row r="846" spans="1:17" x14ac:dyDescent="0.25">
      <c r="A846">
        <v>845</v>
      </c>
      <c r="B846" t="s">
        <v>653</v>
      </c>
      <c r="C846" t="s">
        <v>1646</v>
      </c>
      <c r="D846" t="s">
        <v>1641</v>
      </c>
      <c r="E846" t="s">
        <v>1316</v>
      </c>
      <c r="G846" t="s">
        <v>26</v>
      </c>
      <c r="J846" t="s">
        <v>1369</v>
      </c>
      <c r="N846">
        <v>0</v>
      </c>
      <c r="O846">
        <f>_xlfn.XLOOKUP(VALINA[[#This Row],[id]],prov_color!A:A,prov_color!C:C)</f>
        <v>70</v>
      </c>
      <c r="P846" t="str">
        <f>_xlfn.XLOOKUP(VALINA[[#This Row],[id]],Table4[id],Table4[name])</f>
        <v>Bay of Magadan</v>
      </c>
      <c r="Q846" t="str">
        <f>_xlfn.XLOOKUP(VALINA[[#This Row],[name]],Trans!A:A,Trans!B:B)</f>
        <v>Bay of Magadan</v>
      </c>
    </row>
    <row r="847" spans="1:17" x14ac:dyDescent="0.25">
      <c r="A847">
        <v>846</v>
      </c>
      <c r="B847" t="s">
        <v>653</v>
      </c>
      <c r="C847" t="s">
        <v>1646</v>
      </c>
      <c r="D847" t="s">
        <v>1641</v>
      </c>
      <c r="E847" t="s">
        <v>1316</v>
      </c>
      <c r="G847" t="s">
        <v>26</v>
      </c>
      <c r="J847" t="s">
        <v>1739</v>
      </c>
      <c r="N847">
        <v>0</v>
      </c>
      <c r="O847">
        <f>_xlfn.XLOOKUP(VALINA[[#This Row],[id]],prov_color!A:A,prov_color!C:C)</f>
        <v>82</v>
      </c>
      <c r="P847" t="str">
        <f>_xlfn.XLOOKUP(VALINA[[#This Row],[id]],Table4[id],Table4[name])</f>
        <v>Gulf of Kolyma</v>
      </c>
      <c r="Q847" t="str">
        <f>_xlfn.XLOOKUP(VALINA[[#This Row],[name]],Trans!A:A,Trans!B:B)</f>
        <v>Gulf of Kolyma</v>
      </c>
    </row>
    <row r="848" spans="1:17" x14ac:dyDescent="0.25">
      <c r="A848">
        <v>847</v>
      </c>
      <c r="B848" t="s">
        <v>653</v>
      </c>
      <c r="C848" t="s">
        <v>1646</v>
      </c>
      <c r="D848" t="s">
        <v>1641</v>
      </c>
      <c r="E848" t="s">
        <v>1316</v>
      </c>
      <c r="G848" t="s">
        <v>122</v>
      </c>
      <c r="J848" t="s">
        <v>1372</v>
      </c>
      <c r="N848">
        <v>0</v>
      </c>
      <c r="O848">
        <f>_xlfn.XLOOKUP(VALINA[[#This Row],[id]],prov_color!A:A,prov_color!C:C)</f>
        <v>118</v>
      </c>
      <c r="P848" t="str">
        <f>_xlfn.XLOOKUP(VALINA[[#This Row],[id]],Table4[id],Table4[name])</f>
        <v>Bay of Kamenskoie</v>
      </c>
      <c r="Q848" t="str">
        <f>_xlfn.XLOOKUP(VALINA[[#This Row],[name]],Trans!A:A,Trans!B:B)</f>
        <v>Bay of Kamenskoie</v>
      </c>
    </row>
    <row r="849" spans="1:17" x14ac:dyDescent="0.25">
      <c r="A849">
        <v>848</v>
      </c>
      <c r="B849" t="s">
        <v>653</v>
      </c>
      <c r="C849" t="s">
        <v>1646</v>
      </c>
      <c r="D849" t="s">
        <v>1641</v>
      </c>
      <c r="E849" t="s">
        <v>1316</v>
      </c>
      <c r="G849" t="s">
        <v>26</v>
      </c>
      <c r="J849" t="s">
        <v>1371</v>
      </c>
      <c r="N849">
        <v>0</v>
      </c>
      <c r="O849">
        <f>_xlfn.XLOOKUP(VALINA[[#This Row],[id]],prov_color!A:A,prov_color!C:C)</f>
        <v>159</v>
      </c>
      <c r="P849" t="str">
        <f>_xlfn.XLOOKUP(VALINA[[#This Row],[id]],Table4[id],Table4[name])</f>
        <v>Coast of Kamchatska</v>
      </c>
      <c r="Q849" t="str">
        <f>_xlfn.XLOOKUP(VALINA[[#This Row],[name]],Trans!A:A,Trans!B:B)</f>
        <v>Coast of Kamchatska</v>
      </c>
    </row>
    <row r="850" spans="1:17" x14ac:dyDescent="0.25">
      <c r="A850">
        <v>849</v>
      </c>
      <c r="B850" t="s">
        <v>653</v>
      </c>
      <c r="C850" t="s">
        <v>1646</v>
      </c>
      <c r="D850" t="s">
        <v>1641</v>
      </c>
      <c r="E850" t="s">
        <v>1316</v>
      </c>
      <c r="J850" t="s">
        <v>1373</v>
      </c>
      <c r="N850">
        <v>0</v>
      </c>
      <c r="O850">
        <f>_xlfn.XLOOKUP(VALINA[[#This Row],[id]],prov_color!A:A,prov_color!C:C)</f>
        <v>136</v>
      </c>
      <c r="P850" t="str">
        <f>_xlfn.XLOOKUP(VALINA[[#This Row],[id]],Table4[id],Table4[name])</f>
        <v>Cape of Kamchatska</v>
      </c>
      <c r="Q850" t="str">
        <f>_xlfn.XLOOKUP(VALINA[[#This Row],[name]],Trans!A:A,Trans!B:B)</f>
        <v>Cape of Kamchatska</v>
      </c>
    </row>
    <row r="851" spans="1:17" x14ac:dyDescent="0.25">
      <c r="A851">
        <v>850</v>
      </c>
      <c r="B851" t="s">
        <v>653</v>
      </c>
      <c r="C851" t="s">
        <v>1646</v>
      </c>
      <c r="D851" t="s">
        <v>1641</v>
      </c>
      <c r="E851" t="s">
        <v>1316</v>
      </c>
      <c r="J851" t="s">
        <v>1740</v>
      </c>
      <c r="N851">
        <v>0</v>
      </c>
      <c r="O851">
        <f>_xlfn.XLOOKUP(VALINA[[#This Row],[id]],prov_color!A:A,prov_color!C:C)</f>
        <v>130</v>
      </c>
      <c r="P851" t="str">
        <f>_xlfn.XLOOKUP(VALINA[[#This Row],[id]],Table4[id],Table4[name])</f>
        <v>Komandorski Islands</v>
      </c>
      <c r="Q851" t="str">
        <f>_xlfn.XLOOKUP(VALINA[[#This Row],[name]],Trans!A:A,Trans!B:B)</f>
        <v>Komandorski Islands</v>
      </c>
    </row>
    <row r="852" spans="1:17" x14ac:dyDescent="0.25">
      <c r="A852">
        <v>851</v>
      </c>
      <c r="B852" t="s">
        <v>653</v>
      </c>
      <c r="C852" t="s">
        <v>1646</v>
      </c>
      <c r="D852" t="s">
        <v>1641</v>
      </c>
      <c r="E852" t="s">
        <v>1316</v>
      </c>
      <c r="G852" t="s">
        <v>26</v>
      </c>
      <c r="J852" t="s">
        <v>1741</v>
      </c>
      <c r="N852">
        <v>0</v>
      </c>
      <c r="O852">
        <f>_xlfn.XLOOKUP(VALINA[[#This Row],[id]],prov_color!A:A,prov_color!C:C)</f>
        <v>123</v>
      </c>
      <c r="P852" t="str">
        <f>_xlfn.XLOOKUP(VALINA[[#This Row],[id]],Table4[id],Table4[name])</f>
        <v>Bay of Uka</v>
      </c>
      <c r="Q852" t="str">
        <f>_xlfn.XLOOKUP(VALINA[[#This Row],[name]],Trans!A:A,Trans!B:B)</f>
        <v>Bay of Uka</v>
      </c>
    </row>
    <row r="853" spans="1:17" x14ac:dyDescent="0.25">
      <c r="A853">
        <v>852</v>
      </c>
      <c r="B853" t="s">
        <v>653</v>
      </c>
      <c r="C853" t="s">
        <v>1646</v>
      </c>
      <c r="D853" t="s">
        <v>1641</v>
      </c>
      <c r="E853" t="s">
        <v>1316</v>
      </c>
      <c r="G853" t="s">
        <v>122</v>
      </c>
      <c r="J853" t="s">
        <v>1606</v>
      </c>
      <c r="N853">
        <v>0</v>
      </c>
      <c r="O853">
        <f>_xlfn.XLOOKUP(VALINA[[#This Row],[id]],prov_color!A:A,prov_color!C:C)</f>
        <v>120</v>
      </c>
      <c r="P853" t="str">
        <f>_xlfn.XLOOKUP(VALINA[[#This Row],[id]],Table4[id],Table4[name])</f>
        <v>Bay of Oljut</v>
      </c>
      <c r="Q853" t="str">
        <f>_xlfn.XLOOKUP(VALINA[[#This Row],[name]],Trans!A:A,Trans!B:B)</f>
        <v>Bay of Oljut</v>
      </c>
    </row>
    <row r="854" spans="1:17" x14ac:dyDescent="0.25">
      <c r="A854">
        <v>853</v>
      </c>
      <c r="B854" t="s">
        <v>653</v>
      </c>
      <c r="C854" t="s">
        <v>1640</v>
      </c>
      <c r="D854" t="s">
        <v>1641</v>
      </c>
      <c r="E854" t="s">
        <v>1316</v>
      </c>
      <c r="G854" t="s">
        <v>122</v>
      </c>
      <c r="J854" t="s">
        <v>1582</v>
      </c>
      <c r="N854">
        <v>0</v>
      </c>
      <c r="O854">
        <f>_xlfn.XLOOKUP(VALINA[[#This Row],[id]],prov_color!A:A,prov_color!C:C)</f>
        <v>177</v>
      </c>
      <c r="P854" t="str">
        <f>_xlfn.XLOOKUP(VALINA[[#This Row],[id]],Table4[id],Table4[name])</f>
        <v>Bay of Anadyr</v>
      </c>
      <c r="Q854" t="str">
        <f>_xlfn.XLOOKUP(VALINA[[#This Row],[name]],Trans!A:A,Trans!B:B)</f>
        <v>Bay of Anadyr</v>
      </c>
    </row>
    <row r="855" spans="1:17" x14ac:dyDescent="0.25">
      <c r="A855">
        <v>854</v>
      </c>
      <c r="B855" t="s">
        <v>653</v>
      </c>
      <c r="C855" t="s">
        <v>1640</v>
      </c>
      <c r="D855" t="s">
        <v>1641</v>
      </c>
      <c r="E855" t="s">
        <v>1316</v>
      </c>
      <c r="G855" t="s">
        <v>122</v>
      </c>
      <c r="J855" t="s">
        <v>1742</v>
      </c>
      <c r="N855">
        <v>0</v>
      </c>
      <c r="O855">
        <f>_xlfn.XLOOKUP(VALINA[[#This Row],[id]],prov_color!A:A,prov_color!C:C)</f>
        <v>656</v>
      </c>
      <c r="P855" t="str">
        <f>_xlfn.XLOOKUP(VALINA[[#This Row],[id]],Table4[id],Table4[name])</f>
        <v>Western Aleutian Sea</v>
      </c>
      <c r="Q855" t="str">
        <f>_xlfn.XLOOKUP(VALINA[[#This Row],[name]],Trans!A:A,Trans!B:B)</f>
        <v>Western Aleutian Sea</v>
      </c>
    </row>
    <row r="856" spans="1:17" x14ac:dyDescent="0.25">
      <c r="A856">
        <v>855</v>
      </c>
      <c r="B856" t="s">
        <v>653</v>
      </c>
      <c r="C856" t="s">
        <v>1640</v>
      </c>
      <c r="D856" t="s">
        <v>1641</v>
      </c>
      <c r="E856" t="s">
        <v>1316</v>
      </c>
      <c r="G856" t="s">
        <v>122</v>
      </c>
      <c r="J856" t="s">
        <v>1743</v>
      </c>
      <c r="N856">
        <v>0</v>
      </c>
      <c r="O856">
        <f>_xlfn.XLOOKUP(VALINA[[#This Row],[id]],prov_color!A:A,prov_color!C:C)</f>
        <v>467</v>
      </c>
      <c r="P856" t="str">
        <f>_xlfn.XLOOKUP(VALINA[[#This Row],[id]],Table4[id],Table4[name])</f>
        <v>Central Aleutian Sea</v>
      </c>
      <c r="Q856" t="str">
        <f>_xlfn.XLOOKUP(VALINA[[#This Row],[name]],Trans!A:A,Trans!B:B)</f>
        <v>Central Aleutian Sea</v>
      </c>
    </row>
    <row r="857" spans="1:17" x14ac:dyDescent="0.25">
      <c r="A857">
        <v>856</v>
      </c>
      <c r="B857" t="s">
        <v>11</v>
      </c>
      <c r="C857" t="s">
        <v>1640</v>
      </c>
      <c r="D857" t="s">
        <v>1641</v>
      </c>
      <c r="E857" t="s">
        <v>1316</v>
      </c>
      <c r="J857" t="s">
        <v>1744</v>
      </c>
      <c r="N857">
        <v>0</v>
      </c>
      <c r="O857">
        <f>_xlfn.XLOOKUP(VALINA[[#This Row],[id]],prov_color!A:A,prov_color!C:C)</f>
        <v>559</v>
      </c>
      <c r="P857" t="str">
        <f>_xlfn.XLOOKUP(VALINA[[#This Row],[id]],Table4[id],Table4[name])</f>
        <v>South Aleutian Sea</v>
      </c>
      <c r="Q857" t="str">
        <f>_xlfn.XLOOKUP(VALINA[[#This Row],[name]],Trans!A:A,Trans!B:B)</f>
        <v>South Aleutian Sea</v>
      </c>
    </row>
    <row r="858" spans="1:17" x14ac:dyDescent="0.25">
      <c r="A858">
        <v>857</v>
      </c>
      <c r="B858" t="s">
        <v>11</v>
      </c>
      <c r="C858" t="s">
        <v>1642</v>
      </c>
      <c r="D858" t="s">
        <v>1641</v>
      </c>
      <c r="E858" t="s">
        <v>1316</v>
      </c>
      <c r="J858" t="s">
        <v>1745</v>
      </c>
      <c r="N858">
        <v>0</v>
      </c>
      <c r="O858">
        <f>_xlfn.XLOOKUP(VALINA[[#This Row],[id]],prov_color!A:A,prov_color!C:C)</f>
        <v>613</v>
      </c>
      <c r="P858" t="str">
        <f>_xlfn.XLOOKUP(VALINA[[#This Row],[id]],Table4[id],Table4[name])</f>
        <v>Northwestern Pacific Ocean</v>
      </c>
      <c r="Q858" t="str">
        <f>_xlfn.XLOOKUP(VALINA[[#This Row],[name]],Trans!A:A,Trans!B:B)</f>
        <v>Northwestern Pacific Ocean</v>
      </c>
    </row>
    <row r="859" spans="1:17" x14ac:dyDescent="0.25">
      <c r="A859">
        <v>858</v>
      </c>
      <c r="B859" t="s">
        <v>11</v>
      </c>
      <c r="C859" t="s">
        <v>1642</v>
      </c>
      <c r="D859" t="s">
        <v>1641</v>
      </c>
      <c r="E859" t="s">
        <v>1316</v>
      </c>
      <c r="G859" t="s">
        <v>26</v>
      </c>
      <c r="J859" t="s">
        <v>1746</v>
      </c>
      <c r="N859">
        <v>0</v>
      </c>
      <c r="O859">
        <f>_xlfn.XLOOKUP(VALINA[[#This Row],[id]],prov_color!A:A,prov_color!C:C)</f>
        <v>533</v>
      </c>
      <c r="P859" t="str">
        <f>_xlfn.XLOOKUP(VALINA[[#This Row],[id]],Table4[id],Table4[name])</f>
        <v>Northern Pacific Ocean</v>
      </c>
      <c r="Q859" t="str">
        <f>_xlfn.XLOOKUP(VALINA[[#This Row],[name]],Trans!A:A,Trans!B:B)</f>
        <v>Northern Pacific Ocean</v>
      </c>
    </row>
    <row r="860" spans="1:17" x14ac:dyDescent="0.25">
      <c r="A860">
        <v>859</v>
      </c>
      <c r="B860" t="s">
        <v>11</v>
      </c>
      <c r="C860" t="s">
        <v>1642</v>
      </c>
      <c r="D860" t="s">
        <v>1641</v>
      </c>
      <c r="E860" t="s">
        <v>1316</v>
      </c>
      <c r="J860" t="s">
        <v>1745</v>
      </c>
      <c r="N860">
        <v>0</v>
      </c>
      <c r="O860">
        <f>_xlfn.XLOOKUP(VALINA[[#This Row],[id]],prov_color!A:A,prov_color!C:C)</f>
        <v>574</v>
      </c>
      <c r="P860" t="str">
        <f>_xlfn.XLOOKUP(VALINA[[#This Row],[id]],Table4[id],Table4[name])</f>
        <v>Northwestern Pacific Ocean</v>
      </c>
      <c r="Q860" t="str">
        <f>_xlfn.XLOOKUP(VALINA[[#This Row],[name]],Trans!A:A,Trans!B:B)</f>
        <v>Northwestern Pacific Ocean</v>
      </c>
    </row>
    <row r="861" spans="1:17" x14ac:dyDescent="0.25">
      <c r="A861">
        <v>860</v>
      </c>
      <c r="B861" t="s">
        <v>11</v>
      </c>
      <c r="C861" t="s">
        <v>1642</v>
      </c>
      <c r="D861" t="s">
        <v>1641</v>
      </c>
      <c r="E861" t="s">
        <v>1316</v>
      </c>
      <c r="J861" t="s">
        <v>1575</v>
      </c>
      <c r="N861">
        <v>0</v>
      </c>
      <c r="O861">
        <f>_xlfn.XLOOKUP(VALINA[[#This Row],[id]],prov_color!A:A,prov_color!C:C)</f>
        <v>253</v>
      </c>
      <c r="P861" t="str">
        <f>_xlfn.XLOOKUP(VALINA[[#This Row],[id]],Table4[id],Table4[name])</f>
        <v>Coast of Oregon</v>
      </c>
      <c r="Q861" t="str">
        <f>_xlfn.XLOOKUP(VALINA[[#This Row],[name]],Trans!A:A,Trans!B:B)</f>
        <v>Coast of Oregon</v>
      </c>
    </row>
    <row r="862" spans="1:17" x14ac:dyDescent="0.25">
      <c r="A862">
        <v>861</v>
      </c>
      <c r="B862" t="s">
        <v>11</v>
      </c>
      <c r="C862" t="s">
        <v>1642</v>
      </c>
      <c r="D862" t="s">
        <v>1641</v>
      </c>
      <c r="E862" t="s">
        <v>1316</v>
      </c>
      <c r="J862" t="s">
        <v>1576</v>
      </c>
      <c r="N862">
        <v>0</v>
      </c>
      <c r="O862">
        <f>_xlfn.XLOOKUP(VALINA[[#This Row],[id]],prov_color!A:A,prov_color!C:C)</f>
        <v>256</v>
      </c>
      <c r="P862" t="str">
        <f>_xlfn.XLOOKUP(VALINA[[#This Row],[id]],Table4[id],Table4[name])</f>
        <v>Coast of Columbia</v>
      </c>
      <c r="Q862" t="str">
        <f>_xlfn.XLOOKUP(VALINA[[#This Row],[name]],Trans!A:A,Trans!B:B)</f>
        <v>Coast of Columbia</v>
      </c>
    </row>
    <row r="863" spans="1:17" x14ac:dyDescent="0.25">
      <c r="A863">
        <v>862</v>
      </c>
      <c r="B863" t="s">
        <v>11</v>
      </c>
      <c r="C863" t="s">
        <v>1647</v>
      </c>
      <c r="D863" t="s">
        <v>1641</v>
      </c>
      <c r="E863" t="s">
        <v>1316</v>
      </c>
      <c r="J863" t="s">
        <v>1946</v>
      </c>
      <c r="N863">
        <v>0</v>
      </c>
      <c r="O863">
        <f>_xlfn.XLOOKUP(VALINA[[#This Row],[id]],prov_color!A:A,prov_color!C:C)</f>
        <v>109</v>
      </c>
      <c r="P863" t="str">
        <f>_xlfn.XLOOKUP(VALINA[[#This Row],[id]],Table4[id],Table4[name])</f>
        <v>Cheasapeake Bay</v>
      </c>
      <c r="Q863" t="str">
        <f>_xlfn.XLOOKUP(VALINA[[#This Row],[name]],Trans!A:A,Trans!B:B)</f>
        <v>Chesapeake Bay</v>
      </c>
    </row>
    <row r="864" spans="1:17" x14ac:dyDescent="0.25">
      <c r="A864">
        <v>863</v>
      </c>
      <c r="B864" t="s">
        <v>11</v>
      </c>
      <c r="C864" t="s">
        <v>1647</v>
      </c>
      <c r="D864" t="s">
        <v>1641</v>
      </c>
      <c r="E864" t="s">
        <v>1316</v>
      </c>
      <c r="J864" t="s">
        <v>1528</v>
      </c>
      <c r="N864">
        <v>0</v>
      </c>
      <c r="O864">
        <f>_xlfn.XLOOKUP(VALINA[[#This Row],[id]],prov_color!A:A,prov_color!C:C)</f>
        <v>113</v>
      </c>
      <c r="P864" t="str">
        <f>_xlfn.XLOOKUP(VALINA[[#This Row],[id]],Table4[id],Table4[name])</f>
        <v>Massachussetts Bay</v>
      </c>
      <c r="Q864" t="str">
        <f>_xlfn.XLOOKUP(VALINA[[#This Row],[name]],Trans!A:A,Trans!B:B)</f>
        <v>Massachussetts Bay</v>
      </c>
    </row>
    <row r="865" spans="1:17" x14ac:dyDescent="0.25">
      <c r="A865">
        <v>864</v>
      </c>
      <c r="B865" t="s">
        <v>11</v>
      </c>
      <c r="C865" t="s">
        <v>1643</v>
      </c>
      <c r="D865" t="s">
        <v>1641</v>
      </c>
      <c r="E865" t="s">
        <v>1316</v>
      </c>
      <c r="J865" t="s">
        <v>1749</v>
      </c>
      <c r="N865">
        <v>0</v>
      </c>
      <c r="O865">
        <f>_xlfn.XLOOKUP(VALINA[[#This Row],[id]],prov_color!A:A,prov_color!C:C)</f>
        <v>211</v>
      </c>
      <c r="P865" t="str">
        <f>_xlfn.XLOOKUP(VALINA[[#This Row],[id]],Table4[id],Table4[name])</f>
        <v>Bay of Fundy</v>
      </c>
      <c r="Q865" t="str">
        <f>_xlfn.XLOOKUP(VALINA[[#This Row],[name]],Trans!A:A,Trans!B:B)</f>
        <v>Bay of Fundy</v>
      </c>
    </row>
    <row r="866" spans="1:17" x14ac:dyDescent="0.25">
      <c r="A866">
        <v>865</v>
      </c>
      <c r="B866" t="s">
        <v>11</v>
      </c>
      <c r="C866" t="s">
        <v>1643</v>
      </c>
      <c r="D866" t="s">
        <v>1641</v>
      </c>
      <c r="E866" t="s">
        <v>1316</v>
      </c>
      <c r="J866" t="s">
        <v>1431</v>
      </c>
      <c r="N866">
        <v>0</v>
      </c>
      <c r="O866">
        <f>_xlfn.XLOOKUP(VALINA[[#This Row],[id]],prov_color!A:A,prov_color!C:C)</f>
        <v>172</v>
      </c>
      <c r="P866" t="str">
        <f>_xlfn.XLOOKUP(VALINA[[#This Row],[id]],Table4[id],Table4[name])</f>
        <v>Newfoundland Banks</v>
      </c>
      <c r="Q866" t="str">
        <f>_xlfn.XLOOKUP(VALINA[[#This Row],[name]],Trans!A:A,Trans!B:B)</f>
        <v>Newfoundland Banks</v>
      </c>
    </row>
    <row r="867" spans="1:17" x14ac:dyDescent="0.25">
      <c r="A867">
        <v>866</v>
      </c>
      <c r="B867" t="s">
        <v>11</v>
      </c>
      <c r="C867" t="s">
        <v>1648</v>
      </c>
      <c r="D867" t="s">
        <v>1641</v>
      </c>
      <c r="E867" t="s">
        <v>1316</v>
      </c>
      <c r="J867" t="s">
        <v>1434</v>
      </c>
      <c r="N867">
        <v>0</v>
      </c>
      <c r="O867">
        <f>_xlfn.XLOOKUP(VALINA[[#This Row],[id]],prov_color!A:A,prov_color!C:C)</f>
        <v>576</v>
      </c>
      <c r="P867" t="str">
        <f>_xlfn.XLOOKUP(VALINA[[#This Row],[id]],Table4[id],Table4[name])</f>
        <v>Greenland Sea</v>
      </c>
      <c r="Q867" t="str">
        <f>_xlfn.XLOOKUP(VALINA[[#This Row],[name]],Trans!A:A,Trans!B:B)</f>
        <v>Greenland Sea</v>
      </c>
    </row>
    <row r="868" spans="1:17" x14ac:dyDescent="0.25">
      <c r="A868">
        <v>867</v>
      </c>
      <c r="B868" t="s">
        <v>346</v>
      </c>
      <c r="C868" t="s">
        <v>1648</v>
      </c>
      <c r="D868" t="s">
        <v>1641</v>
      </c>
      <c r="E868" t="s">
        <v>1316</v>
      </c>
      <c r="J868" t="s">
        <v>1947</v>
      </c>
      <c r="N868">
        <v>0</v>
      </c>
      <c r="O868">
        <f>_xlfn.XLOOKUP(VALINA[[#This Row],[id]],prov_color!A:A,prov_color!C:C)</f>
        <v>658</v>
      </c>
      <c r="P868" t="str">
        <f>_xlfn.XLOOKUP(VALINA[[#This Row],[id]],Table4[id],Table4[name])</f>
        <v>Western Icelandic Sea</v>
      </c>
      <c r="Q868" t="str">
        <f>_xlfn.XLOOKUP(VALINA[[#This Row],[name]],Trans!A:A,Trans!B:B)</f>
        <v>Western Icelandic Sea</v>
      </c>
    </row>
    <row r="869" spans="1:17" x14ac:dyDescent="0.25">
      <c r="A869">
        <v>868</v>
      </c>
      <c r="B869" t="s">
        <v>346</v>
      </c>
      <c r="C869" t="s">
        <v>1648</v>
      </c>
      <c r="D869" t="s">
        <v>1641</v>
      </c>
      <c r="E869" t="s">
        <v>1316</v>
      </c>
      <c r="J869" t="s">
        <v>1488</v>
      </c>
      <c r="N869">
        <v>0</v>
      </c>
      <c r="O869">
        <f>_xlfn.XLOOKUP(VALINA[[#This Row],[id]],prov_color!A:A,prov_color!C:C)</f>
        <v>317</v>
      </c>
      <c r="P869" t="str">
        <f>_xlfn.XLOOKUP(VALINA[[#This Row],[id]],Table4[id],Table4[name])</f>
        <v>South Icelandic Sea</v>
      </c>
      <c r="Q869" t="str">
        <f>_xlfn.XLOOKUP(VALINA[[#This Row],[name]],Trans!A:A,Trans!B:B)</f>
        <v>South Icelandic Sea</v>
      </c>
    </row>
    <row r="870" spans="1:17" x14ac:dyDescent="0.25">
      <c r="A870">
        <v>869</v>
      </c>
      <c r="B870" t="s">
        <v>346</v>
      </c>
      <c r="C870" t="s">
        <v>1649</v>
      </c>
      <c r="D870" t="s">
        <v>1641</v>
      </c>
      <c r="E870" t="s">
        <v>1316</v>
      </c>
      <c r="J870" t="s">
        <v>1482</v>
      </c>
      <c r="N870">
        <v>0</v>
      </c>
      <c r="O870">
        <f>_xlfn.XLOOKUP(VALINA[[#This Row],[id]],prov_color!A:A,prov_color!C:C)</f>
        <v>219</v>
      </c>
      <c r="P870" t="str">
        <f>_xlfn.XLOOKUP(VALINA[[#This Row],[id]],Table4[id],Table4[name])</f>
        <v>Faeroes</v>
      </c>
      <c r="Q870" t="str">
        <f>_xlfn.XLOOKUP(VALINA[[#This Row],[name]],Trans!A:A,Trans!B:B)</f>
        <v>Faeroes</v>
      </c>
    </row>
    <row r="871" spans="1:17" x14ac:dyDescent="0.25">
      <c r="A871">
        <v>870</v>
      </c>
      <c r="B871" t="s">
        <v>346</v>
      </c>
      <c r="C871" t="s">
        <v>1649</v>
      </c>
      <c r="D871" t="s">
        <v>1641</v>
      </c>
      <c r="E871" t="s">
        <v>1316</v>
      </c>
      <c r="J871" t="s">
        <v>1336</v>
      </c>
      <c r="N871">
        <v>0</v>
      </c>
      <c r="O871">
        <f>_xlfn.XLOOKUP(VALINA[[#This Row],[id]],prov_color!A:A,prov_color!C:C)</f>
        <v>111</v>
      </c>
      <c r="P871" t="str">
        <f>_xlfn.XLOOKUP(VALINA[[#This Row],[id]],Table4[id],Table4[name])</f>
        <v>Shetland Straits</v>
      </c>
      <c r="Q871" t="str">
        <f>_xlfn.XLOOKUP(VALINA[[#This Row],[name]],Trans!A:A,Trans!B:B)</f>
        <v>Shetland Straits</v>
      </c>
    </row>
    <row r="872" spans="1:17" x14ac:dyDescent="0.25">
      <c r="A872">
        <v>871</v>
      </c>
      <c r="B872" t="s">
        <v>346</v>
      </c>
      <c r="C872" t="s">
        <v>1649</v>
      </c>
      <c r="D872" t="s">
        <v>1641</v>
      </c>
      <c r="E872" t="s">
        <v>1316</v>
      </c>
      <c r="J872" t="s">
        <v>1159</v>
      </c>
      <c r="N872">
        <v>0</v>
      </c>
      <c r="O872">
        <f>_xlfn.XLOOKUP(VALINA[[#This Row],[id]],prov_color!A:A,prov_color!C:C)</f>
        <v>136</v>
      </c>
      <c r="P872" t="str">
        <f>_xlfn.XLOOKUP(VALINA[[#This Row],[id]],Table4[id],Table4[name])</f>
        <v>Shetlands</v>
      </c>
      <c r="Q872" t="str">
        <f>_xlfn.XLOOKUP(VALINA[[#This Row],[name]],Trans!A:A,Trans!B:B)</f>
        <v>Shetlands</v>
      </c>
    </row>
    <row r="873" spans="1:17" x14ac:dyDescent="0.25">
      <c r="A873">
        <v>872</v>
      </c>
      <c r="B873" t="s">
        <v>346</v>
      </c>
      <c r="C873" t="s">
        <v>1649</v>
      </c>
      <c r="D873" t="s">
        <v>1641</v>
      </c>
      <c r="E873" t="s">
        <v>1316</v>
      </c>
      <c r="J873" t="s">
        <v>1751</v>
      </c>
      <c r="N873">
        <v>0</v>
      </c>
      <c r="O873">
        <f>_xlfn.XLOOKUP(VALINA[[#This Row],[id]],prov_color!A:A,prov_color!C:C)</f>
        <v>203</v>
      </c>
      <c r="P873" t="str">
        <f>_xlfn.XLOOKUP(VALINA[[#This Row],[id]],Table4[id],Table4[name])</f>
        <v>Norwegian Sea</v>
      </c>
      <c r="Q873" t="str">
        <f>_xlfn.XLOOKUP(VALINA[[#This Row],[name]],Trans!A:A,Trans!B:B)</f>
        <v>Norwegian Sea</v>
      </c>
    </row>
    <row r="874" spans="1:17" x14ac:dyDescent="0.25">
      <c r="A874">
        <v>873</v>
      </c>
      <c r="B874" t="s">
        <v>346</v>
      </c>
      <c r="C874" t="s">
        <v>1649</v>
      </c>
      <c r="D874" t="s">
        <v>1641</v>
      </c>
      <c r="E874" t="s">
        <v>1316</v>
      </c>
      <c r="J874" t="s">
        <v>1338</v>
      </c>
      <c r="N874">
        <v>0</v>
      </c>
      <c r="O874">
        <f>_xlfn.XLOOKUP(VALINA[[#This Row],[id]],prov_color!A:A,prov_color!C:C)</f>
        <v>69</v>
      </c>
      <c r="P874" t="str">
        <f>_xlfn.XLOOKUP(VALINA[[#This Row],[id]],Table4[id],Table4[name])</f>
        <v>Sea of Bergen</v>
      </c>
      <c r="Q874" t="str">
        <f>_xlfn.XLOOKUP(VALINA[[#This Row],[name]],Trans!A:A,Trans!B:B)</f>
        <v>Sea of Bergen</v>
      </c>
    </row>
    <row r="875" spans="1:17" x14ac:dyDescent="0.25">
      <c r="A875">
        <v>874</v>
      </c>
      <c r="B875" t="s">
        <v>346</v>
      </c>
      <c r="C875" t="s">
        <v>1649</v>
      </c>
      <c r="D875" t="s">
        <v>1641</v>
      </c>
      <c r="E875" t="s">
        <v>1316</v>
      </c>
      <c r="J875" t="s">
        <v>1326</v>
      </c>
      <c r="N875">
        <v>0</v>
      </c>
      <c r="O875">
        <f>_xlfn.XLOOKUP(VALINA[[#This Row],[id]],prov_color!A:A,prov_color!C:C)</f>
        <v>66</v>
      </c>
      <c r="P875" t="str">
        <f>_xlfn.XLOOKUP(VALINA[[#This Row],[id]],Table4[id],Table4[name])</f>
        <v>Sea of Stavanger</v>
      </c>
      <c r="Q875" t="str">
        <f>_xlfn.XLOOKUP(VALINA[[#This Row],[name]],Trans!A:A,Trans!B:B)</f>
        <v>Sea of Stavanger</v>
      </c>
    </row>
    <row r="876" spans="1:17" x14ac:dyDescent="0.25">
      <c r="A876">
        <v>875</v>
      </c>
      <c r="B876" t="s">
        <v>346</v>
      </c>
      <c r="C876" t="s">
        <v>1650</v>
      </c>
      <c r="D876" t="s">
        <v>1641</v>
      </c>
      <c r="E876" t="s">
        <v>1316</v>
      </c>
      <c r="J876" t="s">
        <v>1317</v>
      </c>
      <c r="N876">
        <v>0</v>
      </c>
      <c r="O876">
        <f>_xlfn.XLOOKUP(VALINA[[#This Row],[id]],prov_color!A:A,prov_color!C:C)</f>
        <v>39</v>
      </c>
      <c r="P876" t="str">
        <f>_xlfn.XLOOKUP(VALINA[[#This Row],[id]],Table4[id],Table4[name])</f>
        <v>The Sund</v>
      </c>
      <c r="Q876" t="str">
        <f>_xlfn.XLOOKUP(VALINA[[#This Row],[name]],Trans!A:A,Trans!B:B)</f>
        <v>The Sund</v>
      </c>
    </row>
    <row r="877" spans="1:17" x14ac:dyDescent="0.25">
      <c r="A877">
        <v>876</v>
      </c>
      <c r="B877" t="s">
        <v>346</v>
      </c>
      <c r="C877" t="s">
        <v>1650</v>
      </c>
      <c r="D877" t="s">
        <v>1641</v>
      </c>
      <c r="E877" t="s">
        <v>1316</v>
      </c>
      <c r="J877" t="s">
        <v>1752</v>
      </c>
      <c r="N877">
        <v>0</v>
      </c>
      <c r="O877">
        <f>_xlfn.XLOOKUP(VALINA[[#This Row],[id]],prov_color!A:A,prov_color!C:C)</f>
        <v>31</v>
      </c>
      <c r="P877" t="str">
        <f>_xlfn.XLOOKUP(VALINA[[#This Row],[id]],Table4[id],Table4[name])</f>
        <v>Baltic Sea</v>
      </c>
      <c r="Q877" t="str">
        <f>_xlfn.XLOOKUP(VALINA[[#This Row],[name]],Trans!A:A,Trans!B:B)</f>
        <v>Baltic Sea</v>
      </c>
    </row>
    <row r="878" spans="1:17" x14ac:dyDescent="0.25">
      <c r="A878">
        <v>877</v>
      </c>
      <c r="B878" t="s">
        <v>346</v>
      </c>
      <c r="C878" t="s">
        <v>1650</v>
      </c>
      <c r="D878" t="s">
        <v>1641</v>
      </c>
      <c r="E878" t="s">
        <v>1316</v>
      </c>
      <c r="J878" t="s">
        <v>1318</v>
      </c>
      <c r="N878">
        <v>0</v>
      </c>
      <c r="O878">
        <f>_xlfn.XLOOKUP(VALINA[[#This Row],[id]],prov_color!A:A,prov_color!C:C)</f>
        <v>49</v>
      </c>
      <c r="P878" t="str">
        <f>_xlfn.XLOOKUP(VALINA[[#This Row],[id]],Table4[id],Table4[name])</f>
        <v>Kalmar Strait</v>
      </c>
      <c r="Q878" t="str">
        <f>_xlfn.XLOOKUP(VALINA[[#This Row],[name]],Trans!A:A,Trans!B:B)</f>
        <v>Kalmar Strait</v>
      </c>
    </row>
    <row r="879" spans="1:17" x14ac:dyDescent="0.25">
      <c r="A879">
        <v>878</v>
      </c>
      <c r="B879" t="s">
        <v>346</v>
      </c>
      <c r="C879" t="s">
        <v>1650</v>
      </c>
      <c r="D879" t="s">
        <v>1641</v>
      </c>
      <c r="E879" t="s">
        <v>1316</v>
      </c>
      <c r="J879" t="s">
        <v>1319</v>
      </c>
      <c r="N879">
        <v>0</v>
      </c>
      <c r="O879">
        <f>_xlfn.XLOOKUP(VALINA[[#This Row],[id]],prov_color!A:A,prov_color!C:C)</f>
        <v>49</v>
      </c>
      <c r="P879" t="str">
        <f>_xlfn.XLOOKUP(VALINA[[#This Row],[id]],Table4[id],Table4[name])</f>
        <v>Gulf of Riga</v>
      </c>
      <c r="Q879" t="str">
        <f>_xlfn.XLOOKUP(VALINA[[#This Row],[name]],Trans!A:A,Trans!B:B)</f>
        <v>Gulf of Riga</v>
      </c>
    </row>
    <row r="880" spans="1:17" x14ac:dyDescent="0.25">
      <c r="A880">
        <v>879</v>
      </c>
      <c r="B880" t="s">
        <v>346</v>
      </c>
      <c r="C880" t="s">
        <v>1650</v>
      </c>
      <c r="D880" t="s">
        <v>1641</v>
      </c>
      <c r="E880" t="s">
        <v>1316</v>
      </c>
      <c r="G880" t="s">
        <v>122</v>
      </c>
      <c r="J880" t="s">
        <v>1320</v>
      </c>
      <c r="N880">
        <v>0</v>
      </c>
      <c r="O880">
        <f>_xlfn.XLOOKUP(VALINA[[#This Row],[id]],prov_color!A:A,prov_color!C:C)</f>
        <v>19</v>
      </c>
      <c r="P880" t="str">
        <f>_xlfn.XLOOKUP(VALINA[[#This Row],[id]],Table4[id],Table4[name])</f>
        <v>Gulf of Finland</v>
      </c>
      <c r="Q880" t="str">
        <f>_xlfn.XLOOKUP(VALINA[[#This Row],[name]],Trans!A:A,Trans!B:B)</f>
        <v>Gulf of Finland</v>
      </c>
    </row>
    <row r="881" spans="1:17" x14ac:dyDescent="0.25">
      <c r="A881">
        <v>880</v>
      </c>
      <c r="B881" t="s">
        <v>346</v>
      </c>
      <c r="C881" t="s">
        <v>1650</v>
      </c>
      <c r="D881" t="s">
        <v>1641</v>
      </c>
      <c r="E881" t="s">
        <v>1316</v>
      </c>
      <c r="G881" t="s">
        <v>122</v>
      </c>
      <c r="J881" t="s">
        <v>1753</v>
      </c>
      <c r="N881">
        <v>0</v>
      </c>
      <c r="O881">
        <f>_xlfn.XLOOKUP(VALINA[[#This Row],[id]],prov_color!A:A,prov_color!C:C)</f>
        <v>56</v>
      </c>
      <c r="P881" t="str">
        <f>_xlfn.XLOOKUP(VALINA[[#This Row],[id]],Table4[id],Table4[name])</f>
        <v>�land Sea</v>
      </c>
      <c r="Q881" t="str">
        <f>_xlfn.XLOOKUP(VALINA[[#This Row],[name]],Trans!A:A,Trans!B:B)</f>
        <v>�land Sea</v>
      </c>
    </row>
    <row r="882" spans="1:17" x14ac:dyDescent="0.25">
      <c r="A882">
        <v>881</v>
      </c>
      <c r="B882" t="s">
        <v>346</v>
      </c>
      <c r="C882" t="s">
        <v>1650</v>
      </c>
      <c r="D882" t="s">
        <v>1641</v>
      </c>
      <c r="E882" t="s">
        <v>1316</v>
      </c>
      <c r="G882" t="s">
        <v>122</v>
      </c>
      <c r="J882" t="s">
        <v>1323</v>
      </c>
      <c r="N882">
        <v>0</v>
      </c>
      <c r="O882">
        <f>_xlfn.XLOOKUP(VALINA[[#This Row],[id]],prov_color!A:A,prov_color!C:C)</f>
        <v>35</v>
      </c>
      <c r="P882" t="str">
        <f>_xlfn.XLOOKUP(VALINA[[#This Row],[id]],Table4[id],Table4[name])</f>
        <v>Gulf of Turku</v>
      </c>
      <c r="Q882" t="str">
        <f>_xlfn.XLOOKUP(VALINA[[#This Row],[name]],Trans!A:A,Trans!B:B)</f>
        <v>Gulf of Turku</v>
      </c>
    </row>
    <row r="883" spans="1:17" x14ac:dyDescent="0.25">
      <c r="A883">
        <v>882</v>
      </c>
      <c r="B883" t="s">
        <v>346</v>
      </c>
      <c r="C883" t="s">
        <v>1650</v>
      </c>
      <c r="D883" t="s">
        <v>1641</v>
      </c>
      <c r="E883" t="s">
        <v>1316</v>
      </c>
      <c r="G883" t="s">
        <v>122</v>
      </c>
      <c r="J883" t="s">
        <v>1324</v>
      </c>
      <c r="N883">
        <v>0</v>
      </c>
      <c r="O883">
        <f>_xlfn.XLOOKUP(VALINA[[#This Row],[id]],prov_color!A:A,prov_color!C:C)</f>
        <v>31</v>
      </c>
      <c r="P883" t="str">
        <f>_xlfn.XLOOKUP(VALINA[[#This Row],[id]],Table4[id],Table4[name])</f>
        <v>Gulf of Bothnia</v>
      </c>
      <c r="Q883" t="str">
        <f>_xlfn.XLOOKUP(VALINA[[#This Row],[name]],Trans!A:A,Trans!B:B)</f>
        <v>Gulf of Bothnia</v>
      </c>
    </row>
    <row r="884" spans="1:17" x14ac:dyDescent="0.25">
      <c r="A884">
        <v>883</v>
      </c>
      <c r="B884" t="s">
        <v>653</v>
      </c>
      <c r="C884" t="s">
        <v>1646</v>
      </c>
      <c r="D884" t="s">
        <v>1641</v>
      </c>
      <c r="E884" t="s">
        <v>1316</v>
      </c>
      <c r="G884" t="s">
        <v>26</v>
      </c>
      <c r="J884" t="s">
        <v>1367</v>
      </c>
      <c r="N884">
        <v>0</v>
      </c>
      <c r="O884">
        <f>_xlfn.XLOOKUP(VALINA[[#This Row],[id]],prov_color!A:A,prov_color!C:C)</f>
        <v>101</v>
      </c>
      <c r="P884" t="str">
        <f>_xlfn.XLOOKUP(VALINA[[#This Row],[id]],Table4[id],Table4[name])</f>
        <v>Amur Delta</v>
      </c>
      <c r="Q884" t="str">
        <f>_xlfn.XLOOKUP(VALINA[[#This Row],[name]],Trans!A:A,Trans!B:B)</f>
        <v>Amur Delta</v>
      </c>
    </row>
    <row r="885" spans="1:17" x14ac:dyDescent="0.25">
      <c r="A885">
        <v>884</v>
      </c>
      <c r="B885" t="s">
        <v>653</v>
      </c>
      <c r="C885" t="s">
        <v>1646</v>
      </c>
      <c r="D885" t="s">
        <v>1641</v>
      </c>
      <c r="E885" t="s">
        <v>1316</v>
      </c>
      <c r="G885" t="s">
        <v>26</v>
      </c>
      <c r="J885" t="s">
        <v>1754</v>
      </c>
      <c r="N885">
        <v>0</v>
      </c>
      <c r="O885">
        <f>_xlfn.XLOOKUP(VALINA[[#This Row],[id]],prov_color!A:A,prov_color!C:C)</f>
        <v>93</v>
      </c>
      <c r="P885" t="str">
        <f>_xlfn.XLOOKUP(VALINA[[#This Row],[id]],Table4[id],Table4[name])</f>
        <v>Okhotsk Sea</v>
      </c>
      <c r="Q885" t="str">
        <f>_xlfn.XLOOKUP(VALINA[[#This Row],[name]],Trans!A:A,Trans!B:B)</f>
        <v>Okhotsk Sea</v>
      </c>
    </row>
    <row r="886" spans="1:17" x14ac:dyDescent="0.25">
      <c r="A886">
        <v>885</v>
      </c>
      <c r="B886" t="s">
        <v>653</v>
      </c>
      <c r="C886" t="s">
        <v>1651</v>
      </c>
      <c r="D886" t="s">
        <v>1641</v>
      </c>
      <c r="E886" t="s">
        <v>1316</v>
      </c>
      <c r="J886" t="s">
        <v>1374</v>
      </c>
      <c r="N886">
        <v>0</v>
      </c>
      <c r="O886">
        <f>_xlfn.XLOOKUP(VALINA[[#This Row],[id]],prov_color!A:A,prov_color!C:C)</f>
        <v>223</v>
      </c>
      <c r="P886" t="str">
        <f>_xlfn.XLOOKUP(VALINA[[#This Row],[id]],Table4[id],Table4[name])</f>
        <v>Coast of Sakhalin</v>
      </c>
      <c r="Q886" t="str">
        <f>_xlfn.XLOOKUP(VALINA[[#This Row],[name]],Trans!A:A,Trans!B:B)</f>
        <v>Coast of Sakhalin</v>
      </c>
    </row>
    <row r="887" spans="1:17" x14ac:dyDescent="0.25">
      <c r="A887">
        <v>886</v>
      </c>
      <c r="B887" t="s">
        <v>653</v>
      </c>
      <c r="C887" t="s">
        <v>1651</v>
      </c>
      <c r="D887" t="s">
        <v>1641</v>
      </c>
      <c r="E887" t="s">
        <v>1316</v>
      </c>
      <c r="J887" t="s">
        <v>1755</v>
      </c>
      <c r="N887">
        <v>0</v>
      </c>
      <c r="O887">
        <f>_xlfn.XLOOKUP(VALINA[[#This Row],[id]],prov_color!A:A,prov_color!C:C)</f>
        <v>121</v>
      </c>
      <c r="P887" t="str">
        <f>_xlfn.XLOOKUP(VALINA[[#This Row],[id]],Table4[id],Table4[name])</f>
        <v>Tatar Straits</v>
      </c>
      <c r="Q887" t="str">
        <f>_xlfn.XLOOKUP(VALINA[[#This Row],[name]],Trans!A:A,Trans!B:B)</f>
        <v>Tatar Straits</v>
      </c>
    </row>
    <row r="888" spans="1:17" x14ac:dyDescent="0.25">
      <c r="A888">
        <v>887</v>
      </c>
      <c r="B888" t="s">
        <v>653</v>
      </c>
      <c r="C888" t="s">
        <v>1651</v>
      </c>
      <c r="D888" t="s">
        <v>1641</v>
      </c>
      <c r="E888" t="s">
        <v>1316</v>
      </c>
      <c r="J888" t="s">
        <v>1375</v>
      </c>
      <c r="N888">
        <v>0</v>
      </c>
      <c r="O888">
        <f>_xlfn.XLOOKUP(VALINA[[#This Row],[id]],prov_color!A:A,prov_color!C:C)</f>
        <v>144</v>
      </c>
      <c r="P888" t="str">
        <f>_xlfn.XLOOKUP(VALINA[[#This Row],[id]],Table4[id],Table4[name])</f>
        <v>Soya Strait</v>
      </c>
      <c r="Q888" t="str">
        <f>_xlfn.XLOOKUP(VALINA[[#This Row],[name]],Trans!A:A,Trans!B:B)</f>
        <v>Soya Strait</v>
      </c>
    </row>
    <row r="889" spans="1:17" x14ac:dyDescent="0.25">
      <c r="A889">
        <v>888</v>
      </c>
      <c r="B889" t="s">
        <v>653</v>
      </c>
      <c r="C889" t="s">
        <v>1651</v>
      </c>
      <c r="D889" t="s">
        <v>1641</v>
      </c>
      <c r="E889" t="s">
        <v>1316</v>
      </c>
      <c r="J889" t="s">
        <v>1948</v>
      </c>
      <c r="N889">
        <v>0</v>
      </c>
      <c r="O889">
        <f>_xlfn.XLOOKUP(VALINA[[#This Row],[id]],prov_color!A:A,prov_color!C:C)</f>
        <v>408</v>
      </c>
      <c r="P889" t="str">
        <f>_xlfn.XLOOKUP(VALINA[[#This Row],[id]],Table4[id],Table4[name])</f>
        <v>The Kuriles</v>
      </c>
      <c r="Q889" t="str">
        <f>_xlfn.XLOOKUP(VALINA[[#This Row],[name]],Trans!A:A,Trans!B:B)</f>
        <v>The Kuriles</v>
      </c>
    </row>
    <row r="890" spans="1:17" x14ac:dyDescent="0.25">
      <c r="A890">
        <v>889</v>
      </c>
      <c r="B890" t="s">
        <v>653</v>
      </c>
      <c r="C890" t="s">
        <v>1640</v>
      </c>
      <c r="D890" t="s">
        <v>1641</v>
      </c>
      <c r="E890" t="s">
        <v>1316</v>
      </c>
      <c r="J890" t="s">
        <v>1746</v>
      </c>
      <c r="N890">
        <v>0</v>
      </c>
      <c r="O890">
        <f>_xlfn.XLOOKUP(VALINA[[#This Row],[id]],prov_color!A:A,prov_color!C:C)</f>
        <v>439</v>
      </c>
      <c r="P890" t="str">
        <f>_xlfn.XLOOKUP(VALINA[[#This Row],[id]],Table4[id],Table4[name])</f>
        <v>Northern Pacific Ocean</v>
      </c>
      <c r="Q890" t="str">
        <f>_xlfn.XLOOKUP(VALINA[[#This Row],[name]],Trans!A:A,Trans!B:B)</f>
        <v>Northern Pacific Ocean</v>
      </c>
    </row>
    <row r="891" spans="1:17" x14ac:dyDescent="0.25">
      <c r="A891">
        <v>890</v>
      </c>
      <c r="B891" t="s">
        <v>653</v>
      </c>
      <c r="C891" t="s">
        <v>1640</v>
      </c>
      <c r="D891" t="s">
        <v>1641</v>
      </c>
      <c r="E891" t="s">
        <v>1316</v>
      </c>
      <c r="J891" t="s">
        <v>1746</v>
      </c>
      <c r="N891">
        <v>0</v>
      </c>
      <c r="O891">
        <f>_xlfn.XLOOKUP(VALINA[[#This Row],[id]],prov_color!A:A,prov_color!C:C)</f>
        <v>271</v>
      </c>
      <c r="P891" t="str">
        <f>_xlfn.XLOOKUP(VALINA[[#This Row],[id]],Table4[id],Table4[name])</f>
        <v>Northern Pacific Ocean</v>
      </c>
      <c r="Q891" t="str">
        <f>_xlfn.XLOOKUP(VALINA[[#This Row],[name]],Trans!A:A,Trans!B:B)</f>
        <v>Northern Pacific Ocean</v>
      </c>
    </row>
    <row r="892" spans="1:17" x14ac:dyDescent="0.25">
      <c r="A892">
        <v>891</v>
      </c>
      <c r="B892" t="s">
        <v>653</v>
      </c>
      <c r="C892" t="s">
        <v>1640</v>
      </c>
      <c r="D892" t="s">
        <v>1641</v>
      </c>
      <c r="E892" t="s">
        <v>1316</v>
      </c>
      <c r="J892" t="s">
        <v>1746</v>
      </c>
      <c r="N892">
        <v>0</v>
      </c>
      <c r="O892">
        <f>_xlfn.XLOOKUP(VALINA[[#This Row],[id]],prov_color!A:A,prov_color!C:C)</f>
        <v>296</v>
      </c>
      <c r="P892" t="str">
        <f>_xlfn.XLOOKUP(VALINA[[#This Row],[id]],Table4[id],Table4[name])</f>
        <v>Northern Pacific Ocean</v>
      </c>
      <c r="Q892" t="str">
        <f>_xlfn.XLOOKUP(VALINA[[#This Row],[name]],Trans!A:A,Trans!B:B)</f>
        <v>Northern Pacific Ocean</v>
      </c>
    </row>
    <row r="893" spans="1:17" x14ac:dyDescent="0.25">
      <c r="A893">
        <v>892</v>
      </c>
      <c r="B893" t="s">
        <v>653</v>
      </c>
      <c r="C893" t="s">
        <v>1640</v>
      </c>
      <c r="D893" t="s">
        <v>1641</v>
      </c>
      <c r="E893" t="s">
        <v>1316</v>
      </c>
      <c r="J893" t="s">
        <v>1746</v>
      </c>
      <c r="N893">
        <v>0</v>
      </c>
      <c r="O893">
        <f>_xlfn.XLOOKUP(VALINA[[#This Row],[id]],prov_color!A:A,prov_color!C:C)</f>
        <v>658</v>
      </c>
      <c r="P893" t="str">
        <f>_xlfn.XLOOKUP(VALINA[[#This Row],[id]],Table4[id],Table4[name])</f>
        <v>Northern Pacific Ocean</v>
      </c>
      <c r="Q893" t="str">
        <f>_xlfn.XLOOKUP(VALINA[[#This Row],[name]],Trans!A:A,Trans!B:B)</f>
        <v>Northern Pacific Ocean</v>
      </c>
    </row>
    <row r="894" spans="1:17" x14ac:dyDescent="0.25">
      <c r="A894">
        <v>893</v>
      </c>
      <c r="B894" t="s">
        <v>653</v>
      </c>
      <c r="C894" t="s">
        <v>1640</v>
      </c>
      <c r="D894" t="s">
        <v>1641</v>
      </c>
      <c r="E894" t="s">
        <v>1316</v>
      </c>
      <c r="J894" t="s">
        <v>1746</v>
      </c>
      <c r="N894">
        <v>0</v>
      </c>
      <c r="O894">
        <f>_xlfn.XLOOKUP(VALINA[[#This Row],[id]],prov_color!A:A,prov_color!C:C)</f>
        <v>668</v>
      </c>
      <c r="P894" t="str">
        <f>_xlfn.XLOOKUP(VALINA[[#This Row],[id]],Table4[id],Table4[name])</f>
        <v>Northern Pacific Ocean</v>
      </c>
      <c r="Q894" t="str">
        <f>_xlfn.XLOOKUP(VALINA[[#This Row],[name]],Trans!A:A,Trans!B:B)</f>
        <v>Northern Pacific Ocean</v>
      </c>
    </row>
    <row r="895" spans="1:17" x14ac:dyDescent="0.25">
      <c r="A895">
        <v>894</v>
      </c>
      <c r="B895" t="s">
        <v>11</v>
      </c>
      <c r="C895" t="s">
        <v>1642</v>
      </c>
      <c r="D895" t="s">
        <v>1641</v>
      </c>
      <c r="E895" t="s">
        <v>1316</v>
      </c>
      <c r="J895" t="s">
        <v>1746</v>
      </c>
      <c r="N895">
        <v>0</v>
      </c>
      <c r="O895">
        <f>_xlfn.XLOOKUP(VALINA[[#This Row],[id]],prov_color!A:A,prov_color!C:C)</f>
        <v>339</v>
      </c>
      <c r="P895" t="str">
        <f>_xlfn.XLOOKUP(VALINA[[#This Row],[id]],Table4[id],Table4[name])</f>
        <v>Northern Pacific Ocean</v>
      </c>
      <c r="Q895" t="str">
        <f>_xlfn.XLOOKUP(VALINA[[#This Row],[name]],Trans!A:A,Trans!B:B)</f>
        <v>Northern Pacific Ocean</v>
      </c>
    </row>
    <row r="896" spans="1:17" x14ac:dyDescent="0.25">
      <c r="A896">
        <v>895</v>
      </c>
      <c r="B896" t="s">
        <v>11</v>
      </c>
      <c r="C896" t="s">
        <v>1642</v>
      </c>
      <c r="D896" t="s">
        <v>1641</v>
      </c>
      <c r="E896" t="s">
        <v>1316</v>
      </c>
      <c r="J896" t="s">
        <v>1746</v>
      </c>
      <c r="N896">
        <v>0</v>
      </c>
      <c r="O896">
        <f>_xlfn.XLOOKUP(VALINA[[#This Row],[id]],prov_color!A:A,prov_color!C:C)</f>
        <v>552</v>
      </c>
      <c r="P896" t="str">
        <f>_xlfn.XLOOKUP(VALINA[[#This Row],[id]],Table4[id],Table4[name])</f>
        <v>Northern Pacific Ocean</v>
      </c>
      <c r="Q896" t="str">
        <f>_xlfn.XLOOKUP(VALINA[[#This Row],[name]],Trans!A:A,Trans!B:B)</f>
        <v>Northern Pacific Ocean</v>
      </c>
    </row>
    <row r="897" spans="1:17" x14ac:dyDescent="0.25">
      <c r="A897">
        <v>896</v>
      </c>
      <c r="B897" t="s">
        <v>11</v>
      </c>
      <c r="C897" t="s">
        <v>1642</v>
      </c>
      <c r="D897" t="s">
        <v>1641</v>
      </c>
      <c r="E897" t="s">
        <v>1316</v>
      </c>
      <c r="J897" t="s">
        <v>1746</v>
      </c>
      <c r="N897">
        <v>0</v>
      </c>
      <c r="O897">
        <f>_xlfn.XLOOKUP(VALINA[[#This Row],[id]],prov_color!A:A,prov_color!C:C)</f>
        <v>605</v>
      </c>
      <c r="P897" t="str">
        <f>_xlfn.XLOOKUP(VALINA[[#This Row],[id]],Table4[id],Table4[name])</f>
        <v>Northern Pacific Ocean</v>
      </c>
      <c r="Q897" t="str">
        <f>_xlfn.XLOOKUP(VALINA[[#This Row],[name]],Trans!A:A,Trans!B:B)</f>
        <v>Northern Pacific Ocean</v>
      </c>
    </row>
    <row r="898" spans="1:17" x14ac:dyDescent="0.25">
      <c r="A898">
        <v>897</v>
      </c>
      <c r="B898" t="s">
        <v>11</v>
      </c>
      <c r="C898" t="s">
        <v>1642</v>
      </c>
      <c r="D898" t="s">
        <v>1641</v>
      </c>
      <c r="E898" t="s">
        <v>1316</v>
      </c>
      <c r="J898" t="s">
        <v>1574</v>
      </c>
      <c r="N898">
        <v>0</v>
      </c>
      <c r="O898">
        <f>_xlfn.XLOOKUP(VALINA[[#This Row],[id]],prov_color!A:A,prov_color!C:C)</f>
        <v>173</v>
      </c>
      <c r="P898" t="str">
        <f>_xlfn.XLOOKUP(VALINA[[#This Row],[id]],Table4[id],Table4[name])</f>
        <v>Santa Catalina Islands</v>
      </c>
      <c r="Q898" t="str">
        <f>_xlfn.XLOOKUP(VALINA[[#This Row],[name]],Trans!A:A,Trans!B:B)</f>
        <v>Santa Catalina Islands</v>
      </c>
    </row>
    <row r="899" spans="1:17" x14ac:dyDescent="0.25">
      <c r="A899">
        <v>898</v>
      </c>
      <c r="B899" t="s">
        <v>11</v>
      </c>
      <c r="C899" t="s">
        <v>1652</v>
      </c>
      <c r="D899" t="s">
        <v>1641</v>
      </c>
      <c r="E899" t="s">
        <v>1316</v>
      </c>
      <c r="J899" t="s">
        <v>1746</v>
      </c>
      <c r="N899">
        <v>0</v>
      </c>
      <c r="O899">
        <f>_xlfn.XLOOKUP(VALINA[[#This Row],[id]],prov_color!A:A,prov_color!C:C)</f>
        <v>157</v>
      </c>
      <c r="P899" t="str">
        <f>_xlfn.XLOOKUP(VALINA[[#This Row],[id]],Table4[id],Table4[name])</f>
        <v>Northern Pacific Ocean</v>
      </c>
      <c r="Q899" t="str">
        <f>_xlfn.XLOOKUP(VALINA[[#This Row],[name]],Trans!A:A,Trans!B:B)</f>
        <v>Northern Pacific Ocean</v>
      </c>
    </row>
    <row r="900" spans="1:17" x14ac:dyDescent="0.25">
      <c r="A900">
        <v>899</v>
      </c>
      <c r="B900" t="s">
        <v>11</v>
      </c>
      <c r="C900" t="s">
        <v>1652</v>
      </c>
      <c r="D900" t="s">
        <v>1641</v>
      </c>
      <c r="E900" t="s">
        <v>1316</v>
      </c>
      <c r="J900" t="s">
        <v>1573</v>
      </c>
      <c r="N900">
        <v>0</v>
      </c>
      <c r="O900">
        <f>_xlfn.XLOOKUP(VALINA[[#This Row],[id]],prov_color!A:A,prov_color!C:C)</f>
        <v>203</v>
      </c>
      <c r="P900" t="str">
        <f>_xlfn.XLOOKUP(VALINA[[#This Row],[id]],Table4[id],Table4[name])</f>
        <v>Coast of California</v>
      </c>
      <c r="Q900" t="str">
        <f>_xlfn.XLOOKUP(VALINA[[#This Row],[name]],Trans!A:A,Trans!B:B)</f>
        <v>Coast of California</v>
      </c>
    </row>
    <row r="901" spans="1:17" x14ac:dyDescent="0.25">
      <c r="A901">
        <v>900</v>
      </c>
      <c r="B901" t="s">
        <v>11</v>
      </c>
      <c r="C901" t="s">
        <v>1652</v>
      </c>
      <c r="D901" t="s">
        <v>1641</v>
      </c>
      <c r="E901" t="s">
        <v>1316</v>
      </c>
      <c r="J901" t="s">
        <v>1758</v>
      </c>
      <c r="N901">
        <v>0</v>
      </c>
      <c r="O901">
        <f>_xlfn.XLOOKUP(VALINA[[#This Row],[id]],prov_color!A:A,prov_color!C:C)</f>
        <v>155</v>
      </c>
      <c r="P901" t="str">
        <f>_xlfn.XLOOKUP(VALINA[[#This Row],[id]],Table4[id],Table4[name])</f>
        <v>Californian Gulf</v>
      </c>
      <c r="Q901" t="str">
        <f>_xlfn.XLOOKUP(VALINA[[#This Row],[name]],Trans!A:A,Trans!B:B)</f>
        <v>Californian Gulf</v>
      </c>
    </row>
    <row r="902" spans="1:17" x14ac:dyDescent="0.25">
      <c r="A902">
        <v>901</v>
      </c>
      <c r="B902" t="s">
        <v>11</v>
      </c>
      <c r="C902" t="s">
        <v>1652</v>
      </c>
      <c r="D902" t="s">
        <v>1641</v>
      </c>
      <c r="E902" t="s">
        <v>1316</v>
      </c>
      <c r="J902" t="s">
        <v>1572</v>
      </c>
      <c r="N902">
        <v>0</v>
      </c>
      <c r="O902">
        <f>_xlfn.XLOOKUP(VALINA[[#This Row],[id]],prov_color!A:A,prov_color!C:C)</f>
        <v>210</v>
      </c>
      <c r="P902" t="str">
        <f>_xlfn.XLOOKUP(VALINA[[#This Row],[id]],Table4[id],Table4[name])</f>
        <v>Mazatlan Bay</v>
      </c>
      <c r="Q902" t="str">
        <f>_xlfn.XLOOKUP(VALINA[[#This Row],[name]],Trans!A:A,Trans!B:B)</f>
        <v>Mazatlan Bay</v>
      </c>
    </row>
    <row r="903" spans="1:17" x14ac:dyDescent="0.25">
      <c r="A903">
        <v>902</v>
      </c>
      <c r="B903" t="s">
        <v>11</v>
      </c>
      <c r="C903" t="s">
        <v>1653</v>
      </c>
      <c r="D903" t="s">
        <v>1641</v>
      </c>
      <c r="E903" t="s">
        <v>1316</v>
      </c>
      <c r="J903" t="s">
        <v>1532</v>
      </c>
      <c r="N903">
        <v>0</v>
      </c>
      <c r="O903">
        <f>_xlfn.XLOOKUP(VALINA[[#This Row],[id]],prov_color!A:A,prov_color!C:C)</f>
        <v>109</v>
      </c>
      <c r="P903" t="str">
        <f>_xlfn.XLOOKUP(VALINA[[#This Row],[id]],Table4[id],Table4[name])</f>
        <v>Tampico Bay</v>
      </c>
      <c r="Q903" t="str">
        <f>_xlfn.XLOOKUP(VALINA[[#This Row],[name]],Trans!A:A,Trans!B:B)</f>
        <v>Tampico Bay</v>
      </c>
    </row>
    <row r="904" spans="1:17" x14ac:dyDescent="0.25">
      <c r="A904">
        <v>903</v>
      </c>
      <c r="B904" t="s">
        <v>11</v>
      </c>
      <c r="C904" t="s">
        <v>1653</v>
      </c>
      <c r="D904" t="s">
        <v>1641</v>
      </c>
      <c r="E904" t="s">
        <v>1316</v>
      </c>
      <c r="J904" t="s">
        <v>1533</v>
      </c>
      <c r="N904">
        <v>0</v>
      </c>
      <c r="O904">
        <f>_xlfn.XLOOKUP(VALINA[[#This Row],[id]],prov_color!A:A,prov_color!C:C)</f>
        <v>91</v>
      </c>
      <c r="P904" t="str">
        <f>_xlfn.XLOOKUP(VALINA[[#This Row],[id]],Table4[id],Table4[name])</f>
        <v>Yucatan Sea</v>
      </c>
      <c r="Q904" t="str">
        <f>_xlfn.XLOOKUP(VALINA[[#This Row],[name]],Trans!A:A,Trans!B:B)</f>
        <v>Yucatan Sea</v>
      </c>
    </row>
    <row r="905" spans="1:17" x14ac:dyDescent="0.25">
      <c r="A905">
        <v>904</v>
      </c>
      <c r="B905" t="s">
        <v>11</v>
      </c>
      <c r="C905" t="s">
        <v>1653</v>
      </c>
      <c r="D905" t="s">
        <v>1641</v>
      </c>
      <c r="E905" t="s">
        <v>1316</v>
      </c>
      <c r="J905" t="s">
        <v>1534</v>
      </c>
      <c r="N905">
        <v>0</v>
      </c>
      <c r="O905">
        <f>_xlfn.XLOOKUP(VALINA[[#This Row],[id]],prov_color!A:A,prov_color!C:C)</f>
        <v>164</v>
      </c>
      <c r="P905" t="str">
        <f>_xlfn.XLOOKUP(VALINA[[#This Row],[id]],Table4[id],Table4[name])</f>
        <v>Gulf of Mexico</v>
      </c>
      <c r="Q905" t="str">
        <f>_xlfn.XLOOKUP(VALINA[[#This Row],[name]],Trans!A:A,Trans!B:B)</f>
        <v>Gulf of Mexico</v>
      </c>
    </row>
    <row r="906" spans="1:17" x14ac:dyDescent="0.25">
      <c r="A906">
        <v>905</v>
      </c>
      <c r="B906" t="s">
        <v>11</v>
      </c>
      <c r="C906" t="s">
        <v>1653</v>
      </c>
      <c r="D906" t="s">
        <v>1641</v>
      </c>
      <c r="E906" t="s">
        <v>1316</v>
      </c>
      <c r="J906" t="s">
        <v>1759</v>
      </c>
      <c r="N906">
        <v>0</v>
      </c>
      <c r="O906">
        <f>_xlfn.XLOOKUP(VALINA[[#This Row],[id]],prov_color!A:A,prov_color!C:C)</f>
        <v>94</v>
      </c>
      <c r="P906" t="str">
        <f>_xlfn.XLOOKUP(VALINA[[#This Row],[id]],Table4[id],Table4[name])</f>
        <v>Mississippi Bay</v>
      </c>
      <c r="Q906" t="str">
        <f>_xlfn.XLOOKUP(VALINA[[#This Row],[name]],Trans!A:A,Trans!B:B)</f>
        <v>Mississippi Bay</v>
      </c>
    </row>
    <row r="907" spans="1:17" x14ac:dyDescent="0.25">
      <c r="A907">
        <v>906</v>
      </c>
      <c r="B907" t="s">
        <v>11</v>
      </c>
      <c r="C907" t="s">
        <v>1653</v>
      </c>
      <c r="D907" t="s">
        <v>1641</v>
      </c>
      <c r="E907" t="s">
        <v>1316</v>
      </c>
      <c r="J907" t="s">
        <v>1531</v>
      </c>
      <c r="N907">
        <v>0</v>
      </c>
      <c r="O907">
        <f>_xlfn.XLOOKUP(VALINA[[#This Row],[id]],prov_color!A:A,prov_color!C:C)</f>
        <v>85</v>
      </c>
      <c r="P907" t="str">
        <f>_xlfn.XLOOKUP(VALINA[[#This Row],[id]],Table4[id],Table4[name])</f>
        <v>Mobile Bay</v>
      </c>
      <c r="Q907" t="str">
        <f>_xlfn.XLOOKUP(VALINA[[#This Row],[name]],Trans!A:A,Trans!B:B)</f>
        <v>Mobile Bay</v>
      </c>
    </row>
    <row r="908" spans="1:17" x14ac:dyDescent="0.25">
      <c r="A908">
        <v>907</v>
      </c>
      <c r="B908" t="s">
        <v>11</v>
      </c>
      <c r="C908" t="s">
        <v>1647</v>
      </c>
      <c r="D908" t="s">
        <v>1641</v>
      </c>
      <c r="E908" t="s">
        <v>1316</v>
      </c>
      <c r="J908" t="s">
        <v>1760</v>
      </c>
      <c r="N908">
        <v>0</v>
      </c>
      <c r="O908">
        <f>_xlfn.XLOOKUP(VALINA[[#This Row],[id]],prov_color!A:A,prov_color!C:C)</f>
        <v>65</v>
      </c>
      <c r="P908" t="str">
        <f>_xlfn.XLOOKUP(VALINA[[#This Row],[id]],Table4[id],Table4[name])</f>
        <v>Cape Canaveral</v>
      </c>
      <c r="Q908" t="str">
        <f>_xlfn.XLOOKUP(VALINA[[#This Row],[name]],Trans!A:A,Trans!B:B)</f>
        <v>Cape Canaveral</v>
      </c>
    </row>
    <row r="909" spans="1:17" x14ac:dyDescent="0.25">
      <c r="A909">
        <v>908</v>
      </c>
      <c r="B909" t="s">
        <v>11</v>
      </c>
      <c r="C909" t="s">
        <v>1647</v>
      </c>
      <c r="D909" t="s">
        <v>1641</v>
      </c>
      <c r="E909" t="s">
        <v>1316</v>
      </c>
      <c r="J909" t="s">
        <v>1761</v>
      </c>
      <c r="N909">
        <v>0</v>
      </c>
      <c r="O909">
        <f>_xlfn.XLOOKUP(VALINA[[#This Row],[id]],prov_color!A:A,prov_color!C:C)</f>
        <v>128</v>
      </c>
      <c r="P909" t="str">
        <f>_xlfn.XLOOKUP(VALINA[[#This Row],[id]],Table4[id],Table4[name])</f>
        <v>Coast of Carolina</v>
      </c>
      <c r="Q909" t="str">
        <f>_xlfn.XLOOKUP(VALINA[[#This Row],[name]],Trans!A:A,Trans!B:B)</f>
        <v>Coast of Carolina</v>
      </c>
    </row>
    <row r="910" spans="1:17" x14ac:dyDescent="0.25">
      <c r="A910">
        <v>909</v>
      </c>
      <c r="B910" t="s">
        <v>11</v>
      </c>
      <c r="C910" t="s">
        <v>1647</v>
      </c>
      <c r="D910" t="s">
        <v>1641</v>
      </c>
      <c r="E910" t="s">
        <v>1316</v>
      </c>
      <c r="J910" t="s">
        <v>1529</v>
      </c>
      <c r="N910">
        <v>0</v>
      </c>
      <c r="O910">
        <f>_xlfn.XLOOKUP(VALINA[[#This Row],[id]],prov_color!A:A,prov_color!C:C)</f>
        <v>78</v>
      </c>
      <c r="P910" t="str">
        <f>_xlfn.XLOOKUP(VALINA[[#This Row],[id]],Table4[id],Table4[name])</f>
        <v>Cape Hatteras</v>
      </c>
      <c r="Q910" t="str">
        <f>_xlfn.XLOOKUP(VALINA[[#This Row],[name]],Trans!A:A,Trans!B:B)</f>
        <v>Cape Hatteras</v>
      </c>
    </row>
    <row r="911" spans="1:17" x14ac:dyDescent="0.25">
      <c r="A911">
        <v>910</v>
      </c>
      <c r="B911" t="s">
        <v>11</v>
      </c>
      <c r="C911" t="s">
        <v>1647</v>
      </c>
      <c r="D911" t="s">
        <v>1641</v>
      </c>
      <c r="E911" t="s">
        <v>1316</v>
      </c>
      <c r="J911" t="s">
        <v>1762</v>
      </c>
      <c r="N911">
        <v>0</v>
      </c>
      <c r="O911">
        <f>_xlfn.XLOOKUP(VALINA[[#This Row],[id]],prov_color!A:A,prov_color!C:C)</f>
        <v>221</v>
      </c>
      <c r="P911" t="str">
        <f>_xlfn.XLOOKUP(VALINA[[#This Row],[id]],Table4[id],Table4[name])</f>
        <v>Bermuda Triangle</v>
      </c>
      <c r="Q911" t="str">
        <f>_xlfn.XLOOKUP(VALINA[[#This Row],[name]],Trans!A:A,Trans!B:B)</f>
        <v>Bermuda Triangle</v>
      </c>
    </row>
    <row r="912" spans="1:17" x14ac:dyDescent="0.25">
      <c r="A912">
        <v>911</v>
      </c>
      <c r="B912" t="s">
        <v>11</v>
      </c>
      <c r="C912" t="s">
        <v>1647</v>
      </c>
      <c r="D912" t="s">
        <v>1641</v>
      </c>
      <c r="E912" t="s">
        <v>1316</v>
      </c>
      <c r="J912" t="s">
        <v>1764</v>
      </c>
      <c r="N912">
        <v>0</v>
      </c>
      <c r="O912">
        <f>_xlfn.XLOOKUP(VALINA[[#This Row],[id]],prov_color!A:A,prov_color!C:C)</f>
        <v>349</v>
      </c>
      <c r="P912" t="str">
        <f>_xlfn.XLOOKUP(VALINA[[#This Row],[id]],Table4[id],Table4[name])</f>
        <v>Northern Atlantic Ocean</v>
      </c>
      <c r="Q912" t="str">
        <f>_xlfn.XLOOKUP(VALINA[[#This Row],[name]],Trans!A:A,Trans!B:B)</f>
        <v>Northern Atlantic Ocean</v>
      </c>
    </row>
    <row r="913" spans="1:17" x14ac:dyDescent="0.25">
      <c r="A913">
        <v>912</v>
      </c>
      <c r="B913" t="s">
        <v>11</v>
      </c>
      <c r="C913" t="s">
        <v>1647</v>
      </c>
      <c r="D913" t="s">
        <v>1641</v>
      </c>
      <c r="E913" t="s">
        <v>1316</v>
      </c>
      <c r="J913" t="s">
        <v>1436</v>
      </c>
      <c r="N913">
        <v>0</v>
      </c>
      <c r="O913">
        <f>_xlfn.XLOOKUP(VALINA[[#This Row],[id]],prov_color!A:A,prov_color!C:C)</f>
        <v>259</v>
      </c>
      <c r="P913" t="str">
        <f>_xlfn.XLOOKUP(VALINA[[#This Row],[id]],Table4[id],Table4[name])</f>
        <v>The Bermudas</v>
      </c>
      <c r="Q913" t="str">
        <f>_xlfn.XLOOKUP(VALINA[[#This Row],[name]],Trans!A:A,Trans!B:B)</f>
        <v>The Bermudas</v>
      </c>
    </row>
    <row r="914" spans="1:17" x14ac:dyDescent="0.25">
      <c r="A914">
        <v>913</v>
      </c>
      <c r="B914" t="s">
        <v>11</v>
      </c>
      <c r="C914" t="s">
        <v>1647</v>
      </c>
      <c r="D914" t="s">
        <v>1641</v>
      </c>
      <c r="E914" t="s">
        <v>1316</v>
      </c>
      <c r="J914" t="s">
        <v>1764</v>
      </c>
      <c r="N914">
        <v>0</v>
      </c>
      <c r="O914">
        <f>_xlfn.XLOOKUP(VALINA[[#This Row],[id]],prov_color!A:A,prov_color!C:C)</f>
        <v>474</v>
      </c>
      <c r="P914" t="str">
        <f>_xlfn.XLOOKUP(VALINA[[#This Row],[id]],Table4[id],Table4[name])</f>
        <v>Northern Atlantic Ocean</v>
      </c>
      <c r="Q914" t="str">
        <f>_xlfn.XLOOKUP(VALINA[[#This Row],[name]],Trans!A:A,Trans!B:B)</f>
        <v>Northern Atlantic Ocean</v>
      </c>
    </row>
    <row r="915" spans="1:17" x14ac:dyDescent="0.25">
      <c r="A915">
        <v>914</v>
      </c>
      <c r="B915" t="s">
        <v>11</v>
      </c>
      <c r="C915" t="s">
        <v>1648</v>
      </c>
      <c r="D915" t="s">
        <v>1641</v>
      </c>
      <c r="E915" t="s">
        <v>1316</v>
      </c>
      <c r="J915" t="s">
        <v>1764</v>
      </c>
      <c r="N915">
        <v>0</v>
      </c>
      <c r="O915">
        <f>_xlfn.XLOOKUP(VALINA[[#This Row],[id]],prov_color!A:A,prov_color!C:C)</f>
        <v>598</v>
      </c>
      <c r="P915" t="str">
        <f>_xlfn.XLOOKUP(VALINA[[#This Row],[id]],Table4[id],Table4[name])</f>
        <v>Northern Atlantic Ocean</v>
      </c>
      <c r="Q915" t="str">
        <f>_xlfn.XLOOKUP(VALINA[[#This Row],[name]],Trans!A:A,Trans!B:B)</f>
        <v>Northern Atlantic Ocean</v>
      </c>
    </row>
    <row r="916" spans="1:17" x14ac:dyDescent="0.25">
      <c r="A916">
        <v>915</v>
      </c>
      <c r="B916" t="s">
        <v>11</v>
      </c>
      <c r="C916" t="s">
        <v>1648</v>
      </c>
      <c r="D916" t="s">
        <v>1641</v>
      </c>
      <c r="E916" t="s">
        <v>1316</v>
      </c>
      <c r="J916" t="s">
        <v>1764</v>
      </c>
      <c r="N916">
        <v>0</v>
      </c>
      <c r="O916">
        <f>_xlfn.XLOOKUP(VALINA[[#This Row],[id]],prov_color!A:A,prov_color!C:C)</f>
        <v>657</v>
      </c>
      <c r="P916" t="str">
        <f>_xlfn.XLOOKUP(VALINA[[#This Row],[id]],Table4[id],Table4[name])</f>
        <v>Northern Atlantic Ocean</v>
      </c>
      <c r="Q916" t="str">
        <f>_xlfn.XLOOKUP(VALINA[[#This Row],[name]],Trans!A:A,Trans!B:B)</f>
        <v>Northern Atlantic Ocean</v>
      </c>
    </row>
    <row r="917" spans="1:17" x14ac:dyDescent="0.25">
      <c r="A917">
        <v>916</v>
      </c>
      <c r="B917" t="s">
        <v>346</v>
      </c>
      <c r="C917" t="s">
        <v>1648</v>
      </c>
      <c r="D917" t="s">
        <v>1641</v>
      </c>
      <c r="E917" t="s">
        <v>1316</v>
      </c>
      <c r="J917" t="s">
        <v>1764</v>
      </c>
      <c r="N917">
        <v>0</v>
      </c>
      <c r="O917">
        <f>_xlfn.XLOOKUP(VALINA[[#This Row],[id]],prov_color!A:A,prov_color!C:C)</f>
        <v>463</v>
      </c>
      <c r="P917" t="str">
        <f>_xlfn.XLOOKUP(VALINA[[#This Row],[id]],Table4[id],Table4[name])</f>
        <v>Northern Atlantic Ocean</v>
      </c>
      <c r="Q917" t="str">
        <f>_xlfn.XLOOKUP(VALINA[[#This Row],[name]],Trans!A:A,Trans!B:B)</f>
        <v>Northern Atlantic Ocean</v>
      </c>
    </row>
    <row r="918" spans="1:17" x14ac:dyDescent="0.25">
      <c r="A918">
        <v>917</v>
      </c>
      <c r="B918" t="s">
        <v>346</v>
      </c>
      <c r="C918" t="s">
        <v>1648</v>
      </c>
      <c r="D918" t="s">
        <v>1641</v>
      </c>
      <c r="E918" t="s">
        <v>1316</v>
      </c>
      <c r="J918" t="s">
        <v>1764</v>
      </c>
      <c r="N918">
        <v>0</v>
      </c>
      <c r="O918">
        <f>_xlfn.XLOOKUP(VALINA[[#This Row],[id]],prov_color!A:A,prov_color!C:C)</f>
        <v>259</v>
      </c>
      <c r="P918" t="str">
        <f>_xlfn.XLOOKUP(VALINA[[#This Row],[id]],Table4[id],Table4[name])</f>
        <v>Northern Atlantic Ocean</v>
      </c>
      <c r="Q918" t="str">
        <f>_xlfn.XLOOKUP(VALINA[[#This Row],[name]],Trans!A:A,Trans!B:B)</f>
        <v>Northern Atlantic Ocean</v>
      </c>
    </row>
    <row r="919" spans="1:17" x14ac:dyDescent="0.25">
      <c r="A919">
        <v>918</v>
      </c>
      <c r="B919" t="s">
        <v>346</v>
      </c>
      <c r="C919" t="s">
        <v>1648</v>
      </c>
      <c r="D919" t="s">
        <v>1641</v>
      </c>
      <c r="E919" t="s">
        <v>1316</v>
      </c>
      <c r="J919" t="s">
        <v>1489</v>
      </c>
      <c r="N919">
        <v>0</v>
      </c>
      <c r="O919">
        <f>_xlfn.XLOOKUP(VALINA[[#This Row],[id]],prov_color!A:A,prov_color!C:C)</f>
        <v>402</v>
      </c>
      <c r="P919" t="str">
        <f>_xlfn.XLOOKUP(VALINA[[#This Row],[id]],Table4[id],Table4[name])</f>
        <v>Rockall</v>
      </c>
      <c r="Q919" t="str">
        <f>_xlfn.XLOOKUP(VALINA[[#This Row],[name]],Trans!A:A,Trans!B:B)</f>
        <v>Rockall</v>
      </c>
    </row>
    <row r="920" spans="1:17" x14ac:dyDescent="0.25">
      <c r="A920">
        <v>919</v>
      </c>
      <c r="B920" t="s">
        <v>346</v>
      </c>
      <c r="C920" t="s">
        <v>1654</v>
      </c>
      <c r="D920" t="s">
        <v>1641</v>
      </c>
      <c r="E920" t="s">
        <v>1316</v>
      </c>
      <c r="J920" t="s">
        <v>1475</v>
      </c>
      <c r="N920">
        <v>0</v>
      </c>
      <c r="O920">
        <f>_xlfn.XLOOKUP(VALINA[[#This Row],[id]],prov_color!A:A,prov_color!C:C)</f>
        <v>74</v>
      </c>
      <c r="P920" t="str">
        <f>_xlfn.XLOOKUP(VALINA[[#This Row],[id]],Table4[id],Table4[name])</f>
        <v>Finisterre</v>
      </c>
      <c r="Q920" t="str">
        <f>_xlfn.XLOOKUP(VALINA[[#This Row],[name]],Trans!A:A,Trans!B:B)</f>
        <v>Finisterre</v>
      </c>
    </row>
    <row r="921" spans="1:17" x14ac:dyDescent="0.25">
      <c r="A921">
        <v>920</v>
      </c>
      <c r="B921" t="s">
        <v>346</v>
      </c>
      <c r="C921" t="s">
        <v>1654</v>
      </c>
      <c r="D921" t="s">
        <v>1641</v>
      </c>
      <c r="E921" t="s">
        <v>1316</v>
      </c>
      <c r="J921" t="s">
        <v>1476</v>
      </c>
      <c r="N921">
        <v>0</v>
      </c>
      <c r="O921">
        <f>_xlfn.XLOOKUP(VALINA[[#This Row],[id]],prov_color!A:A,prov_color!C:C)</f>
        <v>46</v>
      </c>
      <c r="P921" t="str">
        <f>_xlfn.XLOOKUP(VALINA[[#This Row],[id]],Table4[id],Table4[name])</f>
        <v>Cantabrian Sea</v>
      </c>
      <c r="Q921" t="str">
        <f>_xlfn.XLOOKUP(VALINA[[#This Row],[name]],Trans!A:A,Trans!B:B)</f>
        <v>Cantabrian Sea</v>
      </c>
    </row>
    <row r="922" spans="1:17" x14ac:dyDescent="0.25">
      <c r="A922">
        <v>921</v>
      </c>
      <c r="B922" t="s">
        <v>346</v>
      </c>
      <c r="C922" t="s">
        <v>1654</v>
      </c>
      <c r="D922" t="s">
        <v>1641</v>
      </c>
      <c r="E922" t="s">
        <v>1316</v>
      </c>
      <c r="J922" t="s">
        <v>1765</v>
      </c>
      <c r="N922">
        <v>0</v>
      </c>
      <c r="O922">
        <f>_xlfn.XLOOKUP(VALINA[[#This Row],[id]],prov_color!A:A,prov_color!C:C)</f>
        <v>37</v>
      </c>
      <c r="P922" t="str">
        <f>_xlfn.XLOOKUP(VALINA[[#This Row],[id]],Table4[id],Table4[name])</f>
        <v>C�te d'Argent</v>
      </c>
      <c r="Q922" t="str">
        <f>_xlfn.XLOOKUP(VALINA[[#This Row],[name]],Trans!A:A,Trans!B:B)</f>
        <v>C�te d'Argent</v>
      </c>
    </row>
    <row r="923" spans="1:17" x14ac:dyDescent="0.25">
      <c r="A923">
        <v>922</v>
      </c>
      <c r="B923" t="s">
        <v>346</v>
      </c>
      <c r="C923" t="s">
        <v>1654</v>
      </c>
      <c r="D923" t="s">
        <v>1641</v>
      </c>
      <c r="E923" t="s">
        <v>1316</v>
      </c>
      <c r="J923" t="s">
        <v>1477</v>
      </c>
      <c r="N923">
        <v>0</v>
      </c>
      <c r="O923">
        <f>_xlfn.XLOOKUP(VALINA[[#This Row],[id]],prov_color!A:A,prov_color!C:C)</f>
        <v>37</v>
      </c>
      <c r="P923" t="str">
        <f>_xlfn.XLOOKUP(VALINA[[#This Row],[id]],Table4[id],Table4[name])</f>
        <v>Quiberon Bay</v>
      </c>
      <c r="Q923" t="str">
        <f>_xlfn.XLOOKUP(VALINA[[#This Row],[name]],Trans!A:A,Trans!B:B)</f>
        <v>Quiberon Bay</v>
      </c>
    </row>
    <row r="924" spans="1:17" x14ac:dyDescent="0.25">
      <c r="A924">
        <v>923</v>
      </c>
      <c r="B924" t="s">
        <v>346</v>
      </c>
      <c r="C924" t="s">
        <v>1654</v>
      </c>
      <c r="D924" t="s">
        <v>1641</v>
      </c>
      <c r="E924" t="s">
        <v>1316</v>
      </c>
      <c r="J924" t="s">
        <v>1478</v>
      </c>
      <c r="N924">
        <v>0</v>
      </c>
      <c r="O924">
        <f>_xlfn.XLOOKUP(VALINA[[#This Row],[id]],prov_color!A:A,prov_color!C:C)</f>
        <v>70</v>
      </c>
      <c r="P924" t="str">
        <f>_xlfn.XLOOKUP(VALINA[[#This Row],[id]],Table4[id],Table4[name])</f>
        <v>Bay of Biscay</v>
      </c>
      <c r="Q924" t="str">
        <f>_xlfn.XLOOKUP(VALINA[[#This Row],[name]],Trans!A:A,Trans!B:B)</f>
        <v>Bay of Biscay</v>
      </c>
    </row>
    <row r="925" spans="1:17" x14ac:dyDescent="0.25">
      <c r="A925">
        <v>924</v>
      </c>
      <c r="B925" t="s">
        <v>346</v>
      </c>
      <c r="C925" t="s">
        <v>1654</v>
      </c>
      <c r="D925" t="s">
        <v>1641</v>
      </c>
      <c r="E925" t="s">
        <v>1316</v>
      </c>
      <c r="J925" t="s">
        <v>1583</v>
      </c>
      <c r="N925">
        <v>0</v>
      </c>
      <c r="O925">
        <f>_xlfn.XLOOKUP(VALINA[[#This Row],[id]],prov_color!A:A,prov_color!C:C)</f>
        <v>133</v>
      </c>
      <c r="P925" t="str">
        <f>_xlfn.XLOOKUP(VALINA[[#This Row],[id]],Table4[id],Table4[name])</f>
        <v>Western Approaches</v>
      </c>
      <c r="Q925" t="str">
        <f>_xlfn.XLOOKUP(VALINA[[#This Row],[name]],Trans!A:A,Trans!B:B)</f>
        <v>Western Approaches</v>
      </c>
    </row>
    <row r="926" spans="1:17" x14ac:dyDescent="0.25">
      <c r="A926">
        <v>925</v>
      </c>
      <c r="B926" s="1" t="s">
        <v>346</v>
      </c>
      <c r="C926" s="1" t="s">
        <v>1654</v>
      </c>
      <c r="D926" s="1" t="s">
        <v>1641</v>
      </c>
      <c r="E926" s="1" t="s">
        <v>1316</v>
      </c>
      <c r="F926" s="1"/>
      <c r="G926" s="1"/>
      <c r="H926" s="1"/>
      <c r="I926" s="1"/>
      <c r="J926" s="1" t="s">
        <v>1766</v>
      </c>
      <c r="K926" s="1"/>
      <c r="L926" s="1"/>
      <c r="M926" s="1"/>
      <c r="N926" s="1">
        <v>0</v>
      </c>
      <c r="O926">
        <f>_xlfn.XLOOKUP(VALINA[[#This Row],[id]],prov_color!A:A,prov_color!C:C)</f>
        <v>35</v>
      </c>
      <c r="P926" t="str">
        <f>_xlfn.XLOOKUP(VALINA[[#This Row],[id]],Table4[id],Table4[name])</f>
        <v>Coast of Brittany</v>
      </c>
      <c r="Q926" t="str">
        <f>_xlfn.XLOOKUP(VALINA[[#This Row],[name]],Trans!A:A,Trans!B:B)</f>
        <v>Coast of Brittany</v>
      </c>
    </row>
    <row r="927" spans="1:17" x14ac:dyDescent="0.25">
      <c r="A927">
        <v>926</v>
      </c>
      <c r="B927" t="s">
        <v>346</v>
      </c>
      <c r="C927" t="s">
        <v>1654</v>
      </c>
      <c r="D927" t="s">
        <v>1641</v>
      </c>
      <c r="E927" t="s">
        <v>1316</v>
      </c>
      <c r="J927" t="s">
        <v>1333</v>
      </c>
      <c r="N927">
        <v>0</v>
      </c>
      <c r="O927">
        <f>_xlfn.XLOOKUP(VALINA[[#This Row],[id]],prov_color!A:A,prov_color!C:C)</f>
        <v>38</v>
      </c>
      <c r="P927" t="str">
        <f>_xlfn.XLOOKUP(VALINA[[#This Row],[id]],Table4[id],Table4[name])</f>
        <v>Land's End</v>
      </c>
      <c r="Q927" t="str">
        <f>_xlfn.XLOOKUP(VALINA[[#This Row],[name]],Trans!A:A,Trans!B:B)</f>
        <v>Land's End</v>
      </c>
    </row>
    <row r="928" spans="1:17" x14ac:dyDescent="0.25">
      <c r="A928">
        <v>927</v>
      </c>
      <c r="B928" t="s">
        <v>346</v>
      </c>
      <c r="C928" t="s">
        <v>1649</v>
      </c>
      <c r="D928" t="s">
        <v>1641</v>
      </c>
      <c r="E928" t="s">
        <v>1316</v>
      </c>
      <c r="J928" t="s">
        <v>1484</v>
      </c>
      <c r="N928">
        <v>0</v>
      </c>
      <c r="O928">
        <f>_xlfn.XLOOKUP(VALINA[[#This Row],[id]],prov_color!A:A,prov_color!C:C)</f>
        <v>96</v>
      </c>
      <c r="P928" t="str">
        <f>_xlfn.XLOOKUP(VALINA[[#This Row],[id]],Table4[id],Table4[name])</f>
        <v>Bantry Bay</v>
      </c>
      <c r="Q928" t="str">
        <f>_xlfn.XLOOKUP(VALINA[[#This Row],[name]],Trans!A:A,Trans!B:B)</f>
        <v>Bantry Bay</v>
      </c>
    </row>
    <row r="929" spans="1:17" x14ac:dyDescent="0.25">
      <c r="A929">
        <v>928</v>
      </c>
      <c r="B929" t="s">
        <v>346</v>
      </c>
      <c r="C929" t="s">
        <v>1649</v>
      </c>
      <c r="D929" t="s">
        <v>1641</v>
      </c>
      <c r="E929" t="s">
        <v>1316</v>
      </c>
      <c r="J929" t="s">
        <v>1483</v>
      </c>
      <c r="N929">
        <v>0</v>
      </c>
      <c r="O929">
        <f>_xlfn.XLOOKUP(VALINA[[#This Row],[id]],prov_color!A:A,prov_color!C:C)</f>
        <v>110</v>
      </c>
      <c r="P929" t="str">
        <f>_xlfn.XLOOKUP(VALINA[[#This Row],[id]],Table4[id],Table4[name])</f>
        <v>Donegal Bay</v>
      </c>
      <c r="Q929" t="str">
        <f>_xlfn.XLOOKUP(VALINA[[#This Row],[name]],Trans!A:A,Trans!B:B)</f>
        <v>Donegal Bay</v>
      </c>
    </row>
    <row r="930" spans="1:17" x14ac:dyDescent="0.25">
      <c r="A930">
        <v>929</v>
      </c>
      <c r="B930" t="s">
        <v>346</v>
      </c>
      <c r="C930" t="s">
        <v>1649</v>
      </c>
      <c r="D930" t="s">
        <v>1641</v>
      </c>
      <c r="E930" t="s">
        <v>1316</v>
      </c>
      <c r="J930" t="s">
        <v>1334</v>
      </c>
      <c r="N930">
        <v>0</v>
      </c>
      <c r="O930">
        <f>_xlfn.XLOOKUP(VALINA[[#This Row],[id]],prov_color!A:A,prov_color!C:C)</f>
        <v>42</v>
      </c>
      <c r="P930" t="str">
        <f>_xlfn.XLOOKUP(VALINA[[#This Row],[id]],Table4[id],Table4[name])</f>
        <v>Irish Sea</v>
      </c>
      <c r="Q930" t="str">
        <f>_xlfn.XLOOKUP(VALINA[[#This Row],[name]],Trans!A:A,Trans!B:B)</f>
        <v>Irish Sea</v>
      </c>
    </row>
    <row r="931" spans="1:17" x14ac:dyDescent="0.25">
      <c r="A931">
        <v>930</v>
      </c>
      <c r="B931" t="s">
        <v>346</v>
      </c>
      <c r="C931" t="s">
        <v>1649</v>
      </c>
      <c r="D931" t="s">
        <v>1641</v>
      </c>
      <c r="E931" t="s">
        <v>1316</v>
      </c>
      <c r="J931" t="s">
        <v>1335</v>
      </c>
      <c r="N931">
        <v>0</v>
      </c>
      <c r="O931">
        <f>_xlfn.XLOOKUP(VALINA[[#This Row],[id]],prov_color!A:A,prov_color!C:C)</f>
        <v>86</v>
      </c>
      <c r="P931" t="str">
        <f>_xlfn.XLOOKUP(VALINA[[#This Row],[id]],Table4[id],Table4[name])</f>
        <v>Hebrides</v>
      </c>
      <c r="Q931" t="str">
        <f>_xlfn.XLOOKUP(VALINA[[#This Row],[name]],Trans!A:A,Trans!B:B)</f>
        <v>Hebrides</v>
      </c>
    </row>
    <row r="932" spans="1:17" x14ac:dyDescent="0.25">
      <c r="A932">
        <v>931</v>
      </c>
      <c r="B932" t="s">
        <v>346</v>
      </c>
      <c r="C932" t="s">
        <v>1649</v>
      </c>
      <c r="D932" t="s">
        <v>1641</v>
      </c>
      <c r="E932" t="s">
        <v>1316</v>
      </c>
      <c r="J932" t="s">
        <v>1330</v>
      </c>
      <c r="N932">
        <v>0</v>
      </c>
      <c r="O932">
        <f>_xlfn.XLOOKUP(VALINA[[#This Row],[id]],prov_color!A:A,prov_color!C:C)</f>
        <v>60</v>
      </c>
      <c r="P932" t="str">
        <f>_xlfn.XLOOKUP(VALINA[[#This Row],[id]],Table4[id],Table4[name])</f>
        <v>Moray Firth</v>
      </c>
      <c r="Q932" t="str">
        <f>_xlfn.XLOOKUP(VALINA[[#This Row],[name]],Trans!A:A,Trans!B:B)</f>
        <v>Moray Firth</v>
      </c>
    </row>
    <row r="933" spans="1:17" x14ac:dyDescent="0.25">
      <c r="A933" s="1">
        <v>932</v>
      </c>
      <c r="B933" s="1" t="s">
        <v>346</v>
      </c>
      <c r="C933" s="1" t="s">
        <v>1649</v>
      </c>
      <c r="D933" s="1" t="s">
        <v>1641</v>
      </c>
      <c r="E933" s="1" t="s">
        <v>1316</v>
      </c>
      <c r="F933" s="1"/>
      <c r="G933" s="1"/>
      <c r="H933" s="1"/>
      <c r="I933" s="1"/>
      <c r="J933" s="1" t="s">
        <v>1767</v>
      </c>
      <c r="K933" s="1"/>
      <c r="L933" s="1"/>
      <c r="M933" s="1"/>
      <c r="N933" s="1">
        <v>0</v>
      </c>
      <c r="O933">
        <f>_xlfn.XLOOKUP(VALINA[[#This Row],[id]],prov_color!A:A,prov_color!C:C)</f>
        <v>37</v>
      </c>
      <c r="P933" t="str">
        <f>_xlfn.XLOOKUP(VALINA[[#This Row],[id]],Table4[id],Table4[name])</f>
        <v>Firth of Forth</v>
      </c>
      <c r="Q933" t="str">
        <f>_xlfn.XLOOKUP(VALINA[[#This Row],[name]],Trans!A:A,Trans!B:B)</f>
        <v>Firth of Forth</v>
      </c>
    </row>
    <row r="934" spans="1:17" x14ac:dyDescent="0.25">
      <c r="A934">
        <v>933</v>
      </c>
      <c r="B934" t="s">
        <v>346</v>
      </c>
      <c r="C934" t="s">
        <v>1649</v>
      </c>
      <c r="D934" t="s">
        <v>1641</v>
      </c>
      <c r="E934" t="s">
        <v>1316</v>
      </c>
      <c r="J934" t="s">
        <v>1768</v>
      </c>
      <c r="N934">
        <v>0</v>
      </c>
      <c r="O934">
        <f>_xlfn.XLOOKUP(VALINA[[#This Row],[id]],prov_color!A:A,prov_color!C:C)</f>
        <v>160</v>
      </c>
      <c r="P934" t="str">
        <f>_xlfn.XLOOKUP(VALINA[[#This Row],[id]],Table4[id],Table4[name])</f>
        <v>The North Sea</v>
      </c>
      <c r="Q934" t="str">
        <f>_xlfn.XLOOKUP(VALINA[[#This Row],[name]],Trans!A:A,Trans!B:B)</f>
        <v>North Sea</v>
      </c>
    </row>
    <row r="935" spans="1:17" x14ac:dyDescent="0.25">
      <c r="A935">
        <v>934</v>
      </c>
      <c r="B935" t="s">
        <v>346</v>
      </c>
      <c r="C935" t="s">
        <v>1649</v>
      </c>
      <c r="D935" t="s">
        <v>1641</v>
      </c>
      <c r="E935" t="s">
        <v>1316</v>
      </c>
      <c r="J935" t="s">
        <v>1329</v>
      </c>
      <c r="N935">
        <v>0</v>
      </c>
      <c r="O935">
        <f>_xlfn.XLOOKUP(VALINA[[#This Row],[id]],prov_color!A:A,prov_color!C:C)</f>
        <v>34</v>
      </c>
      <c r="P935" t="str">
        <f>_xlfn.XLOOKUP(VALINA[[#This Row],[id]],Table4[id],Table4[name])</f>
        <v>Tyne</v>
      </c>
      <c r="Q935" t="str">
        <f>_xlfn.XLOOKUP(VALINA[[#This Row],[name]],Trans!A:A,Trans!B:B)</f>
        <v>Tyne</v>
      </c>
    </row>
    <row r="936" spans="1:17" x14ac:dyDescent="0.25">
      <c r="A936">
        <v>935</v>
      </c>
      <c r="B936" t="s">
        <v>346</v>
      </c>
      <c r="C936" t="s">
        <v>1649</v>
      </c>
      <c r="D936" t="s">
        <v>1641</v>
      </c>
      <c r="E936" t="s">
        <v>1316</v>
      </c>
      <c r="J936" t="s">
        <v>1769</v>
      </c>
      <c r="N936">
        <v>0</v>
      </c>
      <c r="O936">
        <f>_xlfn.XLOOKUP(VALINA[[#This Row],[id]],prov_color!A:A,prov_color!C:C)</f>
        <v>46</v>
      </c>
      <c r="P936" t="str">
        <f>_xlfn.XLOOKUP(VALINA[[#This Row],[id]],Table4[id],Table4[name])</f>
        <v>Dogger Bank</v>
      </c>
      <c r="Q936" t="str">
        <f>_xlfn.XLOOKUP(VALINA[[#This Row],[name]],Trans!A:A,Trans!B:B)</f>
        <v>Dogger Bank</v>
      </c>
    </row>
    <row r="937" spans="1:17" x14ac:dyDescent="0.25">
      <c r="A937">
        <v>936</v>
      </c>
      <c r="B937" t="s">
        <v>346</v>
      </c>
      <c r="C937" t="s">
        <v>1654</v>
      </c>
      <c r="D937" t="s">
        <v>1641</v>
      </c>
      <c r="E937" t="s">
        <v>1316</v>
      </c>
      <c r="J937" t="s">
        <v>1332</v>
      </c>
      <c r="N937">
        <v>0</v>
      </c>
      <c r="O937">
        <f>_xlfn.XLOOKUP(VALINA[[#This Row],[id]],prov_color!A:A,prov_color!C:C)</f>
        <v>29</v>
      </c>
      <c r="P937" t="str">
        <f>_xlfn.XLOOKUP(VALINA[[#This Row],[id]],Table4[id],Table4[name])</f>
        <v>The Channel</v>
      </c>
      <c r="Q937" t="str">
        <f>_xlfn.XLOOKUP(VALINA[[#This Row],[name]],Trans!A:A,Trans!B:B)</f>
        <v>The Channel</v>
      </c>
    </row>
    <row r="938" spans="1:17" x14ac:dyDescent="0.25">
      <c r="A938">
        <v>937</v>
      </c>
      <c r="B938" t="s">
        <v>346</v>
      </c>
      <c r="C938" t="s">
        <v>1649</v>
      </c>
      <c r="D938" t="s">
        <v>1641</v>
      </c>
      <c r="E938" t="s">
        <v>1316</v>
      </c>
      <c r="J938" t="s">
        <v>1331</v>
      </c>
      <c r="N938">
        <v>0</v>
      </c>
      <c r="O938">
        <f>_xlfn.XLOOKUP(VALINA[[#This Row],[id]],prov_color!A:A,prov_color!C:C)</f>
        <v>18</v>
      </c>
      <c r="P938" t="str">
        <f>_xlfn.XLOOKUP(VALINA[[#This Row],[id]],Table4[id],Table4[name])</f>
        <v>Straits of Dover</v>
      </c>
      <c r="Q938" t="str">
        <f>_xlfn.XLOOKUP(VALINA[[#This Row],[name]],Trans!A:A,Trans!B:B)</f>
        <v>Straits of Dover</v>
      </c>
    </row>
    <row r="939" spans="1:17" x14ac:dyDescent="0.25">
      <c r="A939">
        <v>938</v>
      </c>
      <c r="B939" t="s">
        <v>346</v>
      </c>
      <c r="C939" t="s">
        <v>1649</v>
      </c>
      <c r="D939" t="s">
        <v>1641</v>
      </c>
      <c r="E939" t="s">
        <v>1316</v>
      </c>
      <c r="J939" t="s">
        <v>1328</v>
      </c>
      <c r="N939">
        <v>0</v>
      </c>
      <c r="O939">
        <f>_xlfn.XLOOKUP(VALINA[[#This Row],[id]],prov_color!A:A,prov_color!C:C)</f>
        <v>46</v>
      </c>
      <c r="P939" t="str">
        <f>_xlfn.XLOOKUP(VALINA[[#This Row],[id]],Table4[id],Table4[name])</f>
        <v>Coast of Holland</v>
      </c>
      <c r="Q939" t="str">
        <f>_xlfn.XLOOKUP(VALINA[[#This Row],[name]],Trans!A:A,Trans!B:B)</f>
        <v>Coast of Holland</v>
      </c>
    </row>
    <row r="940" spans="1:17" x14ac:dyDescent="0.25">
      <c r="A940">
        <v>939</v>
      </c>
      <c r="B940" t="s">
        <v>346</v>
      </c>
      <c r="C940" t="s">
        <v>1649</v>
      </c>
      <c r="D940" t="s">
        <v>1641</v>
      </c>
      <c r="E940" t="s">
        <v>1316</v>
      </c>
      <c r="J940" t="s">
        <v>1327</v>
      </c>
      <c r="N940">
        <v>0</v>
      </c>
      <c r="O940">
        <f>_xlfn.XLOOKUP(VALINA[[#This Row],[id]],prov_color!A:A,prov_color!C:C)</f>
        <v>37</v>
      </c>
      <c r="P940" t="str">
        <f>_xlfn.XLOOKUP(VALINA[[#This Row],[id]],Table4[id],Table4[name])</f>
        <v>German Bight</v>
      </c>
      <c r="Q940" t="str">
        <f>_xlfn.XLOOKUP(VALINA[[#This Row],[name]],Trans!A:A,Trans!B:B)</f>
        <v>German Bight</v>
      </c>
    </row>
    <row r="941" spans="1:17" x14ac:dyDescent="0.25">
      <c r="A941">
        <v>940</v>
      </c>
      <c r="B941" t="s">
        <v>653</v>
      </c>
      <c r="C941" t="s">
        <v>1655</v>
      </c>
      <c r="D941" t="s">
        <v>1641</v>
      </c>
      <c r="E941" t="s">
        <v>1316</v>
      </c>
      <c r="J941" t="s">
        <v>1770</v>
      </c>
      <c r="N941">
        <v>0</v>
      </c>
      <c r="O941">
        <f>_xlfn.XLOOKUP(VALINA[[#This Row],[id]],prov_color!A:A,prov_color!C:C)</f>
        <v>97</v>
      </c>
      <c r="P941" t="str">
        <f>_xlfn.XLOOKUP(VALINA[[#This Row],[id]],Table4[id],Table4[name])</f>
        <v>Korea Bay</v>
      </c>
      <c r="Q941" t="str">
        <f>_xlfn.XLOOKUP(VALINA[[#This Row],[name]],Trans!A:A,Trans!B:B)</f>
        <v>Korea Bay</v>
      </c>
    </row>
    <row r="942" spans="1:17" x14ac:dyDescent="0.25">
      <c r="A942">
        <v>941</v>
      </c>
      <c r="B942" t="s">
        <v>653</v>
      </c>
      <c r="C942" t="s">
        <v>1655</v>
      </c>
      <c r="D942" t="s">
        <v>1641</v>
      </c>
      <c r="E942" t="s">
        <v>1316</v>
      </c>
      <c r="J942" t="s">
        <v>1358</v>
      </c>
      <c r="N942">
        <v>0</v>
      </c>
      <c r="O942">
        <f>_xlfn.XLOOKUP(VALINA[[#This Row],[id]],prov_color!A:A,prov_color!C:C)</f>
        <v>116</v>
      </c>
      <c r="P942" t="str">
        <f>_xlfn.XLOOKUP(VALINA[[#This Row],[id]],Table4[id],Table4[name])</f>
        <v>Yellow Sea</v>
      </c>
      <c r="Q942" t="str">
        <f>_xlfn.XLOOKUP(VALINA[[#This Row],[name]],Trans!A:A,Trans!B:B)</f>
        <v>Yellow Sea</v>
      </c>
    </row>
    <row r="943" spans="1:17" x14ac:dyDescent="0.25">
      <c r="A943">
        <v>942</v>
      </c>
      <c r="B943" t="s">
        <v>653</v>
      </c>
      <c r="C943" t="s">
        <v>1651</v>
      </c>
      <c r="D943" t="s">
        <v>1641</v>
      </c>
      <c r="E943" t="s">
        <v>1316</v>
      </c>
      <c r="J943" t="s">
        <v>1359</v>
      </c>
      <c r="N943">
        <v>0</v>
      </c>
      <c r="O943">
        <f>_xlfn.XLOOKUP(VALINA[[#This Row],[id]],prov_color!A:A,prov_color!C:C)</f>
        <v>81</v>
      </c>
      <c r="P943" t="str">
        <f>_xlfn.XLOOKUP(VALINA[[#This Row],[id]],Table4[id],Table4[name])</f>
        <v>South Korean Sea</v>
      </c>
      <c r="Q943" t="str">
        <f>_xlfn.XLOOKUP(VALINA[[#This Row],[name]],Trans!A:A,Trans!B:B)</f>
        <v>South Korean Sea</v>
      </c>
    </row>
    <row r="944" spans="1:17" x14ac:dyDescent="0.25">
      <c r="A944">
        <v>943</v>
      </c>
      <c r="B944" t="s">
        <v>653</v>
      </c>
      <c r="C944" t="s">
        <v>1651</v>
      </c>
      <c r="D944" t="s">
        <v>1641</v>
      </c>
      <c r="E944" t="s">
        <v>1316</v>
      </c>
      <c r="J944" t="s">
        <v>1360</v>
      </c>
      <c r="N944">
        <v>0</v>
      </c>
      <c r="O944">
        <f>_xlfn.XLOOKUP(VALINA[[#This Row],[id]],prov_color!A:A,prov_color!C:C)</f>
        <v>43</v>
      </c>
      <c r="P944" t="str">
        <f>_xlfn.XLOOKUP(VALINA[[#This Row],[id]],Table4[id],Table4[name])</f>
        <v>North Korean Sea</v>
      </c>
      <c r="Q944" t="str">
        <f>_xlfn.XLOOKUP(VALINA[[#This Row],[name]],Trans!A:A,Trans!B:B)</f>
        <v>North Korean Sea</v>
      </c>
    </row>
    <row r="945" spans="1:17" x14ac:dyDescent="0.25">
      <c r="A945">
        <v>944</v>
      </c>
      <c r="B945" t="s">
        <v>653</v>
      </c>
      <c r="C945" t="s">
        <v>1651</v>
      </c>
      <c r="D945" t="s">
        <v>1641</v>
      </c>
      <c r="E945" t="s">
        <v>1316</v>
      </c>
      <c r="J945" t="s">
        <v>1771</v>
      </c>
      <c r="N945">
        <v>0</v>
      </c>
      <c r="O945">
        <f>_xlfn.XLOOKUP(VALINA[[#This Row],[id]],prov_color!A:A,prov_color!C:C)</f>
        <v>47</v>
      </c>
      <c r="P945" t="str">
        <f>_xlfn.XLOOKUP(VALINA[[#This Row],[id]],Table4[id],Table4[name])</f>
        <v>Tsushima Strait</v>
      </c>
      <c r="Q945" t="str">
        <f>_xlfn.XLOOKUP(VALINA[[#This Row],[name]],Trans!A:A,Trans!B:B)</f>
        <v>Tsushima Strait</v>
      </c>
    </row>
    <row r="946" spans="1:17" x14ac:dyDescent="0.25">
      <c r="A946">
        <v>945</v>
      </c>
      <c r="B946" t="s">
        <v>653</v>
      </c>
      <c r="C946" t="s">
        <v>1651</v>
      </c>
      <c r="D946" t="s">
        <v>1641</v>
      </c>
      <c r="E946" t="s">
        <v>1316</v>
      </c>
      <c r="J946" t="s">
        <v>1362</v>
      </c>
      <c r="N946">
        <v>0</v>
      </c>
      <c r="O946">
        <f>_xlfn.XLOOKUP(VALINA[[#This Row],[id]],prov_color!A:A,prov_color!C:C)</f>
        <v>57</v>
      </c>
      <c r="P946" t="str">
        <f>_xlfn.XLOOKUP(VALINA[[#This Row],[id]],Table4[id],Table4[name])</f>
        <v>Sado Strait</v>
      </c>
      <c r="Q946" t="str">
        <f>_xlfn.XLOOKUP(VALINA[[#This Row],[name]],Trans!A:A,Trans!B:B)</f>
        <v>Sado Strait</v>
      </c>
    </row>
    <row r="947" spans="1:17" x14ac:dyDescent="0.25">
      <c r="A947">
        <v>946</v>
      </c>
      <c r="B947" t="s">
        <v>653</v>
      </c>
      <c r="C947" t="s">
        <v>1651</v>
      </c>
      <c r="D947" t="s">
        <v>1641</v>
      </c>
      <c r="E947" t="s">
        <v>1316</v>
      </c>
      <c r="J947" t="s">
        <v>1361</v>
      </c>
      <c r="N947">
        <v>0</v>
      </c>
      <c r="O947">
        <f>_xlfn.XLOOKUP(VALINA[[#This Row],[id]],prov_color!A:A,prov_color!C:C)</f>
        <v>77</v>
      </c>
      <c r="P947" t="str">
        <f>_xlfn.XLOOKUP(VALINA[[#This Row],[id]],Table4[id],Table4[name])</f>
        <v>Sea of Japan</v>
      </c>
      <c r="Q947" t="str">
        <f>_xlfn.XLOOKUP(VALINA[[#This Row],[name]],Trans!A:A,Trans!B:B)</f>
        <v>Sea of Japan</v>
      </c>
    </row>
    <row r="948" spans="1:17" x14ac:dyDescent="0.25">
      <c r="A948">
        <v>947</v>
      </c>
      <c r="B948" t="s">
        <v>653</v>
      </c>
      <c r="C948" t="s">
        <v>1651</v>
      </c>
      <c r="D948" t="s">
        <v>1641</v>
      </c>
      <c r="E948" t="s">
        <v>1316</v>
      </c>
      <c r="J948" t="s">
        <v>1772</v>
      </c>
      <c r="N948">
        <v>0</v>
      </c>
      <c r="O948">
        <f>_xlfn.XLOOKUP(VALINA[[#This Row],[id]],prov_color!A:A,prov_color!C:C)</f>
        <v>76</v>
      </c>
      <c r="P948" t="str">
        <f>_xlfn.XLOOKUP(VALINA[[#This Row],[id]],Table4[id],Table4[name])</f>
        <v>Western Japan Sea</v>
      </c>
      <c r="Q948" t="str">
        <f>_xlfn.XLOOKUP(VALINA[[#This Row],[name]],Trans!A:A,Trans!B:B)</f>
        <v>Western Japan Sea</v>
      </c>
    </row>
    <row r="949" spans="1:17" x14ac:dyDescent="0.25">
      <c r="A949">
        <v>948</v>
      </c>
      <c r="B949" t="s">
        <v>653</v>
      </c>
      <c r="C949" t="s">
        <v>1651</v>
      </c>
      <c r="D949" t="s">
        <v>1641</v>
      </c>
      <c r="E949" t="s">
        <v>1316</v>
      </c>
      <c r="J949" t="s">
        <v>1773</v>
      </c>
      <c r="N949">
        <v>0</v>
      </c>
      <c r="O949">
        <f>_xlfn.XLOOKUP(VALINA[[#This Row],[id]],prov_color!A:A,prov_color!C:C)</f>
        <v>67</v>
      </c>
      <c r="P949" t="str">
        <f>_xlfn.XLOOKUP(VALINA[[#This Row],[id]],Table4[id],Table4[name])</f>
        <v>Northern Japan Sea</v>
      </c>
      <c r="Q949" t="str">
        <f>_xlfn.XLOOKUP(VALINA[[#This Row],[name]],Trans!A:A,Trans!B:B)</f>
        <v>Northern Japan Sea</v>
      </c>
    </row>
    <row r="950" spans="1:17" x14ac:dyDescent="0.25">
      <c r="A950">
        <v>949</v>
      </c>
      <c r="B950" t="s">
        <v>653</v>
      </c>
      <c r="C950" t="s">
        <v>1651</v>
      </c>
      <c r="D950" t="s">
        <v>1641</v>
      </c>
      <c r="E950" t="s">
        <v>1316</v>
      </c>
      <c r="J950" t="s">
        <v>1774</v>
      </c>
      <c r="N950">
        <v>0</v>
      </c>
      <c r="O950">
        <f>_xlfn.XLOOKUP(VALINA[[#This Row],[id]],prov_color!A:A,prov_color!C:C)</f>
        <v>118</v>
      </c>
      <c r="P950" t="str">
        <f>_xlfn.XLOOKUP(VALINA[[#This Row],[id]],Table4[id],Table4[name])</f>
        <v>Tsugaru Strait</v>
      </c>
      <c r="Q950" t="str">
        <f>_xlfn.XLOOKUP(VALINA[[#This Row],[name]],Trans!A:A,Trans!B:B)</f>
        <v>Tsugaru Strait</v>
      </c>
    </row>
    <row r="951" spans="1:17" x14ac:dyDescent="0.25">
      <c r="A951">
        <v>950</v>
      </c>
      <c r="B951" t="s">
        <v>653</v>
      </c>
      <c r="C951" t="s">
        <v>1651</v>
      </c>
      <c r="D951" t="s">
        <v>1641</v>
      </c>
      <c r="E951" t="s">
        <v>1316</v>
      </c>
      <c r="J951" t="s">
        <v>1775</v>
      </c>
      <c r="N951">
        <v>0</v>
      </c>
      <c r="O951">
        <f>_xlfn.XLOOKUP(VALINA[[#This Row],[id]],prov_color!A:A,prov_color!C:C)</f>
        <v>370</v>
      </c>
      <c r="P951" t="str">
        <f>_xlfn.XLOOKUP(VALINA[[#This Row],[id]],Table4[id],Table4[name])</f>
        <v>Taihei Ocean</v>
      </c>
      <c r="Q951" t="str">
        <f>_xlfn.XLOOKUP(VALINA[[#This Row],[name]],Trans!A:A,Trans!B:B)</f>
        <v>Taihei Ocean</v>
      </c>
    </row>
    <row r="952" spans="1:17" x14ac:dyDescent="0.25">
      <c r="A952">
        <v>951</v>
      </c>
      <c r="B952" t="s">
        <v>653</v>
      </c>
      <c r="C952" t="s">
        <v>1656</v>
      </c>
      <c r="D952" t="s">
        <v>1641</v>
      </c>
      <c r="E952" t="s">
        <v>1316</v>
      </c>
      <c r="J952" t="s">
        <v>6463</v>
      </c>
      <c r="N952">
        <v>0</v>
      </c>
      <c r="O952">
        <f>_xlfn.XLOOKUP(VALINA[[#This Row],[id]],prov_color!A:A,prov_color!C:C)</f>
        <v>455</v>
      </c>
      <c r="P952" t="str">
        <f>_xlfn.XLOOKUP(VALINA[[#This Row],[id]],Table4[id],Table4[name])</f>
        <v>Taihei Ocean 2</v>
      </c>
      <c r="Q952" t="e">
        <f>_xlfn.XLOOKUP(VALINA[[#This Row],[name]],Trans!A:A,Trans!B:B)</f>
        <v>#N/A</v>
      </c>
    </row>
    <row r="953" spans="1:17" x14ac:dyDescent="0.25">
      <c r="A953">
        <v>952</v>
      </c>
      <c r="B953" t="s">
        <v>653</v>
      </c>
      <c r="C953" t="s">
        <v>1656</v>
      </c>
      <c r="D953" t="s">
        <v>1641</v>
      </c>
      <c r="E953" t="s">
        <v>1316</v>
      </c>
      <c r="J953" t="s">
        <v>1746</v>
      </c>
      <c r="N953">
        <v>0</v>
      </c>
      <c r="O953">
        <f>_xlfn.XLOOKUP(VALINA[[#This Row],[id]],prov_color!A:A,prov_color!C:C)</f>
        <v>481</v>
      </c>
      <c r="P953" t="str">
        <f>_xlfn.XLOOKUP(VALINA[[#This Row],[id]],Table4[id],Table4[name])</f>
        <v>Northern Pacific Ocean</v>
      </c>
      <c r="Q953" t="str">
        <f>_xlfn.XLOOKUP(VALINA[[#This Row],[name]],Trans!A:A,Trans!B:B)</f>
        <v>Northern Pacific Ocean</v>
      </c>
    </row>
    <row r="954" spans="1:17" x14ac:dyDescent="0.25">
      <c r="A954">
        <v>953</v>
      </c>
      <c r="B954" t="s">
        <v>653</v>
      </c>
      <c r="C954" t="s">
        <v>1640</v>
      </c>
      <c r="D954" t="s">
        <v>1641</v>
      </c>
      <c r="E954" t="s">
        <v>1316</v>
      </c>
      <c r="J954" t="s">
        <v>1746</v>
      </c>
      <c r="N954">
        <v>0</v>
      </c>
      <c r="O954">
        <f>_xlfn.XLOOKUP(VALINA[[#This Row],[id]],prov_color!A:A,prov_color!C:C)</f>
        <v>513</v>
      </c>
      <c r="P954" t="str">
        <f>_xlfn.XLOOKUP(VALINA[[#This Row],[id]],Table4[id],Table4[name])</f>
        <v>Northern Pacific Ocean</v>
      </c>
      <c r="Q954" t="str">
        <f>_xlfn.XLOOKUP(VALINA[[#This Row],[name]],Trans!A:A,Trans!B:B)</f>
        <v>Northern Pacific Ocean</v>
      </c>
    </row>
    <row r="955" spans="1:17" x14ac:dyDescent="0.25">
      <c r="A955">
        <v>954</v>
      </c>
      <c r="B955" t="s">
        <v>653</v>
      </c>
      <c r="C955" t="s">
        <v>1640</v>
      </c>
      <c r="D955" t="s">
        <v>1641</v>
      </c>
      <c r="E955" t="s">
        <v>1316</v>
      </c>
      <c r="J955" t="s">
        <v>1746</v>
      </c>
      <c r="N955">
        <v>0</v>
      </c>
      <c r="O955">
        <f>_xlfn.XLOOKUP(VALINA[[#This Row],[id]],prov_color!A:A,prov_color!C:C)</f>
        <v>694</v>
      </c>
      <c r="P955" t="str">
        <f>_xlfn.XLOOKUP(VALINA[[#This Row],[id]],Table4[id],Table4[name])</f>
        <v>Northern Pacific Ocean</v>
      </c>
      <c r="Q955" t="str">
        <f>_xlfn.XLOOKUP(VALINA[[#This Row],[name]],Trans!A:A,Trans!B:B)</f>
        <v>Northern Pacific Ocean</v>
      </c>
    </row>
    <row r="956" spans="1:17" x14ac:dyDescent="0.25">
      <c r="A956">
        <v>955</v>
      </c>
      <c r="B956" t="s">
        <v>653</v>
      </c>
      <c r="C956" t="s">
        <v>1656</v>
      </c>
      <c r="D956" t="s">
        <v>1641</v>
      </c>
      <c r="E956" t="s">
        <v>1316</v>
      </c>
      <c r="J956" t="s">
        <v>1746</v>
      </c>
      <c r="N956">
        <v>0</v>
      </c>
      <c r="O956">
        <f>_xlfn.XLOOKUP(VALINA[[#This Row],[id]],prov_color!A:A,prov_color!C:C)</f>
        <v>691</v>
      </c>
      <c r="P956" t="str">
        <f>_xlfn.XLOOKUP(VALINA[[#This Row],[id]],Table4[id],Table4[name])</f>
        <v>Northern Pacific Ocean</v>
      </c>
      <c r="Q956" t="str">
        <f>_xlfn.XLOOKUP(VALINA[[#This Row],[name]],Trans!A:A,Trans!B:B)</f>
        <v>Northern Pacific Ocean</v>
      </c>
    </row>
    <row r="957" spans="1:17" x14ac:dyDescent="0.25">
      <c r="A957">
        <v>956</v>
      </c>
      <c r="B957" t="s">
        <v>990</v>
      </c>
      <c r="C957" t="s">
        <v>1652</v>
      </c>
      <c r="D957" t="s">
        <v>1641</v>
      </c>
      <c r="E957" t="s">
        <v>1316</v>
      </c>
      <c r="J957" t="s">
        <v>1776</v>
      </c>
      <c r="N957">
        <v>0</v>
      </c>
      <c r="O957">
        <f>_xlfn.XLOOKUP(VALINA[[#This Row],[id]],prov_color!A:A,prov_color!C:C)</f>
        <v>454</v>
      </c>
      <c r="P957" t="str">
        <f>_xlfn.XLOOKUP(VALINA[[#This Row],[id]],Table4[id],Table4[name])</f>
        <v>Midway Island</v>
      </c>
      <c r="Q957" t="str">
        <f>_xlfn.XLOOKUP(VALINA[[#This Row],[name]],Trans!A:A,Trans!B:B)</f>
        <v>Midway Island</v>
      </c>
    </row>
    <row r="958" spans="1:17" x14ac:dyDescent="0.25">
      <c r="A958">
        <v>957</v>
      </c>
      <c r="B958" t="s">
        <v>990</v>
      </c>
      <c r="C958" t="s">
        <v>1652</v>
      </c>
      <c r="D958" t="s">
        <v>1641</v>
      </c>
      <c r="E958" t="s">
        <v>1316</v>
      </c>
      <c r="J958" t="s">
        <v>1949</v>
      </c>
      <c r="N958">
        <v>0</v>
      </c>
      <c r="O958">
        <f>_xlfn.XLOOKUP(VALINA[[#This Row],[id]],prov_color!A:A,prov_color!C:C)</f>
        <v>859</v>
      </c>
      <c r="P958" t="str">
        <f>_xlfn.XLOOKUP(VALINA[[#This Row],[id]],Table4[id],Table4[name])</f>
        <v>Hawaiian Sea</v>
      </c>
      <c r="Q958" t="str">
        <f>_xlfn.XLOOKUP(VALINA[[#This Row],[name]],Trans!A:A,Trans!B:B)</f>
        <v>Hawaiian Sea</v>
      </c>
    </row>
    <row r="959" spans="1:17" x14ac:dyDescent="0.25">
      <c r="A959">
        <v>958</v>
      </c>
      <c r="B959" t="s">
        <v>990</v>
      </c>
      <c r="C959" t="s">
        <v>1652</v>
      </c>
      <c r="D959" t="s">
        <v>1641</v>
      </c>
      <c r="E959" t="s">
        <v>1316</v>
      </c>
      <c r="J959" t="s">
        <v>1778</v>
      </c>
      <c r="N959">
        <v>0</v>
      </c>
      <c r="O959">
        <f>_xlfn.XLOOKUP(VALINA[[#This Row],[id]],prov_color!A:A,prov_color!C:C)</f>
        <v>531</v>
      </c>
      <c r="P959" t="str">
        <f>_xlfn.XLOOKUP(VALINA[[#This Row],[id]],Table4[id],Table4[name])</f>
        <v>Northeastern Pacific Ocean</v>
      </c>
      <c r="Q959" t="str">
        <f>_xlfn.XLOOKUP(VALINA[[#This Row],[name]],Trans!A:A,Trans!B:B)</f>
        <v>Northeastern Pacific Ocean</v>
      </c>
    </row>
    <row r="960" spans="1:17" x14ac:dyDescent="0.25">
      <c r="A960">
        <v>959</v>
      </c>
      <c r="B960" t="s">
        <v>990</v>
      </c>
      <c r="C960" t="s">
        <v>1652</v>
      </c>
      <c r="D960" t="s">
        <v>1641</v>
      </c>
      <c r="E960" t="s">
        <v>1316</v>
      </c>
      <c r="J960" t="s">
        <v>1778</v>
      </c>
      <c r="N960">
        <v>0</v>
      </c>
      <c r="O960">
        <f>_xlfn.XLOOKUP(VALINA[[#This Row],[id]],prov_color!A:A,prov_color!C:C)</f>
        <v>418</v>
      </c>
      <c r="P960" t="str">
        <f>_xlfn.XLOOKUP(VALINA[[#This Row],[id]],Table4[id],Table4[name])</f>
        <v>Northeastern Pacific Ocean</v>
      </c>
      <c r="Q960" t="str">
        <f>_xlfn.XLOOKUP(VALINA[[#This Row],[name]],Trans!A:A,Trans!B:B)</f>
        <v>Northeastern Pacific Ocean</v>
      </c>
    </row>
    <row r="961" spans="1:17" x14ac:dyDescent="0.25">
      <c r="A961">
        <v>960</v>
      </c>
      <c r="B961" t="s">
        <v>11</v>
      </c>
      <c r="C961" t="s">
        <v>1652</v>
      </c>
      <c r="D961" t="s">
        <v>1641</v>
      </c>
      <c r="E961" t="s">
        <v>1316</v>
      </c>
      <c r="J961" t="s">
        <v>1778</v>
      </c>
      <c r="N961">
        <v>0</v>
      </c>
      <c r="O961">
        <f>_xlfn.XLOOKUP(VALINA[[#This Row],[id]],prov_color!A:A,prov_color!C:C)</f>
        <v>499</v>
      </c>
      <c r="P961" t="str">
        <f>_xlfn.XLOOKUP(VALINA[[#This Row],[id]],Table4[id],Table4[name])</f>
        <v>Northeastern Pacific Ocean</v>
      </c>
      <c r="Q961" t="str">
        <f>_xlfn.XLOOKUP(VALINA[[#This Row],[name]],Trans!A:A,Trans!B:B)</f>
        <v>Northeastern Pacific Ocean</v>
      </c>
    </row>
    <row r="962" spans="1:17" x14ac:dyDescent="0.25">
      <c r="A962">
        <v>961</v>
      </c>
      <c r="B962" t="s">
        <v>11</v>
      </c>
      <c r="C962" t="s">
        <v>1652</v>
      </c>
      <c r="D962" t="s">
        <v>1641</v>
      </c>
      <c r="E962" t="s">
        <v>1316</v>
      </c>
      <c r="J962" t="s">
        <v>1778</v>
      </c>
      <c r="N962">
        <v>0</v>
      </c>
      <c r="O962">
        <f>_xlfn.XLOOKUP(VALINA[[#This Row],[id]],prov_color!A:A,prov_color!C:C)</f>
        <v>567</v>
      </c>
      <c r="P962" t="str">
        <f>_xlfn.XLOOKUP(VALINA[[#This Row],[id]],Table4[id],Table4[name])</f>
        <v>Northeastern Pacific Ocean</v>
      </c>
      <c r="Q962" t="str">
        <f>_xlfn.XLOOKUP(VALINA[[#This Row],[name]],Trans!A:A,Trans!B:B)</f>
        <v>Northeastern Pacific Ocean</v>
      </c>
    </row>
    <row r="963" spans="1:17" x14ac:dyDescent="0.25">
      <c r="A963">
        <v>962</v>
      </c>
      <c r="B963" t="s">
        <v>11</v>
      </c>
      <c r="C963" t="s">
        <v>1652</v>
      </c>
      <c r="D963" t="s">
        <v>1641</v>
      </c>
      <c r="E963" t="s">
        <v>1316</v>
      </c>
      <c r="J963" t="s">
        <v>1571</v>
      </c>
      <c r="N963">
        <v>0</v>
      </c>
      <c r="O963">
        <f>_xlfn.XLOOKUP(VALINA[[#This Row],[id]],prov_color!A:A,prov_color!C:C)</f>
        <v>117</v>
      </c>
      <c r="P963" t="str">
        <f>_xlfn.XLOOKUP(VALINA[[#This Row],[id]],Table4[id],Table4[name])</f>
        <v>Manzanillo Bay</v>
      </c>
      <c r="Q963" t="str">
        <f>_xlfn.XLOOKUP(VALINA[[#This Row],[name]],Trans!A:A,Trans!B:B)</f>
        <v>Manzanillo Bay</v>
      </c>
    </row>
    <row r="964" spans="1:17" x14ac:dyDescent="0.25">
      <c r="A964">
        <v>963</v>
      </c>
      <c r="B964" t="s">
        <v>11</v>
      </c>
      <c r="C964" t="s">
        <v>1652</v>
      </c>
      <c r="D964" t="s">
        <v>1641</v>
      </c>
      <c r="E964" t="s">
        <v>1316</v>
      </c>
      <c r="J964" t="s">
        <v>1570</v>
      </c>
      <c r="N964">
        <v>0</v>
      </c>
      <c r="O964">
        <f>_xlfn.XLOOKUP(VALINA[[#This Row],[id]],prov_color!A:A,prov_color!C:C)</f>
        <v>109</v>
      </c>
      <c r="P964" t="str">
        <f>_xlfn.XLOOKUP(VALINA[[#This Row],[id]],Table4[id],Table4[name])</f>
        <v>Acapulco Bay</v>
      </c>
      <c r="Q964" t="str">
        <f>_xlfn.XLOOKUP(VALINA[[#This Row],[name]],Trans!A:A,Trans!B:B)</f>
        <v>Acapulco Bay</v>
      </c>
    </row>
    <row r="965" spans="1:17" x14ac:dyDescent="0.25">
      <c r="A965">
        <v>964</v>
      </c>
      <c r="B965" t="s">
        <v>11</v>
      </c>
      <c r="C965" t="s">
        <v>1653</v>
      </c>
      <c r="D965" t="s">
        <v>1641</v>
      </c>
      <c r="E965" t="s">
        <v>1316</v>
      </c>
      <c r="J965" t="s">
        <v>1535</v>
      </c>
      <c r="N965">
        <v>0</v>
      </c>
      <c r="O965">
        <f>_xlfn.XLOOKUP(VALINA[[#This Row],[id]],prov_color!A:A,prov_color!C:C)</f>
        <v>91</v>
      </c>
      <c r="P965" t="str">
        <f>_xlfn.XLOOKUP(VALINA[[#This Row],[id]],Table4[id],Table4[name])</f>
        <v>Belize Bay</v>
      </c>
      <c r="Q965" t="str">
        <f>_xlfn.XLOOKUP(VALINA[[#This Row],[name]],Trans!A:A,Trans!B:B)</f>
        <v>Belize Bay</v>
      </c>
    </row>
    <row r="966" spans="1:17" x14ac:dyDescent="0.25">
      <c r="A966">
        <v>965</v>
      </c>
      <c r="B966" t="s">
        <v>11</v>
      </c>
      <c r="C966" t="s">
        <v>1653</v>
      </c>
      <c r="D966" t="s">
        <v>1641</v>
      </c>
      <c r="E966" t="s">
        <v>1316</v>
      </c>
      <c r="J966" t="s">
        <v>1536</v>
      </c>
      <c r="N966">
        <v>0</v>
      </c>
      <c r="O966">
        <f>_xlfn.XLOOKUP(VALINA[[#This Row],[id]],prov_color!A:A,prov_color!C:C)</f>
        <v>116</v>
      </c>
      <c r="P966" t="str">
        <f>_xlfn.XLOOKUP(VALINA[[#This Row],[id]],Table4[id],Table4[name])</f>
        <v>Florida Straits</v>
      </c>
      <c r="Q966" t="str">
        <f>_xlfn.XLOOKUP(VALINA[[#This Row],[name]],Trans!A:A,Trans!B:B)</f>
        <v>Florida Straits</v>
      </c>
    </row>
    <row r="967" spans="1:17" x14ac:dyDescent="0.25">
      <c r="A967">
        <v>966</v>
      </c>
      <c r="B967" t="s">
        <v>11</v>
      </c>
      <c r="C967" t="s">
        <v>1653</v>
      </c>
      <c r="D967" t="s">
        <v>1641</v>
      </c>
      <c r="E967" t="s">
        <v>1316</v>
      </c>
      <c r="J967" t="s">
        <v>1780</v>
      </c>
      <c r="N967">
        <v>0</v>
      </c>
      <c r="O967">
        <f>_xlfn.XLOOKUP(VALINA[[#This Row],[id]],prov_color!A:A,prov_color!C:C)</f>
        <v>104</v>
      </c>
      <c r="P967" t="str">
        <f>_xlfn.XLOOKUP(VALINA[[#This Row],[id]],Table4[id],Table4[name])</f>
        <v>Jamaican Sea</v>
      </c>
      <c r="Q967" t="str">
        <f>_xlfn.XLOOKUP(VALINA[[#This Row],[name]],Trans!A:A,Trans!B:B)</f>
        <v>Cayman Islands</v>
      </c>
    </row>
    <row r="968" spans="1:17" x14ac:dyDescent="0.25">
      <c r="A968">
        <v>967</v>
      </c>
      <c r="B968" t="s">
        <v>11</v>
      </c>
      <c r="C968" t="s">
        <v>1653</v>
      </c>
      <c r="D968" t="s">
        <v>1641</v>
      </c>
      <c r="E968" t="s">
        <v>1316</v>
      </c>
      <c r="J968" t="s">
        <v>1781</v>
      </c>
      <c r="N968">
        <v>0</v>
      </c>
      <c r="O968">
        <f>_xlfn.XLOOKUP(VALINA[[#This Row],[id]],prov_color!A:A,prov_color!C:C)</f>
        <v>90</v>
      </c>
      <c r="P968" t="str">
        <f>_xlfn.XLOOKUP(VALINA[[#This Row],[id]],Table4[id],Table4[name])</f>
        <v>The Bahamas</v>
      </c>
      <c r="Q968" t="str">
        <f>_xlfn.XLOOKUP(VALINA[[#This Row],[name]],Trans!A:A,Trans!B:B)</f>
        <v>Great Bahamas Bank</v>
      </c>
    </row>
    <row r="969" spans="1:17" x14ac:dyDescent="0.25">
      <c r="A969">
        <v>968</v>
      </c>
      <c r="B969" t="s">
        <v>11</v>
      </c>
      <c r="C969" t="s">
        <v>1647</v>
      </c>
      <c r="D969" t="s">
        <v>1641</v>
      </c>
      <c r="E969" t="s">
        <v>1316</v>
      </c>
      <c r="J969" t="s">
        <v>1432</v>
      </c>
      <c r="N969">
        <v>0</v>
      </c>
      <c r="O969">
        <f>_xlfn.XLOOKUP(VALINA[[#This Row],[id]],prov_color!A:A,prov_color!C:C)</f>
        <v>226</v>
      </c>
      <c r="P969" t="str">
        <f>_xlfn.XLOOKUP(VALINA[[#This Row],[id]],Table4[id],Table4[name])</f>
        <v>Sea of Sargassos</v>
      </c>
      <c r="Q969" t="str">
        <f>_xlfn.XLOOKUP(VALINA[[#This Row],[name]],Trans!A:A,Trans!B:B)</f>
        <v>Sea of Sargassos</v>
      </c>
    </row>
    <row r="970" spans="1:17" x14ac:dyDescent="0.25">
      <c r="A970">
        <v>969</v>
      </c>
      <c r="B970" t="s">
        <v>11</v>
      </c>
      <c r="C970" t="s">
        <v>1653</v>
      </c>
      <c r="D970" t="s">
        <v>1641</v>
      </c>
      <c r="E970" t="s">
        <v>1316</v>
      </c>
      <c r="J970" t="s">
        <v>1782</v>
      </c>
      <c r="N970">
        <v>0</v>
      </c>
      <c r="O970">
        <f>_xlfn.XLOOKUP(VALINA[[#This Row],[id]],prov_color!A:A,prov_color!C:C)</f>
        <v>85</v>
      </c>
      <c r="P970" t="str">
        <f>_xlfn.XLOOKUP(VALINA[[#This Row],[id]],Table4[id],Table4[name])</f>
        <v>Tortuga Island</v>
      </c>
      <c r="Q970" t="str">
        <f>_xlfn.XLOOKUP(VALINA[[#This Row],[name]],Trans!A:A,Trans!B:B)</f>
        <v>Tortuga Island</v>
      </c>
    </row>
    <row r="971" spans="1:17" x14ac:dyDescent="0.25">
      <c r="A971">
        <v>970</v>
      </c>
      <c r="B971" t="s">
        <v>11</v>
      </c>
      <c r="C971" t="s">
        <v>1657</v>
      </c>
      <c r="D971" t="s">
        <v>1641</v>
      </c>
      <c r="E971" t="s">
        <v>1316</v>
      </c>
      <c r="J971" t="s">
        <v>1433</v>
      </c>
      <c r="N971">
        <v>0</v>
      </c>
      <c r="O971">
        <f>_xlfn.XLOOKUP(VALINA[[#This Row],[id]],prov_color!A:A,prov_color!C:C)</f>
        <v>192</v>
      </c>
      <c r="P971" t="str">
        <f>_xlfn.XLOOKUP(VALINA[[#This Row],[id]],Table4[id],Table4[name])</f>
        <v>Central Atlantic Ocean</v>
      </c>
      <c r="Q971" t="str">
        <f>_xlfn.XLOOKUP(VALINA[[#This Row],[name]],Trans!A:A,Trans!B:B)</f>
        <v>Central Atlantic Ocean</v>
      </c>
    </row>
    <row r="972" spans="1:17" x14ac:dyDescent="0.25">
      <c r="A972">
        <v>971</v>
      </c>
      <c r="B972" t="s">
        <v>11</v>
      </c>
      <c r="C972" t="s">
        <v>1657</v>
      </c>
      <c r="D972" t="s">
        <v>1641</v>
      </c>
      <c r="E972" t="s">
        <v>1316</v>
      </c>
      <c r="J972" t="s">
        <v>1433</v>
      </c>
      <c r="N972">
        <v>0</v>
      </c>
      <c r="O972">
        <f>_xlfn.XLOOKUP(VALINA[[#This Row],[id]],prov_color!A:A,prov_color!C:C)</f>
        <v>403</v>
      </c>
      <c r="P972" t="str">
        <f>_xlfn.XLOOKUP(VALINA[[#This Row],[id]],Table4[id],Table4[name])</f>
        <v>Central Atlantic Ocean</v>
      </c>
      <c r="Q972" t="str">
        <f>_xlfn.XLOOKUP(VALINA[[#This Row],[name]],Trans!A:A,Trans!B:B)</f>
        <v>Central Atlantic Ocean</v>
      </c>
    </row>
    <row r="973" spans="1:17" x14ac:dyDescent="0.25">
      <c r="A973">
        <v>972</v>
      </c>
      <c r="B973" t="s">
        <v>11</v>
      </c>
      <c r="C973" t="s">
        <v>1657</v>
      </c>
      <c r="D973" t="s">
        <v>1641</v>
      </c>
      <c r="E973" t="s">
        <v>1316</v>
      </c>
      <c r="J973" t="s">
        <v>1433</v>
      </c>
      <c r="N973">
        <v>0</v>
      </c>
      <c r="O973">
        <f>_xlfn.XLOOKUP(VALINA[[#This Row],[id]],prov_color!A:A,prov_color!C:C)</f>
        <v>448</v>
      </c>
      <c r="P973" t="str">
        <f>_xlfn.XLOOKUP(VALINA[[#This Row],[id]],Table4[id],Table4[name])</f>
        <v>Central Atlantic Ocean</v>
      </c>
      <c r="Q973" t="str">
        <f>_xlfn.XLOOKUP(VALINA[[#This Row],[name]],Trans!A:A,Trans!B:B)</f>
        <v>Central Atlantic Ocean</v>
      </c>
    </row>
    <row r="974" spans="1:17" x14ac:dyDescent="0.25">
      <c r="A974">
        <v>973</v>
      </c>
      <c r="B974" t="s">
        <v>11</v>
      </c>
      <c r="C974" t="s">
        <v>1657</v>
      </c>
      <c r="D974" t="s">
        <v>1641</v>
      </c>
      <c r="E974" t="s">
        <v>1316</v>
      </c>
      <c r="J974" t="s">
        <v>1433</v>
      </c>
      <c r="N974">
        <v>0</v>
      </c>
      <c r="O974">
        <f>_xlfn.XLOOKUP(VALINA[[#This Row],[id]],prov_color!A:A,prov_color!C:C)</f>
        <v>337</v>
      </c>
      <c r="P974" t="str">
        <f>_xlfn.XLOOKUP(VALINA[[#This Row],[id]],Table4[id],Table4[name])</f>
        <v>Central Atlantic Ocean</v>
      </c>
      <c r="Q974" t="str">
        <f>_xlfn.XLOOKUP(VALINA[[#This Row],[name]],Trans!A:A,Trans!B:B)</f>
        <v>Central Atlantic Ocean</v>
      </c>
    </row>
    <row r="975" spans="1:17" x14ac:dyDescent="0.25">
      <c r="A975">
        <v>974</v>
      </c>
      <c r="B975" t="s">
        <v>11</v>
      </c>
      <c r="C975" t="s">
        <v>1657</v>
      </c>
      <c r="D975" t="s">
        <v>1641</v>
      </c>
      <c r="E975" t="s">
        <v>1316</v>
      </c>
      <c r="J975" t="s">
        <v>1433</v>
      </c>
      <c r="N975">
        <v>0</v>
      </c>
      <c r="O975">
        <f>_xlfn.XLOOKUP(VALINA[[#This Row],[id]],prov_color!A:A,prov_color!C:C)</f>
        <v>459</v>
      </c>
      <c r="P975" t="str">
        <f>_xlfn.XLOOKUP(VALINA[[#This Row],[id]],Table4[id],Table4[name])</f>
        <v>Central Atlantic Ocean</v>
      </c>
      <c r="Q975" t="str">
        <f>_xlfn.XLOOKUP(VALINA[[#This Row],[name]],Trans!A:A,Trans!B:B)</f>
        <v>Central Atlantic Ocean</v>
      </c>
    </row>
    <row r="976" spans="1:17" x14ac:dyDescent="0.25">
      <c r="A976">
        <v>975</v>
      </c>
      <c r="B976" t="s">
        <v>11</v>
      </c>
      <c r="C976" t="s">
        <v>1657</v>
      </c>
      <c r="D976" t="s">
        <v>1641</v>
      </c>
      <c r="E976" t="s">
        <v>1316</v>
      </c>
      <c r="J976" t="s">
        <v>1433</v>
      </c>
      <c r="N976">
        <v>0</v>
      </c>
      <c r="O976">
        <f>_xlfn.XLOOKUP(VALINA[[#This Row],[id]],prov_color!A:A,prov_color!C:C)</f>
        <v>528</v>
      </c>
      <c r="P976" t="str">
        <f>_xlfn.XLOOKUP(VALINA[[#This Row],[id]],Table4[id],Table4[name])</f>
        <v>Central Atlantic Ocean</v>
      </c>
      <c r="Q976" t="str">
        <f>_xlfn.XLOOKUP(VALINA[[#This Row],[name]],Trans!A:A,Trans!B:B)</f>
        <v>Central Atlantic Ocean</v>
      </c>
    </row>
    <row r="977" spans="1:17" x14ac:dyDescent="0.25">
      <c r="A977">
        <v>976</v>
      </c>
      <c r="B977" t="s">
        <v>346</v>
      </c>
      <c r="C977" t="s">
        <v>1658</v>
      </c>
      <c r="D977" t="s">
        <v>1641</v>
      </c>
      <c r="E977" t="s">
        <v>1316</v>
      </c>
      <c r="J977" t="s">
        <v>1435</v>
      </c>
      <c r="N977">
        <v>0</v>
      </c>
      <c r="O977">
        <f>_xlfn.XLOOKUP(VALINA[[#This Row],[id]],prov_color!A:A,prov_color!C:C)</f>
        <v>488</v>
      </c>
      <c r="P977" t="str">
        <f>_xlfn.XLOOKUP(VALINA[[#This Row],[id]],Table4[id],Table4[name])</f>
        <v>Sea of Azores</v>
      </c>
      <c r="Q977" t="str">
        <f>_xlfn.XLOOKUP(VALINA[[#This Row],[name]],Trans!A:A,Trans!B:B)</f>
        <v>Sea of Azores</v>
      </c>
    </row>
    <row r="978" spans="1:17" x14ac:dyDescent="0.25">
      <c r="A978">
        <v>977</v>
      </c>
      <c r="B978" t="s">
        <v>346</v>
      </c>
      <c r="C978" t="s">
        <v>1658</v>
      </c>
      <c r="D978" t="s">
        <v>1641</v>
      </c>
      <c r="E978" t="s">
        <v>1316</v>
      </c>
      <c r="J978" t="s">
        <v>1433</v>
      </c>
      <c r="N978">
        <v>0</v>
      </c>
      <c r="O978">
        <f>_xlfn.XLOOKUP(VALINA[[#This Row],[id]],prov_color!A:A,prov_color!C:C)</f>
        <v>399</v>
      </c>
      <c r="P978" t="str">
        <f>_xlfn.XLOOKUP(VALINA[[#This Row],[id]],Table4[id],Table4[name])</f>
        <v>Central Atlantic Ocean</v>
      </c>
      <c r="Q978" t="str">
        <f>_xlfn.XLOOKUP(VALINA[[#This Row],[name]],Trans!A:A,Trans!B:B)</f>
        <v>Central Atlantic Ocean</v>
      </c>
    </row>
    <row r="979" spans="1:17" x14ac:dyDescent="0.25">
      <c r="A979">
        <v>978</v>
      </c>
      <c r="B979" t="s">
        <v>346</v>
      </c>
      <c r="C979" t="s">
        <v>1658</v>
      </c>
      <c r="D979" t="s">
        <v>1641</v>
      </c>
      <c r="E979" t="s">
        <v>1316</v>
      </c>
      <c r="J979" t="s">
        <v>1433</v>
      </c>
      <c r="N979">
        <v>0</v>
      </c>
      <c r="O979">
        <f>_xlfn.XLOOKUP(VALINA[[#This Row],[id]],prov_color!A:A,prov_color!C:C)</f>
        <v>261</v>
      </c>
      <c r="P979" t="str">
        <f>_xlfn.XLOOKUP(VALINA[[#This Row],[id]],Table4[id],Table4[name])</f>
        <v>Central Atlantic Ocean</v>
      </c>
      <c r="Q979" t="str">
        <f>_xlfn.XLOOKUP(VALINA[[#This Row],[name]],Trans!A:A,Trans!B:B)</f>
        <v>Central Atlantic Ocean</v>
      </c>
    </row>
    <row r="980" spans="1:17" x14ac:dyDescent="0.25">
      <c r="A980">
        <v>979</v>
      </c>
      <c r="B980" t="s">
        <v>346</v>
      </c>
      <c r="C980" t="s">
        <v>1658</v>
      </c>
      <c r="D980" t="s">
        <v>1641</v>
      </c>
      <c r="E980" t="s">
        <v>1316</v>
      </c>
      <c r="J980" t="s">
        <v>1474</v>
      </c>
      <c r="N980">
        <v>0</v>
      </c>
      <c r="O980">
        <f>_xlfn.XLOOKUP(VALINA[[#This Row],[id]],prov_color!A:A,prov_color!C:C)</f>
        <v>74</v>
      </c>
      <c r="P980" t="str">
        <f>_xlfn.XLOOKUP(VALINA[[#This Row],[id]],Table4[id],Table4[name])</f>
        <v>Lusitanian Sea</v>
      </c>
      <c r="Q980" t="str">
        <f>_xlfn.XLOOKUP(VALINA[[#This Row],[name]],Trans!A:A,Trans!B:B)</f>
        <v>Lusitanian Sea</v>
      </c>
    </row>
    <row r="981" spans="1:17" x14ac:dyDescent="0.25">
      <c r="A981">
        <v>980</v>
      </c>
      <c r="B981" t="s">
        <v>346</v>
      </c>
      <c r="C981" t="s">
        <v>1658</v>
      </c>
      <c r="D981" t="s">
        <v>1641</v>
      </c>
      <c r="E981" t="s">
        <v>1316</v>
      </c>
      <c r="J981" t="s">
        <v>1473</v>
      </c>
      <c r="N981">
        <v>0</v>
      </c>
      <c r="O981">
        <f>_xlfn.XLOOKUP(VALINA[[#This Row],[id]],prov_color!A:A,prov_color!C:C)</f>
        <v>86</v>
      </c>
      <c r="P981" t="str">
        <f>_xlfn.XLOOKUP(VALINA[[#This Row],[id]],Table4[id],Table4[name])</f>
        <v>Gulf of Cadiz</v>
      </c>
      <c r="Q981" t="str">
        <f>_xlfn.XLOOKUP(VALINA[[#This Row],[name]],Trans!A:A,Trans!B:B)</f>
        <v>Gulf of Cadiz</v>
      </c>
    </row>
    <row r="982" spans="1:17" x14ac:dyDescent="0.25">
      <c r="A982">
        <v>981</v>
      </c>
      <c r="B982" t="s">
        <v>1016</v>
      </c>
      <c r="C982" t="s">
        <v>1658</v>
      </c>
      <c r="D982" t="s">
        <v>1641</v>
      </c>
      <c r="E982" t="s">
        <v>1316</v>
      </c>
      <c r="J982" t="s">
        <v>1433</v>
      </c>
      <c r="N982">
        <v>0</v>
      </c>
      <c r="O982">
        <f>_xlfn.XLOOKUP(VALINA[[#This Row],[id]],prov_color!A:A,prov_color!C:C)</f>
        <v>215</v>
      </c>
      <c r="P982" t="str">
        <f>_xlfn.XLOOKUP(VALINA[[#This Row],[id]],Table4[id],Table4[name])</f>
        <v>Central Atlantic Ocean</v>
      </c>
      <c r="Q982" t="str">
        <f>_xlfn.XLOOKUP(VALINA[[#This Row],[name]],Trans!A:A,Trans!B:B)</f>
        <v>Central Atlantic Ocean</v>
      </c>
    </row>
    <row r="983" spans="1:17" x14ac:dyDescent="0.25">
      <c r="A983">
        <v>982</v>
      </c>
      <c r="B983" t="s">
        <v>346</v>
      </c>
      <c r="C983" t="s">
        <v>1658</v>
      </c>
      <c r="D983" t="s">
        <v>1641</v>
      </c>
      <c r="E983" t="s">
        <v>1316</v>
      </c>
      <c r="J983" t="s">
        <v>1472</v>
      </c>
      <c r="N983">
        <v>0</v>
      </c>
      <c r="O983">
        <f>_xlfn.XLOOKUP(VALINA[[#This Row],[id]],prov_color!A:A,prov_color!C:C)</f>
        <v>42</v>
      </c>
      <c r="P983" t="str">
        <f>_xlfn.XLOOKUP(VALINA[[#This Row],[id]],Table4[id],Table4[name])</f>
        <v>Straits of Gibraltar</v>
      </c>
      <c r="Q983" t="str">
        <f>_xlfn.XLOOKUP(VALINA[[#This Row],[name]],Trans!A:A,Trans!B:B)</f>
        <v>Straits of Gibraltar</v>
      </c>
    </row>
    <row r="984" spans="1:17" x14ac:dyDescent="0.25">
      <c r="A984">
        <v>983</v>
      </c>
      <c r="B984" t="s">
        <v>346</v>
      </c>
      <c r="C984" t="s">
        <v>1659</v>
      </c>
      <c r="D984" t="s">
        <v>1641</v>
      </c>
      <c r="E984" t="s">
        <v>1316</v>
      </c>
      <c r="J984" t="s">
        <v>1471</v>
      </c>
      <c r="N984">
        <v>0</v>
      </c>
      <c r="O984">
        <f>_xlfn.XLOOKUP(VALINA[[#This Row],[id]],prov_color!A:A,prov_color!C:C)</f>
        <v>47</v>
      </c>
      <c r="P984" t="str">
        <f>_xlfn.XLOOKUP(VALINA[[#This Row],[id]],Table4[id],Table4[name])</f>
        <v>Gulf of Almeria</v>
      </c>
      <c r="Q984" t="str">
        <f>_xlfn.XLOOKUP(VALINA[[#This Row],[name]],Trans!A:A,Trans!B:B)</f>
        <v>Gulf of Almeria</v>
      </c>
    </row>
    <row r="985" spans="1:17" x14ac:dyDescent="0.25">
      <c r="A985">
        <v>984</v>
      </c>
      <c r="B985" t="s">
        <v>346</v>
      </c>
      <c r="C985" t="s">
        <v>1659</v>
      </c>
      <c r="D985" t="s">
        <v>1641</v>
      </c>
      <c r="E985" t="s">
        <v>1316</v>
      </c>
      <c r="J985" t="s">
        <v>1469</v>
      </c>
      <c r="N985">
        <v>0</v>
      </c>
      <c r="O985">
        <f>_xlfn.XLOOKUP(VALINA[[#This Row],[id]],prov_color!A:A,prov_color!C:C)</f>
        <v>41</v>
      </c>
      <c r="P985" t="str">
        <f>_xlfn.XLOOKUP(VALINA[[#This Row],[id]],Table4[id],Table4[name])</f>
        <v>Gulf of Valencia</v>
      </c>
      <c r="Q985" t="str">
        <f>_xlfn.XLOOKUP(VALINA[[#This Row],[name]],Trans!A:A,Trans!B:B)</f>
        <v>Gulf of Valencia</v>
      </c>
    </row>
    <row r="986" spans="1:17" x14ac:dyDescent="0.25">
      <c r="A986">
        <v>985</v>
      </c>
      <c r="B986" t="s">
        <v>346</v>
      </c>
      <c r="C986" t="s">
        <v>1659</v>
      </c>
      <c r="D986" t="s">
        <v>1641</v>
      </c>
      <c r="E986" t="s">
        <v>1316</v>
      </c>
      <c r="J986" t="s">
        <v>1468</v>
      </c>
      <c r="N986">
        <v>0</v>
      </c>
      <c r="O986">
        <f>_xlfn.XLOOKUP(VALINA[[#This Row],[id]],prov_color!A:A,prov_color!C:C)</f>
        <v>57</v>
      </c>
      <c r="P986" t="str">
        <f>_xlfn.XLOOKUP(VALINA[[#This Row],[id]],Table4[id],Table4[name])</f>
        <v>Gulf of Mallorca</v>
      </c>
      <c r="Q986" t="str">
        <f>_xlfn.XLOOKUP(VALINA[[#This Row],[name]],Trans!A:A,Trans!B:B)</f>
        <v>Gulf of Mallorca</v>
      </c>
    </row>
    <row r="987" spans="1:17" x14ac:dyDescent="0.25">
      <c r="A987">
        <v>986</v>
      </c>
      <c r="B987" t="s">
        <v>346</v>
      </c>
      <c r="C987" t="s">
        <v>1659</v>
      </c>
      <c r="D987" t="s">
        <v>1641</v>
      </c>
      <c r="E987" t="s">
        <v>1316</v>
      </c>
      <c r="J987" t="s">
        <v>1470</v>
      </c>
      <c r="N987">
        <v>0</v>
      </c>
      <c r="O987">
        <f>_xlfn.XLOOKUP(VALINA[[#This Row],[id]],prov_color!A:A,prov_color!C:C)</f>
        <v>45</v>
      </c>
      <c r="P987" t="str">
        <f>_xlfn.XLOOKUP(VALINA[[#This Row],[id]],Table4[id],Table4[name])</f>
        <v>Barbary Coast</v>
      </c>
      <c r="Q987" t="str">
        <f>_xlfn.XLOOKUP(VALINA[[#This Row],[name]],Trans!A:A,Trans!B:B)</f>
        <v>Barbary Coast</v>
      </c>
    </row>
    <row r="988" spans="1:17" x14ac:dyDescent="0.25">
      <c r="A988">
        <v>987</v>
      </c>
      <c r="B988" t="s">
        <v>346</v>
      </c>
      <c r="C988" t="s">
        <v>1659</v>
      </c>
      <c r="D988" t="s">
        <v>1641</v>
      </c>
      <c r="E988" t="s">
        <v>1316</v>
      </c>
      <c r="J988" t="s">
        <v>1467</v>
      </c>
      <c r="N988">
        <v>0</v>
      </c>
      <c r="O988">
        <f>_xlfn.XLOOKUP(VALINA[[#This Row],[id]],prov_color!A:A,prov_color!C:C)</f>
        <v>46</v>
      </c>
      <c r="P988" t="str">
        <f>_xlfn.XLOOKUP(VALINA[[#This Row],[id]],Table4[id],Table4[name])</f>
        <v>Gulf of Lion</v>
      </c>
      <c r="Q988" t="str">
        <f>_xlfn.XLOOKUP(VALINA[[#This Row],[name]],Trans!A:A,Trans!B:B)</f>
        <v>Gulf of Lion</v>
      </c>
    </row>
    <row r="989" spans="1:17" x14ac:dyDescent="0.25">
      <c r="A989">
        <v>988</v>
      </c>
      <c r="B989" t="s">
        <v>346</v>
      </c>
      <c r="C989" t="s">
        <v>1659</v>
      </c>
      <c r="D989" t="s">
        <v>1641</v>
      </c>
      <c r="E989" t="s">
        <v>1316</v>
      </c>
      <c r="J989" t="s">
        <v>1783</v>
      </c>
      <c r="N989">
        <v>0</v>
      </c>
      <c r="O989">
        <f>_xlfn.XLOOKUP(VALINA[[#This Row],[id]],prov_color!A:A,prov_color!C:C)</f>
        <v>38</v>
      </c>
      <c r="P989" t="str">
        <f>_xlfn.XLOOKUP(VALINA[[#This Row],[id]],Table4[id],Table4[name])</f>
        <v>C�te d'Azur</v>
      </c>
      <c r="Q989" t="str">
        <f>_xlfn.XLOOKUP(VALINA[[#This Row],[name]],Trans!A:A,Trans!B:B)</f>
        <v>C�te d'Azur</v>
      </c>
    </row>
    <row r="990" spans="1:17" x14ac:dyDescent="0.25">
      <c r="A990">
        <v>989</v>
      </c>
      <c r="B990" t="s">
        <v>346</v>
      </c>
      <c r="C990" t="s">
        <v>1659</v>
      </c>
      <c r="D990" t="s">
        <v>1641</v>
      </c>
      <c r="E990" t="s">
        <v>1316</v>
      </c>
      <c r="J990" t="s">
        <v>1466</v>
      </c>
      <c r="N990">
        <v>0</v>
      </c>
      <c r="O990">
        <f>_xlfn.XLOOKUP(VALINA[[#This Row],[id]],prov_color!A:A,prov_color!C:C)</f>
        <v>49</v>
      </c>
      <c r="P990" t="str">
        <f>_xlfn.XLOOKUP(VALINA[[#This Row],[id]],Table4[id],Table4[name])</f>
        <v>Western Mediterranean</v>
      </c>
      <c r="Q990" t="str">
        <f>_xlfn.XLOOKUP(VALINA[[#This Row],[name]],Trans!A:A,Trans!B:B)</f>
        <v>Western Mediterranean</v>
      </c>
    </row>
    <row r="991" spans="1:17" x14ac:dyDescent="0.25">
      <c r="A991">
        <v>990</v>
      </c>
      <c r="B991" t="s">
        <v>346</v>
      </c>
      <c r="C991" t="s">
        <v>1659</v>
      </c>
      <c r="D991" t="s">
        <v>1641</v>
      </c>
      <c r="E991" t="s">
        <v>1316</v>
      </c>
      <c r="J991" t="s">
        <v>1460</v>
      </c>
      <c r="N991">
        <v>0</v>
      </c>
      <c r="O991">
        <f>_xlfn.XLOOKUP(VALINA[[#This Row],[id]],prov_color!A:A,prov_color!C:C)</f>
        <v>67</v>
      </c>
      <c r="P991" t="str">
        <f>_xlfn.XLOOKUP(VALINA[[#This Row],[id]],Table4[id],Table4[name])</f>
        <v>Cape Bon</v>
      </c>
      <c r="Q991" t="str">
        <f>_xlfn.XLOOKUP(VALINA[[#This Row],[name]],Trans!A:A,Trans!B:B)</f>
        <v>Cape Bon</v>
      </c>
    </row>
    <row r="992" spans="1:17" x14ac:dyDescent="0.25">
      <c r="A992">
        <v>991</v>
      </c>
      <c r="B992" t="s">
        <v>346</v>
      </c>
      <c r="C992" t="s">
        <v>1659</v>
      </c>
      <c r="D992" t="s">
        <v>1641</v>
      </c>
      <c r="E992" t="s">
        <v>1316</v>
      </c>
      <c r="J992" t="s">
        <v>1459</v>
      </c>
      <c r="N992">
        <v>0</v>
      </c>
      <c r="O992">
        <f>_xlfn.XLOOKUP(VALINA[[#This Row],[id]],prov_color!A:A,prov_color!C:C)</f>
        <v>54</v>
      </c>
      <c r="P992" t="str">
        <f>_xlfn.XLOOKUP(VALINA[[#This Row],[id]],Table4[id],Table4[name])</f>
        <v>Gulf of Cagliari</v>
      </c>
      <c r="Q992" t="str">
        <f>_xlfn.XLOOKUP(VALINA[[#This Row],[name]],Trans!A:A,Trans!B:B)</f>
        <v>Gulf of Cagliari</v>
      </c>
    </row>
    <row r="993" spans="1:17" x14ac:dyDescent="0.25">
      <c r="A993">
        <v>992</v>
      </c>
      <c r="B993" t="s">
        <v>346</v>
      </c>
      <c r="C993" t="s">
        <v>1659</v>
      </c>
      <c r="D993" t="s">
        <v>1641</v>
      </c>
      <c r="E993" t="s">
        <v>1316</v>
      </c>
      <c r="J993" t="s">
        <v>1458</v>
      </c>
      <c r="N993">
        <v>0</v>
      </c>
      <c r="O993">
        <f>_xlfn.XLOOKUP(VALINA[[#This Row],[id]],prov_color!A:A,prov_color!C:C)</f>
        <v>46</v>
      </c>
      <c r="P993" t="str">
        <f>_xlfn.XLOOKUP(VALINA[[#This Row],[id]],Table4[id],Table4[name])</f>
        <v>Ligurian Sea</v>
      </c>
      <c r="Q993" t="str">
        <f>_xlfn.XLOOKUP(VALINA[[#This Row],[name]],Trans!A:A,Trans!B:B)</f>
        <v>Ligurian Sea</v>
      </c>
    </row>
    <row r="994" spans="1:17" x14ac:dyDescent="0.25">
      <c r="A994">
        <v>993</v>
      </c>
      <c r="B994" t="s">
        <v>346</v>
      </c>
      <c r="C994" t="s">
        <v>1659</v>
      </c>
      <c r="D994" t="s">
        <v>1641</v>
      </c>
      <c r="E994" t="s">
        <v>1316</v>
      </c>
      <c r="J994" t="s">
        <v>1457</v>
      </c>
      <c r="N994">
        <v>0</v>
      </c>
      <c r="O994">
        <f>_xlfn.XLOOKUP(VALINA[[#This Row],[id]],prov_color!A:A,prov_color!C:C)</f>
        <v>32</v>
      </c>
      <c r="P994" t="str">
        <f>_xlfn.XLOOKUP(VALINA[[#This Row],[id]],Table4[id],Table4[name])</f>
        <v>Tyrrenean Sea</v>
      </c>
      <c r="Q994" t="str">
        <f>_xlfn.XLOOKUP(VALINA[[#This Row],[name]],Trans!A:A,Trans!B:B)</f>
        <v>Tyrrenean Sea</v>
      </c>
    </row>
    <row r="995" spans="1:17" x14ac:dyDescent="0.25">
      <c r="A995">
        <v>994</v>
      </c>
      <c r="B995" t="s">
        <v>346</v>
      </c>
      <c r="C995" t="s">
        <v>1659</v>
      </c>
      <c r="D995" t="s">
        <v>1641</v>
      </c>
      <c r="E995" t="s">
        <v>1316</v>
      </c>
      <c r="J995" t="s">
        <v>1456</v>
      </c>
      <c r="N995">
        <v>0</v>
      </c>
      <c r="O995">
        <f>_xlfn.XLOOKUP(VALINA[[#This Row],[id]],prov_color!A:A,prov_color!C:C)</f>
        <v>45</v>
      </c>
      <c r="P995" t="str">
        <f>_xlfn.XLOOKUP(VALINA[[#This Row],[id]],Table4[id],Table4[name])</f>
        <v>Bay of Naples</v>
      </c>
      <c r="Q995" t="str">
        <f>_xlfn.XLOOKUP(VALINA[[#This Row],[name]],Trans!A:A,Trans!B:B)</f>
        <v>Bay of Naples</v>
      </c>
    </row>
    <row r="996" spans="1:17" x14ac:dyDescent="0.25">
      <c r="A996">
        <v>995</v>
      </c>
      <c r="B996" t="s">
        <v>346</v>
      </c>
      <c r="C996" t="s">
        <v>1660</v>
      </c>
      <c r="D996" t="s">
        <v>1641</v>
      </c>
      <c r="E996" t="s">
        <v>1316</v>
      </c>
      <c r="J996" t="s">
        <v>1455</v>
      </c>
      <c r="N996">
        <v>0</v>
      </c>
      <c r="O996">
        <f>_xlfn.XLOOKUP(VALINA[[#This Row],[id]],prov_color!A:A,prov_color!C:C)</f>
        <v>61</v>
      </c>
      <c r="P996" t="str">
        <f>_xlfn.XLOOKUP(VALINA[[#This Row],[id]],Table4[id],Table4[name])</f>
        <v>Straits of Messina</v>
      </c>
      <c r="Q996" t="str">
        <f>_xlfn.XLOOKUP(VALINA[[#This Row],[name]],Trans!A:A,Trans!B:B)</f>
        <v>Straits of Messina</v>
      </c>
    </row>
    <row r="997" spans="1:17" x14ac:dyDescent="0.25">
      <c r="A997">
        <v>996</v>
      </c>
      <c r="B997" t="s">
        <v>346</v>
      </c>
      <c r="C997" t="s">
        <v>1660</v>
      </c>
      <c r="D997" t="s">
        <v>1641</v>
      </c>
      <c r="E997" t="s">
        <v>1316</v>
      </c>
      <c r="J997" t="s">
        <v>1454</v>
      </c>
      <c r="N997">
        <v>0</v>
      </c>
      <c r="O997">
        <f>_xlfn.XLOOKUP(VALINA[[#This Row],[id]],prov_color!A:A,prov_color!C:C)</f>
        <v>83</v>
      </c>
      <c r="P997" t="str">
        <f>_xlfn.XLOOKUP(VALINA[[#This Row],[id]],Table4[id],Table4[name])</f>
        <v>Malta Channel</v>
      </c>
      <c r="Q997" t="str">
        <f>_xlfn.XLOOKUP(VALINA[[#This Row],[name]],Trans!A:A,Trans!B:B)</f>
        <v>Malta Channel</v>
      </c>
    </row>
    <row r="998" spans="1:17" x14ac:dyDescent="0.25">
      <c r="A998">
        <v>997</v>
      </c>
      <c r="B998" t="s">
        <v>346</v>
      </c>
      <c r="C998" t="s">
        <v>1660</v>
      </c>
      <c r="D998" t="s">
        <v>1641</v>
      </c>
      <c r="E998" t="s">
        <v>1316</v>
      </c>
      <c r="J998" t="s">
        <v>1453</v>
      </c>
      <c r="N998">
        <v>0</v>
      </c>
      <c r="O998">
        <f>_xlfn.XLOOKUP(VALINA[[#This Row],[id]],prov_color!A:A,prov_color!C:C)</f>
        <v>92</v>
      </c>
      <c r="P998" t="str">
        <f>_xlfn.XLOOKUP(VALINA[[#This Row],[id]],Table4[id],Table4[name])</f>
        <v>Gulf of Sirte</v>
      </c>
      <c r="Q998" t="str">
        <f>_xlfn.XLOOKUP(VALINA[[#This Row],[name]],Trans!A:A,Trans!B:B)</f>
        <v>Gulf of Sirte</v>
      </c>
    </row>
    <row r="999" spans="1:17" x14ac:dyDescent="0.25">
      <c r="A999">
        <v>998</v>
      </c>
      <c r="B999" t="s">
        <v>346</v>
      </c>
      <c r="C999" t="s">
        <v>1660</v>
      </c>
      <c r="D999" t="s">
        <v>1641</v>
      </c>
      <c r="E999" t="s">
        <v>1316</v>
      </c>
      <c r="J999" t="s">
        <v>1465</v>
      </c>
      <c r="N999">
        <v>0</v>
      </c>
      <c r="O999">
        <f>_xlfn.XLOOKUP(VALINA[[#This Row],[id]],prov_color!A:A,prov_color!C:C)</f>
        <v>44</v>
      </c>
      <c r="P999" t="str">
        <f>_xlfn.XLOOKUP(VALINA[[#This Row],[id]],Table4[id],Table4[name])</f>
        <v>Gulf of Taranto</v>
      </c>
      <c r="Q999" t="str">
        <f>_xlfn.XLOOKUP(VALINA[[#This Row],[name]],Trans!A:A,Trans!B:B)</f>
        <v>Gulf of Taranto</v>
      </c>
    </row>
    <row r="1000" spans="1:17" x14ac:dyDescent="0.25">
      <c r="A1000">
        <v>999</v>
      </c>
      <c r="B1000" t="s">
        <v>346</v>
      </c>
      <c r="C1000" t="s">
        <v>1660</v>
      </c>
      <c r="D1000" t="s">
        <v>1641</v>
      </c>
      <c r="E1000" t="s">
        <v>1316</v>
      </c>
      <c r="J1000" t="s">
        <v>1461</v>
      </c>
      <c r="N1000">
        <v>0</v>
      </c>
      <c r="O1000">
        <f>_xlfn.XLOOKUP(VALINA[[#This Row],[id]],prov_color!A:A,prov_color!C:C)</f>
        <v>40</v>
      </c>
      <c r="P1000" t="str">
        <f>_xlfn.XLOOKUP(VALINA[[#This Row],[id]],Table4[id],Table4[name])</f>
        <v>Gulf of Venice</v>
      </c>
      <c r="Q1000" t="str">
        <f>_xlfn.XLOOKUP(VALINA[[#This Row],[name]],Trans!A:A,Trans!B:B)</f>
        <v>Gulf of Venice</v>
      </c>
    </row>
    <row r="1001" spans="1:17" x14ac:dyDescent="0.25">
      <c r="A1001">
        <v>1000</v>
      </c>
      <c r="B1001" t="s">
        <v>346</v>
      </c>
      <c r="C1001" t="s">
        <v>1660</v>
      </c>
      <c r="D1001" t="s">
        <v>1641</v>
      </c>
      <c r="E1001" t="s">
        <v>1316</v>
      </c>
      <c r="J1001" t="s">
        <v>1462</v>
      </c>
      <c r="N1001">
        <v>0</v>
      </c>
      <c r="O1001">
        <f>_xlfn.XLOOKUP(VALINA[[#This Row],[id]],prov_color!A:A,prov_color!C:C)</f>
        <v>50</v>
      </c>
      <c r="P1001" t="str">
        <f>_xlfn.XLOOKUP(VALINA[[#This Row],[id]],Table4[id],Table4[name])</f>
        <v>Adriatic Sea</v>
      </c>
      <c r="Q1001" t="str">
        <f>_xlfn.XLOOKUP(VALINA[[#This Row],[name]],Trans!A:A,Trans!B:B)</f>
        <v>Adriatic Sea</v>
      </c>
    </row>
    <row r="1002" spans="1:17" x14ac:dyDescent="0.25">
      <c r="A1002">
        <v>1001</v>
      </c>
      <c r="B1002" t="s">
        <v>346</v>
      </c>
      <c r="C1002" t="s">
        <v>1660</v>
      </c>
      <c r="D1002" t="s">
        <v>1641</v>
      </c>
      <c r="E1002" t="s">
        <v>1316</v>
      </c>
      <c r="J1002" t="s">
        <v>1463</v>
      </c>
      <c r="N1002">
        <v>0</v>
      </c>
      <c r="O1002">
        <f>_xlfn.XLOOKUP(VALINA[[#This Row],[id]],prov_color!A:A,prov_color!C:C)</f>
        <v>48</v>
      </c>
      <c r="P1002" t="str">
        <f>_xlfn.XLOOKUP(VALINA[[#This Row],[id]],Table4[id],Table4[name])</f>
        <v>Straits of Otranto</v>
      </c>
      <c r="Q1002" t="str">
        <f>_xlfn.XLOOKUP(VALINA[[#This Row],[name]],Trans!A:A,Trans!B:B)</f>
        <v>Straits of Otranto</v>
      </c>
    </row>
    <row r="1003" spans="1:17" x14ac:dyDescent="0.25">
      <c r="A1003">
        <v>1002</v>
      </c>
      <c r="B1003" t="s">
        <v>346</v>
      </c>
      <c r="C1003" t="s">
        <v>1660</v>
      </c>
      <c r="D1003" t="s">
        <v>1641</v>
      </c>
      <c r="E1003" t="s">
        <v>1316</v>
      </c>
      <c r="J1003" t="s">
        <v>1464</v>
      </c>
      <c r="N1003">
        <v>0</v>
      </c>
      <c r="O1003">
        <f>_xlfn.XLOOKUP(VALINA[[#This Row],[id]],prov_color!A:A,prov_color!C:C)</f>
        <v>51</v>
      </c>
      <c r="P1003" t="str">
        <f>_xlfn.XLOOKUP(VALINA[[#This Row],[id]],Table4[id],Table4[name])</f>
        <v>Ionian Sea</v>
      </c>
      <c r="Q1003" t="str">
        <f>_xlfn.XLOOKUP(VALINA[[#This Row],[name]],Trans!A:A,Trans!B:B)</f>
        <v>Ionian Sea</v>
      </c>
    </row>
    <row r="1004" spans="1:17" x14ac:dyDescent="0.25">
      <c r="A1004">
        <v>1003</v>
      </c>
      <c r="B1004" t="s">
        <v>346</v>
      </c>
      <c r="C1004" t="s">
        <v>1660</v>
      </c>
      <c r="D1004" t="s">
        <v>1641</v>
      </c>
      <c r="E1004" t="s">
        <v>1316</v>
      </c>
      <c r="J1004" t="s">
        <v>1447</v>
      </c>
      <c r="N1004">
        <v>0</v>
      </c>
      <c r="O1004">
        <f>_xlfn.XLOOKUP(VALINA[[#This Row],[id]],prov_color!A:A,prov_color!C:C)</f>
        <v>47</v>
      </c>
      <c r="P1004" t="str">
        <f>_xlfn.XLOOKUP(VALINA[[#This Row],[id]],Table4[id],Table4[name])</f>
        <v>Gulf of Tobruk</v>
      </c>
      <c r="Q1004" t="str">
        <f>_xlfn.XLOOKUP(VALINA[[#This Row],[name]],Trans!A:A,Trans!B:B)</f>
        <v>Gulf of Tobruk</v>
      </c>
    </row>
    <row r="1005" spans="1:17" x14ac:dyDescent="0.25">
      <c r="A1005">
        <v>1004</v>
      </c>
      <c r="B1005" t="s">
        <v>346</v>
      </c>
      <c r="C1005" t="s">
        <v>1660</v>
      </c>
      <c r="D1005" t="s">
        <v>1641</v>
      </c>
      <c r="E1005" t="s">
        <v>1316</v>
      </c>
      <c r="J1005" t="s">
        <v>1448</v>
      </c>
      <c r="N1005">
        <v>0</v>
      </c>
      <c r="O1005">
        <f>_xlfn.XLOOKUP(VALINA[[#This Row],[id]],prov_color!A:A,prov_color!C:C)</f>
        <v>32</v>
      </c>
      <c r="P1005" t="str">
        <f>_xlfn.XLOOKUP(VALINA[[#This Row],[id]],Table4[id],Table4[name])</f>
        <v>Bay of Alexandria</v>
      </c>
      <c r="Q1005" t="str">
        <f>_xlfn.XLOOKUP(VALINA[[#This Row],[name]],Trans!A:A,Trans!B:B)</f>
        <v>Bay of Alexandria</v>
      </c>
    </row>
    <row r="1006" spans="1:17" x14ac:dyDescent="0.25">
      <c r="A1006">
        <v>1005</v>
      </c>
      <c r="B1006" t="s">
        <v>346</v>
      </c>
      <c r="C1006" t="s">
        <v>1660</v>
      </c>
      <c r="D1006" t="s">
        <v>1641</v>
      </c>
      <c r="E1006" t="s">
        <v>1316</v>
      </c>
      <c r="J1006" t="s">
        <v>1449</v>
      </c>
      <c r="N1006">
        <v>0</v>
      </c>
      <c r="O1006">
        <f>_xlfn.XLOOKUP(VALINA[[#This Row],[id]],prov_color!A:A,prov_color!C:C)</f>
        <v>37</v>
      </c>
      <c r="P1006" t="str">
        <f>_xlfn.XLOOKUP(VALINA[[#This Row],[id]],Table4[id],Table4[name])</f>
        <v>Coast of Palestine</v>
      </c>
      <c r="Q1006" t="str">
        <f>_xlfn.XLOOKUP(VALINA[[#This Row],[name]],Trans!A:A,Trans!B:B)</f>
        <v>Coast of Palestine</v>
      </c>
    </row>
    <row r="1007" spans="1:17" x14ac:dyDescent="0.25">
      <c r="A1007">
        <v>1006</v>
      </c>
      <c r="B1007" t="s">
        <v>346</v>
      </c>
      <c r="C1007" t="s">
        <v>1660</v>
      </c>
      <c r="D1007" t="s">
        <v>1641</v>
      </c>
      <c r="E1007" t="s">
        <v>1316</v>
      </c>
      <c r="J1007" t="s">
        <v>1784</v>
      </c>
      <c r="N1007">
        <v>0</v>
      </c>
      <c r="O1007">
        <f>_xlfn.XLOOKUP(VALINA[[#This Row],[id]],prov_color!A:A,prov_color!C:C)</f>
        <v>46</v>
      </c>
      <c r="P1007" t="str">
        <f>_xlfn.XLOOKUP(VALINA[[#This Row],[id]],Table4[id],Table4[name])</f>
        <v>Gulf of Cyprus</v>
      </c>
      <c r="Q1007" t="str">
        <f>_xlfn.XLOOKUP(VALINA[[#This Row],[name]],Trans!A:A,Trans!B:B)</f>
        <v>Gulf of Cyprus</v>
      </c>
    </row>
    <row r="1008" spans="1:17" x14ac:dyDescent="0.25">
      <c r="A1008">
        <v>1007</v>
      </c>
      <c r="B1008" t="s">
        <v>346</v>
      </c>
      <c r="C1008" t="s">
        <v>1660</v>
      </c>
      <c r="D1008" t="s">
        <v>1641</v>
      </c>
      <c r="E1008" t="s">
        <v>1316</v>
      </c>
      <c r="J1008" t="s">
        <v>1785</v>
      </c>
      <c r="N1008">
        <v>0</v>
      </c>
      <c r="O1008">
        <f>_xlfn.XLOOKUP(VALINA[[#This Row],[id]],prov_color!A:A,prov_color!C:C)</f>
        <v>48</v>
      </c>
      <c r="P1008" t="str">
        <f>_xlfn.XLOOKUP(VALINA[[#This Row],[id]],Table4[id],Table4[name])</f>
        <v>Eastern Mediterranean</v>
      </c>
      <c r="Q1008" t="str">
        <f>_xlfn.XLOOKUP(VALINA[[#This Row],[name]],Trans!A:A,Trans!B:B)</f>
        <v>Eastern Mediterranean</v>
      </c>
    </row>
    <row r="1009" spans="1:17" x14ac:dyDescent="0.25">
      <c r="A1009">
        <v>1008</v>
      </c>
      <c r="B1009" t="s">
        <v>346</v>
      </c>
      <c r="C1009" t="s">
        <v>1660</v>
      </c>
      <c r="D1009" t="s">
        <v>1641</v>
      </c>
      <c r="E1009" t="s">
        <v>1316</v>
      </c>
      <c r="J1009" t="s">
        <v>1446</v>
      </c>
      <c r="N1009">
        <v>0</v>
      </c>
      <c r="O1009">
        <f>_xlfn.XLOOKUP(VALINA[[#This Row],[id]],prov_color!A:A,prov_color!C:C)</f>
        <v>47</v>
      </c>
      <c r="P1009" t="str">
        <f>_xlfn.XLOOKUP(VALINA[[#This Row],[id]],Table4[id],Table4[name])</f>
        <v>Cretan Sea</v>
      </c>
      <c r="Q1009" t="str">
        <f>_xlfn.XLOOKUP(VALINA[[#This Row],[name]],Trans!A:A,Trans!B:B)</f>
        <v>Cretan Sea</v>
      </c>
    </row>
    <row r="1010" spans="1:17" x14ac:dyDescent="0.25">
      <c r="A1010">
        <v>1009</v>
      </c>
      <c r="B1010" t="s">
        <v>346</v>
      </c>
      <c r="C1010" t="s">
        <v>1660</v>
      </c>
      <c r="D1010" t="s">
        <v>1641</v>
      </c>
      <c r="E1010" t="s">
        <v>1316</v>
      </c>
      <c r="J1010" t="s">
        <v>1786</v>
      </c>
      <c r="N1010">
        <v>0</v>
      </c>
      <c r="O1010">
        <f>_xlfn.XLOOKUP(VALINA[[#This Row],[id]],prov_color!A:A,prov_color!C:C)</f>
        <v>37</v>
      </c>
      <c r="P1010" t="str">
        <f>_xlfn.XLOOKUP(VALINA[[#This Row],[id]],Table4[id],Table4[name])</f>
        <v>The Dodecanese</v>
      </c>
      <c r="Q1010" t="str">
        <f>_xlfn.XLOOKUP(VALINA[[#This Row],[name]],Trans!A:A,Trans!B:B)</f>
        <v>The Dodecanese</v>
      </c>
    </row>
    <row r="1011" spans="1:17" x14ac:dyDescent="0.25">
      <c r="A1011">
        <v>1010</v>
      </c>
      <c r="B1011" t="s">
        <v>346</v>
      </c>
      <c r="C1011" t="s">
        <v>1660</v>
      </c>
      <c r="D1011" t="s">
        <v>1641</v>
      </c>
      <c r="E1011" t="s">
        <v>1316</v>
      </c>
      <c r="J1011" t="s">
        <v>1787</v>
      </c>
      <c r="N1011">
        <v>0</v>
      </c>
      <c r="O1011">
        <f>_xlfn.XLOOKUP(VALINA[[#This Row],[id]],prov_color!A:A,prov_color!C:C)</f>
        <v>34</v>
      </c>
      <c r="P1011" t="str">
        <f>_xlfn.XLOOKUP(VALINA[[#This Row],[id]],Table4[id],Table4[name])</f>
        <v>The Cyclades</v>
      </c>
      <c r="Q1011" t="str">
        <f>_xlfn.XLOOKUP(VALINA[[#This Row],[name]],Trans!A:A,Trans!B:B)</f>
        <v>The Cyclades</v>
      </c>
    </row>
    <row r="1012" spans="1:17" x14ac:dyDescent="0.25">
      <c r="A1012">
        <v>1011</v>
      </c>
      <c r="B1012" t="s">
        <v>346</v>
      </c>
      <c r="C1012" t="s">
        <v>1660</v>
      </c>
      <c r="D1012" t="s">
        <v>1641</v>
      </c>
      <c r="E1012" t="s">
        <v>1316</v>
      </c>
      <c r="J1012" t="s">
        <v>1788</v>
      </c>
      <c r="N1012">
        <v>0</v>
      </c>
      <c r="O1012">
        <f>_xlfn.XLOOKUP(VALINA[[#This Row],[id]],prov_color!A:A,prov_color!C:C)</f>
        <v>44</v>
      </c>
      <c r="P1012" t="str">
        <f>_xlfn.XLOOKUP(VALINA[[#This Row],[id]],Table4[id],Table4[name])</f>
        <v>Aegean Sea</v>
      </c>
      <c r="Q1012" t="str">
        <f>_xlfn.XLOOKUP(VALINA[[#This Row],[name]],Trans!A:A,Trans!B:B)</f>
        <v>Aegean Sea</v>
      </c>
    </row>
    <row r="1013" spans="1:17" x14ac:dyDescent="0.25">
      <c r="A1013">
        <v>1012</v>
      </c>
      <c r="B1013" t="s">
        <v>346</v>
      </c>
      <c r="C1013" t="s">
        <v>1660</v>
      </c>
      <c r="D1013" t="s">
        <v>1641</v>
      </c>
      <c r="E1013" t="s">
        <v>1316</v>
      </c>
      <c r="J1013" t="s">
        <v>1445</v>
      </c>
      <c r="N1013">
        <v>0</v>
      </c>
      <c r="O1013">
        <f>_xlfn.XLOOKUP(VALINA[[#This Row],[id]],prov_color!A:A,prov_color!C:C)</f>
        <v>33</v>
      </c>
      <c r="P1013" t="str">
        <f>_xlfn.XLOOKUP(VALINA[[#This Row],[id]],Table4[id],Table4[name])</f>
        <v>Sea of Marmara</v>
      </c>
      <c r="Q1013" t="str">
        <f>_xlfn.XLOOKUP(VALINA[[#This Row],[name]],Trans!A:A,Trans!B:B)</f>
        <v>Sea of Marmara</v>
      </c>
    </row>
    <row r="1014" spans="1:17" x14ac:dyDescent="0.25">
      <c r="A1014">
        <v>1013</v>
      </c>
      <c r="B1014" t="s">
        <v>346</v>
      </c>
      <c r="C1014" t="s">
        <v>1660</v>
      </c>
      <c r="D1014" t="s">
        <v>1641</v>
      </c>
      <c r="E1014" t="s">
        <v>1316</v>
      </c>
      <c r="J1014" t="s">
        <v>1444</v>
      </c>
      <c r="N1014">
        <v>0</v>
      </c>
      <c r="O1014">
        <f>_xlfn.XLOOKUP(VALINA[[#This Row],[id]],prov_color!A:A,prov_color!C:C)</f>
        <v>38</v>
      </c>
      <c r="P1014" t="str">
        <f>_xlfn.XLOOKUP(VALINA[[#This Row],[id]],Table4[id],Table4[name])</f>
        <v>Gulf of Varna</v>
      </c>
      <c r="Q1014" t="str">
        <f>_xlfn.XLOOKUP(VALINA[[#This Row],[name]],Trans!A:A,Trans!B:B)</f>
        <v>Gulf of Varna</v>
      </c>
    </row>
    <row r="1015" spans="1:17" x14ac:dyDescent="0.25">
      <c r="A1015">
        <v>1014</v>
      </c>
      <c r="B1015" t="s">
        <v>346</v>
      </c>
      <c r="C1015" t="s">
        <v>1660</v>
      </c>
      <c r="D1015" t="s">
        <v>1641</v>
      </c>
      <c r="E1015" t="s">
        <v>1316</v>
      </c>
      <c r="J1015" t="s">
        <v>1443</v>
      </c>
      <c r="N1015">
        <v>0</v>
      </c>
      <c r="O1015">
        <f>_xlfn.XLOOKUP(VALINA[[#This Row],[id]],prov_color!A:A,prov_color!C:C)</f>
        <v>35</v>
      </c>
      <c r="P1015" t="str">
        <f>_xlfn.XLOOKUP(VALINA[[#This Row],[id]],Table4[id],Table4[name])</f>
        <v>Gulf of Odessa</v>
      </c>
      <c r="Q1015" t="str">
        <f>_xlfn.XLOOKUP(VALINA[[#This Row],[name]],Trans!A:A,Trans!B:B)</f>
        <v>Gulf of Odessa</v>
      </c>
    </row>
    <row r="1016" spans="1:17" x14ac:dyDescent="0.25">
      <c r="A1016">
        <v>1015</v>
      </c>
      <c r="B1016" t="s">
        <v>346</v>
      </c>
      <c r="C1016" t="s">
        <v>1660</v>
      </c>
      <c r="D1016" t="s">
        <v>1641</v>
      </c>
      <c r="E1016" t="s">
        <v>1316</v>
      </c>
      <c r="J1016" t="s">
        <v>1441</v>
      </c>
      <c r="N1016">
        <v>0</v>
      </c>
      <c r="O1016">
        <f>_xlfn.XLOOKUP(VALINA[[#This Row],[id]],prov_color!A:A,prov_color!C:C)</f>
        <v>68</v>
      </c>
      <c r="P1016" t="str">
        <f>_xlfn.XLOOKUP(VALINA[[#This Row],[id]],Table4[id],Table4[name])</f>
        <v>Western Black Sea</v>
      </c>
      <c r="Q1016" t="str">
        <f>_xlfn.XLOOKUP(VALINA[[#This Row],[name]],Trans!A:A,Trans!B:B)</f>
        <v>Western Black Sea</v>
      </c>
    </row>
    <row r="1017" spans="1:17" x14ac:dyDescent="0.25">
      <c r="A1017">
        <v>1016</v>
      </c>
      <c r="B1017" t="s">
        <v>346</v>
      </c>
      <c r="C1017" t="s">
        <v>1660</v>
      </c>
      <c r="D1017" t="s">
        <v>1641</v>
      </c>
      <c r="E1017" t="s">
        <v>1316</v>
      </c>
      <c r="J1017" t="s">
        <v>1442</v>
      </c>
      <c r="N1017">
        <v>0</v>
      </c>
      <c r="O1017">
        <f>_xlfn.XLOOKUP(VALINA[[#This Row],[id]],prov_color!A:A,prov_color!C:C)</f>
        <v>55</v>
      </c>
      <c r="P1017" t="str">
        <f>_xlfn.XLOOKUP(VALINA[[#This Row],[id]],Table4[id],Table4[name])</f>
        <v>Eastern Black Sea</v>
      </c>
      <c r="Q1017" t="str">
        <f>_xlfn.XLOOKUP(VALINA[[#This Row],[name]],Trans!A:A,Trans!B:B)</f>
        <v>Eastern Black Sea</v>
      </c>
    </row>
    <row r="1018" spans="1:17" x14ac:dyDescent="0.25">
      <c r="A1018">
        <v>1017</v>
      </c>
      <c r="B1018" t="s">
        <v>346</v>
      </c>
      <c r="C1018" t="s">
        <v>1660</v>
      </c>
      <c r="D1018" t="s">
        <v>1641</v>
      </c>
      <c r="E1018" t="s">
        <v>1316</v>
      </c>
      <c r="J1018" t="s">
        <v>1440</v>
      </c>
      <c r="N1018">
        <v>0</v>
      </c>
      <c r="O1018">
        <f>_xlfn.XLOOKUP(VALINA[[#This Row],[id]],prov_color!A:A,prov_color!C:C)</f>
        <v>25</v>
      </c>
      <c r="P1018" t="str">
        <f>_xlfn.XLOOKUP(VALINA[[#This Row],[id]],Table4[id],Table4[name])</f>
        <v>Sea of Azov</v>
      </c>
      <c r="Q1018" t="str">
        <f>_xlfn.XLOOKUP(VALINA[[#This Row],[name]],Trans!A:A,Trans!B:B)</f>
        <v>Sea of Azov</v>
      </c>
    </row>
    <row r="1019" spans="1:17" x14ac:dyDescent="0.25">
      <c r="A1019">
        <v>1018</v>
      </c>
      <c r="B1019" t="s">
        <v>653</v>
      </c>
      <c r="C1019" t="s">
        <v>1655</v>
      </c>
      <c r="D1019" t="s">
        <v>1641</v>
      </c>
      <c r="E1019" t="s">
        <v>1316</v>
      </c>
      <c r="J1019" t="s">
        <v>1357</v>
      </c>
      <c r="N1019">
        <v>0</v>
      </c>
      <c r="O1019">
        <f>_xlfn.XLOOKUP(VALINA[[#This Row],[id]],prov_color!A:A,prov_color!C:C)</f>
        <v>105</v>
      </c>
      <c r="P1019" t="str">
        <f>_xlfn.XLOOKUP(VALINA[[#This Row],[id]],Table4[id],Table4[name])</f>
        <v>Yang Tse Delta</v>
      </c>
      <c r="Q1019" t="str">
        <f>_xlfn.XLOOKUP(VALINA[[#This Row],[name]],Trans!A:A,Trans!B:B)</f>
        <v>Yang Tse Delta</v>
      </c>
    </row>
    <row r="1020" spans="1:17" x14ac:dyDescent="0.25">
      <c r="A1020">
        <v>1019</v>
      </c>
      <c r="B1020" t="s">
        <v>653</v>
      </c>
      <c r="C1020" t="s">
        <v>1655</v>
      </c>
      <c r="D1020" t="s">
        <v>1641</v>
      </c>
      <c r="E1020" t="s">
        <v>1316</v>
      </c>
      <c r="J1020" t="s">
        <v>1365</v>
      </c>
      <c r="N1020">
        <v>0</v>
      </c>
      <c r="O1020">
        <f>_xlfn.XLOOKUP(VALINA[[#This Row],[id]],prov_color!A:A,prov_color!C:C)</f>
        <v>93</v>
      </c>
      <c r="P1020" t="str">
        <f>_xlfn.XLOOKUP(VALINA[[#This Row],[id]],Table4[id],Table4[name])</f>
        <v>Amakusa Sea</v>
      </c>
      <c r="Q1020" t="str">
        <f>_xlfn.XLOOKUP(VALINA[[#This Row],[name]],Trans!A:A,Trans!B:B)</f>
        <v>Amakusa Sea</v>
      </c>
    </row>
    <row r="1021" spans="1:17" x14ac:dyDescent="0.25">
      <c r="A1021">
        <v>1020</v>
      </c>
      <c r="B1021" t="s">
        <v>653</v>
      </c>
      <c r="C1021" t="s">
        <v>1651</v>
      </c>
      <c r="D1021" t="s">
        <v>1641</v>
      </c>
      <c r="E1021" t="s">
        <v>1316</v>
      </c>
      <c r="J1021" t="s">
        <v>1789</v>
      </c>
      <c r="N1021">
        <v>0</v>
      </c>
      <c r="O1021">
        <f>_xlfn.XLOOKUP(VALINA[[#This Row],[id]],prov_color!A:A,prov_color!C:C)</f>
        <v>91</v>
      </c>
      <c r="P1021" t="str">
        <f>_xlfn.XLOOKUP(VALINA[[#This Row],[id]],Table4[id],Table4[name])</f>
        <v>Setto Inland Sea</v>
      </c>
      <c r="Q1021" t="str">
        <f>_xlfn.XLOOKUP(VALINA[[#This Row],[name]],Trans!A:A,Trans!B:B)</f>
        <v>Seto Inland Sea</v>
      </c>
    </row>
    <row r="1022" spans="1:17" x14ac:dyDescent="0.25">
      <c r="A1022">
        <v>1021</v>
      </c>
      <c r="B1022" t="s">
        <v>653</v>
      </c>
      <c r="C1022" t="s">
        <v>1651</v>
      </c>
      <c r="D1022" t="s">
        <v>1641</v>
      </c>
      <c r="E1022" t="s">
        <v>1316</v>
      </c>
      <c r="J1022" t="s">
        <v>1363</v>
      </c>
      <c r="N1022">
        <v>0</v>
      </c>
      <c r="O1022">
        <f>_xlfn.XLOOKUP(VALINA[[#This Row],[id]],prov_color!A:A,prov_color!C:C)</f>
        <v>157</v>
      </c>
      <c r="P1022" t="str">
        <f>_xlfn.XLOOKUP(VALINA[[#This Row],[id]],Table4[id],Table4[name])</f>
        <v>Tokai Sea</v>
      </c>
      <c r="Q1022" t="str">
        <f>_xlfn.XLOOKUP(VALINA[[#This Row],[name]],Trans!A:A,Trans!B:B)</f>
        <v>Tokai Sea</v>
      </c>
    </row>
    <row r="1023" spans="1:17" x14ac:dyDescent="0.25">
      <c r="A1023">
        <v>1022</v>
      </c>
      <c r="B1023" t="s">
        <v>653</v>
      </c>
      <c r="C1023" t="s">
        <v>1651</v>
      </c>
      <c r="D1023" t="s">
        <v>1641</v>
      </c>
      <c r="E1023" t="s">
        <v>1316</v>
      </c>
      <c r="J1023" t="s">
        <v>1596</v>
      </c>
      <c r="N1023">
        <v>0</v>
      </c>
      <c r="O1023">
        <f>_xlfn.XLOOKUP(VALINA[[#This Row],[id]],prov_color!A:A,prov_color!C:C)</f>
        <v>312</v>
      </c>
      <c r="P1023" t="str">
        <f>_xlfn.XLOOKUP(VALINA[[#This Row],[id]],Table4[id],Table4[name])</f>
        <v>Iwo Jima Sea</v>
      </c>
      <c r="Q1023" t="str">
        <f>_xlfn.XLOOKUP(VALINA[[#This Row],[name]],Trans!A:A,Trans!B:B)</f>
        <v>Iwo Jima Sea</v>
      </c>
    </row>
    <row r="1024" spans="1:17" x14ac:dyDescent="0.25">
      <c r="A1024">
        <v>1023</v>
      </c>
      <c r="B1024" t="s">
        <v>653</v>
      </c>
      <c r="C1024" t="s">
        <v>1656</v>
      </c>
      <c r="D1024" t="s">
        <v>1641</v>
      </c>
      <c r="E1024" t="s">
        <v>1316</v>
      </c>
      <c r="J1024" t="s">
        <v>1745</v>
      </c>
      <c r="N1024">
        <v>0</v>
      </c>
      <c r="O1024">
        <f>_xlfn.XLOOKUP(VALINA[[#This Row],[id]],prov_color!A:A,prov_color!C:C)</f>
        <v>576</v>
      </c>
      <c r="P1024" t="str">
        <f>_xlfn.XLOOKUP(VALINA[[#This Row],[id]],Table4[id],Table4[name])</f>
        <v>Northwestern Pacific Ocean</v>
      </c>
      <c r="Q1024" t="str">
        <f>_xlfn.XLOOKUP(VALINA[[#This Row],[name]],Trans!A:A,Trans!B:B)</f>
        <v>Northwestern Pacific Ocean</v>
      </c>
    </row>
    <row r="1025" spans="1:17" x14ac:dyDescent="0.25">
      <c r="A1025">
        <v>1024</v>
      </c>
      <c r="B1025" t="s">
        <v>653</v>
      </c>
      <c r="C1025" t="s">
        <v>1656</v>
      </c>
      <c r="D1025" t="s">
        <v>1641</v>
      </c>
      <c r="E1025" t="s">
        <v>1316</v>
      </c>
      <c r="J1025" t="s">
        <v>1745</v>
      </c>
      <c r="N1025">
        <v>0</v>
      </c>
      <c r="O1025">
        <f>_xlfn.XLOOKUP(VALINA[[#This Row],[id]],prov_color!A:A,prov_color!C:C)</f>
        <v>494</v>
      </c>
      <c r="P1025" t="str">
        <f>_xlfn.XLOOKUP(VALINA[[#This Row],[id]],Table4[id],Table4[name])</f>
        <v>Northwestern Pacific Ocean</v>
      </c>
      <c r="Q1025" t="str">
        <f>_xlfn.XLOOKUP(VALINA[[#This Row],[name]],Trans!A:A,Trans!B:B)</f>
        <v>Northwestern Pacific Ocean</v>
      </c>
    </row>
    <row r="1026" spans="1:17" x14ac:dyDescent="0.25">
      <c r="A1026">
        <v>1025</v>
      </c>
      <c r="B1026" t="s">
        <v>653</v>
      </c>
      <c r="C1026" t="s">
        <v>1656</v>
      </c>
      <c r="D1026" t="s">
        <v>1641</v>
      </c>
      <c r="E1026" t="s">
        <v>1316</v>
      </c>
      <c r="J1026" t="s">
        <v>1745</v>
      </c>
      <c r="N1026">
        <v>0</v>
      </c>
      <c r="O1026">
        <f>_xlfn.XLOOKUP(VALINA[[#This Row],[id]],prov_color!A:A,prov_color!C:C)</f>
        <v>558</v>
      </c>
      <c r="P1026" t="str">
        <f>_xlfn.XLOOKUP(VALINA[[#This Row],[id]],Table4[id],Table4[name])</f>
        <v>Northwestern Pacific Ocean</v>
      </c>
      <c r="Q1026" t="str">
        <f>_xlfn.XLOOKUP(VALINA[[#This Row],[name]],Trans!A:A,Trans!B:B)</f>
        <v>Northwestern Pacific Ocean</v>
      </c>
    </row>
    <row r="1027" spans="1:17" x14ac:dyDescent="0.25">
      <c r="A1027">
        <v>1026</v>
      </c>
      <c r="B1027" t="s">
        <v>990</v>
      </c>
      <c r="C1027" t="s">
        <v>1656</v>
      </c>
      <c r="D1027" t="s">
        <v>1641</v>
      </c>
      <c r="E1027" t="s">
        <v>1316</v>
      </c>
      <c r="J1027" t="s">
        <v>1745</v>
      </c>
      <c r="N1027">
        <v>0</v>
      </c>
      <c r="O1027">
        <f>_xlfn.XLOOKUP(VALINA[[#This Row],[id]],prov_color!A:A,prov_color!C:C)</f>
        <v>1034</v>
      </c>
      <c r="P1027" t="str">
        <f>_xlfn.XLOOKUP(VALINA[[#This Row],[id]],Table4[id],Table4[name])</f>
        <v>Northwestern Pacific Ocean</v>
      </c>
      <c r="Q1027" t="str">
        <f>_xlfn.XLOOKUP(VALINA[[#This Row],[name]],Trans!A:A,Trans!B:B)</f>
        <v>Northwestern Pacific Ocean</v>
      </c>
    </row>
    <row r="1028" spans="1:17" x14ac:dyDescent="0.25">
      <c r="A1028">
        <v>1027</v>
      </c>
      <c r="B1028" t="s">
        <v>653</v>
      </c>
      <c r="C1028" t="s">
        <v>1640</v>
      </c>
      <c r="D1028" t="s">
        <v>1641</v>
      </c>
      <c r="E1028" t="s">
        <v>1316</v>
      </c>
      <c r="J1028" t="s">
        <v>1745</v>
      </c>
      <c r="N1028">
        <v>0</v>
      </c>
      <c r="O1028">
        <f>_xlfn.XLOOKUP(VALINA[[#This Row],[id]],prov_color!A:A,prov_color!C:C)</f>
        <v>729</v>
      </c>
      <c r="P1028" t="str">
        <f>_xlfn.XLOOKUP(VALINA[[#This Row],[id]],Table4[id],Table4[name])</f>
        <v>Northwestern Pacific Ocean</v>
      </c>
      <c r="Q1028" t="str">
        <f>_xlfn.XLOOKUP(VALINA[[#This Row],[name]],Trans!A:A,Trans!B:B)</f>
        <v>Northwestern Pacific Ocean</v>
      </c>
    </row>
    <row r="1029" spans="1:17" x14ac:dyDescent="0.25">
      <c r="A1029">
        <v>1028</v>
      </c>
      <c r="B1029" t="s">
        <v>990</v>
      </c>
      <c r="C1029" t="s">
        <v>1656</v>
      </c>
      <c r="D1029" t="s">
        <v>1641</v>
      </c>
      <c r="E1029" t="s">
        <v>1316</v>
      </c>
      <c r="J1029" t="s">
        <v>1745</v>
      </c>
      <c r="N1029">
        <v>0</v>
      </c>
      <c r="O1029">
        <f>_xlfn.XLOOKUP(VALINA[[#This Row],[id]],prov_color!A:A,prov_color!C:C)</f>
        <v>682</v>
      </c>
      <c r="P1029" t="str">
        <f>_xlfn.XLOOKUP(VALINA[[#This Row],[id]],Table4[id],Table4[name])</f>
        <v>Northwestern Pacific Ocean</v>
      </c>
      <c r="Q1029" t="str">
        <f>_xlfn.XLOOKUP(VALINA[[#This Row],[name]],Trans!A:A,Trans!B:B)</f>
        <v>Northwestern Pacific Ocean</v>
      </c>
    </row>
    <row r="1030" spans="1:17" x14ac:dyDescent="0.25">
      <c r="A1030">
        <v>1029</v>
      </c>
      <c r="B1030" t="s">
        <v>990</v>
      </c>
      <c r="C1030" t="s">
        <v>1652</v>
      </c>
      <c r="D1030" t="s">
        <v>1641</v>
      </c>
      <c r="E1030" t="s">
        <v>1316</v>
      </c>
      <c r="J1030" t="s">
        <v>1790</v>
      </c>
      <c r="N1030">
        <v>0</v>
      </c>
      <c r="O1030">
        <f>_xlfn.XLOOKUP(VALINA[[#This Row],[id]],prov_color!A:A,prov_color!C:C)</f>
        <v>594</v>
      </c>
      <c r="P1030" t="str">
        <f>_xlfn.XLOOKUP(VALINA[[#This Row],[id]],Table4[id],Table4[name])</f>
        <v>Central Pacific Ocean</v>
      </c>
      <c r="Q1030" t="str">
        <f>_xlfn.XLOOKUP(VALINA[[#This Row],[name]],Trans!A:A,Trans!B:B)</f>
        <v>Central Pacific Ocean</v>
      </c>
    </row>
    <row r="1031" spans="1:17" x14ac:dyDescent="0.25">
      <c r="A1031">
        <v>1030</v>
      </c>
      <c r="B1031" t="s">
        <v>990</v>
      </c>
      <c r="C1031" t="s">
        <v>1652</v>
      </c>
      <c r="D1031" t="s">
        <v>1641</v>
      </c>
      <c r="E1031" t="s">
        <v>1316</v>
      </c>
      <c r="J1031" t="s">
        <v>1790</v>
      </c>
      <c r="N1031">
        <v>0</v>
      </c>
      <c r="O1031">
        <f>_xlfn.XLOOKUP(VALINA[[#This Row],[id]],prov_color!A:A,prov_color!C:C)</f>
        <v>716</v>
      </c>
      <c r="P1031" t="str">
        <f>_xlfn.XLOOKUP(VALINA[[#This Row],[id]],Table4[id],Table4[name])</f>
        <v>Central Pacific Ocean</v>
      </c>
      <c r="Q1031" t="str">
        <f>_xlfn.XLOOKUP(VALINA[[#This Row],[name]],Trans!A:A,Trans!B:B)</f>
        <v>Central Pacific Ocean</v>
      </c>
    </row>
    <row r="1032" spans="1:17" x14ac:dyDescent="0.25">
      <c r="A1032">
        <v>1031</v>
      </c>
      <c r="B1032" t="s">
        <v>990</v>
      </c>
      <c r="C1032" t="s">
        <v>1652</v>
      </c>
      <c r="D1032" t="s">
        <v>1641</v>
      </c>
      <c r="E1032" t="s">
        <v>1316</v>
      </c>
      <c r="J1032" t="s">
        <v>1790</v>
      </c>
      <c r="N1032">
        <v>0</v>
      </c>
      <c r="O1032">
        <f>_xlfn.XLOOKUP(VALINA[[#This Row],[id]],prov_color!A:A,prov_color!C:C)</f>
        <v>753</v>
      </c>
      <c r="P1032" t="str">
        <f>_xlfn.XLOOKUP(VALINA[[#This Row],[id]],Table4[id],Table4[name])</f>
        <v>Central Pacific Ocean</v>
      </c>
      <c r="Q1032" t="str">
        <f>_xlfn.XLOOKUP(VALINA[[#This Row],[name]],Trans!A:A,Trans!B:B)</f>
        <v>Central Pacific Ocean</v>
      </c>
    </row>
    <row r="1033" spans="1:17" x14ac:dyDescent="0.25">
      <c r="A1033">
        <v>1032</v>
      </c>
      <c r="B1033" t="s">
        <v>990</v>
      </c>
      <c r="C1033" t="s">
        <v>1652</v>
      </c>
      <c r="D1033" t="s">
        <v>1641</v>
      </c>
      <c r="E1033" t="s">
        <v>1316</v>
      </c>
      <c r="J1033" t="s">
        <v>1778</v>
      </c>
      <c r="N1033">
        <v>0</v>
      </c>
      <c r="O1033">
        <f>_xlfn.XLOOKUP(VALINA[[#This Row],[id]],prov_color!A:A,prov_color!C:C)</f>
        <v>1078</v>
      </c>
      <c r="P1033" t="str">
        <f>_xlfn.XLOOKUP(VALINA[[#This Row],[id]],Table4[id],Table4[name])</f>
        <v>Northeastern Pacific Ocean</v>
      </c>
      <c r="Q1033" t="str">
        <f>_xlfn.XLOOKUP(VALINA[[#This Row],[name]],Trans!A:A,Trans!B:B)</f>
        <v>Northeastern Pacific Ocean</v>
      </c>
    </row>
    <row r="1034" spans="1:17" x14ac:dyDescent="0.25">
      <c r="A1034">
        <v>1033</v>
      </c>
      <c r="B1034" t="s">
        <v>990</v>
      </c>
      <c r="C1034" t="s">
        <v>1652</v>
      </c>
      <c r="D1034" t="s">
        <v>1641</v>
      </c>
      <c r="E1034" t="s">
        <v>1316</v>
      </c>
      <c r="J1034" t="s">
        <v>1778</v>
      </c>
      <c r="N1034">
        <v>0</v>
      </c>
      <c r="O1034">
        <f>_xlfn.XLOOKUP(VALINA[[#This Row],[id]],prov_color!A:A,prov_color!C:C)</f>
        <v>1011</v>
      </c>
      <c r="P1034" t="str">
        <f>_xlfn.XLOOKUP(VALINA[[#This Row],[id]],Table4[id],Table4[name])</f>
        <v>Northeastern Pacific Ocean</v>
      </c>
      <c r="Q1034" t="str">
        <f>_xlfn.XLOOKUP(VALINA[[#This Row],[name]],Trans!A:A,Trans!B:B)</f>
        <v>Northeastern Pacific Ocean</v>
      </c>
    </row>
    <row r="1035" spans="1:17" x14ac:dyDescent="0.25">
      <c r="A1035">
        <v>1034</v>
      </c>
      <c r="B1035" t="s">
        <v>990</v>
      </c>
      <c r="C1035" t="s">
        <v>1661</v>
      </c>
      <c r="D1035" t="s">
        <v>1641</v>
      </c>
      <c r="E1035" t="s">
        <v>1316</v>
      </c>
      <c r="J1035" t="s">
        <v>1950</v>
      </c>
      <c r="N1035">
        <v>0</v>
      </c>
      <c r="O1035">
        <f>_xlfn.XLOOKUP(VALINA[[#This Row],[id]],prov_color!A:A,prov_color!C:C)</f>
        <v>425</v>
      </c>
      <c r="P1035" t="str">
        <f>_xlfn.XLOOKUP(VALINA[[#This Row],[id]],Table4[id],Table4[name])</f>
        <v>Galapagos Islands</v>
      </c>
      <c r="Q1035" t="str">
        <f>_xlfn.XLOOKUP(VALINA[[#This Row],[name]],Trans!A:A,Trans!B:B)</f>
        <v>Galapagos Islands</v>
      </c>
    </row>
    <row r="1036" spans="1:17" x14ac:dyDescent="0.25">
      <c r="A1036">
        <v>1035</v>
      </c>
      <c r="B1036" t="s">
        <v>990</v>
      </c>
      <c r="C1036" t="s">
        <v>1652</v>
      </c>
      <c r="D1036" t="s">
        <v>1641</v>
      </c>
      <c r="E1036" t="s">
        <v>1316</v>
      </c>
      <c r="J1036" t="s">
        <v>1778</v>
      </c>
      <c r="N1036">
        <v>0</v>
      </c>
      <c r="O1036">
        <f>_xlfn.XLOOKUP(VALINA[[#This Row],[id]],prov_color!A:A,prov_color!C:C)</f>
        <v>379</v>
      </c>
      <c r="P1036" t="str">
        <f>_xlfn.XLOOKUP(VALINA[[#This Row],[id]],Table4[id],Table4[name])</f>
        <v>Northeastern Pacific Ocean</v>
      </c>
      <c r="Q1036" t="str">
        <f>_xlfn.XLOOKUP(VALINA[[#This Row],[name]],Trans!A:A,Trans!B:B)</f>
        <v>Northeastern Pacific Ocean</v>
      </c>
    </row>
    <row r="1037" spans="1:17" x14ac:dyDescent="0.25">
      <c r="A1037">
        <v>1036</v>
      </c>
      <c r="B1037" t="s">
        <v>11</v>
      </c>
      <c r="C1037" t="s">
        <v>1652</v>
      </c>
      <c r="D1037" t="s">
        <v>1641</v>
      </c>
      <c r="E1037" t="s">
        <v>1316</v>
      </c>
      <c r="J1037" t="s">
        <v>1778</v>
      </c>
      <c r="N1037">
        <v>0</v>
      </c>
      <c r="O1037">
        <f>_xlfn.XLOOKUP(VALINA[[#This Row],[id]],prov_color!A:A,prov_color!C:C)</f>
        <v>267</v>
      </c>
      <c r="P1037" t="str">
        <f>_xlfn.XLOOKUP(VALINA[[#This Row],[id]],Table4[id],Table4[name])</f>
        <v>Northeastern Pacific Ocean</v>
      </c>
      <c r="Q1037" t="str">
        <f>_xlfn.XLOOKUP(VALINA[[#This Row],[name]],Trans!A:A,Trans!B:B)</f>
        <v>Northeastern Pacific Ocean</v>
      </c>
    </row>
    <row r="1038" spans="1:17" x14ac:dyDescent="0.25">
      <c r="A1038">
        <v>1037</v>
      </c>
      <c r="B1038" t="s">
        <v>11</v>
      </c>
      <c r="C1038" t="s">
        <v>1652</v>
      </c>
      <c r="D1038" t="s">
        <v>1641</v>
      </c>
      <c r="E1038" t="s">
        <v>1316</v>
      </c>
      <c r="J1038" t="s">
        <v>1778</v>
      </c>
      <c r="N1038">
        <v>0</v>
      </c>
      <c r="O1038">
        <f>_xlfn.XLOOKUP(VALINA[[#This Row],[id]],prov_color!A:A,prov_color!C:C)</f>
        <v>144</v>
      </c>
      <c r="P1038" t="str">
        <f>_xlfn.XLOOKUP(VALINA[[#This Row],[id]],Table4[id],Table4[name])</f>
        <v>Northeastern Pacific Ocean</v>
      </c>
      <c r="Q1038" t="str">
        <f>_xlfn.XLOOKUP(VALINA[[#This Row],[name]],Trans!A:A,Trans!B:B)</f>
        <v>Northeastern Pacific Ocean</v>
      </c>
    </row>
    <row r="1039" spans="1:17" x14ac:dyDescent="0.25">
      <c r="A1039">
        <v>1038</v>
      </c>
      <c r="B1039" t="s">
        <v>11</v>
      </c>
      <c r="C1039" t="s">
        <v>1652</v>
      </c>
      <c r="D1039" t="s">
        <v>1641</v>
      </c>
      <c r="E1039" t="s">
        <v>1316</v>
      </c>
      <c r="J1039" t="s">
        <v>1569</v>
      </c>
      <c r="N1039">
        <v>0</v>
      </c>
      <c r="O1039">
        <f>_xlfn.XLOOKUP(VALINA[[#This Row],[id]],prov_color!A:A,prov_color!C:C)</f>
        <v>84</v>
      </c>
      <c r="P1039" t="str">
        <f>_xlfn.XLOOKUP(VALINA[[#This Row],[id]],Table4[id],Table4[name])</f>
        <v>Bay of Costa Rica</v>
      </c>
      <c r="Q1039" t="str">
        <f>_xlfn.XLOOKUP(VALINA[[#This Row],[name]],Trans!A:A,Trans!B:B)</f>
        <v>Bay of Costa Rica</v>
      </c>
    </row>
    <row r="1040" spans="1:17" x14ac:dyDescent="0.25">
      <c r="A1040">
        <v>1039</v>
      </c>
      <c r="B1040" t="s">
        <v>11</v>
      </c>
      <c r="C1040" t="s">
        <v>1652</v>
      </c>
      <c r="D1040" t="s">
        <v>1641</v>
      </c>
      <c r="E1040" t="s">
        <v>1316</v>
      </c>
      <c r="J1040" t="s">
        <v>1568</v>
      </c>
      <c r="N1040">
        <v>0</v>
      </c>
      <c r="O1040">
        <f>_xlfn.XLOOKUP(VALINA[[#This Row],[id]],prov_color!A:A,prov_color!C:C)</f>
        <v>103</v>
      </c>
      <c r="P1040" t="str">
        <f>_xlfn.XLOOKUP(VALINA[[#This Row],[id]],Table4[id],Table4[name])</f>
        <v>Gulf of Panama</v>
      </c>
      <c r="Q1040" t="str">
        <f>_xlfn.XLOOKUP(VALINA[[#This Row],[name]],Trans!A:A,Trans!B:B)</f>
        <v>Gulf of Panama</v>
      </c>
    </row>
    <row r="1041" spans="1:17" x14ac:dyDescent="0.25">
      <c r="A1041">
        <v>1040</v>
      </c>
      <c r="B1041" t="s">
        <v>11</v>
      </c>
      <c r="C1041" t="s">
        <v>1661</v>
      </c>
      <c r="D1041" t="s">
        <v>1641</v>
      </c>
      <c r="E1041" t="s">
        <v>1316</v>
      </c>
      <c r="J1041" t="s">
        <v>1566</v>
      </c>
      <c r="N1041">
        <v>0</v>
      </c>
      <c r="O1041">
        <f>_xlfn.XLOOKUP(VALINA[[#This Row],[id]],prov_color!A:A,prov_color!C:C)</f>
        <v>107</v>
      </c>
      <c r="P1041" t="str">
        <f>_xlfn.XLOOKUP(VALINA[[#This Row],[id]],Table4[id],Table4[name])</f>
        <v>Gulf of Guayaquil</v>
      </c>
      <c r="Q1041" t="str">
        <f>_xlfn.XLOOKUP(VALINA[[#This Row],[name]],Trans!A:A,Trans!B:B)</f>
        <v>Gulf of Guayaquil</v>
      </c>
    </row>
    <row r="1042" spans="1:17" x14ac:dyDescent="0.25">
      <c r="A1042">
        <v>1041</v>
      </c>
      <c r="B1042" t="s">
        <v>11</v>
      </c>
      <c r="C1042" t="s">
        <v>1661</v>
      </c>
      <c r="D1042" t="s">
        <v>1641</v>
      </c>
      <c r="E1042" t="s">
        <v>1316</v>
      </c>
      <c r="J1042" t="s">
        <v>1567</v>
      </c>
      <c r="N1042">
        <v>0</v>
      </c>
      <c r="O1042">
        <f>_xlfn.XLOOKUP(VALINA[[#This Row],[id]],prov_color!A:A,prov_color!C:C)</f>
        <v>94</v>
      </c>
      <c r="P1042" t="str">
        <f>_xlfn.XLOOKUP(VALINA[[#This Row],[id]],Table4[id],Table4[name])</f>
        <v>Coast of Ecuador</v>
      </c>
      <c r="Q1042" t="str">
        <f>_xlfn.XLOOKUP(VALINA[[#This Row],[name]],Trans!A:A,Trans!B:B)</f>
        <v>Coast of Ecuador</v>
      </c>
    </row>
    <row r="1043" spans="1:17" x14ac:dyDescent="0.25">
      <c r="A1043">
        <v>1042</v>
      </c>
      <c r="B1043" t="s">
        <v>11</v>
      </c>
      <c r="C1043" t="s">
        <v>1653</v>
      </c>
      <c r="D1043" t="s">
        <v>1641</v>
      </c>
      <c r="E1043" t="s">
        <v>1316</v>
      </c>
      <c r="J1043" t="s">
        <v>1537</v>
      </c>
      <c r="N1043">
        <v>0</v>
      </c>
      <c r="O1043">
        <f>_xlfn.XLOOKUP(VALINA[[#This Row],[id]],prov_color!A:A,prov_color!C:C)</f>
        <v>105</v>
      </c>
      <c r="P1043" t="str">
        <f>_xlfn.XLOOKUP(VALINA[[#This Row],[id]],Table4[id],Table4[name])</f>
        <v>Mosquitos Coast</v>
      </c>
      <c r="Q1043" t="str">
        <f>_xlfn.XLOOKUP(VALINA[[#This Row],[name]],Trans!A:A,Trans!B:B)</f>
        <v>Mosquitos Coast</v>
      </c>
    </row>
    <row r="1044" spans="1:17" x14ac:dyDescent="0.25">
      <c r="A1044">
        <v>1043</v>
      </c>
      <c r="B1044" t="s">
        <v>11</v>
      </c>
      <c r="C1044" t="s">
        <v>1653</v>
      </c>
      <c r="D1044" t="s">
        <v>1641</v>
      </c>
      <c r="E1044" t="s">
        <v>1316</v>
      </c>
      <c r="J1044" t="s">
        <v>1538</v>
      </c>
      <c r="N1044">
        <v>0</v>
      </c>
      <c r="O1044">
        <f>_xlfn.XLOOKUP(VALINA[[#This Row],[id]],prov_color!A:A,prov_color!C:C)</f>
        <v>87</v>
      </c>
      <c r="P1044" t="str">
        <f>_xlfn.XLOOKUP(VALINA[[#This Row],[id]],Table4[id],Table4[name])</f>
        <v>Gulf of Darien</v>
      </c>
      <c r="Q1044" t="str">
        <f>_xlfn.XLOOKUP(VALINA[[#This Row],[name]],Trans!A:A,Trans!B:B)</f>
        <v>Gulf of Darien</v>
      </c>
    </row>
    <row r="1045" spans="1:17" x14ac:dyDescent="0.25">
      <c r="A1045">
        <v>1044</v>
      </c>
      <c r="B1045" t="s">
        <v>11</v>
      </c>
      <c r="C1045" t="s">
        <v>1653</v>
      </c>
      <c r="D1045" t="s">
        <v>1641</v>
      </c>
      <c r="E1045" t="s">
        <v>1316</v>
      </c>
      <c r="J1045" t="s">
        <v>1541</v>
      </c>
      <c r="N1045">
        <v>0</v>
      </c>
      <c r="O1045">
        <f>_xlfn.XLOOKUP(VALINA[[#This Row],[id]],prov_color!A:A,prov_color!C:C)</f>
        <v>75</v>
      </c>
      <c r="P1045" t="str">
        <f>_xlfn.XLOOKUP(VALINA[[#This Row],[id]],Table4[id],Table4[name])</f>
        <v>Caribbean Sea</v>
      </c>
      <c r="Q1045" t="str">
        <f>_xlfn.XLOOKUP(VALINA[[#This Row],[name]],Trans!A:A,Trans!B:B)</f>
        <v>Caribbean Sea</v>
      </c>
    </row>
    <row r="1046" spans="1:17" x14ac:dyDescent="0.25">
      <c r="A1046">
        <v>1045</v>
      </c>
      <c r="B1046" t="s">
        <v>11</v>
      </c>
      <c r="C1046" t="s">
        <v>1653</v>
      </c>
      <c r="D1046" t="s">
        <v>1641</v>
      </c>
      <c r="E1046" t="s">
        <v>1316</v>
      </c>
      <c r="J1046" t="s">
        <v>1544</v>
      </c>
      <c r="N1046">
        <v>0</v>
      </c>
      <c r="O1046">
        <f>_xlfn.XLOOKUP(VALINA[[#This Row],[id]],prov_color!A:A,prov_color!C:C)</f>
        <v>88</v>
      </c>
      <c r="P1046" t="str">
        <f>_xlfn.XLOOKUP(VALINA[[#This Row],[id]],Table4[id],Table4[name])</f>
        <v>Venezuelan Sea</v>
      </c>
      <c r="Q1046" t="str">
        <f>_xlfn.XLOOKUP(VALINA[[#This Row],[name]],Trans!A:A,Trans!B:B)</f>
        <v>Venezuelan Sea</v>
      </c>
    </row>
    <row r="1047" spans="1:17" x14ac:dyDescent="0.25">
      <c r="A1047">
        <v>1046</v>
      </c>
      <c r="B1047" t="s">
        <v>11</v>
      </c>
      <c r="C1047" t="s">
        <v>1653</v>
      </c>
      <c r="D1047" t="s">
        <v>1641</v>
      </c>
      <c r="E1047" t="s">
        <v>1316</v>
      </c>
      <c r="J1047" t="s">
        <v>1542</v>
      </c>
      <c r="N1047">
        <v>0</v>
      </c>
      <c r="O1047">
        <f>_xlfn.XLOOKUP(VALINA[[#This Row],[id]],prov_color!A:A,prov_color!C:C)</f>
        <v>84</v>
      </c>
      <c r="P1047" t="str">
        <f>_xlfn.XLOOKUP(VALINA[[#This Row],[id]],Table4[id],Table4[name])</f>
        <v>Straits of Puerto Rico</v>
      </c>
      <c r="Q1047" t="str">
        <f>_xlfn.XLOOKUP(VALINA[[#This Row],[name]],Trans!A:A,Trans!B:B)</f>
        <v>Straits of Puerto Rico</v>
      </c>
    </row>
    <row r="1048" spans="1:17" x14ac:dyDescent="0.25">
      <c r="A1048">
        <v>1047</v>
      </c>
      <c r="B1048" t="s">
        <v>11</v>
      </c>
      <c r="C1048" t="s">
        <v>1653</v>
      </c>
      <c r="D1048" t="s">
        <v>1641</v>
      </c>
      <c r="E1048" t="s">
        <v>1316</v>
      </c>
      <c r="J1048" t="s">
        <v>1546</v>
      </c>
      <c r="N1048">
        <v>0</v>
      </c>
      <c r="O1048">
        <f>_xlfn.XLOOKUP(VALINA[[#This Row],[id]],prov_color!A:A,prov_color!C:C)</f>
        <v>102</v>
      </c>
      <c r="P1048" t="str">
        <f>_xlfn.XLOOKUP(VALINA[[#This Row],[id]],Table4[id],Table4[name])</f>
        <v>Leeward Islands</v>
      </c>
      <c r="Q1048" t="str">
        <f>_xlfn.XLOOKUP(VALINA[[#This Row],[name]],Trans!A:A,Trans!B:B)</f>
        <v>Leeward Islands</v>
      </c>
    </row>
    <row r="1049" spans="1:17" x14ac:dyDescent="0.25">
      <c r="A1049">
        <v>1048</v>
      </c>
      <c r="B1049" t="s">
        <v>11</v>
      </c>
      <c r="C1049" t="s">
        <v>1653</v>
      </c>
      <c r="D1049" t="s">
        <v>1641</v>
      </c>
      <c r="E1049" t="s">
        <v>1316</v>
      </c>
      <c r="J1049" t="s">
        <v>1792</v>
      </c>
      <c r="N1049">
        <v>0</v>
      </c>
      <c r="O1049">
        <f>_xlfn.XLOOKUP(VALINA[[#This Row],[id]],prov_color!A:A,prov_color!C:C)</f>
        <v>86</v>
      </c>
      <c r="P1049" t="str">
        <f>_xlfn.XLOOKUP(VALINA[[#This Row],[id]],Table4[id],Table4[name])</f>
        <v>Winward Islands</v>
      </c>
      <c r="Q1049" t="str">
        <f>_xlfn.XLOOKUP(VALINA[[#This Row],[name]],Trans!A:A,Trans!B:B)</f>
        <v>Windward Islands</v>
      </c>
    </row>
    <row r="1050" spans="1:17" x14ac:dyDescent="0.25">
      <c r="A1050">
        <v>1049</v>
      </c>
      <c r="B1050" t="s">
        <v>11</v>
      </c>
      <c r="C1050" t="s">
        <v>1653</v>
      </c>
      <c r="D1050" t="s">
        <v>1641</v>
      </c>
      <c r="E1050" t="s">
        <v>1316</v>
      </c>
      <c r="J1050" t="s">
        <v>1433</v>
      </c>
      <c r="N1050">
        <v>0</v>
      </c>
      <c r="O1050">
        <f>_xlfn.XLOOKUP(VALINA[[#This Row],[id]],prov_color!A:A,prov_color!C:C)</f>
        <v>237</v>
      </c>
      <c r="P1050" t="str">
        <f>_xlfn.XLOOKUP(VALINA[[#This Row],[id]],Table4[id],Table4[name])</f>
        <v>Central Atlantic Ocean</v>
      </c>
      <c r="Q1050" t="str">
        <f>_xlfn.XLOOKUP(VALINA[[#This Row],[name]],Trans!A:A,Trans!B:B)</f>
        <v>Central Atlantic Ocean</v>
      </c>
    </row>
    <row r="1051" spans="1:17" x14ac:dyDescent="0.25">
      <c r="A1051">
        <v>1050</v>
      </c>
      <c r="B1051" t="s">
        <v>11</v>
      </c>
      <c r="C1051" t="s">
        <v>1653</v>
      </c>
      <c r="D1051" t="s">
        <v>1641</v>
      </c>
      <c r="E1051" t="s">
        <v>1316</v>
      </c>
      <c r="J1051" t="s">
        <v>1433</v>
      </c>
      <c r="N1051">
        <v>0</v>
      </c>
      <c r="O1051">
        <f>_xlfn.XLOOKUP(VALINA[[#This Row],[id]],prov_color!A:A,prov_color!C:C)</f>
        <v>242</v>
      </c>
      <c r="P1051" t="str">
        <f>_xlfn.XLOOKUP(VALINA[[#This Row],[id]],Table4[id],Table4[name])</f>
        <v>Central Atlantic Ocean</v>
      </c>
      <c r="Q1051" t="str">
        <f>_xlfn.XLOOKUP(VALINA[[#This Row],[name]],Trans!A:A,Trans!B:B)</f>
        <v>Central Atlantic Ocean</v>
      </c>
    </row>
    <row r="1052" spans="1:17" x14ac:dyDescent="0.25">
      <c r="A1052">
        <v>1051</v>
      </c>
      <c r="B1052" t="s">
        <v>11</v>
      </c>
      <c r="C1052" t="s">
        <v>1657</v>
      </c>
      <c r="D1052" t="s">
        <v>1641</v>
      </c>
      <c r="E1052" t="s">
        <v>1316</v>
      </c>
      <c r="J1052" t="s">
        <v>1433</v>
      </c>
      <c r="N1052">
        <v>0</v>
      </c>
      <c r="O1052">
        <f>_xlfn.XLOOKUP(VALINA[[#This Row],[id]],prov_color!A:A,prov_color!C:C)</f>
        <v>310</v>
      </c>
      <c r="P1052" t="str">
        <f>_xlfn.XLOOKUP(VALINA[[#This Row],[id]],Table4[id],Table4[name])</f>
        <v>Central Atlantic Ocean</v>
      </c>
      <c r="Q1052" t="str">
        <f>_xlfn.XLOOKUP(VALINA[[#This Row],[name]],Trans!A:A,Trans!B:B)</f>
        <v>Central Atlantic Ocean</v>
      </c>
    </row>
    <row r="1053" spans="1:17" x14ac:dyDescent="0.25">
      <c r="A1053">
        <v>1052</v>
      </c>
      <c r="B1053" t="s">
        <v>11</v>
      </c>
      <c r="C1053" t="s">
        <v>1657</v>
      </c>
      <c r="D1053" t="s">
        <v>1641</v>
      </c>
      <c r="E1053" t="s">
        <v>1316</v>
      </c>
      <c r="J1053" t="s">
        <v>1433</v>
      </c>
      <c r="N1053">
        <v>0</v>
      </c>
      <c r="O1053">
        <f>_xlfn.XLOOKUP(VALINA[[#This Row],[id]],prov_color!A:A,prov_color!C:C)</f>
        <v>325</v>
      </c>
      <c r="P1053" t="str">
        <f>_xlfn.XLOOKUP(VALINA[[#This Row],[id]],Table4[id],Table4[name])</f>
        <v>Central Atlantic Ocean</v>
      </c>
      <c r="Q1053" t="str">
        <f>_xlfn.XLOOKUP(VALINA[[#This Row],[name]],Trans!A:A,Trans!B:B)</f>
        <v>Central Atlantic Ocean</v>
      </c>
    </row>
    <row r="1054" spans="1:17" x14ac:dyDescent="0.25">
      <c r="A1054">
        <v>1053</v>
      </c>
      <c r="B1054" t="s">
        <v>1016</v>
      </c>
      <c r="C1054" t="s">
        <v>1657</v>
      </c>
      <c r="D1054" t="s">
        <v>1641</v>
      </c>
      <c r="E1054" t="s">
        <v>1316</v>
      </c>
      <c r="J1054" t="s">
        <v>1433</v>
      </c>
      <c r="N1054">
        <v>0</v>
      </c>
      <c r="O1054">
        <f>_xlfn.XLOOKUP(VALINA[[#This Row],[id]],prov_color!A:A,prov_color!C:C)</f>
        <v>347</v>
      </c>
      <c r="P1054" t="str">
        <f>_xlfn.XLOOKUP(VALINA[[#This Row],[id]],Table4[id],Table4[name])</f>
        <v>Central Atlantic Ocean</v>
      </c>
      <c r="Q1054" t="str">
        <f>_xlfn.XLOOKUP(VALINA[[#This Row],[name]],Trans!A:A,Trans!B:B)</f>
        <v>Central Atlantic Ocean</v>
      </c>
    </row>
    <row r="1055" spans="1:17" x14ac:dyDescent="0.25">
      <c r="A1055">
        <v>1054</v>
      </c>
      <c r="B1055" t="s">
        <v>1016</v>
      </c>
      <c r="C1055" t="s">
        <v>1657</v>
      </c>
      <c r="D1055" t="s">
        <v>1641</v>
      </c>
      <c r="E1055" t="s">
        <v>1316</v>
      </c>
      <c r="J1055" t="s">
        <v>1438</v>
      </c>
      <c r="N1055">
        <v>0</v>
      </c>
      <c r="O1055">
        <f>_xlfn.XLOOKUP(VALINA[[#This Row],[id]],prov_color!A:A,prov_color!C:C)</f>
        <v>283</v>
      </c>
      <c r="P1055" t="str">
        <f>_xlfn.XLOOKUP(VALINA[[#This Row],[id]],Table4[id],Table4[name])</f>
        <v>Arguin Bank</v>
      </c>
      <c r="Q1055" t="str">
        <f>_xlfn.XLOOKUP(VALINA[[#This Row],[name]],Trans!A:A,Trans!B:B)</f>
        <v>Arguin Bank</v>
      </c>
    </row>
    <row r="1056" spans="1:17" x14ac:dyDescent="0.25">
      <c r="A1056">
        <v>1055</v>
      </c>
      <c r="B1056" t="s">
        <v>1016</v>
      </c>
      <c r="C1056" t="s">
        <v>1658</v>
      </c>
      <c r="D1056" t="s">
        <v>1641</v>
      </c>
      <c r="E1056" t="s">
        <v>1316</v>
      </c>
      <c r="J1056" t="s">
        <v>1433</v>
      </c>
      <c r="N1056">
        <v>0</v>
      </c>
      <c r="O1056">
        <f>_xlfn.XLOOKUP(VALINA[[#This Row],[id]],prov_color!A:A,prov_color!C:C)</f>
        <v>270</v>
      </c>
      <c r="P1056" t="str">
        <f>_xlfn.XLOOKUP(VALINA[[#This Row],[id]],Table4[id],Table4[name])</f>
        <v>Central Atlantic Ocean</v>
      </c>
      <c r="Q1056" t="str">
        <f>_xlfn.XLOOKUP(VALINA[[#This Row],[name]],Trans!A:A,Trans!B:B)</f>
        <v>Central Atlantic Ocean</v>
      </c>
    </row>
    <row r="1057" spans="1:17" x14ac:dyDescent="0.25">
      <c r="A1057">
        <v>1056</v>
      </c>
      <c r="B1057" t="s">
        <v>1016</v>
      </c>
      <c r="C1057" t="s">
        <v>1662</v>
      </c>
      <c r="D1057" t="s">
        <v>1641</v>
      </c>
      <c r="E1057" t="s">
        <v>1316</v>
      </c>
      <c r="J1057" t="s">
        <v>1492</v>
      </c>
      <c r="N1057">
        <v>0</v>
      </c>
      <c r="O1057">
        <f>_xlfn.XLOOKUP(VALINA[[#This Row],[id]],prov_color!A:A,prov_color!C:C)</f>
        <v>122</v>
      </c>
      <c r="P1057" t="str">
        <f>_xlfn.XLOOKUP(VALINA[[#This Row],[id]],Table4[id],Table4[name])</f>
        <v>Mauretanian Coast</v>
      </c>
      <c r="Q1057" t="str">
        <f>_xlfn.XLOOKUP(VALINA[[#This Row],[name]],Trans!A:A,Trans!B:B)</f>
        <v>Mauretanian Coast</v>
      </c>
    </row>
    <row r="1058" spans="1:17" x14ac:dyDescent="0.25">
      <c r="A1058">
        <v>1057</v>
      </c>
      <c r="B1058" t="s">
        <v>1016</v>
      </c>
      <c r="C1058" t="s">
        <v>1658</v>
      </c>
      <c r="D1058" t="s">
        <v>1641</v>
      </c>
      <c r="E1058" t="s">
        <v>1316</v>
      </c>
      <c r="J1058" t="s">
        <v>1491</v>
      </c>
      <c r="N1058">
        <v>0</v>
      </c>
      <c r="O1058">
        <f>_xlfn.XLOOKUP(VALINA[[#This Row],[id]],prov_color!A:A,prov_color!C:C)</f>
        <v>125</v>
      </c>
      <c r="P1058" t="str">
        <f>_xlfn.XLOOKUP(VALINA[[#This Row],[id]],Table4[id],Table4[name])</f>
        <v>Canarian Sea</v>
      </c>
      <c r="Q1058" t="str">
        <f>_xlfn.XLOOKUP(VALINA[[#This Row],[name]],Trans!A:A,Trans!B:B)</f>
        <v>Canarian Sea</v>
      </c>
    </row>
    <row r="1059" spans="1:17" x14ac:dyDescent="0.25">
      <c r="A1059">
        <v>1058</v>
      </c>
      <c r="B1059" t="s">
        <v>1016</v>
      </c>
      <c r="C1059" t="s">
        <v>1658</v>
      </c>
      <c r="D1059" t="s">
        <v>1641</v>
      </c>
      <c r="E1059" t="s">
        <v>1316</v>
      </c>
      <c r="J1059" t="s">
        <v>1490</v>
      </c>
      <c r="N1059">
        <v>0</v>
      </c>
      <c r="O1059">
        <f>_xlfn.XLOOKUP(VALINA[[#This Row],[id]],prov_color!A:A,prov_color!C:C)</f>
        <v>66</v>
      </c>
      <c r="P1059" t="str">
        <f>_xlfn.XLOOKUP(VALINA[[#This Row],[id]],Table4[id],Table4[name])</f>
        <v>Coast of Morocco</v>
      </c>
      <c r="Q1059" t="str">
        <f>_xlfn.XLOOKUP(VALINA[[#This Row],[name]],Trans!A:A,Trans!B:B)</f>
        <v>Coast of Morocco</v>
      </c>
    </row>
    <row r="1060" spans="1:17" x14ac:dyDescent="0.25">
      <c r="A1060">
        <v>1059</v>
      </c>
      <c r="B1060" t="s">
        <v>1016</v>
      </c>
      <c r="C1060" t="s">
        <v>1663</v>
      </c>
      <c r="D1060" t="s">
        <v>1641</v>
      </c>
      <c r="E1060" t="s">
        <v>1316</v>
      </c>
      <c r="J1060" t="s">
        <v>1451</v>
      </c>
      <c r="N1060">
        <v>0</v>
      </c>
      <c r="O1060">
        <f>_xlfn.XLOOKUP(VALINA[[#This Row],[id]],prov_color!A:A,prov_color!C:C)</f>
        <v>75</v>
      </c>
      <c r="P1060" t="str">
        <f>_xlfn.XLOOKUP(VALINA[[#This Row],[id]],Table4[id],Table4[name])</f>
        <v>Gulf of Suez</v>
      </c>
      <c r="Q1060" t="str">
        <f>_xlfn.XLOOKUP(VALINA[[#This Row],[name]],Trans!A:A,Trans!B:B)</f>
        <v>Gulf of Suez</v>
      </c>
    </row>
    <row r="1061" spans="1:17" x14ac:dyDescent="0.25">
      <c r="A1061">
        <v>1060</v>
      </c>
      <c r="B1061" t="s">
        <v>1016</v>
      </c>
      <c r="C1061" t="s">
        <v>1663</v>
      </c>
      <c r="D1061" t="s">
        <v>1641</v>
      </c>
      <c r="E1061" t="s">
        <v>1316</v>
      </c>
      <c r="J1061" t="s">
        <v>1452</v>
      </c>
      <c r="N1061">
        <v>0</v>
      </c>
      <c r="O1061">
        <f>_xlfn.XLOOKUP(VALINA[[#This Row],[id]],prov_color!A:A,prov_color!C:C)</f>
        <v>118</v>
      </c>
      <c r="P1061" t="str">
        <f>_xlfn.XLOOKUP(VALINA[[#This Row],[id]],Table4[id],Table4[name])</f>
        <v>Red Sea</v>
      </c>
      <c r="Q1061" t="str">
        <f>_xlfn.XLOOKUP(VALINA[[#This Row],[name]],Trans!A:A,Trans!B:B)</f>
        <v>Red Sea</v>
      </c>
    </row>
    <row r="1062" spans="1:17" x14ac:dyDescent="0.25">
      <c r="A1062">
        <v>1061</v>
      </c>
      <c r="B1062" t="s">
        <v>1016</v>
      </c>
      <c r="C1062" t="s">
        <v>1663</v>
      </c>
      <c r="D1062" t="s">
        <v>1641</v>
      </c>
      <c r="E1062" t="s">
        <v>1316</v>
      </c>
      <c r="J1062" t="s">
        <v>1795</v>
      </c>
      <c r="N1062">
        <v>0</v>
      </c>
      <c r="O1062">
        <f>_xlfn.XLOOKUP(VALINA[[#This Row],[id]],prov_color!A:A,prov_color!C:C)</f>
        <v>89</v>
      </c>
      <c r="P1062" t="str">
        <f>_xlfn.XLOOKUP(VALINA[[#This Row],[id]],Table4[id],Table4[name])</f>
        <v>Straits of Obock</v>
      </c>
      <c r="Q1062" t="str">
        <f>_xlfn.XLOOKUP(VALINA[[#This Row],[name]],Trans!A:A,Trans!B:B)</f>
        <v>Bab el-Mandeb</v>
      </c>
    </row>
    <row r="1063" spans="1:17" x14ac:dyDescent="0.25">
      <c r="A1063">
        <v>1062</v>
      </c>
      <c r="B1063" t="s">
        <v>1016</v>
      </c>
      <c r="C1063" t="s">
        <v>1663</v>
      </c>
      <c r="D1063" t="s">
        <v>1641</v>
      </c>
      <c r="E1063" t="s">
        <v>1316</v>
      </c>
      <c r="J1063" t="s">
        <v>1796</v>
      </c>
      <c r="N1063">
        <v>0</v>
      </c>
      <c r="O1063">
        <f>_xlfn.XLOOKUP(VALINA[[#This Row],[id]],prov_color!A:A,prov_color!C:C)</f>
        <v>133</v>
      </c>
      <c r="P1063" t="str">
        <f>_xlfn.XLOOKUP(VALINA[[#This Row],[id]],Table4[id],Table4[name])</f>
        <v>Bab El Mandeb</v>
      </c>
      <c r="Q1063" t="str">
        <f>_xlfn.XLOOKUP(VALINA[[#This Row],[name]],Trans!A:A,Trans!B:B)</f>
        <v>Gulf of Aden</v>
      </c>
    </row>
    <row r="1064" spans="1:17" x14ac:dyDescent="0.25">
      <c r="A1064">
        <v>1063</v>
      </c>
      <c r="B1064" t="s">
        <v>653</v>
      </c>
      <c r="C1064" t="s">
        <v>1664</v>
      </c>
      <c r="D1064" t="s">
        <v>1641</v>
      </c>
      <c r="E1064" t="s">
        <v>1316</v>
      </c>
      <c r="J1064" t="s">
        <v>1797</v>
      </c>
      <c r="N1064">
        <v>0</v>
      </c>
      <c r="O1064">
        <f>_xlfn.XLOOKUP(VALINA[[#This Row],[id]],prov_color!A:A,prov_color!C:C)</f>
        <v>96</v>
      </c>
      <c r="P1064" t="str">
        <f>_xlfn.XLOOKUP(VALINA[[#This Row],[id]],Table4[id],Table4[name])</f>
        <v>Straits of Ormuz</v>
      </c>
      <c r="Q1064" t="str">
        <f>_xlfn.XLOOKUP(VALINA[[#This Row],[name]],Trans!A:A,Trans!B:B)</f>
        <v>Straits of Hormuz</v>
      </c>
    </row>
    <row r="1065" spans="1:17" x14ac:dyDescent="0.25">
      <c r="A1065">
        <v>1064</v>
      </c>
      <c r="B1065" t="s">
        <v>653</v>
      </c>
      <c r="C1065" t="s">
        <v>1664</v>
      </c>
      <c r="D1065" t="s">
        <v>1641</v>
      </c>
      <c r="E1065" t="s">
        <v>1316</v>
      </c>
      <c r="J1065" t="s">
        <v>1798</v>
      </c>
      <c r="N1065">
        <v>0</v>
      </c>
      <c r="O1065">
        <f>_xlfn.XLOOKUP(VALINA[[#This Row],[id]],prov_color!A:A,prov_color!C:C)</f>
        <v>133</v>
      </c>
      <c r="P1065" t="str">
        <f>_xlfn.XLOOKUP(VALINA[[#This Row],[id]],Table4[id],Table4[name])</f>
        <v>Coast of Mascate</v>
      </c>
      <c r="Q1065" t="str">
        <f>_xlfn.XLOOKUP(VALINA[[#This Row],[name]],Trans!A:A,Trans!B:B)</f>
        <v>Oman Sea</v>
      </c>
    </row>
    <row r="1066" spans="1:17" x14ac:dyDescent="0.25">
      <c r="A1066">
        <v>1065</v>
      </c>
      <c r="B1066" t="s">
        <v>653</v>
      </c>
      <c r="C1066" t="s">
        <v>1664</v>
      </c>
      <c r="D1066" t="s">
        <v>1641</v>
      </c>
      <c r="E1066" t="s">
        <v>1316</v>
      </c>
      <c r="J1066" t="s">
        <v>1517</v>
      </c>
      <c r="N1066">
        <v>0</v>
      </c>
      <c r="O1066">
        <f>_xlfn.XLOOKUP(VALINA[[#This Row],[id]],prov_color!A:A,prov_color!C:C)</f>
        <v>73</v>
      </c>
      <c r="P1066" t="str">
        <f>_xlfn.XLOOKUP(VALINA[[#This Row],[id]],Table4[id],Table4[name])</f>
        <v>Mascate Coast</v>
      </c>
      <c r="Q1066" t="str">
        <f>_xlfn.XLOOKUP(VALINA[[#This Row],[name]],Trans!A:A,Trans!B:B)</f>
        <v>Mascate Coast</v>
      </c>
    </row>
    <row r="1067" spans="1:17" x14ac:dyDescent="0.25">
      <c r="A1067">
        <v>1066</v>
      </c>
      <c r="B1067" t="s">
        <v>653</v>
      </c>
      <c r="C1067" t="s">
        <v>1664</v>
      </c>
      <c r="D1067" t="s">
        <v>1641</v>
      </c>
      <c r="E1067" t="s">
        <v>1316</v>
      </c>
      <c r="J1067" t="s">
        <v>1516</v>
      </c>
      <c r="N1067">
        <v>0</v>
      </c>
      <c r="O1067">
        <f>_xlfn.XLOOKUP(VALINA[[#This Row],[id]],prov_color!A:A,prov_color!C:C)</f>
        <v>111</v>
      </c>
      <c r="P1067" t="str">
        <f>_xlfn.XLOOKUP(VALINA[[#This Row],[id]],Table4[id],Table4[name])</f>
        <v>Gulf of Indus</v>
      </c>
      <c r="Q1067" t="str">
        <f>_xlfn.XLOOKUP(VALINA[[#This Row],[name]],Trans!A:A,Trans!B:B)</f>
        <v>Gulf of Indus</v>
      </c>
    </row>
    <row r="1068" spans="1:17" x14ac:dyDescent="0.25">
      <c r="A1068">
        <v>1067</v>
      </c>
      <c r="B1068" t="s">
        <v>653</v>
      </c>
      <c r="C1068" t="s">
        <v>1664</v>
      </c>
      <c r="D1068" t="s">
        <v>1641</v>
      </c>
      <c r="E1068" t="s">
        <v>1316</v>
      </c>
      <c r="J1068" t="s">
        <v>1426</v>
      </c>
      <c r="N1068">
        <v>0</v>
      </c>
      <c r="O1068">
        <f>_xlfn.XLOOKUP(VALINA[[#This Row],[id]],prov_color!A:A,prov_color!C:C)</f>
        <v>257</v>
      </c>
      <c r="P1068" t="str">
        <f>_xlfn.XLOOKUP(VALINA[[#This Row],[id]],Table4[id],Table4[name])</f>
        <v>Western Arabian Sea</v>
      </c>
      <c r="Q1068" t="str">
        <f>_xlfn.XLOOKUP(VALINA[[#This Row],[name]],Trans!A:A,Trans!B:B)</f>
        <v>Western Arabian Sea</v>
      </c>
    </row>
    <row r="1069" spans="1:17" x14ac:dyDescent="0.25">
      <c r="A1069">
        <v>1068</v>
      </c>
      <c r="B1069" t="s">
        <v>653</v>
      </c>
      <c r="C1069" t="s">
        <v>1665</v>
      </c>
      <c r="D1069" t="s">
        <v>1641</v>
      </c>
      <c r="E1069" t="s">
        <v>1316</v>
      </c>
      <c r="J1069" t="s">
        <v>1799</v>
      </c>
      <c r="N1069">
        <v>0</v>
      </c>
      <c r="O1069">
        <f>_xlfn.XLOOKUP(VALINA[[#This Row],[id]],prov_color!A:A,prov_color!C:C)</f>
        <v>224</v>
      </c>
      <c r="P1069" t="str">
        <f>_xlfn.XLOOKUP(VALINA[[#This Row],[id]],Table4[id],Table4[name])</f>
        <v>Eastern Arabian Sea</v>
      </c>
      <c r="Q1069" t="str">
        <f>_xlfn.XLOOKUP(VALINA[[#This Row],[name]],Trans!A:A,Trans!B:B)</f>
        <v>Eastern Arabian Sea</v>
      </c>
    </row>
    <row r="1070" spans="1:17" x14ac:dyDescent="0.25">
      <c r="A1070">
        <v>1069</v>
      </c>
      <c r="B1070" t="s">
        <v>653</v>
      </c>
      <c r="C1070" t="s">
        <v>1665</v>
      </c>
      <c r="D1070" t="s">
        <v>1641</v>
      </c>
      <c r="E1070" t="s">
        <v>1316</v>
      </c>
      <c r="J1070" t="s">
        <v>1519</v>
      </c>
      <c r="N1070">
        <v>0</v>
      </c>
      <c r="O1070">
        <f>_xlfn.XLOOKUP(VALINA[[#This Row],[id]],prov_color!A:A,prov_color!C:C)</f>
        <v>123</v>
      </c>
      <c r="P1070" t="str">
        <f>_xlfn.XLOOKUP(VALINA[[#This Row],[id]],Table4[id],Table4[name])</f>
        <v>Coast of Gujarat</v>
      </c>
      <c r="Q1070" t="str">
        <f>_xlfn.XLOOKUP(VALINA[[#This Row],[name]],Trans!A:A,Trans!B:B)</f>
        <v>Coast of Gujarat</v>
      </c>
    </row>
    <row r="1071" spans="1:17" x14ac:dyDescent="0.25">
      <c r="A1071">
        <v>1070</v>
      </c>
      <c r="B1071" t="s">
        <v>653</v>
      </c>
      <c r="C1071" t="s">
        <v>1665</v>
      </c>
      <c r="D1071" t="s">
        <v>1641</v>
      </c>
      <c r="E1071" t="s">
        <v>1316</v>
      </c>
      <c r="J1071" t="s">
        <v>1520</v>
      </c>
      <c r="N1071">
        <v>0</v>
      </c>
      <c r="O1071">
        <f>_xlfn.XLOOKUP(VALINA[[#This Row],[id]],prov_color!A:A,prov_color!C:C)</f>
        <v>84</v>
      </c>
      <c r="P1071" t="str">
        <f>_xlfn.XLOOKUP(VALINA[[#This Row],[id]],Table4[id],Table4[name])</f>
        <v>Lacquedive Islands</v>
      </c>
      <c r="Q1071" t="str">
        <f>_xlfn.XLOOKUP(VALINA[[#This Row],[name]],Trans!A:A,Trans!B:B)</f>
        <v>Lacquedive Islands</v>
      </c>
    </row>
    <row r="1072" spans="1:17" x14ac:dyDescent="0.25">
      <c r="A1072">
        <v>1071</v>
      </c>
      <c r="B1072" t="s">
        <v>653</v>
      </c>
      <c r="C1072" t="s">
        <v>1665</v>
      </c>
      <c r="D1072" t="s">
        <v>1641</v>
      </c>
      <c r="E1072" t="s">
        <v>1316</v>
      </c>
      <c r="J1072" t="s">
        <v>1521</v>
      </c>
      <c r="N1072">
        <v>0</v>
      </c>
      <c r="O1072">
        <f>_xlfn.XLOOKUP(VALINA[[#This Row],[id]],prov_color!A:A,prov_color!C:C)</f>
        <v>109</v>
      </c>
      <c r="P1072" t="str">
        <f>_xlfn.XLOOKUP(VALINA[[#This Row],[id]],Table4[id],Table4[name])</f>
        <v>Coast of Malabar</v>
      </c>
      <c r="Q1072" t="str">
        <f>_xlfn.XLOOKUP(VALINA[[#This Row],[name]],Trans!A:A,Trans!B:B)</f>
        <v>Coast of Malabar</v>
      </c>
    </row>
    <row r="1073" spans="1:17" x14ac:dyDescent="0.25">
      <c r="A1073">
        <v>1072</v>
      </c>
      <c r="B1073" t="s">
        <v>653</v>
      </c>
      <c r="C1073" t="s">
        <v>1666</v>
      </c>
      <c r="D1073" t="s">
        <v>1641</v>
      </c>
      <c r="E1073" t="s">
        <v>1316</v>
      </c>
      <c r="J1073" t="s">
        <v>1341</v>
      </c>
      <c r="N1073">
        <v>0</v>
      </c>
      <c r="O1073">
        <f>_xlfn.XLOOKUP(VALINA[[#This Row],[id]],prov_color!A:A,prov_color!C:C)</f>
        <v>68</v>
      </c>
      <c r="P1073" t="str">
        <f>_xlfn.XLOOKUP(VALINA[[#This Row],[id]],Table4[id],Table4[name])</f>
        <v>Coast of Coromandel</v>
      </c>
      <c r="Q1073" t="str">
        <f>_xlfn.XLOOKUP(VALINA[[#This Row],[name]],Trans!A:A,Trans!B:B)</f>
        <v>Coast of Coromandel</v>
      </c>
    </row>
    <row r="1074" spans="1:17" x14ac:dyDescent="0.25">
      <c r="A1074">
        <v>1073</v>
      </c>
      <c r="B1074" t="s">
        <v>653</v>
      </c>
      <c r="C1074" t="s">
        <v>1666</v>
      </c>
      <c r="D1074" t="s">
        <v>1641</v>
      </c>
      <c r="E1074" t="s">
        <v>1316</v>
      </c>
      <c r="J1074" t="s">
        <v>1342</v>
      </c>
      <c r="N1074">
        <v>0</v>
      </c>
      <c r="O1074">
        <f>_xlfn.XLOOKUP(VALINA[[#This Row],[id]],prov_color!A:A,prov_color!C:C)</f>
        <v>59</v>
      </c>
      <c r="P1074" t="str">
        <f>_xlfn.XLOOKUP(VALINA[[#This Row],[id]],Table4[id],Table4[name])</f>
        <v>Coast of Orissa</v>
      </c>
      <c r="Q1074" t="str">
        <f>_xlfn.XLOOKUP(VALINA[[#This Row],[name]],Trans!A:A,Trans!B:B)</f>
        <v>Coast of Orissa</v>
      </c>
    </row>
    <row r="1075" spans="1:17" x14ac:dyDescent="0.25">
      <c r="A1075">
        <v>1074</v>
      </c>
      <c r="B1075" t="s">
        <v>653</v>
      </c>
      <c r="C1075" t="s">
        <v>1666</v>
      </c>
      <c r="D1075" t="s">
        <v>1641</v>
      </c>
      <c r="E1075" t="s">
        <v>1316</v>
      </c>
      <c r="J1075" t="s">
        <v>1343</v>
      </c>
      <c r="N1075">
        <v>0</v>
      </c>
      <c r="O1075">
        <f>_xlfn.XLOOKUP(VALINA[[#This Row],[id]],prov_color!A:A,prov_color!C:C)</f>
        <v>72</v>
      </c>
      <c r="P1075" t="str">
        <f>_xlfn.XLOOKUP(VALINA[[#This Row],[id]],Table4[id],Table4[name])</f>
        <v>Ganges Delta</v>
      </c>
      <c r="Q1075" t="str">
        <f>_xlfn.XLOOKUP(VALINA[[#This Row],[name]],Trans!A:A,Trans!B:B)</f>
        <v>Ganges Delta</v>
      </c>
    </row>
    <row r="1076" spans="1:17" x14ac:dyDescent="0.25">
      <c r="A1076">
        <v>1075</v>
      </c>
      <c r="B1076" t="s">
        <v>653</v>
      </c>
      <c r="C1076" t="s">
        <v>1666</v>
      </c>
      <c r="D1076" t="s">
        <v>1641</v>
      </c>
      <c r="E1076" t="s">
        <v>1316</v>
      </c>
      <c r="J1076" t="s">
        <v>1422</v>
      </c>
      <c r="N1076">
        <v>0</v>
      </c>
      <c r="O1076">
        <f>_xlfn.XLOOKUP(VALINA[[#This Row],[id]],prov_color!A:A,prov_color!C:C)</f>
        <v>132</v>
      </c>
      <c r="P1076" t="str">
        <f>_xlfn.XLOOKUP(VALINA[[#This Row],[id]],Table4[id],Table4[name])</f>
        <v>Gulf of Bengal</v>
      </c>
      <c r="Q1076" t="str">
        <f>_xlfn.XLOOKUP(VALINA[[#This Row],[name]],Trans!A:A,Trans!B:B)</f>
        <v>Gulf of Bengal</v>
      </c>
    </row>
    <row r="1077" spans="1:17" x14ac:dyDescent="0.25">
      <c r="A1077">
        <v>1076</v>
      </c>
      <c r="B1077" t="s">
        <v>653</v>
      </c>
      <c r="C1077" t="s">
        <v>1666</v>
      </c>
      <c r="D1077" t="s">
        <v>1641</v>
      </c>
      <c r="E1077" t="s">
        <v>1316</v>
      </c>
      <c r="J1077" t="s">
        <v>1423</v>
      </c>
      <c r="N1077">
        <v>0</v>
      </c>
      <c r="O1077">
        <f>_xlfn.XLOOKUP(VALINA[[#This Row],[id]],prov_color!A:A,prov_color!C:C)</f>
        <v>115</v>
      </c>
      <c r="P1077" t="str">
        <f>_xlfn.XLOOKUP(VALINA[[#This Row],[id]],Table4[id],Table4[name])</f>
        <v>Northern Bay of Bengale</v>
      </c>
      <c r="Q1077" t="str">
        <f>_xlfn.XLOOKUP(VALINA[[#This Row],[name]],Trans!A:A,Trans!B:B)</f>
        <v>Northern Bay of Bengale</v>
      </c>
    </row>
    <row r="1078" spans="1:17" x14ac:dyDescent="0.25">
      <c r="A1078">
        <v>1077</v>
      </c>
      <c r="B1078" t="s">
        <v>653</v>
      </c>
      <c r="C1078" t="s">
        <v>1666</v>
      </c>
      <c r="D1078" t="s">
        <v>1641</v>
      </c>
      <c r="E1078" t="s">
        <v>1316</v>
      </c>
      <c r="J1078" t="s">
        <v>1421</v>
      </c>
      <c r="N1078">
        <v>0</v>
      </c>
      <c r="O1078">
        <f>_xlfn.XLOOKUP(VALINA[[#This Row],[id]],prov_color!A:A,prov_color!C:C)</f>
        <v>151</v>
      </c>
      <c r="P1078" t="str">
        <f>_xlfn.XLOOKUP(VALINA[[#This Row],[id]],Table4[id],Table4[name])</f>
        <v>Andaman Sea</v>
      </c>
      <c r="Q1078" t="str">
        <f>_xlfn.XLOOKUP(VALINA[[#This Row],[name]],Trans!A:A,Trans!B:B)</f>
        <v>Andaman Sea</v>
      </c>
    </row>
    <row r="1079" spans="1:17" x14ac:dyDescent="0.25">
      <c r="A1079">
        <v>1078</v>
      </c>
      <c r="B1079" t="s">
        <v>653</v>
      </c>
      <c r="C1079" t="s">
        <v>1666</v>
      </c>
      <c r="D1079" t="s">
        <v>1641</v>
      </c>
      <c r="E1079" t="s">
        <v>1316</v>
      </c>
      <c r="J1079" t="s">
        <v>1344</v>
      </c>
      <c r="N1079">
        <v>0</v>
      </c>
      <c r="O1079">
        <f>_xlfn.XLOOKUP(VALINA[[#This Row],[id]],prov_color!A:A,prov_color!C:C)</f>
        <v>74</v>
      </c>
      <c r="P1079" t="str">
        <f>_xlfn.XLOOKUP(VALINA[[#This Row],[id]],Table4[id],Table4[name])</f>
        <v>Akyab Bay</v>
      </c>
      <c r="Q1079" t="str">
        <f>_xlfn.XLOOKUP(VALINA[[#This Row],[name]],Trans!A:A,Trans!B:B)</f>
        <v>Akyab Bay</v>
      </c>
    </row>
    <row r="1080" spans="1:17" x14ac:dyDescent="0.25">
      <c r="A1080">
        <v>1079</v>
      </c>
      <c r="B1080" t="s">
        <v>653</v>
      </c>
      <c r="C1080" t="s">
        <v>1666</v>
      </c>
      <c r="D1080" t="s">
        <v>1641</v>
      </c>
      <c r="E1080" t="s">
        <v>1316</v>
      </c>
      <c r="J1080" t="s">
        <v>1800</v>
      </c>
      <c r="N1080">
        <v>0</v>
      </c>
      <c r="O1080">
        <f>_xlfn.XLOOKUP(VALINA[[#This Row],[id]],prov_color!A:A,prov_color!C:C)</f>
        <v>83</v>
      </c>
      <c r="P1080" t="str">
        <f>_xlfn.XLOOKUP(VALINA[[#This Row],[id]],Table4[id],Table4[name])</f>
        <v>Irrawady Delta</v>
      </c>
      <c r="Q1080" t="str">
        <f>_xlfn.XLOOKUP(VALINA[[#This Row],[name]],Trans!A:A,Trans!B:B)</f>
        <v>Irrawady Delta</v>
      </c>
    </row>
    <row r="1081" spans="1:17" x14ac:dyDescent="0.25">
      <c r="A1081">
        <v>1080</v>
      </c>
      <c r="B1081" t="s">
        <v>653</v>
      </c>
      <c r="C1081" t="s">
        <v>1666</v>
      </c>
      <c r="D1081" t="s">
        <v>1641</v>
      </c>
      <c r="E1081" t="s">
        <v>1316</v>
      </c>
      <c r="J1081" t="s">
        <v>1346</v>
      </c>
      <c r="N1081">
        <v>0</v>
      </c>
      <c r="O1081">
        <f>_xlfn.XLOOKUP(VALINA[[#This Row],[id]],prov_color!A:A,prov_color!C:C)</f>
        <v>113</v>
      </c>
      <c r="P1081" t="str">
        <f>_xlfn.XLOOKUP(VALINA[[#This Row],[id]],Table4[id],Table4[name])</f>
        <v>Mergui Archipelago</v>
      </c>
      <c r="Q1081" t="str">
        <f>_xlfn.XLOOKUP(VALINA[[#This Row],[name]],Trans!A:A,Trans!B:B)</f>
        <v>Mergui Archipelago</v>
      </c>
    </row>
    <row r="1082" spans="1:17" x14ac:dyDescent="0.25">
      <c r="A1082">
        <v>1081</v>
      </c>
      <c r="B1082" t="s">
        <v>653</v>
      </c>
      <c r="C1082" t="s">
        <v>1667</v>
      </c>
      <c r="D1082" t="s">
        <v>1641</v>
      </c>
      <c r="E1082" t="s">
        <v>1316</v>
      </c>
      <c r="J1082" t="s">
        <v>1351</v>
      </c>
      <c r="N1082">
        <v>0</v>
      </c>
      <c r="O1082">
        <f>_xlfn.XLOOKUP(VALINA[[#This Row],[id]],prov_color!A:A,prov_color!C:C)</f>
        <v>66</v>
      </c>
      <c r="P1082" t="str">
        <f>_xlfn.XLOOKUP(VALINA[[#This Row],[id]],Table4[id],Table4[name])</f>
        <v>Gulf of Siam</v>
      </c>
      <c r="Q1082" t="str">
        <f>_xlfn.XLOOKUP(VALINA[[#This Row],[name]],Trans!A:A,Trans!B:B)</f>
        <v>Gulf of Siam</v>
      </c>
    </row>
    <row r="1083" spans="1:17" x14ac:dyDescent="0.25">
      <c r="A1083">
        <v>1082</v>
      </c>
      <c r="B1083" t="s">
        <v>653</v>
      </c>
      <c r="C1083" t="s">
        <v>1667</v>
      </c>
      <c r="D1083" t="s">
        <v>1641</v>
      </c>
      <c r="E1083" t="s">
        <v>1316</v>
      </c>
      <c r="J1083" t="s">
        <v>1354</v>
      </c>
      <c r="N1083">
        <v>0</v>
      </c>
      <c r="O1083">
        <f>_xlfn.XLOOKUP(VALINA[[#This Row],[id]],prov_color!A:A,prov_color!C:C)</f>
        <v>116</v>
      </c>
      <c r="P1083" t="str">
        <f>_xlfn.XLOOKUP(VALINA[[#This Row],[id]],Table4[id],Table4[name])</f>
        <v>Gulf of Tonkin</v>
      </c>
      <c r="Q1083" t="str">
        <f>_xlfn.XLOOKUP(VALINA[[#This Row],[name]],Trans!A:A,Trans!B:B)</f>
        <v>Gulf of Tonkin</v>
      </c>
    </row>
    <row r="1084" spans="1:17" x14ac:dyDescent="0.25">
      <c r="A1084">
        <v>1083</v>
      </c>
      <c r="B1084" t="s">
        <v>653</v>
      </c>
      <c r="C1084" t="s">
        <v>1667</v>
      </c>
      <c r="D1084" t="s">
        <v>1641</v>
      </c>
      <c r="E1084" t="s">
        <v>1316</v>
      </c>
      <c r="J1084" t="s">
        <v>1353</v>
      </c>
      <c r="N1084">
        <v>0</v>
      </c>
      <c r="O1084">
        <f>_xlfn.XLOOKUP(VALINA[[#This Row],[id]],prov_color!A:A,prov_color!C:C)</f>
        <v>95</v>
      </c>
      <c r="P1084" t="str">
        <f>_xlfn.XLOOKUP(VALINA[[#This Row],[id]],Table4[id],Table4[name])</f>
        <v>Coast of Annam</v>
      </c>
      <c r="Q1084" t="str">
        <f>_xlfn.XLOOKUP(VALINA[[#This Row],[name]],Trans!A:A,Trans!B:B)</f>
        <v>Coast of Annam</v>
      </c>
    </row>
    <row r="1085" spans="1:17" x14ac:dyDescent="0.25">
      <c r="A1085">
        <v>1084</v>
      </c>
      <c r="B1085" t="s">
        <v>653</v>
      </c>
      <c r="C1085" t="s">
        <v>1667</v>
      </c>
      <c r="D1085" t="s">
        <v>1641</v>
      </c>
      <c r="E1085" t="s">
        <v>1316</v>
      </c>
      <c r="J1085" t="s">
        <v>1801</v>
      </c>
      <c r="N1085">
        <v>0</v>
      </c>
      <c r="O1085">
        <f>_xlfn.XLOOKUP(VALINA[[#This Row],[id]],prov_color!A:A,prov_color!C:C)</f>
        <v>132</v>
      </c>
      <c r="P1085" t="str">
        <f>_xlfn.XLOOKUP(VALINA[[#This Row],[id]],Table4[id],Table4[name])</f>
        <v>Paracel Islands</v>
      </c>
      <c r="Q1085" t="str">
        <f>_xlfn.XLOOKUP(VALINA[[#This Row],[name]],Trans!A:A,Trans!B:B)</f>
        <v>Paracel Islands</v>
      </c>
    </row>
    <row r="1086" spans="1:17" x14ac:dyDescent="0.25">
      <c r="A1086">
        <v>1085</v>
      </c>
      <c r="B1086" t="s">
        <v>653</v>
      </c>
      <c r="C1086" t="s">
        <v>1655</v>
      </c>
      <c r="D1086" t="s">
        <v>1641</v>
      </c>
      <c r="E1086" t="s">
        <v>1316</v>
      </c>
      <c r="J1086" t="s">
        <v>1355</v>
      </c>
      <c r="N1086">
        <v>0</v>
      </c>
      <c r="O1086">
        <f>_xlfn.XLOOKUP(VALINA[[#This Row],[id]],prov_color!A:A,prov_color!C:C)</f>
        <v>73</v>
      </c>
      <c r="P1086" t="str">
        <f>_xlfn.XLOOKUP(VALINA[[#This Row],[id]],Table4[id],Table4[name])</f>
        <v>Taiwan Strait</v>
      </c>
      <c r="Q1086" t="str">
        <f>_xlfn.XLOOKUP(VALINA[[#This Row],[name]],Trans!A:A,Trans!B:B)</f>
        <v>Taiwan Strait</v>
      </c>
    </row>
    <row r="1087" spans="1:17" x14ac:dyDescent="0.25">
      <c r="A1087">
        <v>1086</v>
      </c>
      <c r="B1087" t="s">
        <v>653</v>
      </c>
      <c r="C1087" t="s">
        <v>1655</v>
      </c>
      <c r="D1087" t="s">
        <v>1641</v>
      </c>
      <c r="E1087" t="s">
        <v>1316</v>
      </c>
      <c r="J1087" t="s">
        <v>1376</v>
      </c>
      <c r="N1087">
        <v>0</v>
      </c>
      <c r="O1087">
        <f>_xlfn.XLOOKUP(VALINA[[#This Row],[id]],prov_color!A:A,prov_color!C:C)</f>
        <v>94</v>
      </c>
      <c r="P1087" t="str">
        <f>_xlfn.XLOOKUP(VALINA[[#This Row],[id]],Table4[id],Table4[name])</f>
        <v>Strait of Luzon</v>
      </c>
      <c r="Q1087" t="str">
        <f>_xlfn.XLOOKUP(VALINA[[#This Row],[name]],Trans!A:A,Trans!B:B)</f>
        <v>Strait of Luzon</v>
      </c>
    </row>
    <row r="1088" spans="1:17" x14ac:dyDescent="0.25">
      <c r="A1088">
        <v>1087</v>
      </c>
      <c r="B1088" t="s">
        <v>653</v>
      </c>
      <c r="C1088" t="s">
        <v>1655</v>
      </c>
      <c r="D1088" t="s">
        <v>1641</v>
      </c>
      <c r="E1088" t="s">
        <v>1316</v>
      </c>
      <c r="J1088" t="s">
        <v>1356</v>
      </c>
      <c r="N1088">
        <v>0</v>
      </c>
      <c r="O1088">
        <f>_xlfn.XLOOKUP(VALINA[[#This Row],[id]],prov_color!A:A,prov_color!C:C)</f>
        <v>77</v>
      </c>
      <c r="P1088" t="str">
        <f>_xlfn.XLOOKUP(VALINA[[#This Row],[id]],Table4[id],Table4[name])</f>
        <v>Sea of Taiwan</v>
      </c>
      <c r="Q1088" t="str">
        <f>_xlfn.XLOOKUP(VALINA[[#This Row],[name]],Trans!A:A,Trans!B:B)</f>
        <v>Sea of Taiwan</v>
      </c>
    </row>
    <row r="1089" spans="1:17" x14ac:dyDescent="0.25">
      <c r="A1089">
        <v>1088</v>
      </c>
      <c r="B1089" t="s">
        <v>653</v>
      </c>
      <c r="C1089" t="s">
        <v>1655</v>
      </c>
      <c r="D1089" t="s">
        <v>1641</v>
      </c>
      <c r="E1089" t="s">
        <v>1316</v>
      </c>
      <c r="J1089" t="s">
        <v>1802</v>
      </c>
      <c r="N1089">
        <v>0</v>
      </c>
      <c r="O1089">
        <f>_xlfn.XLOOKUP(VALINA[[#This Row],[id]],prov_color!A:A,prov_color!C:C)</f>
        <v>106</v>
      </c>
      <c r="P1089" t="str">
        <f>_xlfn.XLOOKUP(VALINA[[#This Row],[id]],Table4[id],Table4[name])</f>
        <v>Eastern China sea</v>
      </c>
      <c r="Q1089" t="str">
        <f>_xlfn.XLOOKUP(VALINA[[#This Row],[name]],Trans!A:A,Trans!B:B)</f>
        <v>Eastern China Sea</v>
      </c>
    </row>
    <row r="1090" spans="1:17" x14ac:dyDescent="0.25">
      <c r="A1090">
        <v>1089</v>
      </c>
      <c r="B1090" t="s">
        <v>653</v>
      </c>
      <c r="C1090" t="s">
        <v>1655</v>
      </c>
      <c r="D1090" t="s">
        <v>1641</v>
      </c>
      <c r="E1090" t="s">
        <v>1316</v>
      </c>
      <c r="J1090" t="s">
        <v>1595</v>
      </c>
      <c r="N1090">
        <v>0</v>
      </c>
      <c r="O1090">
        <f>_xlfn.XLOOKUP(VALINA[[#This Row],[id]],prov_color!A:A,prov_color!C:C)</f>
        <v>192</v>
      </c>
      <c r="P1090" t="str">
        <f>_xlfn.XLOOKUP(VALINA[[#This Row],[id]],Table4[id],Table4[name])</f>
        <v>Ryukyu Islands</v>
      </c>
      <c r="Q1090" t="str">
        <f>_xlfn.XLOOKUP(VALINA[[#This Row],[name]],Trans!A:A,Trans!B:B)</f>
        <v>Ryukyu Islands</v>
      </c>
    </row>
    <row r="1091" spans="1:17" x14ac:dyDescent="0.25">
      <c r="A1091">
        <v>1090</v>
      </c>
      <c r="B1091" t="s">
        <v>653</v>
      </c>
      <c r="C1091" t="s">
        <v>1656</v>
      </c>
      <c r="D1091" t="s">
        <v>1641</v>
      </c>
      <c r="E1091" t="s">
        <v>1316</v>
      </c>
      <c r="J1091" t="s">
        <v>1599</v>
      </c>
      <c r="N1091">
        <v>0</v>
      </c>
      <c r="O1091">
        <f>_xlfn.XLOOKUP(VALINA[[#This Row],[id]],prov_color!A:A,prov_color!C:C)</f>
        <v>305</v>
      </c>
      <c r="P1091" t="str">
        <f>_xlfn.XLOOKUP(VALINA[[#This Row],[id]],Table4[id],Table4[name])</f>
        <v>Mariana Islands</v>
      </c>
      <c r="Q1091" t="str">
        <f>_xlfn.XLOOKUP(VALINA[[#This Row],[name]],Trans!A:A,Trans!B:B)</f>
        <v>Mariana Islands</v>
      </c>
    </row>
    <row r="1092" spans="1:17" x14ac:dyDescent="0.25">
      <c r="A1092">
        <v>1091</v>
      </c>
      <c r="B1092" t="s">
        <v>990</v>
      </c>
      <c r="C1092" t="s">
        <v>1656</v>
      </c>
      <c r="D1092" t="s">
        <v>1641</v>
      </c>
      <c r="E1092" t="s">
        <v>1316</v>
      </c>
      <c r="J1092" t="s">
        <v>1951</v>
      </c>
      <c r="N1092">
        <v>0</v>
      </c>
      <c r="O1092">
        <f>_xlfn.XLOOKUP(VALINA[[#This Row],[id]],prov_color!A:A,prov_color!C:C)</f>
        <v>532</v>
      </c>
      <c r="P1092" t="str">
        <f>_xlfn.XLOOKUP(VALINA[[#This Row],[id]],Table4[id],Table4[name])</f>
        <v>Tinian Sea</v>
      </c>
      <c r="Q1092" t="str">
        <f>_xlfn.XLOOKUP(VALINA[[#This Row],[name]],Trans!A:A,Trans!B:B)</f>
        <v>Marcus Island</v>
      </c>
    </row>
    <row r="1093" spans="1:17" x14ac:dyDescent="0.25">
      <c r="A1093">
        <v>1092</v>
      </c>
      <c r="B1093" t="s">
        <v>990</v>
      </c>
      <c r="C1093" t="s">
        <v>1656</v>
      </c>
      <c r="D1093" t="s">
        <v>1641</v>
      </c>
      <c r="E1093" t="s">
        <v>1316</v>
      </c>
      <c r="J1093" t="s">
        <v>1952</v>
      </c>
      <c r="N1093">
        <v>0</v>
      </c>
      <c r="O1093">
        <f>_xlfn.XLOOKUP(VALINA[[#This Row],[id]],prov_color!A:A,prov_color!C:C)</f>
        <v>870</v>
      </c>
      <c r="P1093" t="str">
        <f>_xlfn.XLOOKUP(VALINA[[#This Row],[id]],Table4[id],Table4[name])</f>
        <v>Wake Island</v>
      </c>
      <c r="Q1093" t="str">
        <f>_xlfn.XLOOKUP(VALINA[[#This Row],[name]],Trans!A:A,Trans!B:B)</f>
        <v>Wake Island</v>
      </c>
    </row>
    <row r="1094" spans="1:17" x14ac:dyDescent="0.25">
      <c r="A1094">
        <v>1093</v>
      </c>
      <c r="B1094" t="s">
        <v>990</v>
      </c>
      <c r="C1094" t="s">
        <v>1656</v>
      </c>
      <c r="D1094" t="s">
        <v>1641</v>
      </c>
      <c r="E1094" t="s">
        <v>1316</v>
      </c>
      <c r="J1094" t="s">
        <v>1953</v>
      </c>
      <c r="N1094">
        <v>0</v>
      </c>
      <c r="O1094">
        <f>_xlfn.XLOOKUP(VALINA[[#This Row],[id]],prov_color!A:A,prov_color!C:C)</f>
        <v>801</v>
      </c>
      <c r="P1094" t="str">
        <f>_xlfn.XLOOKUP(VALINA[[#This Row],[id]],Table4[id],Table4[name])</f>
        <v>Northern Micronesia</v>
      </c>
      <c r="Q1094" t="str">
        <f>_xlfn.XLOOKUP(VALINA[[#This Row],[name]],Trans!A:A,Trans!B:B)</f>
        <v>Howland Island</v>
      </c>
    </row>
    <row r="1095" spans="1:17" x14ac:dyDescent="0.25">
      <c r="A1095">
        <v>1094</v>
      </c>
      <c r="B1095" t="s">
        <v>990</v>
      </c>
      <c r="C1095" t="s">
        <v>1668</v>
      </c>
      <c r="D1095" t="s">
        <v>1641</v>
      </c>
      <c r="E1095" t="s">
        <v>1316</v>
      </c>
      <c r="J1095" t="s">
        <v>1790</v>
      </c>
      <c r="N1095">
        <v>0</v>
      </c>
      <c r="O1095">
        <f>_xlfn.XLOOKUP(VALINA[[#This Row],[id]],prov_color!A:A,prov_color!C:C)</f>
        <v>676</v>
      </c>
      <c r="P1095" t="str">
        <f>_xlfn.XLOOKUP(VALINA[[#This Row],[id]],Table4[id],Table4[name])</f>
        <v>Central Pacific Ocean</v>
      </c>
      <c r="Q1095" t="str">
        <f>_xlfn.XLOOKUP(VALINA[[#This Row],[name]],Trans!A:A,Trans!B:B)</f>
        <v>Central Pacific Ocean</v>
      </c>
    </row>
    <row r="1096" spans="1:17" x14ac:dyDescent="0.25">
      <c r="A1096">
        <v>1095</v>
      </c>
      <c r="B1096" t="s">
        <v>990</v>
      </c>
      <c r="C1096" t="s">
        <v>1652</v>
      </c>
      <c r="D1096" t="s">
        <v>1641</v>
      </c>
      <c r="E1096" t="s">
        <v>1316</v>
      </c>
      <c r="J1096" t="s">
        <v>1790</v>
      </c>
      <c r="N1096">
        <v>0</v>
      </c>
      <c r="O1096">
        <f>_xlfn.XLOOKUP(VALINA[[#This Row],[id]],prov_color!A:A,prov_color!C:C)</f>
        <v>629</v>
      </c>
      <c r="P1096" t="str">
        <f>_xlfn.XLOOKUP(VALINA[[#This Row],[id]],Table4[id],Table4[name])</f>
        <v>Central Pacific Ocean</v>
      </c>
      <c r="Q1096" t="str">
        <f>_xlfn.XLOOKUP(VALINA[[#This Row],[name]],Trans!A:A,Trans!B:B)</f>
        <v>Central Pacific Ocean</v>
      </c>
    </row>
    <row r="1097" spans="1:17" x14ac:dyDescent="0.25">
      <c r="A1097">
        <v>1096</v>
      </c>
      <c r="B1097" t="s">
        <v>990</v>
      </c>
      <c r="C1097" t="s">
        <v>1652</v>
      </c>
      <c r="D1097" t="s">
        <v>1641</v>
      </c>
      <c r="E1097" t="s">
        <v>1316</v>
      </c>
      <c r="J1097" t="s">
        <v>1790</v>
      </c>
      <c r="N1097">
        <v>0</v>
      </c>
      <c r="O1097">
        <f>_xlfn.XLOOKUP(VALINA[[#This Row],[id]],prov_color!A:A,prov_color!C:C)</f>
        <v>1035</v>
      </c>
      <c r="P1097" t="str">
        <f>_xlfn.XLOOKUP(VALINA[[#This Row],[id]],Table4[id],Table4[name])</f>
        <v>Central Pacific Ocean</v>
      </c>
      <c r="Q1097" t="str">
        <f>_xlfn.XLOOKUP(VALINA[[#This Row],[name]],Trans!A:A,Trans!B:B)</f>
        <v>Central Pacific Ocean</v>
      </c>
    </row>
    <row r="1098" spans="1:17" x14ac:dyDescent="0.25">
      <c r="A1098">
        <v>1097</v>
      </c>
      <c r="B1098" t="s">
        <v>990</v>
      </c>
      <c r="C1098" t="s">
        <v>1661</v>
      </c>
      <c r="D1098" t="s">
        <v>1641</v>
      </c>
      <c r="E1098" t="s">
        <v>1316</v>
      </c>
      <c r="J1098" t="s">
        <v>1790</v>
      </c>
      <c r="N1098">
        <v>0</v>
      </c>
      <c r="O1098">
        <f>_xlfn.XLOOKUP(VALINA[[#This Row],[id]],prov_color!A:A,prov_color!C:C)</f>
        <v>1020</v>
      </c>
      <c r="P1098" t="str">
        <f>_xlfn.XLOOKUP(VALINA[[#This Row],[id]],Table4[id],Table4[name])</f>
        <v>Central Pacific Ocean</v>
      </c>
      <c r="Q1098" t="str">
        <f>_xlfn.XLOOKUP(VALINA[[#This Row],[name]],Trans!A:A,Trans!B:B)</f>
        <v>Central Pacific Ocean</v>
      </c>
    </row>
    <row r="1099" spans="1:17" x14ac:dyDescent="0.25">
      <c r="A1099">
        <v>1098</v>
      </c>
      <c r="B1099" t="s">
        <v>990</v>
      </c>
      <c r="C1099" t="s">
        <v>1661</v>
      </c>
      <c r="D1099" t="s">
        <v>1641</v>
      </c>
      <c r="E1099" t="s">
        <v>1316</v>
      </c>
      <c r="J1099" t="s">
        <v>1790</v>
      </c>
      <c r="N1099">
        <v>0</v>
      </c>
      <c r="O1099">
        <f>_xlfn.XLOOKUP(VALINA[[#This Row],[id]],prov_color!A:A,prov_color!C:C)</f>
        <v>940</v>
      </c>
      <c r="P1099" t="str">
        <f>_xlfn.XLOOKUP(VALINA[[#This Row],[id]],Table4[id],Table4[name])</f>
        <v>Central Pacific Ocean</v>
      </c>
      <c r="Q1099" t="str">
        <f>_xlfn.XLOOKUP(VALINA[[#This Row],[name]],Trans!A:A,Trans!B:B)</f>
        <v>Central Pacific Ocean</v>
      </c>
    </row>
    <row r="1100" spans="1:17" x14ac:dyDescent="0.25">
      <c r="A1100">
        <v>1099</v>
      </c>
      <c r="B1100" t="s">
        <v>990</v>
      </c>
      <c r="C1100" t="s">
        <v>1661</v>
      </c>
      <c r="D1100" t="s">
        <v>1641</v>
      </c>
      <c r="E1100" t="s">
        <v>1316</v>
      </c>
      <c r="J1100" t="s">
        <v>1790</v>
      </c>
      <c r="N1100">
        <v>0</v>
      </c>
      <c r="O1100">
        <f>_xlfn.XLOOKUP(VALINA[[#This Row],[id]],prov_color!A:A,prov_color!C:C)</f>
        <v>502</v>
      </c>
      <c r="P1100" t="str">
        <f>_xlfn.XLOOKUP(VALINA[[#This Row],[id]],Table4[id],Table4[name])</f>
        <v>Central Pacific Ocean</v>
      </c>
      <c r="Q1100" t="str">
        <f>_xlfn.XLOOKUP(VALINA[[#This Row],[name]],Trans!A:A,Trans!B:B)</f>
        <v>Central Pacific Ocean</v>
      </c>
    </row>
    <row r="1101" spans="1:17" x14ac:dyDescent="0.25">
      <c r="A1101">
        <v>1100</v>
      </c>
      <c r="B1101" t="s">
        <v>990</v>
      </c>
      <c r="C1101" t="s">
        <v>1661</v>
      </c>
      <c r="D1101" t="s">
        <v>1641</v>
      </c>
      <c r="E1101" t="s">
        <v>1316</v>
      </c>
      <c r="J1101" t="s">
        <v>1790</v>
      </c>
      <c r="N1101">
        <v>0</v>
      </c>
      <c r="O1101">
        <f>_xlfn.XLOOKUP(VALINA[[#This Row],[id]],prov_color!A:A,prov_color!C:C)</f>
        <v>404</v>
      </c>
      <c r="P1101" t="str">
        <f>_xlfn.XLOOKUP(VALINA[[#This Row],[id]],Table4[id],Table4[name])</f>
        <v>Central Pacific Ocean</v>
      </c>
      <c r="Q1101" t="str">
        <f>_xlfn.XLOOKUP(VALINA[[#This Row],[name]],Trans!A:A,Trans!B:B)</f>
        <v>Central Pacific Ocean</v>
      </c>
    </row>
    <row r="1102" spans="1:17" x14ac:dyDescent="0.25">
      <c r="A1102">
        <v>1101</v>
      </c>
      <c r="B1102" t="s">
        <v>11</v>
      </c>
      <c r="C1102" t="s">
        <v>1661</v>
      </c>
      <c r="D1102" t="s">
        <v>1641</v>
      </c>
      <c r="E1102" t="s">
        <v>1316</v>
      </c>
      <c r="J1102" t="s">
        <v>1565</v>
      </c>
      <c r="N1102">
        <v>0</v>
      </c>
      <c r="O1102">
        <f>_xlfn.XLOOKUP(VALINA[[#This Row],[id]],prov_color!A:A,prov_color!C:C)</f>
        <v>122</v>
      </c>
      <c r="P1102" t="str">
        <f>_xlfn.XLOOKUP(VALINA[[#This Row],[id]],Table4[id],Table4[name])</f>
        <v>Coast of Peru</v>
      </c>
      <c r="Q1102" t="str">
        <f>_xlfn.XLOOKUP(VALINA[[#This Row],[name]],Trans!A:A,Trans!B:B)</f>
        <v>Coast of Peru</v>
      </c>
    </row>
    <row r="1103" spans="1:17" x14ac:dyDescent="0.25">
      <c r="A1103">
        <v>1102</v>
      </c>
      <c r="B1103" t="s">
        <v>11</v>
      </c>
      <c r="C1103" t="s">
        <v>1661</v>
      </c>
      <c r="D1103" t="s">
        <v>1641</v>
      </c>
      <c r="E1103" t="s">
        <v>1316</v>
      </c>
      <c r="J1103" t="s">
        <v>1790</v>
      </c>
      <c r="N1103">
        <v>0</v>
      </c>
      <c r="O1103">
        <f>_xlfn.XLOOKUP(VALINA[[#This Row],[id]],prov_color!A:A,prov_color!C:C)</f>
        <v>227</v>
      </c>
      <c r="P1103" t="str">
        <f>_xlfn.XLOOKUP(VALINA[[#This Row],[id]],Table4[id],Table4[name])</f>
        <v>Central Pacific Ocean</v>
      </c>
      <c r="Q1103" t="str">
        <f>_xlfn.XLOOKUP(VALINA[[#This Row],[name]],Trans!A:A,Trans!B:B)</f>
        <v>Central Pacific Ocean</v>
      </c>
    </row>
    <row r="1104" spans="1:17" x14ac:dyDescent="0.25">
      <c r="A1104">
        <v>1103</v>
      </c>
      <c r="B1104" t="s">
        <v>11</v>
      </c>
      <c r="C1104" t="s">
        <v>1661</v>
      </c>
      <c r="D1104" t="s">
        <v>1641</v>
      </c>
      <c r="E1104" t="s">
        <v>1316</v>
      </c>
      <c r="J1104" t="s">
        <v>1803</v>
      </c>
      <c r="N1104">
        <v>0</v>
      </c>
      <c r="O1104">
        <f>_xlfn.XLOOKUP(VALINA[[#This Row],[id]],prov_color!A:A,prov_color!C:C)</f>
        <v>270</v>
      </c>
      <c r="P1104" t="str">
        <f>_xlfn.XLOOKUP(VALINA[[#This Row],[id]],Table4[id],Table4[name])</f>
        <v>Juan Fernandez Islands</v>
      </c>
      <c r="Q1104" t="str">
        <f>_xlfn.XLOOKUP(VALINA[[#This Row],[name]],Trans!A:A,Trans!B:B)</f>
        <v>Juan Fernandez Islands</v>
      </c>
    </row>
    <row r="1105" spans="1:17" x14ac:dyDescent="0.25">
      <c r="A1105">
        <v>1104</v>
      </c>
      <c r="B1105" t="s">
        <v>11</v>
      </c>
      <c r="C1105" t="s">
        <v>1661</v>
      </c>
      <c r="D1105" t="s">
        <v>1641</v>
      </c>
      <c r="E1105" t="s">
        <v>1316</v>
      </c>
      <c r="J1105" t="s">
        <v>1563</v>
      </c>
      <c r="N1105">
        <v>0</v>
      </c>
      <c r="O1105">
        <f>_xlfn.XLOOKUP(VALINA[[#This Row],[id]],prov_color!A:A,prov_color!C:C)</f>
        <v>140</v>
      </c>
      <c r="P1105" t="str">
        <f>_xlfn.XLOOKUP(VALINA[[#This Row],[id]],Table4[id],Table4[name])</f>
        <v>Arica Gulf</v>
      </c>
      <c r="Q1105" t="str">
        <f>_xlfn.XLOOKUP(VALINA[[#This Row],[name]],Trans!A:A,Trans!B:B)</f>
        <v>Arica Gulf</v>
      </c>
    </row>
    <row r="1106" spans="1:17" x14ac:dyDescent="0.25">
      <c r="A1106">
        <v>1105</v>
      </c>
      <c r="B1106" t="s">
        <v>11</v>
      </c>
      <c r="C1106" t="s">
        <v>1661</v>
      </c>
      <c r="D1106" t="s">
        <v>1641</v>
      </c>
      <c r="E1106" t="s">
        <v>1316</v>
      </c>
      <c r="J1106" t="s">
        <v>1564</v>
      </c>
      <c r="N1106">
        <v>0</v>
      </c>
      <c r="O1106">
        <f>_xlfn.XLOOKUP(VALINA[[#This Row],[id]],prov_color!A:A,prov_color!C:C)</f>
        <v>129</v>
      </c>
      <c r="P1106" t="str">
        <f>_xlfn.XLOOKUP(VALINA[[#This Row],[id]],Table4[id],Table4[name])</f>
        <v>Arequipa Bay</v>
      </c>
      <c r="Q1106" t="str">
        <f>_xlfn.XLOOKUP(VALINA[[#This Row],[name]],Trans!A:A,Trans!B:B)</f>
        <v>Arequipa Bay</v>
      </c>
    </row>
    <row r="1107" spans="1:17" x14ac:dyDescent="0.25">
      <c r="A1107">
        <v>1106</v>
      </c>
      <c r="B1107" t="s">
        <v>11</v>
      </c>
      <c r="C1107" t="s">
        <v>1653</v>
      </c>
      <c r="D1107" t="s">
        <v>1641</v>
      </c>
      <c r="E1107" t="s">
        <v>1316</v>
      </c>
      <c r="J1107" t="s">
        <v>1547</v>
      </c>
      <c r="N1107">
        <v>0</v>
      </c>
      <c r="O1107">
        <f>_xlfn.XLOOKUP(VALINA[[#This Row],[id]],prov_color!A:A,prov_color!C:C)</f>
        <v>93</v>
      </c>
      <c r="P1107" t="str">
        <f>_xlfn.XLOOKUP(VALINA[[#This Row],[id]],Table4[id],Table4[name])</f>
        <v>Guyana Coast</v>
      </c>
      <c r="Q1107" t="str">
        <f>_xlfn.XLOOKUP(VALINA[[#This Row],[name]],Trans!A:A,Trans!B:B)</f>
        <v>Guyana Coast</v>
      </c>
    </row>
    <row r="1108" spans="1:17" x14ac:dyDescent="0.25">
      <c r="A1108">
        <v>1107</v>
      </c>
      <c r="B1108" t="s">
        <v>11</v>
      </c>
      <c r="C1108" t="s">
        <v>1653</v>
      </c>
      <c r="D1108" t="s">
        <v>1641</v>
      </c>
      <c r="E1108" t="s">
        <v>1316</v>
      </c>
      <c r="J1108" t="s">
        <v>1548</v>
      </c>
      <c r="N1108">
        <v>0</v>
      </c>
      <c r="O1108">
        <f>_xlfn.XLOOKUP(VALINA[[#This Row],[id]],prov_color!A:A,prov_color!C:C)</f>
        <v>115</v>
      </c>
      <c r="P1108" t="str">
        <f>_xlfn.XLOOKUP(VALINA[[#This Row],[id]],Table4[id],Table4[name])</f>
        <v>Bay of Belem</v>
      </c>
      <c r="Q1108" t="str">
        <f>_xlfn.XLOOKUP(VALINA[[#This Row],[name]],Trans!A:A,Trans!B:B)</f>
        <v>Bay of Belem</v>
      </c>
    </row>
    <row r="1109" spans="1:17" x14ac:dyDescent="0.25">
      <c r="A1109">
        <v>1108</v>
      </c>
      <c r="B1109" t="s">
        <v>11</v>
      </c>
      <c r="C1109" t="s">
        <v>1669</v>
      </c>
      <c r="D1109" t="s">
        <v>1641</v>
      </c>
      <c r="E1109" t="s">
        <v>1316</v>
      </c>
      <c r="J1109" t="s">
        <v>1549</v>
      </c>
      <c r="N1109">
        <v>0</v>
      </c>
      <c r="O1109">
        <f>_xlfn.XLOOKUP(VALINA[[#This Row],[id]],prov_color!A:A,prov_color!C:C)</f>
        <v>107</v>
      </c>
      <c r="P1109" t="str">
        <f>_xlfn.XLOOKUP(VALINA[[#This Row],[id]],Table4[id],Table4[name])</f>
        <v>Gulf of the Amazon</v>
      </c>
      <c r="Q1109" t="str">
        <f>_xlfn.XLOOKUP(VALINA[[#This Row],[name]],Trans!A:A,Trans!B:B)</f>
        <v>Gulf of the Amazon</v>
      </c>
    </row>
    <row r="1110" spans="1:17" x14ac:dyDescent="0.25">
      <c r="A1110">
        <v>1109</v>
      </c>
      <c r="B1110" t="s">
        <v>11</v>
      </c>
      <c r="C1110" t="s">
        <v>1669</v>
      </c>
      <c r="D1110" t="s">
        <v>1641</v>
      </c>
      <c r="E1110" t="s">
        <v>1316</v>
      </c>
      <c r="J1110" t="s">
        <v>1433</v>
      </c>
      <c r="N1110">
        <v>0</v>
      </c>
      <c r="O1110">
        <f>_xlfn.XLOOKUP(VALINA[[#This Row],[id]],prov_color!A:A,prov_color!C:C)</f>
        <v>197</v>
      </c>
      <c r="P1110" t="str">
        <f>_xlfn.XLOOKUP(VALINA[[#This Row],[id]],Table4[id],Table4[name])</f>
        <v>Central Atlantic Ocean</v>
      </c>
      <c r="Q1110" t="str">
        <f>_xlfn.XLOOKUP(VALINA[[#This Row],[name]],Trans!A:A,Trans!B:B)</f>
        <v>Central Atlantic Ocean</v>
      </c>
    </row>
    <row r="1111" spans="1:17" x14ac:dyDescent="0.25">
      <c r="A1111">
        <v>1110</v>
      </c>
      <c r="B1111" t="s">
        <v>11</v>
      </c>
      <c r="C1111" t="s">
        <v>1669</v>
      </c>
      <c r="D1111" t="s">
        <v>1641</v>
      </c>
      <c r="E1111" t="s">
        <v>1316</v>
      </c>
      <c r="J1111" t="s">
        <v>1550</v>
      </c>
      <c r="N1111">
        <v>0</v>
      </c>
      <c r="O1111">
        <f>_xlfn.XLOOKUP(VALINA[[#This Row],[id]],prov_color!A:A,prov_color!C:C)</f>
        <v>114</v>
      </c>
      <c r="P1111" t="str">
        <f>_xlfn.XLOOKUP(VALINA[[#This Row],[id]],Table4[id],Table4[name])</f>
        <v>Coast of Brazil</v>
      </c>
      <c r="Q1111" t="str">
        <f>_xlfn.XLOOKUP(VALINA[[#This Row],[name]],Trans!A:A,Trans!B:B)</f>
        <v>Coast of Brazil</v>
      </c>
    </row>
    <row r="1112" spans="1:17" x14ac:dyDescent="0.25">
      <c r="A1112">
        <v>1111</v>
      </c>
      <c r="B1112" t="s">
        <v>11</v>
      </c>
      <c r="C1112" t="s">
        <v>1669</v>
      </c>
      <c r="D1112" t="s">
        <v>1641</v>
      </c>
      <c r="E1112" t="s">
        <v>1316</v>
      </c>
      <c r="J1112" t="s">
        <v>1437</v>
      </c>
      <c r="N1112">
        <v>0</v>
      </c>
      <c r="O1112">
        <f>_xlfn.XLOOKUP(VALINA[[#This Row],[id]],prov_color!A:A,prov_color!C:C)</f>
        <v>249</v>
      </c>
      <c r="P1112" t="str">
        <f>_xlfn.XLOOKUP(VALINA[[#This Row],[id]],Table4[id],Table4[name])</f>
        <v>South Central Atlantic Ocean</v>
      </c>
      <c r="Q1112" t="str">
        <f>_xlfn.XLOOKUP(VALINA[[#This Row],[name]],Trans!A:A,Trans!B:B)</f>
        <v>South Central Atlantic Ocean</v>
      </c>
    </row>
    <row r="1113" spans="1:17" x14ac:dyDescent="0.25">
      <c r="A1113">
        <v>1112</v>
      </c>
      <c r="B1113" t="s">
        <v>11</v>
      </c>
      <c r="C1113" t="s">
        <v>1669</v>
      </c>
      <c r="D1113" t="s">
        <v>1641</v>
      </c>
      <c r="E1113" t="s">
        <v>1316</v>
      </c>
      <c r="J1113" t="s">
        <v>1551</v>
      </c>
      <c r="N1113">
        <v>0</v>
      </c>
      <c r="O1113">
        <f>_xlfn.XLOOKUP(VALINA[[#This Row],[id]],prov_color!A:A,prov_color!C:C)</f>
        <v>86</v>
      </c>
      <c r="P1113" t="str">
        <f>_xlfn.XLOOKUP(VALINA[[#This Row],[id]],Table4[id],Table4[name])</f>
        <v>Coast of Recife</v>
      </c>
      <c r="Q1113" t="str">
        <f>_xlfn.XLOOKUP(VALINA[[#This Row],[name]],Trans!A:A,Trans!B:B)</f>
        <v>Coast of Recife</v>
      </c>
    </row>
    <row r="1114" spans="1:17" x14ac:dyDescent="0.25">
      <c r="A1114">
        <v>1113</v>
      </c>
      <c r="B1114" t="s">
        <v>11</v>
      </c>
      <c r="C1114" t="s">
        <v>1669</v>
      </c>
      <c r="D1114" t="s">
        <v>1641</v>
      </c>
      <c r="E1114" t="s">
        <v>1316</v>
      </c>
      <c r="J1114" t="s">
        <v>1552</v>
      </c>
      <c r="N1114">
        <v>0</v>
      </c>
      <c r="O1114">
        <f>_xlfn.XLOOKUP(VALINA[[#This Row],[id]],prov_color!A:A,prov_color!C:C)</f>
        <v>136</v>
      </c>
      <c r="P1114" t="str">
        <f>_xlfn.XLOOKUP(VALINA[[#This Row],[id]],Table4[id],Table4[name])</f>
        <v>Coast of Pernambuc</v>
      </c>
      <c r="Q1114" t="str">
        <f>_xlfn.XLOOKUP(VALINA[[#This Row],[name]],Trans!A:A,Trans!B:B)</f>
        <v>Coast of Pernambuc</v>
      </c>
    </row>
    <row r="1115" spans="1:17" x14ac:dyDescent="0.25">
      <c r="A1115">
        <v>1114</v>
      </c>
      <c r="B1115" t="s">
        <v>11</v>
      </c>
      <c r="C1115" t="s">
        <v>1669</v>
      </c>
      <c r="D1115" t="s">
        <v>1641</v>
      </c>
      <c r="E1115" t="s">
        <v>1316</v>
      </c>
      <c r="J1115" t="s">
        <v>1553</v>
      </c>
      <c r="N1115">
        <v>0</v>
      </c>
      <c r="O1115">
        <f>_xlfn.XLOOKUP(VALINA[[#This Row],[id]],prov_color!A:A,prov_color!C:C)</f>
        <v>161</v>
      </c>
      <c r="P1115" t="str">
        <f>_xlfn.XLOOKUP(VALINA[[#This Row],[id]],Table4[id],Table4[name])</f>
        <v>Todos Santos Bay</v>
      </c>
      <c r="Q1115" t="str">
        <f>_xlfn.XLOOKUP(VALINA[[#This Row],[name]],Trans!A:A,Trans!B:B)</f>
        <v>Todos Santos Bay</v>
      </c>
    </row>
    <row r="1116" spans="1:17" x14ac:dyDescent="0.25">
      <c r="A1116">
        <v>1115</v>
      </c>
      <c r="B1116" t="s">
        <v>11</v>
      </c>
      <c r="C1116" t="s">
        <v>1669</v>
      </c>
      <c r="D1116" t="s">
        <v>1641</v>
      </c>
      <c r="E1116" t="s">
        <v>1316</v>
      </c>
      <c r="J1116" t="s">
        <v>1554</v>
      </c>
      <c r="N1116">
        <v>0</v>
      </c>
      <c r="O1116">
        <f>_xlfn.XLOOKUP(VALINA[[#This Row],[id]],prov_color!A:A,prov_color!C:C)</f>
        <v>159</v>
      </c>
      <c r="P1116" t="str">
        <f>_xlfn.XLOOKUP(VALINA[[#This Row],[id]],Table4[id],Table4[name])</f>
        <v>Rio de Janeiro</v>
      </c>
      <c r="Q1116" t="str">
        <f>_xlfn.XLOOKUP(VALINA[[#This Row],[name]],Trans!A:A,Trans!B:B)</f>
        <v>Rio de Janeiro</v>
      </c>
    </row>
    <row r="1117" spans="1:17" x14ac:dyDescent="0.25">
      <c r="A1117">
        <v>1116</v>
      </c>
      <c r="B1117" t="s">
        <v>11</v>
      </c>
      <c r="C1117" t="s">
        <v>1669</v>
      </c>
      <c r="D1117" t="s">
        <v>1641</v>
      </c>
      <c r="E1117" t="s">
        <v>1316</v>
      </c>
      <c r="J1117" t="s">
        <v>1835</v>
      </c>
      <c r="N1117">
        <v>0</v>
      </c>
      <c r="O1117">
        <f>_xlfn.XLOOKUP(VALINA[[#This Row],[id]],prov_color!A:A,prov_color!C:C)</f>
        <v>344</v>
      </c>
      <c r="P1117" t="str">
        <f>_xlfn.XLOOKUP(VALINA[[#This Row],[id]],Table4[id],Table4[name])</f>
        <v>Southern Atlantic Ocean</v>
      </c>
      <c r="Q1117" t="str">
        <f>_xlfn.XLOOKUP(VALINA[[#This Row],[name]],Trans!A:A,Trans!B:B)</f>
        <v>Southern Atlantic Ocean</v>
      </c>
    </row>
    <row r="1118" spans="1:17" x14ac:dyDescent="0.25">
      <c r="A1118">
        <v>1117</v>
      </c>
      <c r="B1118" t="s">
        <v>11</v>
      </c>
      <c r="C1118" t="s">
        <v>1669</v>
      </c>
      <c r="D1118" t="s">
        <v>1641</v>
      </c>
      <c r="E1118" t="s">
        <v>1316</v>
      </c>
      <c r="J1118" t="s">
        <v>1835</v>
      </c>
      <c r="N1118">
        <v>0</v>
      </c>
      <c r="O1118">
        <f>_xlfn.XLOOKUP(VALINA[[#This Row],[id]],prov_color!A:A,prov_color!C:C)</f>
        <v>453</v>
      </c>
      <c r="P1118" t="str">
        <f>_xlfn.XLOOKUP(VALINA[[#This Row],[id]],Table4[id],Table4[name])</f>
        <v>Southern Atlantic Ocean</v>
      </c>
      <c r="Q1118" t="str">
        <f>_xlfn.XLOOKUP(VALINA[[#This Row],[name]],Trans!A:A,Trans!B:B)</f>
        <v>Southern Atlantic Ocean</v>
      </c>
    </row>
    <row r="1119" spans="1:17" x14ac:dyDescent="0.25">
      <c r="A1119">
        <v>1118</v>
      </c>
      <c r="B1119" t="s">
        <v>11</v>
      </c>
      <c r="C1119" t="s">
        <v>1669</v>
      </c>
      <c r="D1119" t="s">
        <v>1641</v>
      </c>
      <c r="E1119" t="s">
        <v>1316</v>
      </c>
      <c r="J1119" t="s">
        <v>1437</v>
      </c>
      <c r="N1119">
        <v>0</v>
      </c>
      <c r="O1119">
        <f>_xlfn.XLOOKUP(VALINA[[#This Row],[id]],prov_color!A:A,prov_color!C:C)</f>
        <v>182</v>
      </c>
      <c r="P1119" t="str">
        <f>_xlfn.XLOOKUP(VALINA[[#This Row],[id]],Table4[id],Table4[name])</f>
        <v>South Central Atlantic Ocean</v>
      </c>
      <c r="Q1119" t="str">
        <f>_xlfn.XLOOKUP(VALINA[[#This Row],[name]],Trans!A:A,Trans!B:B)</f>
        <v>South Central Atlantic Ocean</v>
      </c>
    </row>
    <row r="1120" spans="1:17" x14ac:dyDescent="0.25">
      <c r="A1120">
        <v>1119</v>
      </c>
      <c r="B1120" t="s">
        <v>11</v>
      </c>
      <c r="C1120" t="s">
        <v>1669</v>
      </c>
      <c r="D1120" t="s">
        <v>1641</v>
      </c>
      <c r="E1120" t="s">
        <v>1316</v>
      </c>
      <c r="J1120" t="s">
        <v>1437</v>
      </c>
      <c r="N1120">
        <v>0</v>
      </c>
      <c r="O1120">
        <f>_xlfn.XLOOKUP(VALINA[[#This Row],[id]],prov_color!A:A,prov_color!C:C)</f>
        <v>208</v>
      </c>
      <c r="P1120" t="str">
        <f>_xlfn.XLOOKUP(VALINA[[#This Row],[id]],Table4[id],Table4[name])</f>
        <v>South Central Atlantic Ocean</v>
      </c>
      <c r="Q1120" t="str">
        <f>_xlfn.XLOOKUP(VALINA[[#This Row],[name]],Trans!A:A,Trans!B:B)</f>
        <v>South Central Atlantic Ocean</v>
      </c>
    </row>
    <row r="1121" spans="1:17" x14ac:dyDescent="0.25">
      <c r="A1121">
        <v>1120</v>
      </c>
      <c r="B1121" t="s">
        <v>11</v>
      </c>
      <c r="C1121" t="s">
        <v>1662</v>
      </c>
      <c r="D1121" t="s">
        <v>1641</v>
      </c>
      <c r="E1121" t="s">
        <v>1316</v>
      </c>
      <c r="J1121" t="s">
        <v>1437</v>
      </c>
      <c r="N1121">
        <v>0</v>
      </c>
      <c r="O1121">
        <f>_xlfn.XLOOKUP(VALINA[[#This Row],[id]],prov_color!A:A,prov_color!C:C)</f>
        <v>241</v>
      </c>
      <c r="P1121" t="str">
        <f>_xlfn.XLOOKUP(VALINA[[#This Row],[id]],Table4[id],Table4[name])</f>
        <v>South Central Atlantic Ocean</v>
      </c>
      <c r="Q1121" t="str">
        <f>_xlfn.XLOOKUP(VALINA[[#This Row],[name]],Trans!A:A,Trans!B:B)</f>
        <v>South Central Atlantic Ocean</v>
      </c>
    </row>
    <row r="1122" spans="1:17" x14ac:dyDescent="0.25">
      <c r="A1122">
        <v>1121</v>
      </c>
      <c r="B1122" t="s">
        <v>1016</v>
      </c>
      <c r="C1122" t="s">
        <v>1662</v>
      </c>
      <c r="D1122" t="s">
        <v>1641</v>
      </c>
      <c r="E1122" t="s">
        <v>1316</v>
      </c>
      <c r="J1122" t="s">
        <v>1428</v>
      </c>
      <c r="N1122">
        <v>0</v>
      </c>
      <c r="O1122">
        <f>_xlfn.XLOOKUP(VALINA[[#This Row],[id]],prov_color!A:A,prov_color!C:C)</f>
        <v>124</v>
      </c>
      <c r="P1122" t="str">
        <f>_xlfn.XLOOKUP(VALINA[[#This Row],[id]],Table4[id],Table4[name])</f>
        <v>Cape Verde Islands</v>
      </c>
      <c r="Q1122" t="str">
        <f>_xlfn.XLOOKUP(VALINA[[#This Row],[name]],Trans!A:A,Trans!B:B)</f>
        <v>Cape Verde Islands</v>
      </c>
    </row>
    <row r="1123" spans="1:17" x14ac:dyDescent="0.25">
      <c r="A1123">
        <v>1122</v>
      </c>
      <c r="B1123" t="s">
        <v>1016</v>
      </c>
      <c r="C1123" t="s">
        <v>1662</v>
      </c>
      <c r="D1123" t="s">
        <v>1641</v>
      </c>
      <c r="E1123" t="s">
        <v>1316</v>
      </c>
      <c r="J1123" t="s">
        <v>1437</v>
      </c>
      <c r="N1123">
        <v>0</v>
      </c>
      <c r="O1123">
        <f>_xlfn.XLOOKUP(VALINA[[#This Row],[id]],prov_color!A:A,prov_color!C:C)</f>
        <v>224</v>
      </c>
      <c r="P1123" t="str">
        <f>_xlfn.XLOOKUP(VALINA[[#This Row],[id]],Table4[id],Table4[name])</f>
        <v>South Central Atlantic Ocean</v>
      </c>
      <c r="Q1123" t="str">
        <f>_xlfn.XLOOKUP(VALINA[[#This Row],[name]],Trans!A:A,Trans!B:B)</f>
        <v>South Central Atlantic Ocean</v>
      </c>
    </row>
    <row r="1124" spans="1:17" x14ac:dyDescent="0.25">
      <c r="A1124">
        <v>1123</v>
      </c>
      <c r="B1124" t="s">
        <v>1016</v>
      </c>
      <c r="C1124" t="s">
        <v>1662</v>
      </c>
      <c r="D1124" t="s">
        <v>1641</v>
      </c>
      <c r="E1124" t="s">
        <v>1316</v>
      </c>
      <c r="J1124" t="s">
        <v>1437</v>
      </c>
      <c r="N1124">
        <v>0</v>
      </c>
      <c r="O1124">
        <f>_xlfn.XLOOKUP(VALINA[[#This Row],[id]],prov_color!A:A,prov_color!C:C)</f>
        <v>347</v>
      </c>
      <c r="P1124" t="str">
        <f>_xlfn.XLOOKUP(VALINA[[#This Row],[id]],Table4[id],Table4[name])</f>
        <v>South Central Atlantic Ocean</v>
      </c>
      <c r="Q1124" t="str">
        <f>_xlfn.XLOOKUP(VALINA[[#This Row],[name]],Trans!A:A,Trans!B:B)</f>
        <v>South Central Atlantic Ocean</v>
      </c>
    </row>
    <row r="1125" spans="1:17" x14ac:dyDescent="0.25">
      <c r="A1125">
        <v>1124</v>
      </c>
      <c r="B1125" t="s">
        <v>1016</v>
      </c>
      <c r="C1125" t="s">
        <v>1669</v>
      </c>
      <c r="D1125" t="s">
        <v>1641</v>
      </c>
      <c r="E1125" t="s">
        <v>1316</v>
      </c>
      <c r="J1125" t="s">
        <v>1835</v>
      </c>
      <c r="N1125">
        <v>0</v>
      </c>
      <c r="O1125">
        <f>_xlfn.XLOOKUP(VALINA[[#This Row],[id]],prov_color!A:A,prov_color!C:C)</f>
        <v>350</v>
      </c>
      <c r="P1125" t="str">
        <f>_xlfn.XLOOKUP(VALINA[[#This Row],[id]],Table4[id],Table4[name])</f>
        <v>Southern Atlantic Ocean</v>
      </c>
      <c r="Q1125" t="str">
        <f>_xlfn.XLOOKUP(VALINA[[#This Row],[name]],Trans!A:A,Trans!B:B)</f>
        <v>Southern Atlantic Ocean</v>
      </c>
    </row>
    <row r="1126" spans="1:17" x14ac:dyDescent="0.25">
      <c r="A1126">
        <v>1125</v>
      </c>
      <c r="B1126" t="s">
        <v>1016</v>
      </c>
      <c r="C1126" t="s">
        <v>1662</v>
      </c>
      <c r="D1126" t="s">
        <v>1641</v>
      </c>
      <c r="E1126" t="s">
        <v>1316</v>
      </c>
      <c r="J1126" t="s">
        <v>1805</v>
      </c>
      <c r="N1126">
        <v>0</v>
      </c>
      <c r="O1126">
        <f>_xlfn.XLOOKUP(VALINA[[#This Row],[id]],prov_color!A:A,prov_color!C:C)</f>
        <v>316</v>
      </c>
      <c r="P1126" t="str">
        <f>_xlfn.XLOOKUP(VALINA[[#This Row],[id]],Table4[id],Table4[name])</f>
        <v>Ascension Island</v>
      </c>
      <c r="Q1126" t="str">
        <f>_xlfn.XLOOKUP(VALINA[[#This Row],[name]],Trans!A:A,Trans!B:B)</f>
        <v>Ascension Island</v>
      </c>
    </row>
    <row r="1127" spans="1:17" x14ac:dyDescent="0.25">
      <c r="A1127">
        <v>1126</v>
      </c>
      <c r="B1127" t="s">
        <v>1016</v>
      </c>
      <c r="C1127" t="s">
        <v>1662</v>
      </c>
      <c r="D1127" t="s">
        <v>1641</v>
      </c>
      <c r="E1127" t="s">
        <v>1316</v>
      </c>
      <c r="J1127" t="s">
        <v>1437</v>
      </c>
      <c r="N1127">
        <v>0</v>
      </c>
      <c r="O1127">
        <f>_xlfn.XLOOKUP(VALINA[[#This Row],[id]],prov_color!A:A,prov_color!C:C)</f>
        <v>274</v>
      </c>
      <c r="P1127" t="str">
        <f>_xlfn.XLOOKUP(VALINA[[#This Row],[id]],Table4[id],Table4[name])</f>
        <v>South Central Atlantic Ocean</v>
      </c>
      <c r="Q1127" t="str">
        <f>_xlfn.XLOOKUP(VALINA[[#This Row],[name]],Trans!A:A,Trans!B:B)</f>
        <v>South Central Atlantic Ocean</v>
      </c>
    </row>
    <row r="1128" spans="1:17" x14ac:dyDescent="0.25">
      <c r="A1128">
        <v>1127</v>
      </c>
      <c r="B1128" t="s">
        <v>1016</v>
      </c>
      <c r="C1128" t="s">
        <v>1662</v>
      </c>
      <c r="D1128" t="s">
        <v>1641</v>
      </c>
      <c r="E1128" t="s">
        <v>1316</v>
      </c>
      <c r="J1128" t="s">
        <v>1806</v>
      </c>
      <c r="N1128">
        <v>0</v>
      </c>
      <c r="O1128">
        <f>_xlfn.XLOOKUP(VALINA[[#This Row],[id]],prov_color!A:A,prov_color!C:C)</f>
        <v>89</v>
      </c>
      <c r="P1128" t="str">
        <f>_xlfn.XLOOKUP(VALINA[[#This Row],[id]],Table4[id],Table4[name])</f>
        <v>Gor�e Island</v>
      </c>
      <c r="Q1128" t="str">
        <f>_xlfn.XLOOKUP(VALINA[[#This Row],[name]],Trans!A:A,Trans!B:B)</f>
        <v>Gor�e Island</v>
      </c>
    </row>
    <row r="1129" spans="1:17" x14ac:dyDescent="0.25">
      <c r="A1129">
        <v>1128</v>
      </c>
      <c r="B1129" t="s">
        <v>1016</v>
      </c>
      <c r="C1129" t="s">
        <v>1662</v>
      </c>
      <c r="D1129" t="s">
        <v>1641</v>
      </c>
      <c r="E1129" t="s">
        <v>1316</v>
      </c>
      <c r="J1129" t="s">
        <v>1493</v>
      </c>
      <c r="N1129">
        <v>0</v>
      </c>
      <c r="O1129">
        <f>_xlfn.XLOOKUP(VALINA[[#This Row],[id]],prov_color!A:A,prov_color!C:C)</f>
        <v>112</v>
      </c>
      <c r="P1129" t="str">
        <f>_xlfn.XLOOKUP(VALINA[[#This Row],[id]],Table4[id],Table4[name])</f>
        <v>Coast of Gambia</v>
      </c>
      <c r="Q1129" t="str">
        <f>_xlfn.XLOOKUP(VALINA[[#This Row],[name]],Trans!A:A,Trans!B:B)</f>
        <v>Coast of Gambia</v>
      </c>
    </row>
    <row r="1130" spans="1:17" x14ac:dyDescent="0.25">
      <c r="A1130">
        <v>1129</v>
      </c>
      <c r="B1130" t="s">
        <v>1016</v>
      </c>
      <c r="C1130" t="s">
        <v>1662</v>
      </c>
      <c r="D1130" t="s">
        <v>1641</v>
      </c>
      <c r="E1130" t="s">
        <v>1316</v>
      </c>
      <c r="J1130" t="s">
        <v>1494</v>
      </c>
      <c r="N1130">
        <v>0</v>
      </c>
      <c r="O1130">
        <f>_xlfn.XLOOKUP(VALINA[[#This Row],[id]],prov_color!A:A,prov_color!C:C)</f>
        <v>124</v>
      </c>
      <c r="P1130" t="str">
        <f>_xlfn.XLOOKUP(VALINA[[#This Row],[id]],Table4[id],Table4[name])</f>
        <v>Gold Coast</v>
      </c>
      <c r="Q1130" t="str">
        <f>_xlfn.XLOOKUP(VALINA[[#This Row],[name]],Trans!A:A,Trans!B:B)</f>
        <v>Gold Coast</v>
      </c>
    </row>
    <row r="1131" spans="1:17" x14ac:dyDescent="0.25">
      <c r="A1131">
        <v>1130</v>
      </c>
      <c r="B1131" t="s">
        <v>1016</v>
      </c>
      <c r="C1131" t="s">
        <v>1670</v>
      </c>
      <c r="D1131" t="s">
        <v>1641</v>
      </c>
      <c r="E1131" t="s">
        <v>1316</v>
      </c>
      <c r="J1131" t="s">
        <v>1496</v>
      </c>
      <c r="N1131">
        <v>0</v>
      </c>
      <c r="O1131">
        <f>_xlfn.XLOOKUP(VALINA[[#This Row],[id]],prov_color!A:A,prov_color!C:C)</f>
        <v>96</v>
      </c>
      <c r="P1131" t="str">
        <f>_xlfn.XLOOKUP(VALINA[[#This Row],[id]],Table4[id],Table4[name])</f>
        <v>Gulf of Nigeria</v>
      </c>
      <c r="Q1131" t="str">
        <f>_xlfn.XLOOKUP(VALINA[[#This Row],[name]],Trans!A:A,Trans!B:B)</f>
        <v>Gulf of Nigeria</v>
      </c>
    </row>
    <row r="1132" spans="1:17" x14ac:dyDescent="0.25">
      <c r="A1132">
        <v>1131</v>
      </c>
      <c r="B1132" t="s">
        <v>1016</v>
      </c>
      <c r="C1132" t="s">
        <v>1670</v>
      </c>
      <c r="D1132" t="s">
        <v>1641</v>
      </c>
      <c r="E1132" t="s">
        <v>1316</v>
      </c>
      <c r="J1132" t="s">
        <v>1439</v>
      </c>
      <c r="N1132">
        <v>0</v>
      </c>
      <c r="O1132">
        <f>_xlfn.XLOOKUP(VALINA[[#This Row],[id]],prov_color!A:A,prov_color!C:C)</f>
        <v>295</v>
      </c>
      <c r="P1132" t="str">
        <f>_xlfn.XLOOKUP(VALINA[[#This Row],[id]],Table4[id],Table4[name])</f>
        <v>Gulf of Guinea</v>
      </c>
      <c r="Q1132" t="str">
        <f>_xlfn.XLOOKUP(VALINA[[#This Row],[name]],Trans!A:A,Trans!B:B)</f>
        <v>Gulf of Guinea</v>
      </c>
    </row>
    <row r="1133" spans="1:17" x14ac:dyDescent="0.25">
      <c r="A1133">
        <v>1132</v>
      </c>
      <c r="B1133" t="s">
        <v>1016</v>
      </c>
      <c r="C1133" t="s">
        <v>1670</v>
      </c>
      <c r="D1133" t="s">
        <v>1641</v>
      </c>
      <c r="E1133" t="s">
        <v>1316</v>
      </c>
      <c r="J1133" t="s">
        <v>1497</v>
      </c>
      <c r="N1133">
        <v>0</v>
      </c>
      <c r="O1133">
        <f>_xlfn.XLOOKUP(VALINA[[#This Row],[id]],prov_color!A:A,prov_color!C:C)</f>
        <v>109</v>
      </c>
      <c r="P1133" t="str">
        <f>_xlfn.XLOOKUP(VALINA[[#This Row],[id]],Table4[id],Table4[name])</f>
        <v>Coast of Cameroon</v>
      </c>
      <c r="Q1133" t="str">
        <f>_xlfn.XLOOKUP(VALINA[[#This Row],[name]],Trans!A:A,Trans!B:B)</f>
        <v>Coast of Cameroon</v>
      </c>
    </row>
    <row r="1134" spans="1:17" x14ac:dyDescent="0.25">
      <c r="A1134">
        <v>1133</v>
      </c>
      <c r="B1134" t="s">
        <v>1016</v>
      </c>
      <c r="C1134" t="s">
        <v>1671</v>
      </c>
      <c r="D1134" t="s">
        <v>1641</v>
      </c>
      <c r="E1134" t="s">
        <v>1316</v>
      </c>
      <c r="J1134" t="s">
        <v>1510</v>
      </c>
      <c r="N1134">
        <v>0</v>
      </c>
      <c r="O1134">
        <f>_xlfn.XLOOKUP(VALINA[[#This Row],[id]],prov_color!A:A,prov_color!C:C)</f>
        <v>116</v>
      </c>
      <c r="P1134" t="str">
        <f>_xlfn.XLOOKUP(VALINA[[#This Row],[id]],Table4[id],Table4[name])</f>
        <v>Coast of Pepper</v>
      </c>
      <c r="Q1134" t="str">
        <f>_xlfn.XLOOKUP(VALINA[[#This Row],[name]],Trans!A:A,Trans!B:B)</f>
        <v>Coast of Pepper</v>
      </c>
    </row>
    <row r="1135" spans="1:17" x14ac:dyDescent="0.25">
      <c r="A1135">
        <v>1134</v>
      </c>
      <c r="B1135" t="s">
        <v>1016</v>
      </c>
      <c r="C1135" t="s">
        <v>1671</v>
      </c>
      <c r="D1135" t="s">
        <v>1641</v>
      </c>
      <c r="E1135" t="s">
        <v>1316</v>
      </c>
      <c r="J1135" t="s">
        <v>1511</v>
      </c>
      <c r="N1135">
        <v>0</v>
      </c>
      <c r="O1135">
        <f>_xlfn.XLOOKUP(VALINA[[#This Row],[id]],prov_color!A:A,prov_color!C:C)</f>
        <v>175</v>
      </c>
      <c r="P1135" t="str">
        <f>_xlfn.XLOOKUP(VALINA[[#This Row],[id]],Table4[id],Table4[name])</f>
        <v>Horn of Africa</v>
      </c>
      <c r="Q1135" t="str">
        <f>_xlfn.XLOOKUP(VALINA[[#This Row],[name]],Trans!A:A,Trans!B:B)</f>
        <v>Horn of Africa</v>
      </c>
    </row>
    <row r="1136" spans="1:17" x14ac:dyDescent="0.25">
      <c r="A1136">
        <v>1135</v>
      </c>
      <c r="B1136" t="s">
        <v>1016</v>
      </c>
      <c r="C1136" t="s">
        <v>1663</v>
      </c>
      <c r="D1136" t="s">
        <v>1641</v>
      </c>
      <c r="E1136" t="s">
        <v>1316</v>
      </c>
      <c r="J1136" t="s">
        <v>1427</v>
      </c>
      <c r="N1136">
        <v>0</v>
      </c>
      <c r="O1136">
        <f>_xlfn.XLOOKUP(VALINA[[#This Row],[id]],prov_color!A:A,prov_color!C:C)</f>
        <v>238</v>
      </c>
      <c r="P1136" t="str">
        <f>_xlfn.XLOOKUP(VALINA[[#This Row],[id]],Table4[id],Table4[name])</f>
        <v>Socotra Island</v>
      </c>
      <c r="Q1136" t="str">
        <f>_xlfn.XLOOKUP(VALINA[[#This Row],[name]],Trans!A:A,Trans!B:B)</f>
        <v>Socotra Island</v>
      </c>
    </row>
    <row r="1137" spans="1:17" x14ac:dyDescent="0.25">
      <c r="A1137">
        <v>1136</v>
      </c>
      <c r="B1137" t="s">
        <v>653</v>
      </c>
      <c r="C1137" t="s">
        <v>1671</v>
      </c>
      <c r="D1137" t="s">
        <v>1641</v>
      </c>
      <c r="E1137" t="s">
        <v>1316</v>
      </c>
      <c r="J1137" t="s">
        <v>1518</v>
      </c>
      <c r="N1137">
        <v>0</v>
      </c>
      <c r="O1137">
        <f>_xlfn.XLOOKUP(VALINA[[#This Row],[id]],prov_color!A:A,prov_color!C:C)</f>
        <v>435</v>
      </c>
      <c r="P1137" t="str">
        <f>_xlfn.XLOOKUP(VALINA[[#This Row],[id]],Table4[id],Table4[name])</f>
        <v>Oman Sea</v>
      </c>
      <c r="Q1137" t="str">
        <f>_xlfn.XLOOKUP(VALINA[[#This Row],[name]],Trans!A:A,Trans!B:B)</f>
        <v>Arabian Sea</v>
      </c>
    </row>
    <row r="1138" spans="1:17" x14ac:dyDescent="0.25">
      <c r="A1138">
        <v>1137</v>
      </c>
      <c r="B1138" t="s">
        <v>653</v>
      </c>
      <c r="C1138" t="s">
        <v>1671</v>
      </c>
      <c r="D1138" t="s">
        <v>1641</v>
      </c>
      <c r="E1138" t="s">
        <v>1316</v>
      </c>
      <c r="J1138" t="s">
        <v>1593</v>
      </c>
      <c r="N1138">
        <v>0</v>
      </c>
      <c r="O1138">
        <f>_xlfn.XLOOKUP(VALINA[[#This Row],[id]],prov_color!A:A,prov_color!C:C)</f>
        <v>341</v>
      </c>
      <c r="P1138" t="str">
        <f>_xlfn.XLOOKUP(VALINA[[#This Row],[id]],Table4[id],Table4[name])</f>
        <v>The Maldives</v>
      </c>
      <c r="Q1138" t="str">
        <f>_xlfn.XLOOKUP(VALINA[[#This Row],[name]],Trans!A:A,Trans!B:B)</f>
        <v>The Maldives</v>
      </c>
    </row>
    <row r="1139" spans="1:17" x14ac:dyDescent="0.25">
      <c r="A1139">
        <v>1138</v>
      </c>
      <c r="B1139" t="s">
        <v>653</v>
      </c>
      <c r="C1139" t="s">
        <v>1665</v>
      </c>
      <c r="D1139" t="s">
        <v>1641</v>
      </c>
      <c r="E1139" t="s">
        <v>1316</v>
      </c>
      <c r="J1139" t="s">
        <v>1339</v>
      </c>
      <c r="N1139">
        <v>0</v>
      </c>
      <c r="O1139">
        <f>_xlfn.XLOOKUP(VALINA[[#This Row],[id]],prov_color!A:A,prov_color!C:C)</f>
        <v>93</v>
      </c>
      <c r="P1139" t="str">
        <f>_xlfn.XLOOKUP(VALINA[[#This Row],[id]],Table4[id],Table4[name])</f>
        <v>Comorin Cape</v>
      </c>
      <c r="Q1139" t="str">
        <f>_xlfn.XLOOKUP(VALINA[[#This Row],[name]],Trans!A:A,Trans!B:B)</f>
        <v>Comorin Cape</v>
      </c>
    </row>
    <row r="1140" spans="1:17" x14ac:dyDescent="0.25">
      <c r="A1140">
        <v>1139</v>
      </c>
      <c r="B1140" t="s">
        <v>653</v>
      </c>
      <c r="C1140" t="s">
        <v>1671</v>
      </c>
      <c r="D1140" t="s">
        <v>1641</v>
      </c>
      <c r="E1140" t="s">
        <v>1316</v>
      </c>
      <c r="J1140" t="s">
        <v>1594</v>
      </c>
      <c r="N1140">
        <v>0</v>
      </c>
      <c r="O1140">
        <f>_xlfn.XLOOKUP(VALINA[[#This Row],[id]],prov_color!A:A,prov_color!C:C)</f>
        <v>291</v>
      </c>
      <c r="P1140" t="str">
        <f>_xlfn.XLOOKUP(VALINA[[#This Row],[id]],Table4[id],Table4[name])</f>
        <v>Ceylon Sea</v>
      </c>
      <c r="Q1140" t="str">
        <f>_xlfn.XLOOKUP(VALINA[[#This Row],[name]],Trans!A:A,Trans!B:B)</f>
        <v>Ceylon Sea</v>
      </c>
    </row>
    <row r="1141" spans="1:17" x14ac:dyDescent="0.25">
      <c r="A1141">
        <v>1140</v>
      </c>
      <c r="B1141" t="s">
        <v>653</v>
      </c>
      <c r="C1141" t="s">
        <v>1665</v>
      </c>
      <c r="D1141" t="s">
        <v>1641</v>
      </c>
      <c r="E1141" t="s">
        <v>1316</v>
      </c>
      <c r="J1141" t="s">
        <v>1340</v>
      </c>
      <c r="N1141">
        <v>0</v>
      </c>
      <c r="O1141">
        <f>_xlfn.XLOOKUP(VALINA[[#This Row],[id]],prov_color!A:A,prov_color!C:C)</f>
        <v>71</v>
      </c>
      <c r="P1141" t="str">
        <f>_xlfn.XLOOKUP(VALINA[[#This Row],[id]],Table4[id],Table4[name])</f>
        <v>Coast of Trincomalee</v>
      </c>
      <c r="Q1141" t="str">
        <f>_xlfn.XLOOKUP(VALINA[[#This Row],[name]],Trans!A:A,Trans!B:B)</f>
        <v>Coast of Trincomalee</v>
      </c>
    </row>
    <row r="1142" spans="1:17" x14ac:dyDescent="0.25">
      <c r="A1142">
        <v>1141</v>
      </c>
      <c r="B1142" t="s">
        <v>653</v>
      </c>
      <c r="C1142" t="s">
        <v>1666</v>
      </c>
      <c r="D1142" t="s">
        <v>1641</v>
      </c>
      <c r="E1142" t="s">
        <v>1316</v>
      </c>
      <c r="J1142" t="s">
        <v>1424</v>
      </c>
      <c r="N1142">
        <v>0</v>
      </c>
      <c r="O1142">
        <f>_xlfn.XLOOKUP(VALINA[[#This Row],[id]],prov_color!A:A,prov_color!C:C)</f>
        <v>165</v>
      </c>
      <c r="P1142" t="str">
        <f>_xlfn.XLOOKUP(VALINA[[#This Row],[id]],Table4[id],Table4[name])</f>
        <v>Bay of Bengale</v>
      </c>
      <c r="Q1142" t="str">
        <f>_xlfn.XLOOKUP(VALINA[[#This Row],[name]],Trans!A:A,Trans!B:B)</f>
        <v>Bay of Bengale</v>
      </c>
    </row>
    <row r="1143" spans="1:17" x14ac:dyDescent="0.25">
      <c r="A1143">
        <v>1142</v>
      </c>
      <c r="B1143" t="s">
        <v>653</v>
      </c>
      <c r="C1143" t="s">
        <v>1666</v>
      </c>
      <c r="D1143" t="s">
        <v>1641</v>
      </c>
      <c r="E1143" t="s">
        <v>1316</v>
      </c>
      <c r="J1143" t="s">
        <v>1807</v>
      </c>
      <c r="N1143">
        <v>0</v>
      </c>
      <c r="O1143">
        <f>_xlfn.XLOOKUP(VALINA[[#This Row],[id]],prov_color!A:A,prov_color!C:C)</f>
        <v>191</v>
      </c>
      <c r="P1143" t="str">
        <f>_xlfn.XLOOKUP(VALINA[[#This Row],[id]],Table4[id],Table4[name])</f>
        <v>Central Indian Ocean</v>
      </c>
      <c r="Q1143" t="str">
        <f>_xlfn.XLOOKUP(VALINA[[#This Row],[name]],Trans!A:A,Trans!B:B)</f>
        <v>Central Indian Ocean</v>
      </c>
    </row>
    <row r="1144" spans="1:17" x14ac:dyDescent="0.25">
      <c r="A1144">
        <v>1143</v>
      </c>
      <c r="B1144" t="s">
        <v>653</v>
      </c>
      <c r="C1144" t="s">
        <v>1666</v>
      </c>
      <c r="D1144" t="s">
        <v>1641</v>
      </c>
      <c r="E1144" t="s">
        <v>1316</v>
      </c>
      <c r="J1144" t="s">
        <v>1347</v>
      </c>
      <c r="N1144">
        <v>0</v>
      </c>
      <c r="O1144">
        <f>_xlfn.XLOOKUP(VALINA[[#This Row],[id]],prov_color!A:A,prov_color!C:C)</f>
        <v>100</v>
      </c>
      <c r="P1144" t="str">
        <f>_xlfn.XLOOKUP(VALINA[[#This Row],[id]],Table4[id],Table4[name])</f>
        <v>Straits of Malacca</v>
      </c>
      <c r="Q1144" t="str">
        <f>_xlfn.XLOOKUP(VALINA[[#This Row],[name]],Trans!A:A,Trans!B:B)</f>
        <v>Straits of Malacca</v>
      </c>
    </row>
    <row r="1145" spans="1:17" x14ac:dyDescent="0.25">
      <c r="A1145">
        <v>1144</v>
      </c>
      <c r="B1145" t="s">
        <v>653</v>
      </c>
      <c r="C1145" t="s">
        <v>1666</v>
      </c>
      <c r="D1145" t="s">
        <v>1641</v>
      </c>
      <c r="E1145" t="s">
        <v>1316</v>
      </c>
      <c r="J1145" t="s">
        <v>1349</v>
      </c>
      <c r="N1145">
        <v>0</v>
      </c>
      <c r="O1145">
        <f>_xlfn.XLOOKUP(VALINA[[#This Row],[id]],prov_color!A:A,prov_color!C:C)</f>
        <v>125</v>
      </c>
      <c r="P1145" t="str">
        <f>_xlfn.XLOOKUP(VALINA[[#This Row],[id]],Table4[id],Table4[name])</f>
        <v>Coast of Sumatra</v>
      </c>
      <c r="Q1145" t="str">
        <f>_xlfn.XLOOKUP(VALINA[[#This Row],[name]],Trans!A:A,Trans!B:B)</f>
        <v>Coast of Sumatra</v>
      </c>
    </row>
    <row r="1146" spans="1:17" x14ac:dyDescent="0.25">
      <c r="A1146">
        <v>1145</v>
      </c>
      <c r="B1146" t="s">
        <v>653</v>
      </c>
      <c r="C1146" t="s">
        <v>1666</v>
      </c>
      <c r="D1146" t="s">
        <v>1641</v>
      </c>
      <c r="E1146" t="s">
        <v>1316</v>
      </c>
      <c r="J1146" t="s">
        <v>1808</v>
      </c>
      <c r="N1146">
        <v>0</v>
      </c>
      <c r="O1146">
        <f>_xlfn.XLOOKUP(VALINA[[#This Row],[id]],prov_color!A:A,prov_color!C:C)</f>
        <v>60</v>
      </c>
      <c r="P1146" t="str">
        <f>_xlfn.XLOOKUP(VALINA[[#This Row],[id]],Table4[id],Table4[name])</f>
        <v>Straits of Johore</v>
      </c>
      <c r="Q1146" t="str">
        <f>_xlfn.XLOOKUP(VALINA[[#This Row],[name]],Trans!A:A,Trans!B:B)</f>
        <v>Straits of Johor</v>
      </c>
    </row>
    <row r="1147" spans="1:17" x14ac:dyDescent="0.25">
      <c r="A1147">
        <v>1146</v>
      </c>
      <c r="B1147" t="s">
        <v>653</v>
      </c>
      <c r="C1147" t="s">
        <v>1667</v>
      </c>
      <c r="D1147" t="s">
        <v>1641</v>
      </c>
      <c r="E1147" t="s">
        <v>1316</v>
      </c>
      <c r="J1147" t="s">
        <v>1809</v>
      </c>
      <c r="N1147">
        <v>0</v>
      </c>
      <c r="O1147">
        <f>_xlfn.XLOOKUP(VALINA[[#This Row],[id]],prov_color!A:A,prov_color!C:C)</f>
        <v>80</v>
      </c>
      <c r="P1147" t="str">
        <f>_xlfn.XLOOKUP(VALINA[[#This Row],[id]],Table4[id],Table4[name])</f>
        <v>Malayan Sea</v>
      </c>
      <c r="Q1147" t="str">
        <f>_xlfn.XLOOKUP(VALINA[[#This Row],[name]],Trans!A:A,Trans!B:B)</f>
        <v>Malayan Sea</v>
      </c>
    </row>
    <row r="1148" spans="1:17" x14ac:dyDescent="0.25">
      <c r="A1148">
        <v>1147</v>
      </c>
      <c r="B1148" t="s">
        <v>653</v>
      </c>
      <c r="C1148" t="s">
        <v>1667</v>
      </c>
      <c r="D1148" t="s">
        <v>1641</v>
      </c>
      <c r="E1148" t="s">
        <v>1316</v>
      </c>
      <c r="J1148" t="s">
        <v>1393</v>
      </c>
      <c r="N1148">
        <v>0</v>
      </c>
      <c r="O1148">
        <f>_xlfn.XLOOKUP(VALINA[[#This Row],[id]],prov_color!A:A,prov_color!C:C)</f>
        <v>152</v>
      </c>
      <c r="P1148" t="str">
        <f>_xlfn.XLOOKUP(VALINA[[#This Row],[id]],Table4[id],Table4[name])</f>
        <v>South China Sea</v>
      </c>
      <c r="Q1148" t="str">
        <f>_xlfn.XLOOKUP(VALINA[[#This Row],[name]],Trans!A:A,Trans!B:B)</f>
        <v>South China Sea</v>
      </c>
    </row>
    <row r="1149" spans="1:17" x14ac:dyDescent="0.25">
      <c r="A1149">
        <v>1148</v>
      </c>
      <c r="B1149" t="s">
        <v>653</v>
      </c>
      <c r="C1149" t="s">
        <v>1672</v>
      </c>
      <c r="D1149" t="s">
        <v>1641</v>
      </c>
      <c r="E1149" t="s">
        <v>1316</v>
      </c>
      <c r="J1149" t="s">
        <v>1383</v>
      </c>
      <c r="N1149">
        <v>0</v>
      </c>
      <c r="O1149">
        <f>_xlfn.XLOOKUP(VALINA[[#This Row],[id]],prov_color!A:A,prov_color!C:C)</f>
        <v>77</v>
      </c>
      <c r="P1149" t="str">
        <f>_xlfn.XLOOKUP(VALINA[[#This Row],[id]],Table4[id],Table4[name])</f>
        <v>Balabac Strait</v>
      </c>
      <c r="Q1149" t="str">
        <f>_xlfn.XLOOKUP(VALINA[[#This Row],[name]],Trans!A:A,Trans!B:B)</f>
        <v>Balabac Strait</v>
      </c>
    </row>
    <row r="1150" spans="1:17" x14ac:dyDescent="0.25">
      <c r="A1150">
        <v>1149</v>
      </c>
      <c r="B1150" t="s">
        <v>653</v>
      </c>
      <c r="C1150" t="s">
        <v>1672</v>
      </c>
      <c r="D1150" t="s">
        <v>1641</v>
      </c>
      <c r="E1150" t="s">
        <v>1316</v>
      </c>
      <c r="J1150" t="s">
        <v>6462</v>
      </c>
      <c r="N1150">
        <v>0</v>
      </c>
      <c r="O1150">
        <f>_xlfn.XLOOKUP(VALINA[[#This Row],[id]],prov_color!A:A,prov_color!C:C)</f>
        <v>207</v>
      </c>
      <c r="P1150" t="str">
        <f>_xlfn.XLOOKUP(VALINA[[#This Row],[id]],Table4[id],Table4[name])</f>
        <v>South China Sea 2</v>
      </c>
      <c r="Q1150" t="e">
        <f>_xlfn.XLOOKUP(VALINA[[#This Row],[name]],Trans!A:A,Trans!B:B)</f>
        <v>#N/A</v>
      </c>
    </row>
    <row r="1151" spans="1:17" x14ac:dyDescent="0.25">
      <c r="A1151">
        <v>1150</v>
      </c>
      <c r="B1151" t="s">
        <v>653</v>
      </c>
      <c r="C1151" t="s">
        <v>1672</v>
      </c>
      <c r="D1151" t="s">
        <v>1641</v>
      </c>
      <c r="E1151" t="s">
        <v>1316</v>
      </c>
      <c r="J1151" t="s">
        <v>1379</v>
      </c>
      <c r="N1151">
        <v>0</v>
      </c>
      <c r="O1151">
        <f>_xlfn.XLOOKUP(VALINA[[#This Row],[id]],prov_color!A:A,prov_color!C:C)</f>
        <v>84</v>
      </c>
      <c r="P1151" t="str">
        <f>_xlfn.XLOOKUP(VALINA[[#This Row],[id]],Table4[id],Table4[name])</f>
        <v>Sulu Sea</v>
      </c>
      <c r="Q1151" t="str">
        <f>_xlfn.XLOOKUP(VALINA[[#This Row],[name]],Trans!A:A,Trans!B:B)</f>
        <v>Sulu Sea</v>
      </c>
    </row>
    <row r="1152" spans="1:17" x14ac:dyDescent="0.25">
      <c r="A1152">
        <v>1151</v>
      </c>
      <c r="B1152" t="s">
        <v>653</v>
      </c>
      <c r="C1152" t="s">
        <v>1672</v>
      </c>
      <c r="D1152" t="s">
        <v>1641</v>
      </c>
      <c r="E1152" t="s">
        <v>1316</v>
      </c>
      <c r="J1152" t="s">
        <v>1378</v>
      </c>
      <c r="N1152">
        <v>0</v>
      </c>
      <c r="O1152">
        <f>_xlfn.XLOOKUP(VALINA[[#This Row],[id]],prov_color!A:A,prov_color!C:C)</f>
        <v>103</v>
      </c>
      <c r="P1152" t="str">
        <f>_xlfn.XLOOKUP(VALINA[[#This Row],[id]],Table4[id],Table4[name])</f>
        <v>Gulf of Leyte</v>
      </c>
      <c r="Q1152" t="str">
        <f>_xlfn.XLOOKUP(VALINA[[#This Row],[name]],Trans!A:A,Trans!B:B)</f>
        <v>Gulf of Leyte</v>
      </c>
    </row>
    <row r="1153" spans="1:17" x14ac:dyDescent="0.25">
      <c r="A1153">
        <v>1152</v>
      </c>
      <c r="B1153" t="s">
        <v>653</v>
      </c>
      <c r="C1153" t="s">
        <v>1672</v>
      </c>
      <c r="D1153" t="s">
        <v>1641</v>
      </c>
      <c r="E1153" t="s">
        <v>1316</v>
      </c>
      <c r="J1153" t="s">
        <v>1377</v>
      </c>
      <c r="N1153">
        <v>0</v>
      </c>
      <c r="O1153">
        <f>_xlfn.XLOOKUP(VALINA[[#This Row],[id]],prov_color!A:A,prov_color!C:C)</f>
        <v>81</v>
      </c>
      <c r="P1153" t="str">
        <f>_xlfn.XLOOKUP(VALINA[[#This Row],[id]],Table4[id],Table4[name])</f>
        <v>Coast of Luzon</v>
      </c>
      <c r="Q1153" t="str">
        <f>_xlfn.XLOOKUP(VALINA[[#This Row],[name]],Trans!A:A,Trans!B:B)</f>
        <v>Coast of Luzon</v>
      </c>
    </row>
    <row r="1154" spans="1:17" x14ac:dyDescent="0.25">
      <c r="A1154">
        <v>1153</v>
      </c>
      <c r="B1154" t="s">
        <v>653</v>
      </c>
      <c r="C1154" t="s">
        <v>1655</v>
      </c>
      <c r="D1154" t="s">
        <v>1641</v>
      </c>
      <c r="E1154" t="s">
        <v>1316</v>
      </c>
      <c r="J1154" t="s">
        <v>1597</v>
      </c>
      <c r="N1154">
        <v>0</v>
      </c>
      <c r="O1154">
        <f>_xlfn.XLOOKUP(VALINA[[#This Row],[id]],prov_color!A:A,prov_color!C:C)</f>
        <v>171</v>
      </c>
      <c r="P1154" t="str">
        <f>_xlfn.XLOOKUP(VALINA[[#This Row],[id]],Table4[id],Table4[name])</f>
        <v>North Philippine Sea</v>
      </c>
      <c r="Q1154" t="str">
        <f>_xlfn.XLOOKUP(VALINA[[#This Row],[name]],Trans!A:A,Trans!B:B)</f>
        <v>North Philippine Sea</v>
      </c>
    </row>
    <row r="1155" spans="1:17" x14ac:dyDescent="0.25">
      <c r="A1155">
        <v>1154</v>
      </c>
      <c r="B1155" t="s">
        <v>653</v>
      </c>
      <c r="C1155" t="s">
        <v>1672</v>
      </c>
      <c r="D1155" t="s">
        <v>1641</v>
      </c>
      <c r="E1155" t="s">
        <v>1316</v>
      </c>
      <c r="J1155" t="s">
        <v>1954</v>
      </c>
      <c r="N1155">
        <v>0</v>
      </c>
      <c r="O1155">
        <f>_xlfn.XLOOKUP(VALINA[[#This Row],[id]],prov_color!A:A,prov_color!C:C)</f>
        <v>271</v>
      </c>
      <c r="P1155" t="str">
        <f>_xlfn.XLOOKUP(VALINA[[#This Row],[id]],Table4[id],Table4[name])</f>
        <v>Yap Island</v>
      </c>
      <c r="Q1155" t="str">
        <f>_xlfn.XLOOKUP(VALINA[[#This Row],[name]],Trans!A:A,Trans!B:B)</f>
        <v>Philippine Sea</v>
      </c>
    </row>
    <row r="1156" spans="1:17" x14ac:dyDescent="0.25">
      <c r="A1156">
        <v>1155</v>
      </c>
      <c r="B1156" t="s">
        <v>653</v>
      </c>
      <c r="C1156" t="s">
        <v>1672</v>
      </c>
      <c r="D1156" t="s">
        <v>1641</v>
      </c>
      <c r="E1156" t="s">
        <v>1316</v>
      </c>
      <c r="J1156" t="s">
        <v>1598</v>
      </c>
      <c r="N1156">
        <v>0</v>
      </c>
      <c r="O1156">
        <f>_xlfn.XLOOKUP(VALINA[[#This Row],[id]],prov_color!A:A,prov_color!C:C)</f>
        <v>67</v>
      </c>
      <c r="P1156" t="str">
        <f>_xlfn.XLOOKUP(VALINA[[#This Row],[id]],Table4[id],Table4[name])</f>
        <v>Philippine Sea</v>
      </c>
      <c r="Q1156" t="str">
        <f>_xlfn.XLOOKUP(VALINA[[#This Row],[name]],Trans!A:A,Trans!B:B)</f>
        <v>Bohol Sea</v>
      </c>
    </row>
    <row r="1157" spans="1:17" x14ac:dyDescent="0.25">
      <c r="A1157">
        <v>1156</v>
      </c>
      <c r="B1157" t="s">
        <v>653</v>
      </c>
      <c r="C1157" t="s">
        <v>1672</v>
      </c>
      <c r="D1157" t="s">
        <v>1641</v>
      </c>
      <c r="E1157" t="s">
        <v>1316</v>
      </c>
      <c r="J1157" t="s">
        <v>1600</v>
      </c>
      <c r="N1157">
        <v>0</v>
      </c>
      <c r="O1157">
        <f>_xlfn.XLOOKUP(VALINA[[#This Row],[id]],prov_color!A:A,prov_color!C:C)</f>
        <v>270</v>
      </c>
      <c r="P1157" t="str">
        <f>_xlfn.XLOOKUP(VALINA[[#This Row],[id]],Table4[id],Table4[name])</f>
        <v>Palau Island</v>
      </c>
      <c r="Q1157" t="str">
        <f>_xlfn.XLOOKUP(VALINA[[#This Row],[name]],Trans!A:A,Trans!B:B)</f>
        <v>Palau Island</v>
      </c>
    </row>
    <row r="1158" spans="1:17" x14ac:dyDescent="0.25">
      <c r="A1158">
        <v>1157</v>
      </c>
      <c r="B1158" t="s">
        <v>990</v>
      </c>
      <c r="C1158" t="s">
        <v>1656</v>
      </c>
      <c r="D1158" t="s">
        <v>1641</v>
      </c>
      <c r="E1158" t="s">
        <v>1316</v>
      </c>
      <c r="J1158" t="s">
        <v>1955</v>
      </c>
      <c r="N1158">
        <v>0</v>
      </c>
      <c r="O1158">
        <f>_xlfn.XLOOKUP(VALINA[[#This Row],[id]],prov_color!A:A,prov_color!C:C)</f>
        <v>428</v>
      </c>
      <c r="P1158" t="str">
        <f>_xlfn.XLOOKUP(VALINA[[#This Row],[id]],Table4[id],Table4[name])</f>
        <v>Mariana Sea</v>
      </c>
      <c r="Q1158" t="str">
        <f>_xlfn.XLOOKUP(VALINA[[#This Row],[name]],Trans!A:A,Trans!B:B)</f>
        <v>Caroline Islands</v>
      </c>
    </row>
    <row r="1159" spans="1:17" x14ac:dyDescent="0.25">
      <c r="A1159">
        <v>1158</v>
      </c>
      <c r="B1159" t="s">
        <v>990</v>
      </c>
      <c r="C1159" t="s">
        <v>1672</v>
      </c>
      <c r="D1159" t="s">
        <v>1641</v>
      </c>
      <c r="E1159" t="s">
        <v>1316</v>
      </c>
      <c r="J1159" t="s">
        <v>1810</v>
      </c>
      <c r="N1159">
        <v>0</v>
      </c>
      <c r="O1159">
        <f>_xlfn.XLOOKUP(VALINA[[#This Row],[id]],prov_color!A:A,prov_color!C:C)</f>
        <v>245</v>
      </c>
      <c r="P1159" t="str">
        <f>_xlfn.XLOOKUP(VALINA[[#This Row],[id]],Table4[id],Table4[name])</f>
        <v>Caroline Islands</v>
      </c>
      <c r="Q1159" t="str">
        <f>_xlfn.XLOOKUP(VALINA[[#This Row],[name]],Trans!A:A,Trans!B:B)</f>
        <v>Admiralty Islands</v>
      </c>
    </row>
    <row r="1160" spans="1:17" x14ac:dyDescent="0.25">
      <c r="A1160">
        <v>1159</v>
      </c>
      <c r="B1160" t="s">
        <v>990</v>
      </c>
      <c r="C1160" t="s">
        <v>1656</v>
      </c>
      <c r="D1160" t="s">
        <v>1641</v>
      </c>
      <c r="E1160" t="s">
        <v>1316</v>
      </c>
      <c r="J1160" t="s">
        <v>1956</v>
      </c>
      <c r="N1160">
        <v>0</v>
      </c>
      <c r="O1160">
        <f>_xlfn.XLOOKUP(VALINA[[#This Row],[id]],prov_color!A:A,prov_color!C:C)</f>
        <v>592</v>
      </c>
      <c r="P1160" t="str">
        <f>_xlfn.XLOOKUP(VALINA[[#This Row],[id]],Table4[id],Table4[name])</f>
        <v>Micronesian Sea</v>
      </c>
      <c r="Q1160" t="str">
        <f>_xlfn.XLOOKUP(VALINA[[#This Row],[name]],Trans!A:A,Trans!B:B)</f>
        <v>Micronesian Sea</v>
      </c>
    </row>
    <row r="1161" spans="1:17" x14ac:dyDescent="0.25">
      <c r="A1161">
        <v>1160</v>
      </c>
      <c r="B1161" t="s">
        <v>990</v>
      </c>
      <c r="C1161" t="s">
        <v>1656</v>
      </c>
      <c r="D1161" t="s">
        <v>1641</v>
      </c>
      <c r="E1161" t="s">
        <v>1316</v>
      </c>
      <c r="J1161" t="s">
        <v>1957</v>
      </c>
      <c r="N1161">
        <v>0</v>
      </c>
      <c r="O1161">
        <f>_xlfn.XLOOKUP(VALINA[[#This Row],[id]],prov_color!A:A,prov_color!C:C)</f>
        <v>391</v>
      </c>
      <c r="P1161" t="str">
        <f>_xlfn.XLOOKUP(VALINA[[#This Row],[id]],Table4[id],Table4[name])</f>
        <v>Marshall Islands</v>
      </c>
      <c r="Q1161" t="str">
        <f>_xlfn.XLOOKUP(VALINA[[#This Row],[name]],Trans!A:A,Trans!B:B)</f>
        <v>Marshall Islands</v>
      </c>
    </row>
    <row r="1162" spans="1:17" x14ac:dyDescent="0.25">
      <c r="A1162">
        <v>1161</v>
      </c>
      <c r="B1162" t="s">
        <v>990</v>
      </c>
      <c r="C1162" t="s">
        <v>1668</v>
      </c>
      <c r="D1162" t="s">
        <v>1641</v>
      </c>
      <c r="E1162" t="s">
        <v>1316</v>
      </c>
      <c r="J1162" t="s">
        <v>1958</v>
      </c>
      <c r="N1162">
        <v>0</v>
      </c>
      <c r="O1162">
        <f>_xlfn.XLOOKUP(VALINA[[#This Row],[id]],prov_color!A:A,prov_color!C:C)</f>
        <v>740</v>
      </c>
      <c r="P1162" t="str">
        <f>_xlfn.XLOOKUP(VALINA[[#This Row],[id]],Table4[id],Table4[name])</f>
        <v>Gilbert Islands</v>
      </c>
      <c r="Q1162" t="str">
        <f>_xlfn.XLOOKUP(VALINA[[#This Row],[name]],Trans!A:A,Trans!B:B)</f>
        <v>Gilbert Islands</v>
      </c>
    </row>
    <row r="1163" spans="1:17" x14ac:dyDescent="0.25">
      <c r="A1163">
        <v>1162</v>
      </c>
      <c r="B1163" t="s">
        <v>990</v>
      </c>
      <c r="C1163" t="s">
        <v>1668</v>
      </c>
      <c r="D1163" t="s">
        <v>1641</v>
      </c>
      <c r="E1163" t="s">
        <v>1316</v>
      </c>
      <c r="J1163" t="s">
        <v>1811</v>
      </c>
      <c r="N1163">
        <v>0</v>
      </c>
      <c r="O1163">
        <f>_xlfn.XLOOKUP(VALINA[[#This Row],[id]],prov_color!A:A,prov_color!C:C)</f>
        <v>552</v>
      </c>
      <c r="P1163" t="str">
        <f>_xlfn.XLOOKUP(VALINA[[#This Row],[id]],Table4[id],Table4[name])</f>
        <v>Fiji Islands</v>
      </c>
      <c r="Q1163" t="str">
        <f>_xlfn.XLOOKUP(VALINA[[#This Row],[name]],Trans!A:A,Trans!B:B)</f>
        <v>Fiji Islands</v>
      </c>
    </row>
    <row r="1164" spans="1:17" x14ac:dyDescent="0.25">
      <c r="A1164">
        <v>1163</v>
      </c>
      <c r="B1164" t="s">
        <v>990</v>
      </c>
      <c r="C1164" t="s">
        <v>1668</v>
      </c>
      <c r="D1164" t="s">
        <v>1641</v>
      </c>
      <c r="E1164" t="s">
        <v>1316</v>
      </c>
      <c r="J1164" t="s">
        <v>1812</v>
      </c>
      <c r="N1164">
        <v>0</v>
      </c>
      <c r="O1164">
        <f>_xlfn.XLOOKUP(VALINA[[#This Row],[id]],prov_color!A:A,prov_color!C:C)</f>
        <v>553</v>
      </c>
      <c r="P1164" t="str">
        <f>_xlfn.XLOOKUP(VALINA[[#This Row],[id]],Table4[id],Table4[name])</f>
        <v>Samoan Sea</v>
      </c>
      <c r="Q1164" t="str">
        <f>_xlfn.XLOOKUP(VALINA[[#This Row],[name]],Trans!A:A,Trans!B:B)</f>
        <v>Wallis and Futuna Islands</v>
      </c>
    </row>
    <row r="1165" spans="1:17" x14ac:dyDescent="0.25">
      <c r="A1165">
        <v>1164</v>
      </c>
      <c r="B1165" t="s">
        <v>990</v>
      </c>
      <c r="C1165" t="s">
        <v>1668</v>
      </c>
      <c r="D1165" t="s">
        <v>1641</v>
      </c>
      <c r="E1165" t="s">
        <v>1316</v>
      </c>
      <c r="J1165" t="s">
        <v>1813</v>
      </c>
      <c r="N1165">
        <v>0</v>
      </c>
      <c r="O1165">
        <f>_xlfn.XLOOKUP(VALINA[[#This Row],[id]],prov_color!A:A,prov_color!C:C)</f>
        <v>811</v>
      </c>
      <c r="P1165" t="str">
        <f>_xlfn.XLOOKUP(VALINA[[#This Row],[id]],Table4[id],Table4[name])</f>
        <v>Samoa Islands</v>
      </c>
      <c r="Q1165" t="str">
        <f>_xlfn.XLOOKUP(VALINA[[#This Row],[name]],Trans!A:A,Trans!B:B)</f>
        <v>Samoa Islands</v>
      </c>
    </row>
    <row r="1166" spans="1:17" x14ac:dyDescent="0.25">
      <c r="A1166">
        <v>1165</v>
      </c>
      <c r="B1166" t="s">
        <v>990</v>
      </c>
      <c r="C1166" t="s">
        <v>1661</v>
      </c>
      <c r="D1166" t="s">
        <v>1641</v>
      </c>
      <c r="E1166" t="s">
        <v>1316</v>
      </c>
      <c r="J1166" t="s">
        <v>1814</v>
      </c>
      <c r="N1166">
        <v>0</v>
      </c>
      <c r="O1166">
        <f>_xlfn.XLOOKUP(VALINA[[#This Row],[id]],prov_color!A:A,prov_color!C:C)</f>
        <v>798</v>
      </c>
      <c r="P1166" t="str">
        <f>_xlfn.XLOOKUP(VALINA[[#This Row],[id]],Table4[id],Table4[name])</f>
        <v>Society Islands</v>
      </c>
      <c r="Q1166" t="str">
        <f>_xlfn.XLOOKUP(VALINA[[#This Row],[name]],Trans!A:A,Trans!B:B)</f>
        <v>Society Islands</v>
      </c>
    </row>
    <row r="1167" spans="1:17" x14ac:dyDescent="0.25">
      <c r="A1167">
        <v>1166</v>
      </c>
      <c r="B1167" t="s">
        <v>990</v>
      </c>
      <c r="C1167" t="s">
        <v>1661</v>
      </c>
      <c r="D1167" t="s">
        <v>1641</v>
      </c>
      <c r="E1167" t="s">
        <v>1316</v>
      </c>
      <c r="J1167" t="s">
        <v>1815</v>
      </c>
      <c r="N1167">
        <v>0</v>
      </c>
      <c r="O1167">
        <f>_xlfn.XLOOKUP(VALINA[[#This Row],[id]],prov_color!A:A,prov_color!C:C)</f>
        <v>623</v>
      </c>
      <c r="P1167" t="str">
        <f>_xlfn.XLOOKUP(VALINA[[#This Row],[id]],Table4[id],Table4[name])</f>
        <v>South Pacific Ocean</v>
      </c>
      <c r="Q1167" t="str">
        <f>_xlfn.XLOOKUP(VALINA[[#This Row],[name]],Trans!A:A,Trans!B:B)</f>
        <v>South Pacific Ocean</v>
      </c>
    </row>
    <row r="1168" spans="1:17" x14ac:dyDescent="0.25">
      <c r="A1168">
        <v>1167</v>
      </c>
      <c r="B1168" t="s">
        <v>990</v>
      </c>
      <c r="C1168" t="s">
        <v>1661</v>
      </c>
      <c r="D1168" t="s">
        <v>1641</v>
      </c>
      <c r="E1168" t="s">
        <v>1316</v>
      </c>
      <c r="J1168" t="s">
        <v>1815</v>
      </c>
      <c r="N1168">
        <v>0</v>
      </c>
      <c r="O1168">
        <f>_xlfn.XLOOKUP(VALINA[[#This Row],[id]],prov_color!A:A,prov_color!C:C)</f>
        <v>318</v>
      </c>
      <c r="P1168" t="str">
        <f>_xlfn.XLOOKUP(VALINA[[#This Row],[id]],Table4[id],Table4[name])</f>
        <v>South Pacific Ocean</v>
      </c>
      <c r="Q1168" t="str">
        <f>_xlfn.XLOOKUP(VALINA[[#This Row],[name]],Trans!A:A,Trans!B:B)</f>
        <v>South Pacific Ocean</v>
      </c>
    </row>
    <row r="1169" spans="1:17" x14ac:dyDescent="0.25">
      <c r="A1169">
        <v>1168</v>
      </c>
      <c r="B1169" t="s">
        <v>11</v>
      </c>
      <c r="C1169" t="s">
        <v>1661</v>
      </c>
      <c r="D1169" t="s">
        <v>1641</v>
      </c>
      <c r="E1169" t="s">
        <v>1316</v>
      </c>
      <c r="J1169" t="s">
        <v>1561</v>
      </c>
      <c r="N1169">
        <v>0</v>
      </c>
      <c r="O1169">
        <f>_xlfn.XLOOKUP(VALINA[[#This Row],[id]],prov_color!A:A,prov_color!C:C)</f>
        <v>176</v>
      </c>
      <c r="P1169" t="str">
        <f>_xlfn.XLOOKUP(VALINA[[#This Row],[id]],Table4[id],Table4[name])</f>
        <v>Coast of Chile</v>
      </c>
      <c r="Q1169" t="str">
        <f>_xlfn.XLOOKUP(VALINA[[#This Row],[name]],Trans!A:A,Trans!B:B)</f>
        <v>Coast of Chile</v>
      </c>
    </row>
    <row r="1170" spans="1:17" x14ac:dyDescent="0.25">
      <c r="A1170">
        <v>1169</v>
      </c>
      <c r="B1170" t="s">
        <v>11</v>
      </c>
      <c r="C1170" t="s">
        <v>1673</v>
      </c>
      <c r="D1170" t="s">
        <v>1641</v>
      </c>
      <c r="E1170" t="s">
        <v>1316</v>
      </c>
      <c r="J1170" t="s">
        <v>1557</v>
      </c>
      <c r="N1170">
        <v>0</v>
      </c>
      <c r="O1170">
        <f>_xlfn.XLOOKUP(VALINA[[#This Row],[id]],prov_color!A:A,prov_color!C:C)</f>
        <v>128</v>
      </c>
      <c r="P1170" t="str">
        <f>_xlfn.XLOOKUP(VALINA[[#This Row],[id]],Table4[id],Table4[name])</f>
        <v>Coast of Patagonia</v>
      </c>
      <c r="Q1170" t="str">
        <f>_xlfn.XLOOKUP(VALINA[[#This Row],[name]],Trans!A:A,Trans!B:B)</f>
        <v>Coast of Patagonia</v>
      </c>
    </row>
    <row r="1171" spans="1:17" x14ac:dyDescent="0.25">
      <c r="A1171">
        <v>1170</v>
      </c>
      <c r="B1171" t="s">
        <v>11</v>
      </c>
      <c r="C1171" t="s">
        <v>1673</v>
      </c>
      <c r="D1171" t="s">
        <v>1641</v>
      </c>
      <c r="E1171" t="s">
        <v>1316</v>
      </c>
      <c r="J1171" t="s">
        <v>1835</v>
      </c>
      <c r="N1171">
        <v>0</v>
      </c>
      <c r="O1171">
        <f>_xlfn.XLOOKUP(VALINA[[#This Row],[id]],prov_color!A:A,prov_color!C:C)</f>
        <v>183</v>
      </c>
      <c r="P1171" t="str">
        <f>_xlfn.XLOOKUP(VALINA[[#This Row],[id]],Table4[id],Table4[name])</f>
        <v>Southern Atlantic Ocean</v>
      </c>
      <c r="Q1171" t="str">
        <f>_xlfn.XLOOKUP(VALINA[[#This Row],[name]],Trans!A:A,Trans!B:B)</f>
        <v>Southern Atlantic Ocean</v>
      </c>
    </row>
    <row r="1172" spans="1:17" x14ac:dyDescent="0.25">
      <c r="A1172">
        <v>1171</v>
      </c>
      <c r="B1172" t="s">
        <v>11</v>
      </c>
      <c r="C1172" t="s">
        <v>1673</v>
      </c>
      <c r="D1172" t="s">
        <v>1641</v>
      </c>
      <c r="E1172" t="s">
        <v>1316</v>
      </c>
      <c r="J1172" t="s">
        <v>1835</v>
      </c>
      <c r="N1172">
        <v>0</v>
      </c>
      <c r="O1172">
        <f>_xlfn.XLOOKUP(VALINA[[#This Row],[id]],prov_color!A:A,prov_color!C:C)</f>
        <v>192</v>
      </c>
      <c r="P1172" t="str">
        <f>_xlfn.XLOOKUP(VALINA[[#This Row],[id]],Table4[id],Table4[name])</f>
        <v>Southern Atlantic Ocean</v>
      </c>
      <c r="Q1172" t="str">
        <f>_xlfn.XLOOKUP(VALINA[[#This Row],[name]],Trans!A:A,Trans!B:B)</f>
        <v>Southern Atlantic Ocean</v>
      </c>
    </row>
    <row r="1173" spans="1:17" x14ac:dyDescent="0.25">
      <c r="A1173">
        <v>1172</v>
      </c>
      <c r="B1173" t="s">
        <v>11</v>
      </c>
      <c r="C1173" t="s">
        <v>1673</v>
      </c>
      <c r="D1173" t="s">
        <v>1641</v>
      </c>
      <c r="E1173" t="s">
        <v>1316</v>
      </c>
      <c r="J1173" t="s">
        <v>1835</v>
      </c>
      <c r="N1173">
        <v>0</v>
      </c>
      <c r="O1173">
        <f>_xlfn.XLOOKUP(VALINA[[#This Row],[id]],prov_color!A:A,prov_color!C:C)</f>
        <v>222</v>
      </c>
      <c r="P1173" t="str">
        <f>_xlfn.XLOOKUP(VALINA[[#This Row],[id]],Table4[id],Table4[name])</f>
        <v>Southern Atlantic Ocean</v>
      </c>
      <c r="Q1173" t="str">
        <f>_xlfn.XLOOKUP(VALINA[[#This Row],[name]],Trans!A:A,Trans!B:B)</f>
        <v>Southern Atlantic Ocean</v>
      </c>
    </row>
    <row r="1174" spans="1:17" x14ac:dyDescent="0.25">
      <c r="A1174">
        <v>1173</v>
      </c>
      <c r="B1174" t="s">
        <v>11</v>
      </c>
      <c r="C1174" t="s">
        <v>1673</v>
      </c>
      <c r="D1174" t="s">
        <v>1641</v>
      </c>
      <c r="E1174" t="s">
        <v>1316</v>
      </c>
      <c r="J1174" t="s">
        <v>1555</v>
      </c>
      <c r="N1174">
        <v>0</v>
      </c>
      <c r="O1174">
        <f>_xlfn.XLOOKUP(VALINA[[#This Row],[id]],prov_color!A:A,prov_color!C:C)</f>
        <v>119</v>
      </c>
      <c r="P1174" t="str">
        <f>_xlfn.XLOOKUP(VALINA[[#This Row],[id]],Table4[id],Table4[name])</f>
        <v>Rio de La Plata</v>
      </c>
      <c r="Q1174" t="str">
        <f>_xlfn.XLOOKUP(VALINA[[#This Row],[name]],Trans!A:A,Trans!B:B)</f>
        <v>Rio de La Plata</v>
      </c>
    </row>
    <row r="1175" spans="1:17" x14ac:dyDescent="0.25">
      <c r="A1175">
        <v>1174</v>
      </c>
      <c r="B1175" t="s">
        <v>11</v>
      </c>
      <c r="C1175" t="s">
        <v>1673</v>
      </c>
      <c r="D1175" t="s">
        <v>1641</v>
      </c>
      <c r="E1175" t="s">
        <v>1316</v>
      </c>
      <c r="J1175" t="s">
        <v>1835</v>
      </c>
      <c r="N1175">
        <v>0</v>
      </c>
      <c r="O1175">
        <f>_xlfn.XLOOKUP(VALINA[[#This Row],[id]],prov_color!A:A,prov_color!C:C)</f>
        <v>231</v>
      </c>
      <c r="P1175" t="str">
        <f>_xlfn.XLOOKUP(VALINA[[#This Row],[id]],Table4[id],Table4[name])</f>
        <v>Southern Atlantic Ocean</v>
      </c>
      <c r="Q1175" t="str">
        <f>_xlfn.XLOOKUP(VALINA[[#This Row],[name]],Trans!A:A,Trans!B:B)</f>
        <v>Southern Atlantic Ocean</v>
      </c>
    </row>
    <row r="1176" spans="1:17" x14ac:dyDescent="0.25">
      <c r="A1176">
        <v>1175</v>
      </c>
      <c r="B1176" t="s">
        <v>11</v>
      </c>
      <c r="C1176" t="s">
        <v>1669</v>
      </c>
      <c r="D1176" t="s">
        <v>1641</v>
      </c>
      <c r="E1176" t="s">
        <v>1316</v>
      </c>
      <c r="J1176" t="s">
        <v>1835</v>
      </c>
      <c r="N1176">
        <v>0</v>
      </c>
      <c r="O1176">
        <f>_xlfn.XLOOKUP(VALINA[[#This Row],[id]],prov_color!A:A,prov_color!C:C)</f>
        <v>491</v>
      </c>
      <c r="P1176" t="str">
        <f>_xlfn.XLOOKUP(VALINA[[#This Row],[id]],Table4[id],Table4[name])</f>
        <v>Southern Atlantic Ocean</v>
      </c>
      <c r="Q1176" t="str">
        <f>_xlfn.XLOOKUP(VALINA[[#This Row],[name]],Trans!A:A,Trans!B:B)</f>
        <v>Southern Atlantic Ocean</v>
      </c>
    </row>
    <row r="1177" spans="1:17" x14ac:dyDescent="0.25">
      <c r="A1177">
        <v>1176</v>
      </c>
      <c r="B1177" t="s">
        <v>1016</v>
      </c>
      <c r="C1177" t="s">
        <v>1670</v>
      </c>
      <c r="D1177" t="s">
        <v>1641</v>
      </c>
      <c r="E1177" t="s">
        <v>1316</v>
      </c>
      <c r="J1177" t="s">
        <v>1835</v>
      </c>
      <c r="N1177">
        <v>0</v>
      </c>
      <c r="O1177">
        <f>_xlfn.XLOOKUP(VALINA[[#This Row],[id]],prov_color!A:A,prov_color!C:C)</f>
        <v>507</v>
      </c>
      <c r="P1177" t="str">
        <f>_xlfn.XLOOKUP(VALINA[[#This Row],[id]],Table4[id],Table4[name])</f>
        <v>Southern Atlantic Ocean</v>
      </c>
      <c r="Q1177" t="str">
        <f>_xlfn.XLOOKUP(VALINA[[#This Row],[name]],Trans!A:A,Trans!B:B)</f>
        <v>Southern Atlantic Ocean</v>
      </c>
    </row>
    <row r="1178" spans="1:17" x14ac:dyDescent="0.25">
      <c r="A1178">
        <v>1177</v>
      </c>
      <c r="B1178" t="s">
        <v>1016</v>
      </c>
      <c r="C1178" t="s">
        <v>1670</v>
      </c>
      <c r="D1178" t="s">
        <v>1641</v>
      </c>
      <c r="E1178" t="s">
        <v>1316</v>
      </c>
      <c r="J1178" t="s">
        <v>1835</v>
      </c>
      <c r="N1178">
        <v>0</v>
      </c>
      <c r="O1178">
        <f>_xlfn.XLOOKUP(VALINA[[#This Row],[id]],prov_color!A:A,prov_color!C:C)</f>
        <v>402</v>
      </c>
      <c r="P1178" t="str">
        <f>_xlfn.XLOOKUP(VALINA[[#This Row],[id]],Table4[id],Table4[name])</f>
        <v>Southern Atlantic Ocean</v>
      </c>
      <c r="Q1178" t="str">
        <f>_xlfn.XLOOKUP(VALINA[[#This Row],[name]],Trans!A:A,Trans!B:B)</f>
        <v>Southern Atlantic Ocean</v>
      </c>
    </row>
    <row r="1179" spans="1:17" x14ac:dyDescent="0.25">
      <c r="A1179">
        <v>1178</v>
      </c>
      <c r="B1179" t="s">
        <v>1016</v>
      </c>
      <c r="C1179" t="s">
        <v>1670</v>
      </c>
      <c r="D1179" t="s">
        <v>1641</v>
      </c>
      <c r="E1179" t="s">
        <v>1316</v>
      </c>
      <c r="J1179" t="s">
        <v>1817</v>
      </c>
      <c r="N1179">
        <v>0</v>
      </c>
      <c r="O1179">
        <f>_xlfn.XLOOKUP(VALINA[[#This Row],[id]],prov_color!A:A,prov_color!C:C)</f>
        <v>467</v>
      </c>
      <c r="P1179" t="str">
        <f>_xlfn.XLOOKUP(VALINA[[#This Row],[id]],Table4[id],Table4[name])</f>
        <v>St. Helena Island</v>
      </c>
      <c r="Q1179" t="str">
        <f>_xlfn.XLOOKUP(VALINA[[#This Row],[name]],Trans!A:A,Trans!B:B)</f>
        <v>St. Helena Island</v>
      </c>
    </row>
    <row r="1180" spans="1:17" x14ac:dyDescent="0.25">
      <c r="A1180">
        <v>1179</v>
      </c>
      <c r="B1180" t="s">
        <v>990</v>
      </c>
      <c r="C1180" t="s">
        <v>1661</v>
      </c>
      <c r="D1180" t="s">
        <v>1641</v>
      </c>
      <c r="E1180" t="s">
        <v>1316</v>
      </c>
      <c r="J1180" t="s">
        <v>1815</v>
      </c>
      <c r="N1180">
        <v>0</v>
      </c>
      <c r="O1180">
        <f>_xlfn.XLOOKUP(VALINA[[#This Row],[id]],prov_color!A:A,prov_color!C:C)</f>
        <v>427</v>
      </c>
      <c r="P1180" t="str">
        <f>_xlfn.XLOOKUP(VALINA[[#This Row],[id]],Table4[id],Table4[name])</f>
        <v>South Pacific Ocean</v>
      </c>
      <c r="Q1180" t="str">
        <f>_xlfn.XLOOKUP(VALINA[[#This Row],[name]],Trans!A:A,Trans!B:B)</f>
        <v>South Pacific Ocean</v>
      </c>
    </row>
    <row r="1181" spans="1:17" x14ac:dyDescent="0.25">
      <c r="A1181">
        <v>1180</v>
      </c>
      <c r="B1181" t="s">
        <v>1016</v>
      </c>
      <c r="C1181" t="s">
        <v>1670</v>
      </c>
      <c r="D1181" t="s">
        <v>1641</v>
      </c>
      <c r="E1181" t="s">
        <v>1316</v>
      </c>
      <c r="J1181" t="s">
        <v>1835</v>
      </c>
      <c r="N1181">
        <v>0</v>
      </c>
      <c r="O1181">
        <f>_xlfn.XLOOKUP(VALINA[[#This Row],[id]],prov_color!A:A,prov_color!C:C)</f>
        <v>494</v>
      </c>
      <c r="P1181" t="str">
        <f>_xlfn.XLOOKUP(VALINA[[#This Row],[id]],Table4[id],Table4[name])</f>
        <v>Southern Atlantic Ocean</v>
      </c>
      <c r="Q1181" t="str">
        <f>_xlfn.XLOOKUP(VALINA[[#This Row],[name]],Trans!A:A,Trans!B:B)</f>
        <v>Southern Atlantic Ocean</v>
      </c>
    </row>
    <row r="1182" spans="1:17" x14ac:dyDescent="0.25">
      <c r="A1182">
        <v>1181</v>
      </c>
      <c r="B1182" t="s">
        <v>1016</v>
      </c>
      <c r="C1182" t="s">
        <v>1670</v>
      </c>
      <c r="D1182" t="s">
        <v>1641</v>
      </c>
      <c r="E1182" t="s">
        <v>1316</v>
      </c>
      <c r="J1182" t="s">
        <v>1498</v>
      </c>
      <c r="N1182">
        <v>0</v>
      </c>
      <c r="O1182">
        <f>_xlfn.XLOOKUP(VALINA[[#This Row],[id]],prov_color!A:A,prov_color!C:C)</f>
        <v>139</v>
      </c>
      <c r="P1182" t="str">
        <f>_xlfn.XLOOKUP(VALINA[[#This Row],[id]],Table4[id],Table4[name])</f>
        <v>Rio Muni</v>
      </c>
      <c r="Q1182" t="str">
        <f>_xlfn.XLOOKUP(VALINA[[#This Row],[name]],Trans!A:A,Trans!B:B)</f>
        <v>Rio Muni</v>
      </c>
    </row>
    <row r="1183" spans="1:17" x14ac:dyDescent="0.25">
      <c r="A1183">
        <v>1182</v>
      </c>
      <c r="B1183" t="s">
        <v>1016</v>
      </c>
      <c r="C1183" t="s">
        <v>1670</v>
      </c>
      <c r="D1183" t="s">
        <v>1641</v>
      </c>
      <c r="E1183" t="s">
        <v>1316</v>
      </c>
      <c r="J1183" t="s">
        <v>1499</v>
      </c>
      <c r="N1183">
        <v>0</v>
      </c>
      <c r="O1183">
        <f>_xlfn.XLOOKUP(VALINA[[#This Row],[id]],prov_color!A:A,prov_color!C:C)</f>
        <v>128</v>
      </c>
      <c r="P1183" t="str">
        <f>_xlfn.XLOOKUP(VALINA[[#This Row],[id]],Table4[id],Table4[name])</f>
        <v>Gulf of Congo</v>
      </c>
      <c r="Q1183" t="str">
        <f>_xlfn.XLOOKUP(VALINA[[#This Row],[name]],Trans!A:A,Trans!B:B)</f>
        <v>Gulf of Congo</v>
      </c>
    </row>
    <row r="1184" spans="1:17" x14ac:dyDescent="0.25">
      <c r="A1184">
        <v>1183</v>
      </c>
      <c r="B1184" t="s">
        <v>1016</v>
      </c>
      <c r="C1184" t="s">
        <v>1670</v>
      </c>
      <c r="D1184" t="s">
        <v>1641</v>
      </c>
      <c r="E1184" t="s">
        <v>1316</v>
      </c>
      <c r="J1184" t="s">
        <v>1818</v>
      </c>
      <c r="N1184">
        <v>0</v>
      </c>
      <c r="O1184">
        <f>_xlfn.XLOOKUP(VALINA[[#This Row],[id]],prov_color!A:A,prov_color!C:C)</f>
        <v>145</v>
      </c>
      <c r="P1184" t="str">
        <f>_xlfn.XLOOKUP(VALINA[[#This Row],[id]],Table4[id],Table4[name])</f>
        <v>Coast of Angola</v>
      </c>
      <c r="Q1184" t="str">
        <f>_xlfn.XLOOKUP(VALINA[[#This Row],[name]],Trans!A:A,Trans!B:B)</f>
        <v>Coast of Angola</v>
      </c>
    </row>
    <row r="1185" spans="1:17" x14ac:dyDescent="0.25">
      <c r="A1185">
        <v>1184</v>
      </c>
      <c r="B1185" t="s">
        <v>1016</v>
      </c>
      <c r="C1185" t="s">
        <v>1671</v>
      </c>
      <c r="D1185" t="s">
        <v>1641</v>
      </c>
      <c r="E1185" t="s">
        <v>1316</v>
      </c>
      <c r="J1185" t="s">
        <v>1819</v>
      </c>
      <c r="N1185">
        <v>0</v>
      </c>
      <c r="O1185">
        <f>_xlfn.XLOOKUP(VALINA[[#This Row],[id]],prov_color!A:A,prov_color!C:C)</f>
        <v>112</v>
      </c>
      <c r="P1185" t="str">
        <f>_xlfn.XLOOKUP(VALINA[[#This Row],[id]],Table4[id],Table4[name])</f>
        <v>Mozambica Channel</v>
      </c>
      <c r="Q1185" t="str">
        <f>_xlfn.XLOOKUP(VALINA[[#This Row],[name]],Trans!A:A,Trans!B:B)</f>
        <v>Mozambique Channel</v>
      </c>
    </row>
    <row r="1186" spans="1:17" x14ac:dyDescent="0.25">
      <c r="A1186">
        <v>1185</v>
      </c>
      <c r="B1186" t="s">
        <v>1016</v>
      </c>
      <c r="C1186" t="s">
        <v>1671</v>
      </c>
      <c r="D1186" t="s">
        <v>1641</v>
      </c>
      <c r="E1186" t="s">
        <v>1316</v>
      </c>
      <c r="J1186" t="s">
        <v>1508</v>
      </c>
      <c r="N1186">
        <v>0</v>
      </c>
      <c r="O1186">
        <f>_xlfn.XLOOKUP(VALINA[[#This Row],[id]],prov_color!A:A,prov_color!C:C)</f>
        <v>86</v>
      </c>
      <c r="P1186" t="str">
        <f>_xlfn.XLOOKUP(VALINA[[#This Row],[id]],Table4[id],Table4[name])</f>
        <v>Rufiji Delta</v>
      </c>
      <c r="Q1186" t="str">
        <f>_xlfn.XLOOKUP(VALINA[[#This Row],[name]],Trans!A:A,Trans!B:B)</f>
        <v>Rufiji Delta</v>
      </c>
    </row>
    <row r="1187" spans="1:17" x14ac:dyDescent="0.25">
      <c r="A1187">
        <v>1186</v>
      </c>
      <c r="B1187" t="s">
        <v>1016</v>
      </c>
      <c r="C1187" t="s">
        <v>1671</v>
      </c>
      <c r="D1187" t="s">
        <v>1641</v>
      </c>
      <c r="E1187" t="s">
        <v>1316</v>
      </c>
      <c r="J1187" t="s">
        <v>1509</v>
      </c>
      <c r="N1187">
        <v>0</v>
      </c>
      <c r="O1187">
        <f>_xlfn.XLOOKUP(VALINA[[#This Row],[id]],prov_color!A:A,prov_color!C:C)</f>
        <v>84</v>
      </c>
      <c r="P1187" t="str">
        <f>_xlfn.XLOOKUP(VALINA[[#This Row],[id]],Table4[id],Table4[name])</f>
        <v>Zanzibar Strait</v>
      </c>
      <c r="Q1187" t="str">
        <f>_xlfn.XLOOKUP(VALINA[[#This Row],[name]],Trans!A:A,Trans!B:B)</f>
        <v>Zanzibar Strait</v>
      </c>
    </row>
    <row r="1188" spans="1:17" x14ac:dyDescent="0.25">
      <c r="A1188">
        <v>1187</v>
      </c>
      <c r="B1188" t="s">
        <v>1016</v>
      </c>
      <c r="C1188" t="s">
        <v>1671</v>
      </c>
      <c r="D1188" t="s">
        <v>1641</v>
      </c>
      <c r="E1188" t="s">
        <v>1316</v>
      </c>
      <c r="J1188" t="s">
        <v>1586</v>
      </c>
      <c r="N1188">
        <v>0</v>
      </c>
      <c r="O1188">
        <f>_xlfn.XLOOKUP(VALINA[[#This Row],[id]],prov_color!A:A,prov_color!C:C)</f>
        <v>200</v>
      </c>
      <c r="P1188" t="str">
        <f>_xlfn.XLOOKUP(VALINA[[#This Row],[id]],Table4[id],Table4[name])</f>
        <v>Gulf of Zambeze</v>
      </c>
      <c r="Q1188" t="str">
        <f>_xlfn.XLOOKUP(VALINA[[#This Row],[name]],Trans!A:A,Trans!B:B)</f>
        <v>Gulf of Zambeze</v>
      </c>
    </row>
    <row r="1189" spans="1:17" x14ac:dyDescent="0.25">
      <c r="A1189">
        <v>1188</v>
      </c>
      <c r="B1189" t="s">
        <v>1016</v>
      </c>
      <c r="C1189" t="s">
        <v>1671</v>
      </c>
      <c r="D1189" t="s">
        <v>1641</v>
      </c>
      <c r="E1189" t="s">
        <v>1316</v>
      </c>
      <c r="J1189" t="s">
        <v>1820</v>
      </c>
      <c r="N1189">
        <v>0</v>
      </c>
      <c r="O1189">
        <f>_xlfn.XLOOKUP(VALINA[[#This Row],[id]],prov_color!A:A,prov_color!C:C)</f>
        <v>163</v>
      </c>
      <c r="P1189" t="str">
        <f>_xlfn.XLOOKUP(VALINA[[#This Row],[id]],Table4[id],Table4[name])</f>
        <v>The Comores</v>
      </c>
      <c r="Q1189" t="str">
        <f>_xlfn.XLOOKUP(VALINA[[#This Row],[name]],Trans!A:A,Trans!B:B)</f>
        <v>The Comoros</v>
      </c>
    </row>
    <row r="1190" spans="1:17" x14ac:dyDescent="0.25">
      <c r="A1190">
        <v>1189</v>
      </c>
      <c r="B1190" t="s">
        <v>1016</v>
      </c>
      <c r="C1190" t="s">
        <v>1671</v>
      </c>
      <c r="D1190" t="s">
        <v>1641</v>
      </c>
      <c r="E1190" t="s">
        <v>1316</v>
      </c>
      <c r="J1190" t="s">
        <v>1807</v>
      </c>
      <c r="N1190">
        <v>0</v>
      </c>
      <c r="O1190">
        <f>_xlfn.XLOOKUP(VALINA[[#This Row],[id]],prov_color!A:A,prov_color!C:C)</f>
        <v>202</v>
      </c>
      <c r="P1190" t="str">
        <f>_xlfn.XLOOKUP(VALINA[[#This Row],[id]],Table4[id],Table4[name])</f>
        <v>Central Indian Ocean</v>
      </c>
      <c r="Q1190" t="str">
        <f>_xlfn.XLOOKUP(VALINA[[#This Row],[name]],Trans!A:A,Trans!B:B)</f>
        <v>Central Indian Ocean</v>
      </c>
    </row>
    <row r="1191" spans="1:17" x14ac:dyDescent="0.25">
      <c r="A1191">
        <v>1190</v>
      </c>
      <c r="B1191" t="s">
        <v>1016</v>
      </c>
      <c r="C1191" t="s">
        <v>1671</v>
      </c>
      <c r="D1191" t="s">
        <v>1641</v>
      </c>
      <c r="E1191" t="s">
        <v>1316</v>
      </c>
      <c r="J1191" t="s">
        <v>1807</v>
      </c>
      <c r="N1191">
        <v>0</v>
      </c>
      <c r="O1191">
        <f>_xlfn.XLOOKUP(VALINA[[#This Row],[id]],prov_color!A:A,prov_color!C:C)</f>
        <v>322</v>
      </c>
      <c r="P1191" t="str">
        <f>_xlfn.XLOOKUP(VALINA[[#This Row],[id]],Table4[id],Table4[name])</f>
        <v>Central Indian Ocean</v>
      </c>
      <c r="Q1191" t="str">
        <f>_xlfn.XLOOKUP(VALINA[[#This Row],[name]],Trans!A:A,Trans!B:B)</f>
        <v>Central Indian Ocean</v>
      </c>
    </row>
    <row r="1192" spans="1:17" x14ac:dyDescent="0.25">
      <c r="A1192">
        <v>1191</v>
      </c>
      <c r="B1192" t="s">
        <v>1016</v>
      </c>
      <c r="C1192" t="s">
        <v>1671</v>
      </c>
      <c r="D1192" t="s">
        <v>1641</v>
      </c>
      <c r="E1192" t="s">
        <v>1316</v>
      </c>
      <c r="J1192" t="s">
        <v>1592</v>
      </c>
      <c r="N1192">
        <v>0</v>
      </c>
      <c r="O1192">
        <f>_xlfn.XLOOKUP(VALINA[[#This Row],[id]],prov_color!A:A,prov_color!C:C)</f>
        <v>309</v>
      </c>
      <c r="P1192" t="str">
        <f>_xlfn.XLOOKUP(VALINA[[#This Row],[id]],Table4[id],Table4[name])</f>
        <v>The Seychelles</v>
      </c>
      <c r="Q1192" t="str">
        <f>_xlfn.XLOOKUP(VALINA[[#This Row],[name]],Trans!A:A,Trans!B:B)</f>
        <v>The Seychelles</v>
      </c>
    </row>
    <row r="1193" spans="1:17" x14ac:dyDescent="0.25">
      <c r="A1193">
        <v>1192</v>
      </c>
      <c r="B1193" t="s">
        <v>1016</v>
      </c>
      <c r="C1193" t="s">
        <v>1674</v>
      </c>
      <c r="D1193" t="s">
        <v>1641</v>
      </c>
      <c r="E1193" t="s">
        <v>1316</v>
      </c>
      <c r="J1193" t="s">
        <v>1807</v>
      </c>
      <c r="N1193">
        <v>0</v>
      </c>
      <c r="O1193">
        <f>_xlfn.XLOOKUP(VALINA[[#This Row],[id]],prov_color!A:A,prov_color!C:C)</f>
        <v>433</v>
      </c>
      <c r="P1193" t="str">
        <f>_xlfn.XLOOKUP(VALINA[[#This Row],[id]],Table4[id],Table4[name])</f>
        <v>Central Indian Ocean</v>
      </c>
      <c r="Q1193" t="str">
        <f>_xlfn.XLOOKUP(VALINA[[#This Row],[name]],Trans!A:A,Trans!B:B)</f>
        <v>Central Indian Ocean</v>
      </c>
    </row>
    <row r="1194" spans="1:17" x14ac:dyDescent="0.25">
      <c r="A1194">
        <v>1193</v>
      </c>
      <c r="B1194" t="s">
        <v>1016</v>
      </c>
      <c r="C1194" t="s">
        <v>1671</v>
      </c>
      <c r="D1194" t="s">
        <v>1641</v>
      </c>
      <c r="E1194" t="s">
        <v>1316</v>
      </c>
      <c r="J1194" t="s">
        <v>1807</v>
      </c>
      <c r="N1194">
        <v>0</v>
      </c>
      <c r="O1194">
        <f>_xlfn.XLOOKUP(VALINA[[#This Row],[id]],prov_color!A:A,prov_color!C:C)</f>
        <v>512</v>
      </c>
      <c r="P1194" t="str">
        <f>_xlfn.XLOOKUP(VALINA[[#This Row],[id]],Table4[id],Table4[name])</f>
        <v>Central Indian Ocean</v>
      </c>
      <c r="Q1194" t="str">
        <f>_xlfn.XLOOKUP(VALINA[[#This Row],[name]],Trans!A:A,Trans!B:B)</f>
        <v>Central Indian Ocean</v>
      </c>
    </row>
    <row r="1195" spans="1:17" x14ac:dyDescent="0.25">
      <c r="A1195">
        <v>1194</v>
      </c>
      <c r="B1195" t="s">
        <v>1016</v>
      </c>
      <c r="C1195" t="s">
        <v>1671</v>
      </c>
      <c r="D1195" t="s">
        <v>1641</v>
      </c>
      <c r="E1195" t="s">
        <v>1316</v>
      </c>
      <c r="J1195" t="s">
        <v>1807</v>
      </c>
      <c r="N1195">
        <v>0</v>
      </c>
      <c r="O1195">
        <f>_xlfn.XLOOKUP(VALINA[[#This Row],[id]],prov_color!A:A,prov_color!C:C)</f>
        <v>537</v>
      </c>
      <c r="P1195" t="str">
        <f>_xlfn.XLOOKUP(VALINA[[#This Row],[id]],Table4[id],Table4[name])</f>
        <v>Central Indian Ocean</v>
      </c>
      <c r="Q1195" t="str">
        <f>_xlfn.XLOOKUP(VALINA[[#This Row],[name]],Trans!A:A,Trans!B:B)</f>
        <v>Central Indian Ocean</v>
      </c>
    </row>
    <row r="1196" spans="1:17" x14ac:dyDescent="0.25">
      <c r="A1196">
        <v>1195</v>
      </c>
      <c r="B1196" t="s">
        <v>1016</v>
      </c>
      <c r="C1196" t="s">
        <v>1671</v>
      </c>
      <c r="D1196" t="s">
        <v>1641</v>
      </c>
      <c r="E1196" t="s">
        <v>1316</v>
      </c>
      <c r="J1196" t="s">
        <v>1807</v>
      </c>
      <c r="N1196">
        <v>0</v>
      </c>
      <c r="O1196">
        <f>_xlfn.XLOOKUP(VALINA[[#This Row],[id]],prov_color!A:A,prov_color!C:C)</f>
        <v>453</v>
      </c>
      <c r="P1196" t="str">
        <f>_xlfn.XLOOKUP(VALINA[[#This Row],[id]],Table4[id],Table4[name])</f>
        <v>Central Indian Ocean</v>
      </c>
      <c r="Q1196" t="str">
        <f>_xlfn.XLOOKUP(VALINA[[#This Row],[name]],Trans!A:A,Trans!B:B)</f>
        <v>Central Indian Ocean</v>
      </c>
    </row>
    <row r="1197" spans="1:17" x14ac:dyDescent="0.25">
      <c r="A1197">
        <v>1196</v>
      </c>
      <c r="B1197" t="s">
        <v>1016</v>
      </c>
      <c r="C1197" t="s">
        <v>1671</v>
      </c>
      <c r="D1197" t="s">
        <v>1641</v>
      </c>
      <c r="E1197" t="s">
        <v>1316</v>
      </c>
      <c r="J1197" t="s">
        <v>1822</v>
      </c>
      <c r="N1197">
        <v>0</v>
      </c>
      <c r="O1197">
        <f>_xlfn.XLOOKUP(VALINA[[#This Row],[id]],prov_color!A:A,prov_color!C:C)</f>
        <v>490</v>
      </c>
      <c r="P1197" t="str">
        <f>_xlfn.XLOOKUP(VALINA[[#This Row],[id]],Table4[id],Table4[name])</f>
        <v>Diego Garcia Island</v>
      </c>
      <c r="Q1197" t="str">
        <f>_xlfn.XLOOKUP(VALINA[[#This Row],[name]],Trans!A:A,Trans!B:B)</f>
        <v>Diego Garcia Island</v>
      </c>
    </row>
    <row r="1198" spans="1:17" x14ac:dyDescent="0.25">
      <c r="A1198">
        <v>1197</v>
      </c>
      <c r="B1198" t="s">
        <v>1016</v>
      </c>
      <c r="C1198" t="s">
        <v>1674</v>
      </c>
      <c r="D1198" t="s">
        <v>1641</v>
      </c>
      <c r="E1198" t="s">
        <v>1316</v>
      </c>
      <c r="J1198" t="s">
        <v>1807</v>
      </c>
      <c r="N1198">
        <v>0</v>
      </c>
      <c r="O1198">
        <f>_xlfn.XLOOKUP(VALINA[[#This Row],[id]],prov_color!A:A,prov_color!C:C)</f>
        <v>494</v>
      </c>
      <c r="P1198" t="str">
        <f>_xlfn.XLOOKUP(VALINA[[#This Row],[id]],Table4[id],Table4[name])</f>
        <v>Central Indian Ocean</v>
      </c>
      <c r="Q1198" t="str">
        <f>_xlfn.XLOOKUP(VALINA[[#This Row],[name]],Trans!A:A,Trans!B:B)</f>
        <v>Central Indian Ocean</v>
      </c>
    </row>
    <row r="1199" spans="1:17" x14ac:dyDescent="0.25">
      <c r="A1199">
        <v>1198</v>
      </c>
      <c r="B1199" t="s">
        <v>1016</v>
      </c>
      <c r="C1199" t="s">
        <v>1674</v>
      </c>
      <c r="D1199" t="s">
        <v>1641</v>
      </c>
      <c r="E1199" t="s">
        <v>1316</v>
      </c>
      <c r="J1199" t="s">
        <v>1807</v>
      </c>
      <c r="N1199">
        <v>0</v>
      </c>
      <c r="O1199">
        <f>_xlfn.XLOOKUP(VALINA[[#This Row],[id]],prov_color!A:A,prov_color!C:C)</f>
        <v>404</v>
      </c>
      <c r="P1199" t="str">
        <f>_xlfn.XLOOKUP(VALINA[[#This Row],[id]],Table4[id],Table4[name])</f>
        <v>Central Indian Ocean</v>
      </c>
      <c r="Q1199" t="str">
        <f>_xlfn.XLOOKUP(VALINA[[#This Row],[name]],Trans!A:A,Trans!B:B)</f>
        <v>Central Indian Ocean</v>
      </c>
    </row>
    <row r="1200" spans="1:17" x14ac:dyDescent="0.25">
      <c r="A1200">
        <v>1199</v>
      </c>
      <c r="B1200" t="s">
        <v>1016</v>
      </c>
      <c r="C1200" t="s">
        <v>1674</v>
      </c>
      <c r="D1200" t="s">
        <v>1641</v>
      </c>
      <c r="E1200" t="s">
        <v>1316</v>
      </c>
      <c r="J1200" t="s">
        <v>1807</v>
      </c>
      <c r="N1200">
        <v>0</v>
      </c>
      <c r="O1200">
        <f>_xlfn.XLOOKUP(VALINA[[#This Row],[id]],prov_color!A:A,prov_color!C:C)</f>
        <v>554</v>
      </c>
      <c r="P1200" t="str">
        <f>_xlfn.XLOOKUP(VALINA[[#This Row],[id]],Table4[id],Table4[name])</f>
        <v>Central Indian Ocean</v>
      </c>
      <c r="Q1200" t="str">
        <f>_xlfn.XLOOKUP(VALINA[[#This Row],[name]],Trans!A:A,Trans!B:B)</f>
        <v>Central Indian Ocean</v>
      </c>
    </row>
    <row r="1201" spans="1:17" x14ac:dyDescent="0.25">
      <c r="A1201">
        <v>1200</v>
      </c>
      <c r="B1201" t="s">
        <v>1016</v>
      </c>
      <c r="C1201" t="s">
        <v>1674</v>
      </c>
      <c r="D1201" t="s">
        <v>1641</v>
      </c>
      <c r="E1201" t="s">
        <v>1316</v>
      </c>
      <c r="J1201" t="s">
        <v>1807</v>
      </c>
      <c r="N1201">
        <v>0</v>
      </c>
      <c r="O1201">
        <f>_xlfn.XLOOKUP(VALINA[[#This Row],[id]],prov_color!A:A,prov_color!C:C)</f>
        <v>348</v>
      </c>
      <c r="P1201" t="str">
        <f>_xlfn.XLOOKUP(VALINA[[#This Row],[id]],Table4[id],Table4[name])</f>
        <v>Central Indian Ocean</v>
      </c>
      <c r="Q1201" t="str">
        <f>_xlfn.XLOOKUP(VALINA[[#This Row],[name]],Trans!A:A,Trans!B:B)</f>
        <v>Central Indian Ocean</v>
      </c>
    </row>
    <row r="1202" spans="1:17" x14ac:dyDescent="0.25">
      <c r="A1202">
        <v>1201</v>
      </c>
      <c r="B1202" t="s">
        <v>653</v>
      </c>
      <c r="C1202" t="s">
        <v>1674</v>
      </c>
      <c r="D1202" t="s">
        <v>1641</v>
      </c>
      <c r="E1202" t="s">
        <v>1316</v>
      </c>
      <c r="J1202" t="s">
        <v>1807</v>
      </c>
      <c r="N1202">
        <v>0</v>
      </c>
      <c r="O1202">
        <f>_xlfn.XLOOKUP(VALINA[[#This Row],[id]],prov_color!A:A,prov_color!C:C)</f>
        <v>453</v>
      </c>
      <c r="P1202" t="str">
        <f>_xlfn.XLOOKUP(VALINA[[#This Row],[id]],Table4[id],Table4[name])</f>
        <v>Central Indian Ocean</v>
      </c>
      <c r="Q1202" t="str">
        <f>_xlfn.XLOOKUP(VALINA[[#This Row],[name]],Trans!A:A,Trans!B:B)</f>
        <v>Central Indian Ocean</v>
      </c>
    </row>
    <row r="1203" spans="1:17" x14ac:dyDescent="0.25">
      <c r="A1203">
        <v>1202</v>
      </c>
      <c r="B1203" t="s">
        <v>653</v>
      </c>
      <c r="C1203" t="s">
        <v>1674</v>
      </c>
      <c r="D1203" t="s">
        <v>1641</v>
      </c>
      <c r="E1203" t="s">
        <v>1316</v>
      </c>
      <c r="J1203" t="s">
        <v>1807</v>
      </c>
      <c r="N1203">
        <v>0</v>
      </c>
      <c r="O1203">
        <f>_xlfn.XLOOKUP(VALINA[[#This Row],[id]],prov_color!A:A,prov_color!C:C)</f>
        <v>361</v>
      </c>
      <c r="P1203" t="str">
        <f>_xlfn.XLOOKUP(VALINA[[#This Row],[id]],Table4[id],Table4[name])</f>
        <v>Central Indian Ocean</v>
      </c>
      <c r="Q1203" t="str">
        <f>_xlfn.XLOOKUP(VALINA[[#This Row],[name]],Trans!A:A,Trans!B:B)</f>
        <v>Central Indian Ocean</v>
      </c>
    </row>
    <row r="1204" spans="1:17" x14ac:dyDescent="0.25">
      <c r="A1204">
        <v>1203</v>
      </c>
      <c r="B1204" t="s">
        <v>653</v>
      </c>
      <c r="C1204" t="s">
        <v>1674</v>
      </c>
      <c r="D1204" t="s">
        <v>1641</v>
      </c>
      <c r="E1204" t="s">
        <v>1316</v>
      </c>
      <c r="J1204" t="s">
        <v>1807</v>
      </c>
      <c r="N1204">
        <v>0</v>
      </c>
      <c r="O1204">
        <f>_xlfn.XLOOKUP(VALINA[[#This Row],[id]],prov_color!A:A,prov_color!C:C)</f>
        <v>399</v>
      </c>
      <c r="P1204" t="str">
        <f>_xlfn.XLOOKUP(VALINA[[#This Row],[id]],Table4[id],Table4[name])</f>
        <v>Central Indian Ocean</v>
      </c>
      <c r="Q1204" t="str">
        <f>_xlfn.XLOOKUP(VALINA[[#This Row],[name]],Trans!A:A,Trans!B:B)</f>
        <v>Central Indian Ocean</v>
      </c>
    </row>
    <row r="1205" spans="1:17" x14ac:dyDescent="0.25">
      <c r="A1205">
        <v>1204</v>
      </c>
      <c r="B1205" t="s">
        <v>653</v>
      </c>
      <c r="C1205" t="s">
        <v>1674</v>
      </c>
      <c r="D1205" t="s">
        <v>1641</v>
      </c>
      <c r="E1205" t="s">
        <v>1316</v>
      </c>
      <c r="J1205" t="s">
        <v>1807</v>
      </c>
      <c r="N1205">
        <v>0</v>
      </c>
      <c r="O1205">
        <f>_xlfn.XLOOKUP(VALINA[[#This Row],[id]],prov_color!A:A,prov_color!C:C)</f>
        <v>252</v>
      </c>
      <c r="P1205" t="str">
        <f>_xlfn.XLOOKUP(VALINA[[#This Row],[id]],Table4[id],Table4[name])</f>
        <v>Central Indian Ocean</v>
      </c>
      <c r="Q1205" t="str">
        <f>_xlfn.XLOOKUP(VALINA[[#This Row],[name]],Trans!A:A,Trans!B:B)</f>
        <v>Central Indian Ocean</v>
      </c>
    </row>
    <row r="1206" spans="1:17" x14ac:dyDescent="0.25">
      <c r="A1206">
        <v>1205</v>
      </c>
      <c r="B1206" t="s">
        <v>653</v>
      </c>
      <c r="C1206" t="s">
        <v>1666</v>
      </c>
      <c r="D1206" t="s">
        <v>1641</v>
      </c>
      <c r="E1206" t="s">
        <v>1316</v>
      </c>
      <c r="J1206" t="s">
        <v>1823</v>
      </c>
      <c r="N1206">
        <v>0</v>
      </c>
      <c r="O1206">
        <f>_xlfn.XLOOKUP(VALINA[[#This Row],[id]],prov_color!A:A,prov_color!C:C)</f>
        <v>56</v>
      </c>
      <c r="P1206" t="str">
        <f>_xlfn.XLOOKUP(VALINA[[#This Row],[id]],Table4[id],Table4[name])</f>
        <v>Straits of Sunda</v>
      </c>
      <c r="Q1206" t="str">
        <f>_xlfn.XLOOKUP(VALINA[[#This Row],[name]],Trans!A:A,Trans!B:B)</f>
        <v>Straits of Sunda</v>
      </c>
    </row>
    <row r="1207" spans="1:17" x14ac:dyDescent="0.25">
      <c r="A1207">
        <v>1206</v>
      </c>
      <c r="B1207" t="s">
        <v>653</v>
      </c>
      <c r="C1207" t="s">
        <v>1672</v>
      </c>
      <c r="D1207" t="s">
        <v>1641</v>
      </c>
      <c r="E1207" t="s">
        <v>1316</v>
      </c>
      <c r="J1207" t="s">
        <v>1824</v>
      </c>
      <c r="N1207">
        <v>0</v>
      </c>
      <c r="O1207">
        <f>_xlfn.XLOOKUP(VALINA[[#This Row],[id]],prov_color!A:A,prov_color!C:C)</f>
        <v>81</v>
      </c>
      <c r="P1207" t="str">
        <f>_xlfn.XLOOKUP(VALINA[[#This Row],[id]],Table4[id],Table4[name])</f>
        <v>Coast of Surabaja</v>
      </c>
      <c r="Q1207" t="str">
        <f>_xlfn.XLOOKUP(VALINA[[#This Row],[name]],Trans!A:A,Trans!B:B)</f>
        <v>Coast of Surabaja</v>
      </c>
    </row>
    <row r="1208" spans="1:17" x14ac:dyDescent="0.25">
      <c r="A1208">
        <v>1207</v>
      </c>
      <c r="B1208" t="s">
        <v>653</v>
      </c>
      <c r="C1208" t="s">
        <v>1672</v>
      </c>
      <c r="D1208" t="s">
        <v>1641</v>
      </c>
      <c r="E1208" t="s">
        <v>1316</v>
      </c>
      <c r="J1208" t="s">
        <v>1394</v>
      </c>
      <c r="N1208">
        <v>0</v>
      </c>
      <c r="O1208">
        <f>_xlfn.XLOOKUP(VALINA[[#This Row],[id]],prov_color!A:A,prov_color!C:C)</f>
        <v>85</v>
      </c>
      <c r="P1208" t="str">
        <f>_xlfn.XLOOKUP(VALINA[[#This Row],[id]],Table4[id],Table4[name])</f>
        <v>Coast of Sarawak</v>
      </c>
      <c r="Q1208" t="str">
        <f>_xlfn.XLOOKUP(VALINA[[#This Row],[name]],Trans!A:A,Trans!B:B)</f>
        <v>Coast of Sarawak</v>
      </c>
    </row>
    <row r="1209" spans="1:17" x14ac:dyDescent="0.25">
      <c r="A1209">
        <v>1208</v>
      </c>
      <c r="B1209" t="s">
        <v>653</v>
      </c>
      <c r="C1209" t="s">
        <v>1672</v>
      </c>
      <c r="D1209" t="s">
        <v>1641</v>
      </c>
      <c r="E1209" t="s">
        <v>1316</v>
      </c>
      <c r="J1209" t="s">
        <v>1387</v>
      </c>
      <c r="N1209">
        <v>0</v>
      </c>
      <c r="O1209">
        <f>_xlfn.XLOOKUP(VALINA[[#This Row],[id]],prov_color!A:A,prov_color!C:C)</f>
        <v>63</v>
      </c>
      <c r="P1209" t="str">
        <f>_xlfn.XLOOKUP(VALINA[[#This Row],[id]],Table4[id],Table4[name])</f>
        <v>Java Sea</v>
      </c>
      <c r="Q1209" t="str">
        <f>_xlfn.XLOOKUP(VALINA[[#This Row],[name]],Trans!A:A,Trans!B:B)</f>
        <v>Java Sea</v>
      </c>
    </row>
    <row r="1210" spans="1:17" x14ac:dyDescent="0.25">
      <c r="A1210">
        <v>1209</v>
      </c>
      <c r="B1210" t="s">
        <v>653</v>
      </c>
      <c r="C1210" t="s">
        <v>1672</v>
      </c>
      <c r="D1210" t="s">
        <v>1641</v>
      </c>
      <c r="E1210" t="s">
        <v>1316</v>
      </c>
      <c r="J1210" t="s">
        <v>6460</v>
      </c>
      <c r="N1210">
        <v>0</v>
      </c>
      <c r="O1210">
        <f>_xlfn.XLOOKUP(VALINA[[#This Row],[id]],prov_color!A:A,prov_color!C:C)</f>
        <v>102</v>
      </c>
      <c r="P1210" t="str">
        <f>_xlfn.XLOOKUP(VALINA[[#This Row],[id]],Table4[id],Table4[name])</f>
        <v>South Timor Sea 2</v>
      </c>
      <c r="Q1210" t="e">
        <f>_xlfn.XLOOKUP(VALINA[[#This Row],[name]],Trans!A:A,Trans!B:B)</f>
        <v>#N/A</v>
      </c>
    </row>
    <row r="1211" spans="1:17" x14ac:dyDescent="0.25">
      <c r="A1211">
        <v>1210</v>
      </c>
      <c r="B1211" t="s">
        <v>653</v>
      </c>
      <c r="C1211" t="s">
        <v>1672</v>
      </c>
      <c r="D1211" t="s">
        <v>1641</v>
      </c>
      <c r="E1211" t="s">
        <v>1316</v>
      </c>
      <c r="J1211" t="s">
        <v>1384</v>
      </c>
      <c r="N1211">
        <v>0</v>
      </c>
      <c r="O1211">
        <f>_xlfn.XLOOKUP(VALINA[[#This Row],[id]],prov_color!A:A,prov_color!C:C)</f>
        <v>65</v>
      </c>
      <c r="P1211" t="str">
        <f>_xlfn.XLOOKUP(VALINA[[#This Row],[id]],Table4[id],Table4[name])</f>
        <v>Strait of Makassar</v>
      </c>
      <c r="Q1211" t="str">
        <f>_xlfn.XLOOKUP(VALINA[[#This Row],[name]],Trans!A:A,Trans!B:B)</f>
        <v>Strait of Makassar</v>
      </c>
    </row>
    <row r="1212" spans="1:17" x14ac:dyDescent="0.25">
      <c r="A1212">
        <v>1211</v>
      </c>
      <c r="B1212" t="s">
        <v>653</v>
      </c>
      <c r="C1212" t="s">
        <v>1672</v>
      </c>
      <c r="D1212" t="s">
        <v>1641</v>
      </c>
      <c r="E1212" t="s">
        <v>1316</v>
      </c>
      <c r="J1212" t="s">
        <v>1382</v>
      </c>
      <c r="N1212">
        <v>0</v>
      </c>
      <c r="O1212">
        <f>_xlfn.XLOOKUP(VALINA[[#This Row],[id]],prov_color!A:A,prov_color!C:C)</f>
        <v>105</v>
      </c>
      <c r="P1212" t="str">
        <f>_xlfn.XLOOKUP(VALINA[[#This Row],[id]],Table4[id],Table4[name])</f>
        <v>Sea of Celebes</v>
      </c>
      <c r="Q1212" t="str">
        <f>_xlfn.XLOOKUP(VALINA[[#This Row],[name]],Trans!A:A,Trans!B:B)</f>
        <v>Sea of Celebes</v>
      </c>
    </row>
    <row r="1213" spans="1:17" x14ac:dyDescent="0.25">
      <c r="A1213">
        <v>1212</v>
      </c>
      <c r="B1213" t="s">
        <v>990</v>
      </c>
      <c r="C1213" t="s">
        <v>1674</v>
      </c>
      <c r="D1213" t="s">
        <v>1641</v>
      </c>
      <c r="E1213" t="s">
        <v>1316</v>
      </c>
      <c r="J1213" t="s">
        <v>1399</v>
      </c>
      <c r="N1213">
        <v>0</v>
      </c>
      <c r="O1213">
        <f>_xlfn.XLOOKUP(VALINA[[#This Row],[id]],prov_color!A:A,prov_color!C:C)</f>
        <v>91</v>
      </c>
      <c r="P1213" t="str">
        <f>_xlfn.XLOOKUP(VALINA[[#This Row],[id]],Table4[id],Table4[name])</f>
        <v>North West Cape</v>
      </c>
      <c r="Q1213" t="str">
        <f>_xlfn.XLOOKUP(VALINA[[#This Row],[name]],Trans!A:A,Trans!B:B)</f>
        <v>North West Cape</v>
      </c>
    </row>
    <row r="1214" spans="1:17" x14ac:dyDescent="0.25">
      <c r="A1214">
        <v>1213</v>
      </c>
      <c r="B1214" t="s">
        <v>653</v>
      </c>
      <c r="C1214" t="s">
        <v>1672</v>
      </c>
      <c r="D1214" t="s">
        <v>1641</v>
      </c>
      <c r="E1214" t="s">
        <v>1316</v>
      </c>
      <c r="J1214" t="s">
        <v>1385</v>
      </c>
      <c r="N1214">
        <v>0</v>
      </c>
      <c r="O1214">
        <f>_xlfn.XLOOKUP(VALINA[[#This Row],[id]],prov_color!A:A,prov_color!C:C)</f>
        <v>104</v>
      </c>
      <c r="P1214" t="str">
        <f>_xlfn.XLOOKUP(VALINA[[#This Row],[id]],Table4[id],Table4[name])</f>
        <v>The Moluccas</v>
      </c>
      <c r="Q1214" t="str">
        <f>_xlfn.XLOOKUP(VALINA[[#This Row],[name]],Trans!A:A,Trans!B:B)</f>
        <v>The Moluccas</v>
      </c>
    </row>
    <row r="1215" spans="1:17" x14ac:dyDescent="0.25">
      <c r="A1215">
        <v>1214</v>
      </c>
      <c r="B1215" t="s">
        <v>653</v>
      </c>
      <c r="C1215" t="s">
        <v>1672</v>
      </c>
      <c r="D1215" t="s">
        <v>1641</v>
      </c>
      <c r="E1215" t="s">
        <v>1316</v>
      </c>
      <c r="J1215" t="s">
        <v>6459</v>
      </c>
      <c r="N1215">
        <v>0</v>
      </c>
      <c r="O1215">
        <f>_xlfn.XLOOKUP(VALINA[[#This Row],[id]],prov_color!A:A,prov_color!C:C)</f>
        <v>45</v>
      </c>
      <c r="P1215" t="str">
        <f>_xlfn.XLOOKUP(VALINA[[#This Row],[id]],Table4[id],Table4[name])</f>
        <v>Java Sea 2</v>
      </c>
      <c r="Q1215" t="e">
        <f>_xlfn.XLOOKUP(VALINA[[#This Row],[name]],Trans!A:A,Trans!B:B)</f>
        <v>#N/A</v>
      </c>
    </row>
    <row r="1216" spans="1:17" x14ac:dyDescent="0.25">
      <c r="A1216">
        <v>1215</v>
      </c>
      <c r="B1216" t="s">
        <v>653</v>
      </c>
      <c r="C1216" t="s">
        <v>1672</v>
      </c>
      <c r="D1216" t="s">
        <v>1641</v>
      </c>
      <c r="E1216" t="s">
        <v>1316</v>
      </c>
      <c r="J1216" t="s">
        <v>1825</v>
      </c>
      <c r="N1216">
        <v>0</v>
      </c>
      <c r="O1216">
        <f>_xlfn.XLOOKUP(VALINA[[#This Row],[id]],prov_color!A:A,prov_color!C:C)</f>
        <v>59</v>
      </c>
      <c r="P1216" t="str">
        <f>_xlfn.XLOOKUP(VALINA[[#This Row],[id]],Table4[id],Table4[name])</f>
        <v>Sea of Java</v>
      </c>
      <c r="Q1216" t="str">
        <f>_xlfn.XLOOKUP(VALINA[[#This Row],[name]],Trans!A:A,Trans!B:B)</f>
        <v>Sea of Java</v>
      </c>
    </row>
    <row r="1217" spans="1:17" x14ac:dyDescent="0.25">
      <c r="A1217">
        <v>1216</v>
      </c>
      <c r="B1217" t="s">
        <v>653</v>
      </c>
      <c r="C1217" t="s">
        <v>1672</v>
      </c>
      <c r="D1217" t="s">
        <v>1641</v>
      </c>
      <c r="E1217" t="s">
        <v>1316</v>
      </c>
      <c r="J1217" t="s">
        <v>1389</v>
      </c>
      <c r="N1217">
        <v>0</v>
      </c>
      <c r="O1217">
        <f>_xlfn.XLOOKUP(VALINA[[#This Row],[id]],prov_color!A:A,prov_color!C:C)</f>
        <v>55</v>
      </c>
      <c r="P1217" t="str">
        <f>_xlfn.XLOOKUP(VALINA[[#This Row],[id]],Table4[id],Table4[name])</f>
        <v>Timor Sea</v>
      </c>
      <c r="Q1217" t="str">
        <f>_xlfn.XLOOKUP(VALINA[[#This Row],[name]],Trans!A:A,Trans!B:B)</f>
        <v>Timor Sea</v>
      </c>
    </row>
    <row r="1218" spans="1:17" x14ac:dyDescent="0.25">
      <c r="A1218">
        <v>1217</v>
      </c>
      <c r="B1218" t="s">
        <v>653</v>
      </c>
      <c r="C1218" t="s">
        <v>1672</v>
      </c>
      <c r="D1218" t="s">
        <v>1641</v>
      </c>
      <c r="E1218" t="s">
        <v>1316</v>
      </c>
      <c r="J1218" t="s">
        <v>1390</v>
      </c>
      <c r="N1218">
        <v>0</v>
      </c>
      <c r="O1218">
        <f>_xlfn.XLOOKUP(VALINA[[#This Row],[id]],prov_color!A:A,prov_color!C:C)</f>
        <v>66</v>
      </c>
      <c r="P1218" t="str">
        <f>_xlfn.XLOOKUP(VALINA[[#This Row],[id]],Table4[id],Table4[name])</f>
        <v>Tanimbar Islands</v>
      </c>
      <c r="Q1218" t="str">
        <f>_xlfn.XLOOKUP(VALINA[[#This Row],[name]],Trans!A:A,Trans!B:B)</f>
        <v>Tanimbar Islands</v>
      </c>
    </row>
    <row r="1219" spans="1:17" x14ac:dyDescent="0.25">
      <c r="A1219">
        <v>1218</v>
      </c>
      <c r="B1219" t="s">
        <v>653</v>
      </c>
      <c r="C1219" t="s">
        <v>1672</v>
      </c>
      <c r="D1219" t="s">
        <v>1641</v>
      </c>
      <c r="E1219" t="s">
        <v>1316</v>
      </c>
      <c r="J1219" t="s">
        <v>1826</v>
      </c>
      <c r="N1219">
        <v>0</v>
      </c>
      <c r="O1219">
        <f>_xlfn.XLOOKUP(VALINA[[#This Row],[id]],prov_color!A:A,prov_color!C:C)</f>
        <v>90</v>
      </c>
      <c r="P1219" t="str">
        <f>_xlfn.XLOOKUP(VALINA[[#This Row],[id]],Table4[id],Table4[name])</f>
        <v>Sorong Strait</v>
      </c>
      <c r="Q1219" t="str">
        <f>_xlfn.XLOOKUP(VALINA[[#This Row],[name]],Trans!A:A,Trans!B:B)</f>
        <v>Halmahera Sea</v>
      </c>
    </row>
    <row r="1220" spans="1:17" x14ac:dyDescent="0.25">
      <c r="A1220">
        <v>1219</v>
      </c>
      <c r="B1220" t="s">
        <v>990</v>
      </c>
      <c r="C1220" t="s">
        <v>1672</v>
      </c>
      <c r="D1220" t="s">
        <v>1641</v>
      </c>
      <c r="E1220" t="s">
        <v>1316</v>
      </c>
      <c r="J1220" t="s">
        <v>1827</v>
      </c>
      <c r="N1220">
        <v>0</v>
      </c>
      <c r="O1220">
        <f>_xlfn.XLOOKUP(VALINA[[#This Row],[id]],prov_color!A:A,prov_color!C:C)</f>
        <v>124</v>
      </c>
      <c r="P1220" t="str">
        <f>_xlfn.XLOOKUP(VALINA[[#This Row],[id]],Table4[id],Table4[name])</f>
        <v>Straits of Torres</v>
      </c>
      <c r="Q1220" t="str">
        <f>_xlfn.XLOOKUP(VALINA[[#This Row],[name]],Trans!A:A,Trans!B:B)</f>
        <v>Straits of Torres</v>
      </c>
    </row>
    <row r="1221" spans="1:17" x14ac:dyDescent="0.25">
      <c r="A1221">
        <v>1220</v>
      </c>
      <c r="B1221" t="s">
        <v>653</v>
      </c>
      <c r="C1221" t="s">
        <v>1672</v>
      </c>
      <c r="D1221" t="s">
        <v>1641</v>
      </c>
      <c r="E1221" t="s">
        <v>1316</v>
      </c>
      <c r="J1221" t="s">
        <v>1413</v>
      </c>
      <c r="N1221">
        <v>0</v>
      </c>
      <c r="O1221">
        <f>_xlfn.XLOOKUP(VALINA[[#This Row],[id]],prov_color!A:A,prov_color!C:C)</f>
        <v>89</v>
      </c>
      <c r="P1221" t="str">
        <f>_xlfn.XLOOKUP(VALINA[[#This Row],[id]],Table4[id],Table4[name])</f>
        <v>New Guinea Coast</v>
      </c>
      <c r="Q1221" t="str">
        <f>_xlfn.XLOOKUP(VALINA[[#This Row],[name]],Trans!A:A,Trans!B:B)</f>
        <v>New Guinea Coast</v>
      </c>
    </row>
    <row r="1222" spans="1:17" x14ac:dyDescent="0.25">
      <c r="A1222">
        <v>1221</v>
      </c>
      <c r="B1222" t="s">
        <v>653</v>
      </c>
      <c r="C1222" t="s">
        <v>1672</v>
      </c>
      <c r="D1222" t="s">
        <v>1641</v>
      </c>
      <c r="E1222" t="s">
        <v>1316</v>
      </c>
      <c r="J1222" t="s">
        <v>1414</v>
      </c>
      <c r="N1222">
        <v>0</v>
      </c>
      <c r="O1222">
        <f>_xlfn.XLOOKUP(VALINA[[#This Row],[id]],prov_color!A:A,prov_color!C:C)</f>
        <v>107</v>
      </c>
      <c r="P1222" t="str">
        <f>_xlfn.XLOOKUP(VALINA[[#This Row],[id]],Table4[id],Table4[name])</f>
        <v>Sea of Banda</v>
      </c>
      <c r="Q1222" t="str">
        <f>_xlfn.XLOOKUP(VALINA[[#This Row],[name]],Trans!A:A,Trans!B:B)</f>
        <v>Sea of Banda</v>
      </c>
    </row>
    <row r="1223" spans="1:17" x14ac:dyDescent="0.25">
      <c r="A1223">
        <v>1222</v>
      </c>
      <c r="B1223" t="s">
        <v>653</v>
      </c>
      <c r="C1223" t="s">
        <v>1672</v>
      </c>
      <c r="D1223" t="s">
        <v>1641</v>
      </c>
      <c r="E1223" t="s">
        <v>1316</v>
      </c>
      <c r="J1223" t="s">
        <v>1381</v>
      </c>
      <c r="N1223">
        <v>0</v>
      </c>
      <c r="O1223">
        <f>_xlfn.XLOOKUP(VALINA[[#This Row],[id]],prov_color!A:A,prov_color!C:C)</f>
        <v>85</v>
      </c>
      <c r="P1223" t="str">
        <f>_xlfn.XLOOKUP(VALINA[[#This Row],[id]],Table4[id],Table4[name])</f>
        <v>Sea of Ternate</v>
      </c>
      <c r="Q1223" t="str">
        <f>_xlfn.XLOOKUP(VALINA[[#This Row],[name]],Trans!A:A,Trans!B:B)</f>
        <v>Sea of Ternate</v>
      </c>
    </row>
    <row r="1224" spans="1:17" x14ac:dyDescent="0.25">
      <c r="A1224">
        <v>1223</v>
      </c>
      <c r="B1224" t="s">
        <v>990</v>
      </c>
      <c r="C1224" t="s">
        <v>1675</v>
      </c>
      <c r="D1224" t="s">
        <v>1641</v>
      </c>
      <c r="E1224" t="s">
        <v>1316</v>
      </c>
      <c r="J1224" t="s">
        <v>1828</v>
      </c>
      <c r="N1224">
        <v>0</v>
      </c>
      <c r="O1224">
        <f>_xlfn.XLOOKUP(VALINA[[#This Row],[id]],prov_color!A:A,prov_color!C:C)</f>
        <v>353</v>
      </c>
      <c r="P1224" t="str">
        <f>_xlfn.XLOOKUP(VALINA[[#This Row],[id]],Table4[id],Table4[name])</f>
        <v>Coast of New Zealand</v>
      </c>
      <c r="Q1224" t="str">
        <f>_xlfn.XLOOKUP(VALINA[[#This Row],[name]],Trans!A:A,Trans!B:B)</f>
        <v>Coast of New Zealand</v>
      </c>
    </row>
    <row r="1225" spans="1:17" x14ac:dyDescent="0.25">
      <c r="A1225">
        <v>1224</v>
      </c>
      <c r="B1225" t="s">
        <v>990</v>
      </c>
      <c r="C1225" t="s">
        <v>1672</v>
      </c>
      <c r="D1225" t="s">
        <v>1641</v>
      </c>
      <c r="E1225" t="s">
        <v>1316</v>
      </c>
      <c r="J1225" t="s">
        <v>1829</v>
      </c>
      <c r="N1225">
        <v>0</v>
      </c>
      <c r="O1225">
        <f>_xlfn.XLOOKUP(VALINA[[#This Row],[id]],prov_color!A:A,prov_color!C:C)</f>
        <v>89</v>
      </c>
      <c r="P1225" t="str">
        <f>_xlfn.XLOOKUP(VALINA[[#This Row],[id]],Table4[id],Table4[name])</f>
        <v>Biak Bay</v>
      </c>
      <c r="Q1225" t="str">
        <f>_xlfn.XLOOKUP(VALINA[[#This Row],[name]],Trans!A:A,Trans!B:B)</f>
        <v>Biak Bay</v>
      </c>
    </row>
    <row r="1226" spans="1:17" x14ac:dyDescent="0.25">
      <c r="A1226">
        <v>1225</v>
      </c>
      <c r="B1226" t="s">
        <v>990</v>
      </c>
      <c r="C1226" t="s">
        <v>1672</v>
      </c>
      <c r="D1226" t="s">
        <v>1641</v>
      </c>
      <c r="E1226" t="s">
        <v>1316</v>
      </c>
      <c r="J1226" t="s">
        <v>1830</v>
      </c>
      <c r="N1226">
        <v>0</v>
      </c>
      <c r="O1226">
        <f>_xlfn.XLOOKUP(VALINA[[#This Row],[id]],prov_color!A:A,prov_color!C:C)</f>
        <v>87</v>
      </c>
      <c r="P1226" t="str">
        <f>_xlfn.XLOOKUP(VALINA[[#This Row],[id]],Table4[id],Table4[name])</f>
        <v>Viliaz Strait</v>
      </c>
      <c r="Q1226" t="str">
        <f>_xlfn.XLOOKUP(VALINA[[#This Row],[name]],Trans!A:A,Trans!B:B)</f>
        <v>Vitiaz Strait</v>
      </c>
    </row>
    <row r="1227" spans="1:17" x14ac:dyDescent="0.25">
      <c r="A1227">
        <v>1226</v>
      </c>
      <c r="B1227" t="s">
        <v>990</v>
      </c>
      <c r="C1227" t="s">
        <v>1672</v>
      </c>
      <c r="D1227" t="s">
        <v>1641</v>
      </c>
      <c r="E1227" t="s">
        <v>1316</v>
      </c>
      <c r="J1227" t="s">
        <v>1831</v>
      </c>
      <c r="N1227">
        <v>0</v>
      </c>
      <c r="O1227">
        <f>_xlfn.XLOOKUP(VALINA[[#This Row],[id]],prov_color!A:A,prov_color!C:C)</f>
        <v>184</v>
      </c>
      <c r="P1227" t="str">
        <f>_xlfn.XLOOKUP(VALINA[[#This Row],[id]],Table4[id],Table4[name])</f>
        <v>Melanesian Sea</v>
      </c>
      <c r="Q1227" t="str">
        <f>_xlfn.XLOOKUP(VALINA[[#This Row],[name]],Trans!A:A,Trans!B:B)</f>
        <v>Melanesian Sea</v>
      </c>
    </row>
    <row r="1228" spans="1:17" x14ac:dyDescent="0.25">
      <c r="A1228">
        <v>1227</v>
      </c>
      <c r="B1228" t="s">
        <v>990</v>
      </c>
      <c r="C1228" t="s">
        <v>1672</v>
      </c>
      <c r="D1228" t="s">
        <v>1641</v>
      </c>
      <c r="E1228" t="s">
        <v>1316</v>
      </c>
      <c r="J1228" t="s">
        <v>1676</v>
      </c>
      <c r="N1228">
        <v>0</v>
      </c>
      <c r="O1228">
        <f>_xlfn.XLOOKUP(VALINA[[#This Row],[id]],prov_color!A:A,prov_color!C:C)</f>
        <v>95</v>
      </c>
      <c r="P1228" t="str">
        <f>_xlfn.XLOOKUP(VALINA[[#This Row],[id]],Table4[id],Table4[name])</f>
        <v>Melanesia</v>
      </c>
      <c r="Q1228" t="str">
        <f>_xlfn.XLOOKUP(VALINA[[#This Row],[name]],Trans!A:A,Trans!B:B)</f>
        <v>Melanesia</v>
      </c>
    </row>
    <row r="1229" spans="1:17" x14ac:dyDescent="0.25">
      <c r="A1229">
        <v>1228</v>
      </c>
      <c r="B1229" t="s">
        <v>990</v>
      </c>
      <c r="C1229" t="s">
        <v>1672</v>
      </c>
      <c r="D1229" t="s">
        <v>1641</v>
      </c>
      <c r="E1229" t="s">
        <v>1316</v>
      </c>
      <c r="J1229" t="s">
        <v>1418</v>
      </c>
      <c r="N1229">
        <v>0</v>
      </c>
      <c r="O1229">
        <f>_xlfn.XLOOKUP(VALINA[[#This Row],[id]],prov_color!A:A,prov_color!C:C)</f>
        <v>98</v>
      </c>
      <c r="P1229" t="str">
        <f>_xlfn.XLOOKUP(VALINA[[#This Row],[id]],Table4[id],Table4[name])</f>
        <v>Trobriand Islands</v>
      </c>
      <c r="Q1229" t="str">
        <f>_xlfn.XLOOKUP(VALINA[[#This Row],[name]],Trans!A:A,Trans!B:B)</f>
        <v>Trobriand Islands</v>
      </c>
    </row>
    <row r="1230" spans="1:17" x14ac:dyDescent="0.25">
      <c r="A1230">
        <v>1229</v>
      </c>
      <c r="B1230" t="s">
        <v>990</v>
      </c>
      <c r="C1230" t="s">
        <v>1677</v>
      </c>
      <c r="D1230" t="s">
        <v>1641</v>
      </c>
      <c r="E1230" t="s">
        <v>1316</v>
      </c>
      <c r="J1230" t="s">
        <v>1832</v>
      </c>
      <c r="N1230">
        <v>0</v>
      </c>
      <c r="O1230">
        <f>_xlfn.XLOOKUP(VALINA[[#This Row],[id]],prov_color!A:A,prov_color!C:C)</f>
        <v>179</v>
      </c>
      <c r="P1230" t="str">
        <f>_xlfn.XLOOKUP(VALINA[[#This Row],[id]],Table4[id],Table4[name])</f>
        <v>Louisiade Archipelago</v>
      </c>
      <c r="Q1230" t="str">
        <f>_xlfn.XLOOKUP(VALINA[[#This Row],[name]],Trans!A:A,Trans!B:B)</f>
        <v>Louisiade Archipelago</v>
      </c>
    </row>
    <row r="1231" spans="1:17" x14ac:dyDescent="0.25">
      <c r="A1231">
        <v>1230</v>
      </c>
      <c r="B1231" t="s">
        <v>990</v>
      </c>
      <c r="C1231" t="s">
        <v>1668</v>
      </c>
      <c r="D1231" t="s">
        <v>1641</v>
      </c>
      <c r="E1231" t="s">
        <v>1316</v>
      </c>
      <c r="J1231" t="s">
        <v>1959</v>
      </c>
      <c r="N1231">
        <v>0</v>
      </c>
      <c r="O1231">
        <f>_xlfn.XLOOKUP(VALINA[[#This Row],[id]],prov_color!A:A,prov_color!C:C)</f>
        <v>348</v>
      </c>
      <c r="P1231" t="str">
        <f>_xlfn.XLOOKUP(VALINA[[#This Row],[id]],Table4[id],Table4[name])</f>
        <v>Nauru Island</v>
      </c>
      <c r="Q1231" t="str">
        <f>_xlfn.XLOOKUP(VALINA[[#This Row],[name]],Trans!A:A,Trans!B:B)</f>
        <v>Nauru Island</v>
      </c>
    </row>
    <row r="1232" spans="1:17" x14ac:dyDescent="0.25">
      <c r="A1232">
        <v>1231</v>
      </c>
      <c r="B1232" t="s">
        <v>990</v>
      </c>
      <c r="C1232" t="s">
        <v>1677</v>
      </c>
      <c r="D1232" t="s">
        <v>1641</v>
      </c>
      <c r="E1232" t="s">
        <v>1316</v>
      </c>
      <c r="J1232" t="s">
        <v>1833</v>
      </c>
      <c r="N1232">
        <v>0</v>
      </c>
      <c r="O1232">
        <f>_xlfn.XLOOKUP(VALINA[[#This Row],[id]],prov_color!A:A,prov_color!C:C)</f>
        <v>368</v>
      </c>
      <c r="P1232" t="str">
        <f>_xlfn.XLOOKUP(VALINA[[#This Row],[id]],Table4[id],Table4[name])</f>
        <v>The Solomons</v>
      </c>
      <c r="Q1232" t="str">
        <f>_xlfn.XLOOKUP(VALINA[[#This Row],[name]],Trans!A:A,Trans!B:B)</f>
        <v>Solomon Islands</v>
      </c>
    </row>
    <row r="1233" spans="1:17" x14ac:dyDescent="0.25">
      <c r="A1233">
        <v>1232</v>
      </c>
      <c r="B1233" t="s">
        <v>990</v>
      </c>
      <c r="C1233" t="s">
        <v>1668</v>
      </c>
      <c r="D1233" t="s">
        <v>1641</v>
      </c>
      <c r="E1233" t="s">
        <v>1316</v>
      </c>
      <c r="J1233" t="s">
        <v>1834</v>
      </c>
      <c r="N1233">
        <v>0</v>
      </c>
      <c r="O1233">
        <f>_xlfn.XLOOKUP(VALINA[[#This Row],[id]],prov_color!A:A,prov_color!C:C)</f>
        <v>531</v>
      </c>
      <c r="P1233" t="str">
        <f>_xlfn.XLOOKUP(VALINA[[#This Row],[id]],Table4[id],Table4[name])</f>
        <v>Gilbert Sea</v>
      </c>
      <c r="Q1233" t="str">
        <f>_xlfn.XLOOKUP(VALINA[[#This Row],[name]],Trans!A:A,Trans!B:B)</f>
        <v>Gilbert Sea</v>
      </c>
    </row>
    <row r="1234" spans="1:17" x14ac:dyDescent="0.25">
      <c r="A1234">
        <v>1233</v>
      </c>
      <c r="B1234" t="s">
        <v>990</v>
      </c>
      <c r="C1234" t="s">
        <v>1677</v>
      </c>
      <c r="D1234" t="s">
        <v>1641</v>
      </c>
      <c r="E1234" t="s">
        <v>1316</v>
      </c>
      <c r="J1234" t="s">
        <v>1815</v>
      </c>
      <c r="N1234">
        <v>0</v>
      </c>
      <c r="O1234">
        <f>_xlfn.XLOOKUP(VALINA[[#This Row],[id]],prov_color!A:A,prov_color!C:C)</f>
        <v>664</v>
      </c>
      <c r="P1234" t="str">
        <f>_xlfn.XLOOKUP(VALINA[[#This Row],[id]],Table4[id],Table4[name])</f>
        <v>South Pacific Ocean</v>
      </c>
      <c r="Q1234" t="str">
        <f>_xlfn.XLOOKUP(VALINA[[#This Row],[name]],Trans!A:A,Trans!B:B)</f>
        <v>South Pacific Ocean</v>
      </c>
    </row>
    <row r="1235" spans="1:17" x14ac:dyDescent="0.25">
      <c r="A1235">
        <v>1234</v>
      </c>
      <c r="B1235" t="s">
        <v>990</v>
      </c>
      <c r="C1235" t="s">
        <v>1668</v>
      </c>
      <c r="D1235" t="s">
        <v>1641</v>
      </c>
      <c r="E1235" t="s">
        <v>1316</v>
      </c>
      <c r="J1235" t="s">
        <v>1815</v>
      </c>
      <c r="N1235">
        <v>0</v>
      </c>
      <c r="O1235">
        <f>_xlfn.XLOOKUP(VALINA[[#This Row],[id]],prov_color!A:A,prov_color!C:C)</f>
        <v>541</v>
      </c>
      <c r="P1235" t="str">
        <f>_xlfn.XLOOKUP(VALINA[[#This Row],[id]],Table4[id],Table4[name])</f>
        <v>South Pacific Ocean</v>
      </c>
      <c r="Q1235" t="str">
        <f>_xlfn.XLOOKUP(VALINA[[#This Row],[name]],Trans!A:A,Trans!B:B)</f>
        <v>South Pacific Ocean</v>
      </c>
    </row>
    <row r="1236" spans="1:17" x14ac:dyDescent="0.25">
      <c r="A1236">
        <v>1235</v>
      </c>
      <c r="B1236" t="s">
        <v>990</v>
      </c>
      <c r="C1236" t="s">
        <v>1661</v>
      </c>
      <c r="D1236" t="s">
        <v>1641</v>
      </c>
      <c r="E1236" t="s">
        <v>1316</v>
      </c>
      <c r="J1236" t="s">
        <v>1815</v>
      </c>
      <c r="N1236">
        <v>0</v>
      </c>
      <c r="O1236">
        <f>_xlfn.XLOOKUP(VALINA[[#This Row],[id]],prov_color!A:A,prov_color!C:C)</f>
        <v>897</v>
      </c>
      <c r="P1236" t="str">
        <f>_xlfn.XLOOKUP(VALINA[[#This Row],[id]],Table4[id],Table4[name])</f>
        <v>South Pacific Ocean</v>
      </c>
      <c r="Q1236" t="str">
        <f>_xlfn.XLOOKUP(VALINA[[#This Row],[name]],Trans!A:A,Trans!B:B)</f>
        <v>South Pacific Ocean</v>
      </c>
    </row>
    <row r="1237" spans="1:17" x14ac:dyDescent="0.25">
      <c r="A1237">
        <v>1236</v>
      </c>
      <c r="B1237" t="s">
        <v>990</v>
      </c>
      <c r="C1237" t="s">
        <v>1661</v>
      </c>
      <c r="D1237" t="s">
        <v>1641</v>
      </c>
      <c r="E1237" t="s">
        <v>1316</v>
      </c>
      <c r="J1237" t="s">
        <v>1815</v>
      </c>
      <c r="N1237">
        <v>0</v>
      </c>
      <c r="O1237">
        <f>_xlfn.XLOOKUP(VALINA[[#This Row],[id]],prov_color!A:A,prov_color!C:C)</f>
        <v>903</v>
      </c>
      <c r="P1237" t="str">
        <f>_xlfn.XLOOKUP(VALINA[[#This Row],[id]],Table4[id],Table4[name])</f>
        <v>South Pacific Ocean</v>
      </c>
      <c r="Q1237" t="str">
        <f>_xlfn.XLOOKUP(VALINA[[#This Row],[name]],Trans!A:A,Trans!B:B)</f>
        <v>South Pacific Ocean</v>
      </c>
    </row>
    <row r="1238" spans="1:17" x14ac:dyDescent="0.25">
      <c r="A1238">
        <v>1237</v>
      </c>
      <c r="B1238" t="s">
        <v>990</v>
      </c>
      <c r="C1238" t="s">
        <v>1661</v>
      </c>
      <c r="D1238" t="s">
        <v>1641</v>
      </c>
      <c r="E1238" t="s">
        <v>1316</v>
      </c>
      <c r="J1238" t="s">
        <v>1815</v>
      </c>
      <c r="N1238">
        <v>0</v>
      </c>
      <c r="O1238">
        <f>_xlfn.XLOOKUP(VALINA[[#This Row],[id]],prov_color!A:A,prov_color!C:C)</f>
        <v>371</v>
      </c>
      <c r="P1238" t="str">
        <f>_xlfn.XLOOKUP(VALINA[[#This Row],[id]],Table4[id],Table4[name])</f>
        <v>South Pacific Ocean</v>
      </c>
      <c r="Q1238" t="str">
        <f>_xlfn.XLOOKUP(VALINA[[#This Row],[name]],Trans!A:A,Trans!B:B)</f>
        <v>South Pacific Ocean</v>
      </c>
    </row>
    <row r="1239" spans="1:17" x14ac:dyDescent="0.25">
      <c r="A1239">
        <v>1238</v>
      </c>
      <c r="B1239" t="s">
        <v>990</v>
      </c>
      <c r="C1239" t="s">
        <v>1661</v>
      </c>
      <c r="D1239" t="s">
        <v>1641</v>
      </c>
      <c r="E1239" t="s">
        <v>1316</v>
      </c>
      <c r="J1239" t="s">
        <v>1815</v>
      </c>
      <c r="N1239">
        <v>0</v>
      </c>
      <c r="O1239">
        <f>_xlfn.XLOOKUP(VALINA[[#This Row],[id]],prov_color!A:A,prov_color!C:C)</f>
        <v>334</v>
      </c>
      <c r="P1239" t="str">
        <f>_xlfn.XLOOKUP(VALINA[[#This Row],[id]],Table4[id],Table4[name])</f>
        <v>South Pacific Ocean</v>
      </c>
      <c r="Q1239" t="str">
        <f>_xlfn.XLOOKUP(VALINA[[#This Row],[name]],Trans!A:A,Trans!B:B)</f>
        <v>South Pacific Ocean</v>
      </c>
    </row>
    <row r="1240" spans="1:17" x14ac:dyDescent="0.25">
      <c r="A1240">
        <v>1239</v>
      </c>
      <c r="B1240" t="s">
        <v>11</v>
      </c>
      <c r="C1240" t="s">
        <v>1661</v>
      </c>
      <c r="D1240" t="s">
        <v>1641</v>
      </c>
      <c r="E1240" t="s">
        <v>1316</v>
      </c>
      <c r="J1240" t="s">
        <v>1559</v>
      </c>
      <c r="N1240">
        <v>0</v>
      </c>
      <c r="O1240">
        <f>_xlfn.XLOOKUP(VALINA[[#This Row],[id]],prov_color!A:A,prov_color!C:C)</f>
        <v>105</v>
      </c>
      <c r="P1240" t="str">
        <f>_xlfn.XLOOKUP(VALINA[[#This Row],[id]],Table4[id],Table4[name])</f>
        <v>Magellan Strait</v>
      </c>
      <c r="Q1240" t="str">
        <f>_xlfn.XLOOKUP(VALINA[[#This Row],[name]],Trans!A:A,Trans!B:B)</f>
        <v>Magellan Strait</v>
      </c>
    </row>
    <row r="1241" spans="1:17" x14ac:dyDescent="0.25">
      <c r="A1241">
        <v>1240</v>
      </c>
      <c r="B1241" t="s">
        <v>11</v>
      </c>
      <c r="C1241" t="s">
        <v>1673</v>
      </c>
      <c r="D1241" t="s">
        <v>1678</v>
      </c>
      <c r="E1241" t="s">
        <v>1316</v>
      </c>
      <c r="J1241" t="s">
        <v>1585</v>
      </c>
      <c r="N1241">
        <v>0</v>
      </c>
      <c r="O1241">
        <f>_xlfn.XLOOKUP(VALINA[[#This Row],[id]],prov_color!A:A,prov_color!C:C)</f>
        <v>85</v>
      </c>
      <c r="P1241" t="str">
        <f>_xlfn.XLOOKUP(VALINA[[#This Row],[id]],Table4[id],Table4[name])</f>
        <v>Cape Horn</v>
      </c>
      <c r="Q1241" t="str">
        <f>_xlfn.XLOOKUP(VALINA[[#This Row],[name]],Trans!A:A,Trans!B:B)</f>
        <v>Cape Horn</v>
      </c>
    </row>
    <row r="1242" spans="1:17" x14ac:dyDescent="0.25">
      <c r="A1242">
        <v>1241</v>
      </c>
      <c r="B1242" t="s">
        <v>11</v>
      </c>
      <c r="C1242" t="s">
        <v>1673</v>
      </c>
      <c r="D1242" t="s">
        <v>1641</v>
      </c>
      <c r="E1242" t="s">
        <v>1316</v>
      </c>
      <c r="J1242" t="s">
        <v>1558</v>
      </c>
      <c r="N1242">
        <v>0</v>
      </c>
      <c r="O1242">
        <f>_xlfn.XLOOKUP(VALINA[[#This Row],[id]],prov_color!A:A,prov_color!C:C)</f>
        <v>90</v>
      </c>
      <c r="P1242" t="str">
        <f>_xlfn.XLOOKUP(VALINA[[#This Row],[id]],Table4[id],Table4[name])</f>
        <v>Patagonian Sea</v>
      </c>
      <c r="Q1242" t="str">
        <f>_xlfn.XLOOKUP(VALINA[[#This Row],[name]],Trans!A:A,Trans!B:B)</f>
        <v>Patagonian Sea</v>
      </c>
    </row>
    <row r="1243" spans="1:17" x14ac:dyDescent="0.25">
      <c r="A1243">
        <v>1242</v>
      </c>
      <c r="B1243" t="s">
        <v>11</v>
      </c>
      <c r="C1243" t="s">
        <v>1673</v>
      </c>
      <c r="D1243" t="s">
        <v>1641</v>
      </c>
      <c r="E1243" t="s">
        <v>1316</v>
      </c>
      <c r="J1243" t="s">
        <v>1835</v>
      </c>
      <c r="N1243">
        <v>0</v>
      </c>
      <c r="O1243">
        <f>_xlfn.XLOOKUP(VALINA[[#This Row],[id]],prov_color!A:A,prov_color!C:C)</f>
        <v>219</v>
      </c>
      <c r="P1243" t="str">
        <f>_xlfn.XLOOKUP(VALINA[[#This Row],[id]],Table4[id],Table4[name])</f>
        <v>Southern Atlantic Ocean</v>
      </c>
      <c r="Q1243" t="str">
        <f>_xlfn.XLOOKUP(VALINA[[#This Row],[name]],Trans!A:A,Trans!B:B)</f>
        <v>Southern Atlantic Ocean</v>
      </c>
    </row>
    <row r="1244" spans="1:17" x14ac:dyDescent="0.25">
      <c r="A1244">
        <v>1243</v>
      </c>
      <c r="B1244" t="s">
        <v>11</v>
      </c>
      <c r="C1244" t="s">
        <v>1673</v>
      </c>
      <c r="D1244" t="s">
        <v>1641</v>
      </c>
      <c r="E1244" t="s">
        <v>1316</v>
      </c>
      <c r="J1244" t="s">
        <v>1584</v>
      </c>
      <c r="N1244">
        <v>0</v>
      </c>
      <c r="O1244">
        <f>_xlfn.XLOOKUP(VALINA[[#This Row],[id]],prov_color!A:A,prov_color!C:C)</f>
        <v>210</v>
      </c>
      <c r="P1244" t="str">
        <f>_xlfn.XLOOKUP(VALINA[[#This Row],[id]],Table4[id],Table4[name])</f>
        <v>Falkland Islands</v>
      </c>
      <c r="Q1244" t="str">
        <f>_xlfn.XLOOKUP(VALINA[[#This Row],[name]],Trans!A:A,Trans!B:B)</f>
        <v>Falkland Islands</v>
      </c>
    </row>
    <row r="1245" spans="1:17" x14ac:dyDescent="0.25">
      <c r="A1245">
        <v>1244</v>
      </c>
      <c r="B1245" t="s">
        <v>11</v>
      </c>
      <c r="C1245" t="s">
        <v>1673</v>
      </c>
      <c r="D1245" t="s">
        <v>1641</v>
      </c>
      <c r="E1245" t="s">
        <v>1316</v>
      </c>
      <c r="J1245" t="s">
        <v>1836</v>
      </c>
      <c r="N1245">
        <v>0</v>
      </c>
      <c r="O1245">
        <f>_xlfn.XLOOKUP(VALINA[[#This Row],[id]],prov_color!A:A,prov_color!C:C)</f>
        <v>331</v>
      </c>
      <c r="P1245" t="str">
        <f>_xlfn.XLOOKUP(VALINA[[#This Row],[id]],Table4[id],Table4[name])</f>
        <v>New Georgia Island</v>
      </c>
      <c r="Q1245" t="str">
        <f>_xlfn.XLOOKUP(VALINA[[#This Row],[name]],Trans!A:A,Trans!B:B)</f>
        <v>New Georgia Island</v>
      </c>
    </row>
    <row r="1246" spans="1:17" x14ac:dyDescent="0.25">
      <c r="A1246">
        <v>1245</v>
      </c>
      <c r="B1246" t="s">
        <v>11</v>
      </c>
      <c r="C1246" t="s">
        <v>1673</v>
      </c>
      <c r="D1246" t="s">
        <v>1641</v>
      </c>
      <c r="E1246" t="s">
        <v>1316</v>
      </c>
      <c r="J1246" t="s">
        <v>1804</v>
      </c>
      <c r="N1246">
        <v>0</v>
      </c>
      <c r="O1246">
        <f>_xlfn.XLOOKUP(VALINA[[#This Row],[id]],prov_color!A:A,prov_color!C:C)</f>
        <v>622</v>
      </c>
      <c r="P1246" t="str">
        <f>_xlfn.XLOOKUP(VALINA[[#This Row],[id]],Table4[id],Table4[name])</f>
        <v>South Atlantic Ocean</v>
      </c>
      <c r="Q1246" t="str">
        <f>_xlfn.XLOOKUP(VALINA[[#This Row],[name]],Trans!A:A,Trans!B:B)</f>
        <v>South Atlantic Ocean</v>
      </c>
    </row>
    <row r="1247" spans="1:17" x14ac:dyDescent="0.25">
      <c r="A1247">
        <v>1246</v>
      </c>
      <c r="B1247" t="s">
        <v>11</v>
      </c>
      <c r="C1247" t="s">
        <v>1673</v>
      </c>
      <c r="D1247" t="s">
        <v>1641</v>
      </c>
      <c r="E1247" t="s">
        <v>1316</v>
      </c>
      <c r="J1247" t="s">
        <v>1835</v>
      </c>
      <c r="N1247">
        <v>0</v>
      </c>
      <c r="O1247">
        <f>_xlfn.XLOOKUP(VALINA[[#This Row],[id]],prov_color!A:A,prov_color!C:C)</f>
        <v>768</v>
      </c>
      <c r="P1247" t="str">
        <f>_xlfn.XLOOKUP(VALINA[[#This Row],[id]],Table4[id],Table4[name])</f>
        <v>Southern Atlantic Ocean</v>
      </c>
      <c r="Q1247" t="str">
        <f>_xlfn.XLOOKUP(VALINA[[#This Row],[name]],Trans!A:A,Trans!B:B)</f>
        <v>Southern Atlantic Ocean</v>
      </c>
    </row>
    <row r="1248" spans="1:17" x14ac:dyDescent="0.25">
      <c r="A1248">
        <v>1247</v>
      </c>
      <c r="B1248" t="s">
        <v>1016</v>
      </c>
      <c r="C1248" t="s">
        <v>1670</v>
      </c>
      <c r="D1248" t="s">
        <v>1641</v>
      </c>
      <c r="E1248" t="s">
        <v>1316</v>
      </c>
      <c r="J1248" t="s">
        <v>1837</v>
      </c>
      <c r="N1248">
        <v>0</v>
      </c>
      <c r="O1248">
        <f>_xlfn.XLOOKUP(VALINA[[#This Row],[id]],prov_color!A:A,prov_color!C:C)</f>
        <v>853</v>
      </c>
      <c r="P1248" t="str">
        <f>_xlfn.XLOOKUP(VALINA[[#This Row],[id]],Table4[id],Table4[name])</f>
        <v>Tristan da Cunha Island</v>
      </c>
      <c r="Q1248" t="str">
        <f>_xlfn.XLOOKUP(VALINA[[#This Row],[name]],Trans!A:A,Trans!B:B)</f>
        <v>Tristan da Cunha Island</v>
      </c>
    </row>
    <row r="1249" spans="1:17" x14ac:dyDescent="0.25">
      <c r="A1249">
        <v>1248</v>
      </c>
      <c r="B1249" t="s">
        <v>1016</v>
      </c>
      <c r="C1249" t="s">
        <v>1670</v>
      </c>
      <c r="D1249" t="s">
        <v>1641</v>
      </c>
      <c r="E1249" t="s">
        <v>1316</v>
      </c>
      <c r="J1249" t="s">
        <v>1835</v>
      </c>
      <c r="N1249">
        <v>0</v>
      </c>
      <c r="O1249">
        <f>_xlfn.XLOOKUP(VALINA[[#This Row],[id]],prov_color!A:A,prov_color!C:C)</f>
        <v>626</v>
      </c>
      <c r="P1249" t="str">
        <f>_xlfn.XLOOKUP(VALINA[[#This Row],[id]],Table4[id],Table4[name])</f>
        <v>Southern Atlantic Ocean</v>
      </c>
      <c r="Q1249" t="str">
        <f>_xlfn.XLOOKUP(VALINA[[#This Row],[name]],Trans!A:A,Trans!B:B)</f>
        <v>Southern Atlantic Ocean</v>
      </c>
    </row>
    <row r="1250" spans="1:17" x14ac:dyDescent="0.25">
      <c r="A1250">
        <v>1249</v>
      </c>
      <c r="B1250" t="s">
        <v>1016</v>
      </c>
      <c r="C1250" t="s">
        <v>1670</v>
      </c>
      <c r="D1250" t="s">
        <v>1641</v>
      </c>
      <c r="E1250" t="s">
        <v>1316</v>
      </c>
      <c r="J1250" t="s">
        <v>1835</v>
      </c>
      <c r="N1250">
        <v>0</v>
      </c>
      <c r="O1250">
        <f>_xlfn.XLOOKUP(VALINA[[#This Row],[id]],prov_color!A:A,prov_color!C:C)</f>
        <v>543</v>
      </c>
      <c r="P1250" t="str">
        <f>_xlfn.XLOOKUP(VALINA[[#This Row],[id]],Table4[id],Table4[name])</f>
        <v>Southern Atlantic Ocean</v>
      </c>
      <c r="Q1250" t="str">
        <f>_xlfn.XLOOKUP(VALINA[[#This Row],[name]],Trans!A:A,Trans!B:B)</f>
        <v>Southern Atlantic Ocean</v>
      </c>
    </row>
    <row r="1251" spans="1:17" x14ac:dyDescent="0.25">
      <c r="A1251">
        <v>1250</v>
      </c>
      <c r="B1251" t="s">
        <v>1016</v>
      </c>
      <c r="C1251" t="s">
        <v>1670</v>
      </c>
      <c r="D1251" t="s">
        <v>1641</v>
      </c>
      <c r="E1251" t="s">
        <v>1316</v>
      </c>
      <c r="J1251" t="s">
        <v>1500</v>
      </c>
      <c r="N1251">
        <v>0</v>
      </c>
      <c r="O1251">
        <f>_xlfn.XLOOKUP(VALINA[[#This Row],[id]],prov_color!A:A,prov_color!C:C)</f>
        <v>126</v>
      </c>
      <c r="P1251" t="str">
        <f>_xlfn.XLOOKUP(VALINA[[#This Row],[id]],Table4[id],Table4[name])</f>
        <v>Walvis Bay</v>
      </c>
      <c r="Q1251" t="str">
        <f>_xlfn.XLOOKUP(VALINA[[#This Row],[name]],Trans!A:A,Trans!B:B)</f>
        <v>Walvis Bay</v>
      </c>
    </row>
    <row r="1252" spans="1:17" x14ac:dyDescent="0.25">
      <c r="A1252">
        <v>1251</v>
      </c>
      <c r="B1252" t="s">
        <v>1016</v>
      </c>
      <c r="C1252" t="s">
        <v>1670</v>
      </c>
      <c r="D1252" t="s">
        <v>1641</v>
      </c>
      <c r="E1252" t="s">
        <v>1316</v>
      </c>
      <c r="J1252" t="s">
        <v>1501</v>
      </c>
      <c r="N1252">
        <v>0</v>
      </c>
      <c r="O1252">
        <f>_xlfn.XLOOKUP(VALINA[[#This Row],[id]],prov_color!A:A,prov_color!C:C)</f>
        <v>78</v>
      </c>
      <c r="P1252" t="str">
        <f>_xlfn.XLOOKUP(VALINA[[#This Row],[id]],Table4[id],Table4[name])</f>
        <v>Coast of Namibia</v>
      </c>
      <c r="Q1252" t="str">
        <f>_xlfn.XLOOKUP(VALINA[[#This Row],[name]],Trans!A:A,Trans!B:B)</f>
        <v>Coast of Namibia</v>
      </c>
    </row>
    <row r="1253" spans="1:17" x14ac:dyDescent="0.25">
      <c r="A1253">
        <v>1252</v>
      </c>
      <c r="B1253" t="s">
        <v>1016</v>
      </c>
      <c r="C1253" t="s">
        <v>1671</v>
      </c>
      <c r="D1253" t="s">
        <v>1679</v>
      </c>
      <c r="E1253" t="s">
        <v>1316</v>
      </c>
      <c r="J1253" t="s">
        <v>1503</v>
      </c>
      <c r="N1253">
        <v>0</v>
      </c>
      <c r="O1253">
        <f>_xlfn.XLOOKUP(VALINA[[#This Row],[id]],prov_color!A:A,prov_color!C:C)</f>
        <v>39</v>
      </c>
      <c r="P1253" t="str">
        <f>_xlfn.XLOOKUP(VALINA[[#This Row],[id]],Table4[id],Table4[name])</f>
        <v>Cape of Good Hope</v>
      </c>
      <c r="Q1253" t="str">
        <f>_xlfn.XLOOKUP(VALINA[[#This Row],[name]],Trans!A:A,Trans!B:B)</f>
        <v>Cape of Good Hope</v>
      </c>
    </row>
    <row r="1254" spans="1:17" x14ac:dyDescent="0.25">
      <c r="A1254">
        <v>1253</v>
      </c>
      <c r="B1254" t="s">
        <v>1016</v>
      </c>
      <c r="C1254" t="s">
        <v>1671</v>
      </c>
      <c r="D1254" t="s">
        <v>1641</v>
      </c>
      <c r="E1254" t="s">
        <v>1316</v>
      </c>
      <c r="J1254" t="s">
        <v>1506</v>
      </c>
      <c r="N1254">
        <v>0</v>
      </c>
      <c r="O1254">
        <f>_xlfn.XLOOKUP(VALINA[[#This Row],[id]],prov_color!A:A,prov_color!C:C)</f>
        <v>133</v>
      </c>
      <c r="P1254" t="str">
        <f>_xlfn.XLOOKUP(VALINA[[#This Row],[id]],Table4[id],Table4[name])</f>
        <v>Coast of Natal</v>
      </c>
      <c r="Q1254" t="str">
        <f>_xlfn.XLOOKUP(VALINA[[#This Row],[name]],Trans!A:A,Trans!B:B)</f>
        <v>Coast of Natal</v>
      </c>
    </row>
    <row r="1255" spans="1:17" x14ac:dyDescent="0.25">
      <c r="A1255">
        <v>1254</v>
      </c>
      <c r="B1255" t="s">
        <v>1016</v>
      </c>
      <c r="C1255" t="s">
        <v>1671</v>
      </c>
      <c r="D1255" t="s">
        <v>1641</v>
      </c>
      <c r="E1255" t="s">
        <v>1316</v>
      </c>
      <c r="J1255" t="s">
        <v>1960</v>
      </c>
      <c r="N1255">
        <v>0</v>
      </c>
      <c r="O1255">
        <f>_xlfn.XLOOKUP(VALINA[[#This Row],[id]],prov_color!A:A,prov_color!C:C)</f>
        <v>465</v>
      </c>
      <c r="P1255" t="str">
        <f>_xlfn.XLOOKUP(VALINA[[#This Row],[id]],Table4[id],Table4[name])</f>
        <v>Southern Indian Ocean</v>
      </c>
      <c r="Q1255" t="str">
        <f>_xlfn.XLOOKUP(VALINA[[#This Row],[name]],Trans!A:A,Trans!B:B)</f>
        <v>Southern Indian Ocean</v>
      </c>
    </row>
    <row r="1256" spans="1:17" x14ac:dyDescent="0.25">
      <c r="A1256">
        <v>1255</v>
      </c>
      <c r="B1256" t="s">
        <v>1016</v>
      </c>
      <c r="C1256" t="s">
        <v>1671</v>
      </c>
      <c r="D1256" t="s">
        <v>1641</v>
      </c>
      <c r="E1256" t="s">
        <v>1316</v>
      </c>
      <c r="J1256" t="s">
        <v>1590</v>
      </c>
      <c r="N1256">
        <v>0</v>
      </c>
      <c r="O1256">
        <f>_xlfn.XLOOKUP(VALINA[[#This Row],[id]],prov_color!A:A,prov_color!C:C)</f>
        <v>199</v>
      </c>
      <c r="P1256" t="str">
        <f>_xlfn.XLOOKUP(VALINA[[#This Row],[id]],Table4[id],Table4[name])</f>
        <v>Cape Romain</v>
      </c>
      <c r="Q1256" t="str">
        <f>_xlfn.XLOOKUP(VALINA[[#This Row],[name]],Trans!A:A,Trans!B:B)</f>
        <v>Cape Romain</v>
      </c>
    </row>
    <row r="1257" spans="1:17" x14ac:dyDescent="0.25">
      <c r="A1257">
        <v>1256</v>
      </c>
      <c r="B1257" t="s">
        <v>1016</v>
      </c>
      <c r="C1257" t="s">
        <v>1671</v>
      </c>
      <c r="D1257" t="s">
        <v>1641</v>
      </c>
      <c r="E1257" t="s">
        <v>1316</v>
      </c>
      <c r="J1257" t="s">
        <v>1960</v>
      </c>
      <c r="N1257">
        <v>0</v>
      </c>
      <c r="O1257">
        <f>_xlfn.XLOOKUP(VALINA[[#This Row],[id]],prov_color!A:A,prov_color!C:C)</f>
        <v>366</v>
      </c>
      <c r="P1257" t="str">
        <f>_xlfn.XLOOKUP(VALINA[[#This Row],[id]],Table4[id],Table4[name])</f>
        <v>Southern Indian Ocean</v>
      </c>
      <c r="Q1257" t="str">
        <f>_xlfn.XLOOKUP(VALINA[[#This Row],[name]],Trans!A:A,Trans!B:B)</f>
        <v>Southern Indian Ocean</v>
      </c>
    </row>
    <row r="1258" spans="1:17" x14ac:dyDescent="0.25">
      <c r="A1258">
        <v>1257</v>
      </c>
      <c r="B1258" t="s">
        <v>1016</v>
      </c>
      <c r="C1258" t="s">
        <v>1671</v>
      </c>
      <c r="D1258" t="s">
        <v>1641</v>
      </c>
      <c r="E1258" t="s">
        <v>1316</v>
      </c>
      <c r="J1258" t="s">
        <v>1960</v>
      </c>
      <c r="N1258">
        <v>0</v>
      </c>
      <c r="O1258">
        <f>_xlfn.XLOOKUP(VALINA[[#This Row],[id]],prov_color!A:A,prov_color!C:C)</f>
        <v>339</v>
      </c>
      <c r="P1258" t="str">
        <f>_xlfn.XLOOKUP(VALINA[[#This Row],[id]],Table4[id],Table4[name])</f>
        <v>Southern Indian Ocean</v>
      </c>
      <c r="Q1258" t="str">
        <f>_xlfn.XLOOKUP(VALINA[[#This Row],[name]],Trans!A:A,Trans!B:B)</f>
        <v>Southern Indian Ocean</v>
      </c>
    </row>
    <row r="1259" spans="1:17" x14ac:dyDescent="0.25">
      <c r="A1259">
        <v>1258</v>
      </c>
      <c r="B1259" t="s">
        <v>1016</v>
      </c>
      <c r="C1259" t="s">
        <v>1671</v>
      </c>
      <c r="D1259" t="s">
        <v>1641</v>
      </c>
      <c r="E1259" t="s">
        <v>1316</v>
      </c>
      <c r="J1259" t="s">
        <v>1960</v>
      </c>
      <c r="N1259">
        <v>0</v>
      </c>
      <c r="O1259">
        <f>_xlfn.XLOOKUP(VALINA[[#This Row],[id]],prov_color!A:A,prov_color!C:C)</f>
        <v>491</v>
      </c>
      <c r="P1259" t="str">
        <f>_xlfn.XLOOKUP(VALINA[[#This Row],[id]],Table4[id],Table4[name])</f>
        <v>Southern Indian Ocean</v>
      </c>
      <c r="Q1259" t="str">
        <f>_xlfn.XLOOKUP(VALINA[[#This Row],[name]],Trans!A:A,Trans!B:B)</f>
        <v>Southern Indian Ocean</v>
      </c>
    </row>
    <row r="1260" spans="1:17" x14ac:dyDescent="0.25">
      <c r="A1260">
        <v>1259</v>
      </c>
      <c r="B1260" t="s">
        <v>1016</v>
      </c>
      <c r="C1260" t="s">
        <v>1674</v>
      </c>
      <c r="D1260" t="s">
        <v>1641</v>
      </c>
      <c r="E1260" t="s">
        <v>1316</v>
      </c>
      <c r="J1260" t="s">
        <v>1960</v>
      </c>
      <c r="N1260">
        <v>0</v>
      </c>
      <c r="O1260">
        <f>_xlfn.XLOOKUP(VALINA[[#This Row],[id]],prov_color!A:A,prov_color!C:C)</f>
        <v>493</v>
      </c>
      <c r="P1260" t="str">
        <f>_xlfn.XLOOKUP(VALINA[[#This Row],[id]],Table4[id],Table4[name])</f>
        <v>Southern Indian Ocean</v>
      </c>
      <c r="Q1260" t="str">
        <f>_xlfn.XLOOKUP(VALINA[[#This Row],[name]],Trans!A:A,Trans!B:B)</f>
        <v>Southern Indian Ocean</v>
      </c>
    </row>
    <row r="1261" spans="1:17" x14ac:dyDescent="0.25">
      <c r="A1261">
        <v>1260</v>
      </c>
      <c r="B1261" t="s">
        <v>990</v>
      </c>
      <c r="C1261" t="s">
        <v>1674</v>
      </c>
      <c r="D1261" t="s">
        <v>1641</v>
      </c>
      <c r="E1261" t="s">
        <v>1316</v>
      </c>
      <c r="J1261" t="s">
        <v>1807</v>
      </c>
      <c r="N1261">
        <v>0</v>
      </c>
      <c r="O1261">
        <f>_xlfn.XLOOKUP(VALINA[[#This Row],[id]],prov_color!A:A,prov_color!C:C)</f>
        <v>418</v>
      </c>
      <c r="P1261" t="str">
        <f>_xlfn.XLOOKUP(VALINA[[#This Row],[id]],Table4[id],Table4[name])</f>
        <v>Central Indian Ocean</v>
      </c>
      <c r="Q1261" t="str">
        <f>_xlfn.XLOOKUP(VALINA[[#This Row],[name]],Trans!A:A,Trans!B:B)</f>
        <v>Central Indian Ocean</v>
      </c>
    </row>
    <row r="1262" spans="1:17" x14ac:dyDescent="0.25">
      <c r="A1262">
        <v>1261</v>
      </c>
      <c r="B1262" t="s">
        <v>990</v>
      </c>
      <c r="C1262" t="s">
        <v>1674</v>
      </c>
      <c r="D1262" t="s">
        <v>1641</v>
      </c>
      <c r="E1262" t="s">
        <v>1316</v>
      </c>
      <c r="J1262" t="s">
        <v>1807</v>
      </c>
      <c r="N1262">
        <v>0</v>
      </c>
      <c r="O1262">
        <f>_xlfn.XLOOKUP(VALINA[[#This Row],[id]],prov_color!A:A,prov_color!C:C)</f>
        <v>352</v>
      </c>
      <c r="P1262" t="str">
        <f>_xlfn.XLOOKUP(VALINA[[#This Row],[id]],Table4[id],Table4[name])</f>
        <v>Central Indian Ocean</v>
      </c>
      <c r="Q1262" t="str">
        <f>_xlfn.XLOOKUP(VALINA[[#This Row],[name]],Trans!A:A,Trans!B:B)</f>
        <v>Central Indian Ocean</v>
      </c>
    </row>
    <row r="1263" spans="1:17" x14ac:dyDescent="0.25">
      <c r="A1263">
        <v>1262</v>
      </c>
      <c r="B1263" t="s">
        <v>990</v>
      </c>
      <c r="C1263" t="s">
        <v>1674</v>
      </c>
      <c r="D1263" t="s">
        <v>1641</v>
      </c>
      <c r="E1263" t="s">
        <v>1316</v>
      </c>
      <c r="J1263" t="s">
        <v>1807</v>
      </c>
      <c r="N1263">
        <v>0</v>
      </c>
      <c r="O1263">
        <f>_xlfn.XLOOKUP(VALINA[[#This Row],[id]],prov_color!A:A,prov_color!C:C)</f>
        <v>303</v>
      </c>
      <c r="P1263" t="str">
        <f>_xlfn.XLOOKUP(VALINA[[#This Row],[id]],Table4[id],Table4[name])</f>
        <v>Central Indian Ocean</v>
      </c>
      <c r="Q1263" t="str">
        <f>_xlfn.XLOOKUP(VALINA[[#This Row],[name]],Trans!A:A,Trans!B:B)</f>
        <v>Central Indian Ocean</v>
      </c>
    </row>
    <row r="1264" spans="1:17" x14ac:dyDescent="0.25">
      <c r="A1264">
        <v>1263</v>
      </c>
      <c r="B1264" t="s">
        <v>990</v>
      </c>
      <c r="C1264" t="s">
        <v>1674</v>
      </c>
      <c r="D1264" t="s">
        <v>1641</v>
      </c>
      <c r="E1264" t="s">
        <v>1316</v>
      </c>
      <c r="J1264" t="s">
        <v>1386</v>
      </c>
      <c r="N1264">
        <v>0</v>
      </c>
      <c r="O1264">
        <f>_xlfn.XLOOKUP(VALINA[[#This Row],[id]],prov_color!A:A,prov_color!C:C)</f>
        <v>132</v>
      </c>
      <c r="P1264" t="str">
        <f>_xlfn.XLOOKUP(VALINA[[#This Row],[id]],Table4[id],Table4[name])</f>
        <v>Australian Sea</v>
      </c>
      <c r="Q1264" t="str">
        <f>_xlfn.XLOOKUP(VALINA[[#This Row],[name]],Trans!A:A,Trans!B:B)</f>
        <v>Australian Sea</v>
      </c>
    </row>
    <row r="1265" spans="1:17" x14ac:dyDescent="0.25">
      <c r="A1265">
        <v>1264</v>
      </c>
      <c r="B1265" t="s">
        <v>990</v>
      </c>
      <c r="C1265" t="s">
        <v>1672</v>
      </c>
      <c r="D1265" t="s">
        <v>1641</v>
      </c>
      <c r="E1265" t="s">
        <v>1316</v>
      </c>
      <c r="J1265" t="s">
        <v>6458</v>
      </c>
      <c r="N1265">
        <v>0</v>
      </c>
      <c r="O1265">
        <f>_xlfn.XLOOKUP(VALINA[[#This Row],[id]],prov_color!A:A,prov_color!C:C)</f>
        <v>284</v>
      </c>
      <c r="P1265" t="str">
        <f>_xlfn.XLOOKUP(VALINA[[#This Row],[id]],Table4[id],Table4[name])</f>
        <v>Australian Sea 2</v>
      </c>
      <c r="Q1265" t="e">
        <f>_xlfn.XLOOKUP(VALINA[[#This Row],[name]],Trans!A:A,Trans!B:B)</f>
        <v>#N/A</v>
      </c>
    </row>
    <row r="1266" spans="1:17" x14ac:dyDescent="0.25">
      <c r="A1266">
        <v>1265</v>
      </c>
      <c r="B1266" t="s">
        <v>990</v>
      </c>
      <c r="C1266" t="s">
        <v>1674</v>
      </c>
      <c r="D1266" t="s">
        <v>1641</v>
      </c>
      <c r="E1266" t="s">
        <v>1316</v>
      </c>
      <c r="J1266" t="s">
        <v>1839</v>
      </c>
      <c r="N1266">
        <v>0</v>
      </c>
      <c r="O1266">
        <f>_xlfn.XLOOKUP(VALINA[[#This Row],[id]],prov_color!A:A,prov_color!C:C)</f>
        <v>99</v>
      </c>
      <c r="P1266" t="str">
        <f>_xlfn.XLOOKUP(VALINA[[#This Row],[id]],Table4[id],Table4[name])</f>
        <v>Western Australian Coast</v>
      </c>
      <c r="Q1266" t="str">
        <f>_xlfn.XLOOKUP(VALINA[[#This Row],[name]],Trans!A:A,Trans!B:B)</f>
        <v>Western Australian Coast</v>
      </c>
    </row>
    <row r="1267" spans="1:17" x14ac:dyDescent="0.25">
      <c r="A1267">
        <v>1266</v>
      </c>
      <c r="B1267" t="s">
        <v>990</v>
      </c>
      <c r="C1267" t="s">
        <v>1674</v>
      </c>
      <c r="D1267" t="s">
        <v>1641</v>
      </c>
      <c r="E1267" t="s">
        <v>1316</v>
      </c>
      <c r="J1267" t="s">
        <v>1400</v>
      </c>
      <c r="N1267">
        <v>0</v>
      </c>
      <c r="O1267">
        <f>_xlfn.XLOOKUP(VALINA[[#This Row],[id]],prov_color!A:A,prov_color!C:C)</f>
        <v>68</v>
      </c>
      <c r="P1267" t="str">
        <f>_xlfn.XLOOKUP(VALINA[[#This Row],[id]],Table4[id],Table4[name])</f>
        <v>Shark Bay</v>
      </c>
      <c r="Q1267" t="str">
        <f>_xlfn.XLOOKUP(VALINA[[#This Row],[name]],Trans!A:A,Trans!B:B)</f>
        <v>Shark Bay</v>
      </c>
    </row>
    <row r="1268" spans="1:17" x14ac:dyDescent="0.25">
      <c r="A1268">
        <v>1267</v>
      </c>
      <c r="B1268" t="s">
        <v>990</v>
      </c>
      <c r="C1268" t="s">
        <v>1674</v>
      </c>
      <c r="D1268" t="s">
        <v>1641</v>
      </c>
      <c r="E1268" t="s">
        <v>1316</v>
      </c>
      <c r="J1268" t="s">
        <v>1401</v>
      </c>
      <c r="N1268">
        <v>0</v>
      </c>
      <c r="O1268">
        <f>_xlfn.XLOOKUP(VALINA[[#This Row],[id]],prov_color!A:A,prov_color!C:C)</f>
        <v>66</v>
      </c>
      <c r="P1268" t="str">
        <f>_xlfn.XLOOKUP(VALINA[[#This Row],[id]],Table4[id],Table4[name])</f>
        <v>Coast of New Holland</v>
      </c>
      <c r="Q1268" t="str">
        <f>_xlfn.XLOOKUP(VALINA[[#This Row],[name]],Trans!A:A,Trans!B:B)</f>
        <v>Coast of New Holland</v>
      </c>
    </row>
    <row r="1269" spans="1:17" x14ac:dyDescent="0.25">
      <c r="A1269">
        <v>1268</v>
      </c>
      <c r="B1269" t="s">
        <v>990</v>
      </c>
      <c r="C1269" t="s">
        <v>1674</v>
      </c>
      <c r="D1269" t="s">
        <v>1641</v>
      </c>
      <c r="E1269" t="s">
        <v>1316</v>
      </c>
      <c r="J1269" t="s">
        <v>1402</v>
      </c>
      <c r="N1269">
        <v>0</v>
      </c>
      <c r="O1269">
        <f>_xlfn.XLOOKUP(VALINA[[#This Row],[id]],prov_color!A:A,prov_color!C:C)</f>
        <v>75</v>
      </c>
      <c r="P1269" t="str">
        <f>_xlfn.XLOOKUP(VALINA[[#This Row],[id]],Table4[id],Table4[name])</f>
        <v>Cape Leeuwin</v>
      </c>
      <c r="Q1269" t="str">
        <f>_xlfn.XLOOKUP(VALINA[[#This Row],[name]],Trans!A:A,Trans!B:B)</f>
        <v>Cape Leeuwin</v>
      </c>
    </row>
    <row r="1270" spans="1:17" x14ac:dyDescent="0.25">
      <c r="A1270">
        <v>1269</v>
      </c>
      <c r="B1270" t="s">
        <v>990</v>
      </c>
      <c r="C1270" t="s">
        <v>1674</v>
      </c>
      <c r="D1270" t="s">
        <v>1641</v>
      </c>
      <c r="E1270" t="s">
        <v>1316</v>
      </c>
      <c r="J1270" t="s">
        <v>1840</v>
      </c>
      <c r="N1270">
        <v>0</v>
      </c>
      <c r="O1270">
        <f>_xlfn.XLOOKUP(VALINA[[#This Row],[id]],prov_color!A:A,prov_color!C:C)</f>
        <v>89</v>
      </c>
      <c r="P1270" t="str">
        <f>_xlfn.XLOOKUP(VALINA[[#This Row],[id]],Table4[id],Table4[name])</f>
        <v>Recherche Archipelago</v>
      </c>
      <c r="Q1270" t="str">
        <f>_xlfn.XLOOKUP(VALINA[[#This Row],[name]],Trans!A:A,Trans!B:B)</f>
        <v>Recherche Archipelago</v>
      </c>
    </row>
    <row r="1271" spans="1:17" x14ac:dyDescent="0.25">
      <c r="A1271">
        <v>1270</v>
      </c>
      <c r="B1271" t="s">
        <v>990</v>
      </c>
      <c r="C1271" t="s">
        <v>1674</v>
      </c>
      <c r="D1271" t="s">
        <v>1641</v>
      </c>
      <c r="E1271" t="s">
        <v>1316</v>
      </c>
      <c r="J1271" t="s">
        <v>1403</v>
      </c>
      <c r="N1271">
        <v>0</v>
      </c>
      <c r="O1271">
        <f>_xlfn.XLOOKUP(VALINA[[#This Row],[id]],prov_color!A:A,prov_color!C:C)</f>
        <v>114</v>
      </c>
      <c r="P1271" t="str">
        <f>_xlfn.XLOOKUP(VALINA[[#This Row],[id]],Table4[id],Table4[name])</f>
        <v>Great Australian Bight</v>
      </c>
      <c r="Q1271" t="str">
        <f>_xlfn.XLOOKUP(VALINA[[#This Row],[name]],Trans!A:A,Trans!B:B)</f>
        <v>Great Australian Bight</v>
      </c>
    </row>
    <row r="1272" spans="1:17" x14ac:dyDescent="0.25">
      <c r="A1272">
        <v>1271</v>
      </c>
      <c r="B1272" t="s">
        <v>990</v>
      </c>
      <c r="C1272" t="s">
        <v>1674</v>
      </c>
      <c r="D1272" t="s">
        <v>1641</v>
      </c>
      <c r="E1272" t="s">
        <v>1316</v>
      </c>
      <c r="J1272" t="s">
        <v>1404</v>
      </c>
      <c r="N1272">
        <v>0</v>
      </c>
      <c r="O1272">
        <f>_xlfn.XLOOKUP(VALINA[[#This Row],[id]],prov_color!A:A,prov_color!C:C)</f>
        <v>127</v>
      </c>
      <c r="P1272" t="str">
        <f>_xlfn.XLOOKUP(VALINA[[#This Row],[id]],Table4[id],Table4[name])</f>
        <v>Kangaroo Island</v>
      </c>
      <c r="Q1272" t="str">
        <f>_xlfn.XLOOKUP(VALINA[[#This Row],[name]],Trans!A:A,Trans!B:B)</f>
        <v>Kangaroo Island</v>
      </c>
    </row>
    <row r="1273" spans="1:17" x14ac:dyDescent="0.25">
      <c r="A1273">
        <v>1272</v>
      </c>
      <c r="B1273" t="s">
        <v>990</v>
      </c>
      <c r="C1273" t="s">
        <v>1677</v>
      </c>
      <c r="D1273" t="s">
        <v>1641</v>
      </c>
      <c r="E1273" t="s">
        <v>1316</v>
      </c>
      <c r="J1273" t="s">
        <v>1407</v>
      </c>
      <c r="N1273">
        <v>0</v>
      </c>
      <c r="O1273">
        <f>_xlfn.XLOOKUP(VALINA[[#This Row],[id]],prov_color!A:A,prov_color!C:C)</f>
        <v>170</v>
      </c>
      <c r="P1273" t="str">
        <f>_xlfn.XLOOKUP(VALINA[[#This Row],[id]],Table4[id],Table4[name])</f>
        <v>Eastern Australia</v>
      </c>
      <c r="Q1273" t="str">
        <f>_xlfn.XLOOKUP(VALINA[[#This Row],[name]],Trans!A:A,Trans!B:B)</f>
        <v>Eastern Australia</v>
      </c>
    </row>
    <row r="1274" spans="1:17" x14ac:dyDescent="0.25">
      <c r="A1274">
        <v>1273</v>
      </c>
      <c r="B1274" t="s">
        <v>990</v>
      </c>
      <c r="C1274" t="s">
        <v>1677</v>
      </c>
      <c r="D1274" t="s">
        <v>1641</v>
      </c>
      <c r="E1274" t="s">
        <v>1316</v>
      </c>
      <c r="J1274" t="s">
        <v>1408</v>
      </c>
      <c r="N1274">
        <v>0</v>
      </c>
      <c r="O1274">
        <f>_xlfn.XLOOKUP(VALINA[[#This Row],[id]],prov_color!A:A,prov_color!C:C)</f>
        <v>76</v>
      </c>
      <c r="P1274" t="str">
        <f>_xlfn.XLOOKUP(VALINA[[#This Row],[id]],Table4[id],Table4[name])</f>
        <v>Sandy Cape</v>
      </c>
      <c r="Q1274" t="str">
        <f>_xlfn.XLOOKUP(VALINA[[#This Row],[name]],Trans!A:A,Trans!B:B)</f>
        <v>Sandy Cape</v>
      </c>
    </row>
    <row r="1275" spans="1:17" x14ac:dyDescent="0.25">
      <c r="A1275">
        <v>1274</v>
      </c>
      <c r="B1275" t="s">
        <v>990</v>
      </c>
      <c r="C1275" t="s">
        <v>1677</v>
      </c>
      <c r="D1275" t="s">
        <v>1641</v>
      </c>
      <c r="E1275" t="s">
        <v>1316</v>
      </c>
      <c r="J1275" t="s">
        <v>1409</v>
      </c>
      <c r="N1275">
        <v>0</v>
      </c>
      <c r="O1275">
        <f>_xlfn.XLOOKUP(VALINA[[#This Row],[id]],prov_color!A:A,prov_color!C:C)</f>
        <v>110</v>
      </c>
      <c r="P1275" t="str">
        <f>_xlfn.XLOOKUP(VALINA[[#This Row],[id]],Table4[id],Table4[name])</f>
        <v>Capricorn Channel</v>
      </c>
      <c r="Q1275" t="str">
        <f>_xlfn.XLOOKUP(VALINA[[#This Row],[name]],Trans!A:A,Trans!B:B)</f>
        <v>Capricorn Channel</v>
      </c>
    </row>
    <row r="1276" spans="1:17" x14ac:dyDescent="0.25">
      <c r="A1276">
        <v>1275</v>
      </c>
      <c r="B1276" t="s">
        <v>990</v>
      </c>
      <c r="C1276" t="s">
        <v>1677</v>
      </c>
      <c r="D1276" t="s">
        <v>1641</v>
      </c>
      <c r="E1276" t="s">
        <v>1316</v>
      </c>
      <c r="J1276" t="s">
        <v>1601</v>
      </c>
      <c r="N1276">
        <v>0</v>
      </c>
      <c r="O1276">
        <f>_xlfn.XLOOKUP(VALINA[[#This Row],[id]],prov_color!A:A,prov_color!C:C)</f>
        <v>191</v>
      </c>
      <c r="P1276" t="str">
        <f>_xlfn.XLOOKUP(VALINA[[#This Row],[id]],Table4[id],Table4[name])</f>
        <v>Coral Sea</v>
      </c>
      <c r="Q1276" t="str">
        <f>_xlfn.XLOOKUP(VALINA[[#This Row],[name]],Trans!A:A,Trans!B:B)</f>
        <v>Coral Sea</v>
      </c>
    </row>
    <row r="1277" spans="1:17" x14ac:dyDescent="0.25">
      <c r="A1277">
        <v>1276</v>
      </c>
      <c r="B1277" t="s">
        <v>990</v>
      </c>
      <c r="C1277" t="s">
        <v>1677</v>
      </c>
      <c r="D1277" t="s">
        <v>1641</v>
      </c>
      <c r="E1277" t="s">
        <v>1316</v>
      </c>
      <c r="J1277" t="s">
        <v>6464</v>
      </c>
      <c r="N1277">
        <v>0</v>
      </c>
      <c r="O1277">
        <f>_xlfn.XLOOKUP(VALINA[[#This Row],[id]],prov_color!A:A,prov_color!C:C)</f>
        <v>261</v>
      </c>
      <c r="P1277" t="str">
        <f>_xlfn.XLOOKUP(VALINA[[#This Row],[id]],Table4[id],Table4[name])</f>
        <v>Coral Sea 2</v>
      </c>
      <c r="Q1277" t="e">
        <f>_xlfn.XLOOKUP(VALINA[[#This Row],[name]],Trans!A:A,Trans!B:B)</f>
        <v>#N/A</v>
      </c>
    </row>
    <row r="1278" spans="1:17" x14ac:dyDescent="0.25">
      <c r="A1278">
        <v>1277</v>
      </c>
      <c r="B1278" t="s">
        <v>990</v>
      </c>
      <c r="C1278" t="s">
        <v>1677</v>
      </c>
      <c r="D1278" t="s">
        <v>1641</v>
      </c>
      <c r="E1278" t="s">
        <v>1316</v>
      </c>
      <c r="J1278" t="s">
        <v>1602</v>
      </c>
      <c r="N1278">
        <v>0</v>
      </c>
      <c r="O1278">
        <f>_xlfn.XLOOKUP(VALINA[[#This Row],[id]],prov_color!A:A,prov_color!C:C)</f>
        <v>167</v>
      </c>
      <c r="P1278" t="str">
        <f>_xlfn.XLOOKUP(VALINA[[#This Row],[id]],Table4[id],Table4[name])</f>
        <v>South Coral Sea</v>
      </c>
      <c r="Q1278" t="str">
        <f>_xlfn.XLOOKUP(VALINA[[#This Row],[name]],Trans!A:A,Trans!B:B)</f>
        <v>South Coral Sea</v>
      </c>
    </row>
    <row r="1279" spans="1:17" x14ac:dyDescent="0.25">
      <c r="A1279">
        <v>1278</v>
      </c>
      <c r="B1279" t="s">
        <v>990</v>
      </c>
      <c r="C1279" t="s">
        <v>1677</v>
      </c>
      <c r="D1279" t="s">
        <v>1641</v>
      </c>
      <c r="E1279" t="s">
        <v>1316</v>
      </c>
      <c r="J1279" t="s">
        <v>1841</v>
      </c>
      <c r="N1279">
        <v>0</v>
      </c>
      <c r="O1279">
        <f>_xlfn.XLOOKUP(VALINA[[#This Row],[id]],prov_color!A:A,prov_color!C:C)</f>
        <v>217</v>
      </c>
      <c r="P1279" t="str">
        <f>_xlfn.XLOOKUP(VALINA[[#This Row],[id]],Table4[id],Table4[name])</f>
        <v>New Caledonian Sea</v>
      </c>
      <c r="Q1279" t="str">
        <f>_xlfn.XLOOKUP(VALINA[[#This Row],[name]],Trans!A:A,Trans!B:B)</f>
        <v>New Caledonian Sea</v>
      </c>
    </row>
    <row r="1280" spans="1:17" x14ac:dyDescent="0.25">
      <c r="A1280">
        <v>1279</v>
      </c>
      <c r="B1280" t="s">
        <v>990</v>
      </c>
      <c r="C1280" t="s">
        <v>1677</v>
      </c>
      <c r="D1280" t="s">
        <v>1641</v>
      </c>
      <c r="E1280" t="s">
        <v>1316</v>
      </c>
      <c r="J1280" t="s">
        <v>6465</v>
      </c>
      <c r="N1280">
        <v>0</v>
      </c>
      <c r="O1280">
        <f>_xlfn.XLOOKUP(VALINA[[#This Row],[id]],prov_color!A:A,prov_color!C:C)</f>
        <v>199</v>
      </c>
      <c r="P1280" t="str">
        <f>_xlfn.XLOOKUP(VALINA[[#This Row],[id]],Table4[id],Table4[name])</f>
        <v>South Coral Sea 2</v>
      </c>
      <c r="Q1280" t="e">
        <f>_xlfn.XLOOKUP(VALINA[[#This Row],[name]],Trans!A:A,Trans!B:B)</f>
        <v>#N/A</v>
      </c>
    </row>
    <row r="1281" spans="1:17" x14ac:dyDescent="0.25">
      <c r="A1281">
        <v>1280</v>
      </c>
      <c r="B1281" t="s">
        <v>990</v>
      </c>
      <c r="C1281" t="s">
        <v>1677</v>
      </c>
      <c r="D1281" t="s">
        <v>1641</v>
      </c>
      <c r="E1281" t="s">
        <v>1316</v>
      </c>
      <c r="J1281" t="s">
        <v>1604</v>
      </c>
      <c r="N1281">
        <v>0</v>
      </c>
      <c r="O1281">
        <f>_xlfn.XLOOKUP(VALINA[[#This Row],[id]],prov_color!A:A,prov_color!C:C)</f>
        <v>137</v>
      </c>
      <c r="P1281" t="str">
        <f>_xlfn.XLOOKUP(VALINA[[#This Row],[id]],Table4[id],Table4[name])</f>
        <v>Cape Farewell</v>
      </c>
      <c r="Q1281" t="str">
        <f>_xlfn.XLOOKUP(VALINA[[#This Row],[name]],Trans!A:A,Trans!B:B)</f>
        <v>Cape Farewell</v>
      </c>
    </row>
    <row r="1282" spans="1:17" x14ac:dyDescent="0.25">
      <c r="A1282">
        <v>1281</v>
      </c>
      <c r="B1282" t="s">
        <v>990</v>
      </c>
      <c r="C1282" t="s">
        <v>1677</v>
      </c>
      <c r="D1282" t="s">
        <v>1641</v>
      </c>
      <c r="E1282" t="s">
        <v>1316</v>
      </c>
      <c r="J1282" t="s">
        <v>6466</v>
      </c>
      <c r="N1282">
        <v>0</v>
      </c>
      <c r="O1282">
        <f>_xlfn.XLOOKUP(VALINA[[#This Row],[id]],prov_color!A:A,prov_color!C:C)</f>
        <v>466</v>
      </c>
      <c r="P1282" t="str">
        <f>_xlfn.XLOOKUP(VALINA[[#This Row],[id]],Table4[id],Table4[name])</f>
        <v>South Coral Sea 3</v>
      </c>
      <c r="Q1282" t="e">
        <f>_xlfn.XLOOKUP(VALINA[[#This Row],[name]],Trans!A:A,Trans!B:B)</f>
        <v>#N/A</v>
      </c>
    </row>
    <row r="1283" spans="1:17" x14ac:dyDescent="0.25">
      <c r="A1283">
        <v>1282</v>
      </c>
      <c r="B1283" t="s">
        <v>990</v>
      </c>
      <c r="C1283" t="s">
        <v>1677</v>
      </c>
      <c r="D1283" t="s">
        <v>1641</v>
      </c>
      <c r="E1283" t="s">
        <v>1316</v>
      </c>
      <c r="J1283" t="s">
        <v>1815</v>
      </c>
      <c r="N1283">
        <v>0</v>
      </c>
      <c r="O1283">
        <f>_xlfn.XLOOKUP(VALINA[[#This Row],[id]],prov_color!A:A,prov_color!C:C)</f>
        <v>603</v>
      </c>
      <c r="P1283" t="str">
        <f>_xlfn.XLOOKUP(VALINA[[#This Row],[id]],Table4[id],Table4[name])</f>
        <v>South Pacific Ocean</v>
      </c>
      <c r="Q1283" t="str">
        <f>_xlfn.XLOOKUP(VALINA[[#This Row],[name]],Trans!A:A,Trans!B:B)</f>
        <v>South Pacific Ocean</v>
      </c>
    </row>
    <row r="1284" spans="1:17" x14ac:dyDescent="0.25">
      <c r="A1284">
        <v>1283</v>
      </c>
      <c r="B1284" t="s">
        <v>990</v>
      </c>
      <c r="C1284" t="s">
        <v>1661</v>
      </c>
      <c r="D1284" t="s">
        <v>1641</v>
      </c>
      <c r="E1284" t="s">
        <v>1316</v>
      </c>
      <c r="J1284" t="s">
        <v>1815</v>
      </c>
      <c r="N1284">
        <v>0</v>
      </c>
      <c r="O1284">
        <f>_xlfn.XLOOKUP(VALINA[[#This Row],[id]],prov_color!A:A,prov_color!C:C)</f>
        <v>956</v>
      </c>
      <c r="P1284" t="str">
        <f>_xlfn.XLOOKUP(VALINA[[#This Row],[id]],Table4[id],Table4[name])</f>
        <v>South Pacific Ocean</v>
      </c>
      <c r="Q1284" t="str">
        <f>_xlfn.XLOOKUP(VALINA[[#This Row],[name]],Trans!A:A,Trans!B:B)</f>
        <v>South Pacific Ocean</v>
      </c>
    </row>
    <row r="1285" spans="1:17" x14ac:dyDescent="0.25">
      <c r="A1285">
        <v>1284</v>
      </c>
      <c r="B1285" t="s">
        <v>990</v>
      </c>
      <c r="C1285" t="s">
        <v>1661</v>
      </c>
      <c r="D1285" t="s">
        <v>1641</v>
      </c>
      <c r="E1285" t="s">
        <v>1316</v>
      </c>
      <c r="J1285" t="s">
        <v>1815</v>
      </c>
      <c r="N1285">
        <v>0</v>
      </c>
      <c r="O1285">
        <f>_xlfn.XLOOKUP(VALINA[[#This Row],[id]],prov_color!A:A,prov_color!C:C)</f>
        <v>465</v>
      </c>
      <c r="P1285" t="str">
        <f>_xlfn.XLOOKUP(VALINA[[#This Row],[id]],Table4[id],Table4[name])</f>
        <v>South Pacific Ocean</v>
      </c>
      <c r="Q1285" t="str">
        <f>_xlfn.XLOOKUP(VALINA[[#This Row],[name]],Trans!A:A,Trans!B:B)</f>
        <v>South Pacific Ocean</v>
      </c>
    </row>
    <row r="1286" spans="1:17" x14ac:dyDescent="0.25">
      <c r="A1286">
        <v>1285</v>
      </c>
      <c r="B1286" t="s">
        <v>990</v>
      </c>
      <c r="C1286" t="s">
        <v>1661</v>
      </c>
      <c r="D1286" t="s">
        <v>1641</v>
      </c>
      <c r="E1286" t="s">
        <v>1316</v>
      </c>
      <c r="J1286" t="s">
        <v>1815</v>
      </c>
      <c r="N1286">
        <v>0</v>
      </c>
      <c r="O1286">
        <f>_xlfn.XLOOKUP(VALINA[[#This Row],[id]],prov_color!A:A,prov_color!C:C)</f>
        <v>457</v>
      </c>
      <c r="P1286" t="str">
        <f>_xlfn.XLOOKUP(VALINA[[#This Row],[id]],Table4[id],Table4[name])</f>
        <v>South Pacific Ocean</v>
      </c>
      <c r="Q1286" t="str">
        <f>_xlfn.XLOOKUP(VALINA[[#This Row],[name]],Trans!A:A,Trans!B:B)</f>
        <v>South Pacific Ocean</v>
      </c>
    </row>
    <row r="1287" spans="1:17" x14ac:dyDescent="0.25">
      <c r="A1287">
        <v>1286</v>
      </c>
      <c r="B1287" t="s">
        <v>990</v>
      </c>
      <c r="C1287" t="s">
        <v>1661</v>
      </c>
      <c r="D1287" t="s">
        <v>1641</v>
      </c>
      <c r="E1287" t="s">
        <v>1316</v>
      </c>
      <c r="J1287" t="s">
        <v>1815</v>
      </c>
      <c r="N1287">
        <v>0</v>
      </c>
      <c r="O1287">
        <f>_xlfn.XLOOKUP(VALINA[[#This Row],[id]],prov_color!A:A,prov_color!C:C)</f>
        <v>467</v>
      </c>
      <c r="P1287" t="str">
        <f>_xlfn.XLOOKUP(VALINA[[#This Row],[id]],Table4[id],Table4[name])</f>
        <v>South Pacific Ocean</v>
      </c>
      <c r="Q1287" t="str">
        <f>_xlfn.XLOOKUP(VALINA[[#This Row],[name]],Trans!A:A,Trans!B:B)</f>
        <v>South Pacific Ocean</v>
      </c>
    </row>
    <row r="1288" spans="1:17" x14ac:dyDescent="0.25">
      <c r="A1288">
        <v>1287</v>
      </c>
      <c r="B1288" t="s">
        <v>990</v>
      </c>
      <c r="C1288" t="s">
        <v>1661</v>
      </c>
      <c r="D1288" t="s">
        <v>1641</v>
      </c>
      <c r="E1288" t="s">
        <v>1316</v>
      </c>
      <c r="J1288" t="s">
        <v>1815</v>
      </c>
      <c r="N1288">
        <v>0</v>
      </c>
      <c r="O1288">
        <f>_xlfn.XLOOKUP(VALINA[[#This Row],[id]],prov_color!A:A,prov_color!C:C)</f>
        <v>324</v>
      </c>
      <c r="P1288" t="str">
        <f>_xlfn.XLOOKUP(VALINA[[#This Row],[id]],Table4[id],Table4[name])</f>
        <v>South Pacific Ocean</v>
      </c>
      <c r="Q1288" t="str">
        <f>_xlfn.XLOOKUP(VALINA[[#This Row],[name]],Trans!A:A,Trans!B:B)</f>
        <v>South Pacific Ocean</v>
      </c>
    </row>
    <row r="1289" spans="1:17" x14ac:dyDescent="0.25">
      <c r="A1289">
        <v>1288</v>
      </c>
      <c r="B1289" t="s">
        <v>11</v>
      </c>
      <c r="C1289" t="s">
        <v>1661</v>
      </c>
      <c r="D1289" t="s">
        <v>1641</v>
      </c>
      <c r="E1289" t="s">
        <v>1316</v>
      </c>
      <c r="J1289" t="s">
        <v>1815</v>
      </c>
      <c r="N1289">
        <v>0</v>
      </c>
      <c r="O1289">
        <f>_xlfn.XLOOKUP(VALINA[[#This Row],[id]],prov_color!A:A,prov_color!C:C)</f>
        <v>122</v>
      </c>
      <c r="P1289" t="str">
        <f>_xlfn.XLOOKUP(VALINA[[#This Row],[id]],Table4[id],Table4[name])</f>
        <v>South Pacific Ocean</v>
      </c>
      <c r="Q1289" t="str">
        <f>_xlfn.XLOOKUP(VALINA[[#This Row],[name]],Trans!A:A,Trans!B:B)</f>
        <v>South Pacific Ocean</v>
      </c>
    </row>
    <row r="1290" spans="1:17" x14ac:dyDescent="0.25">
      <c r="A1290">
        <v>1289</v>
      </c>
      <c r="B1290" t="s">
        <v>11</v>
      </c>
      <c r="C1290" t="s">
        <v>1673</v>
      </c>
      <c r="D1290" t="s">
        <v>1641</v>
      </c>
      <c r="E1290" t="s">
        <v>1316</v>
      </c>
      <c r="J1290" t="s">
        <v>1835</v>
      </c>
      <c r="N1290">
        <v>0</v>
      </c>
      <c r="O1290">
        <f>_xlfn.XLOOKUP(VALINA[[#This Row],[id]],prov_color!A:A,prov_color!C:C)</f>
        <v>84</v>
      </c>
      <c r="P1290" t="str">
        <f>_xlfn.XLOOKUP(VALINA[[#This Row],[id]],Table4[id],Table4[name])</f>
        <v>Southern Atlantic Ocean</v>
      </c>
      <c r="Q1290" t="str">
        <f>_xlfn.XLOOKUP(VALINA[[#This Row],[name]],Trans!A:A,Trans!B:B)</f>
        <v>Southern Atlantic Ocean</v>
      </c>
    </row>
    <row r="1291" spans="1:17" x14ac:dyDescent="0.25">
      <c r="A1291">
        <v>1290</v>
      </c>
      <c r="B1291" t="s">
        <v>11</v>
      </c>
      <c r="C1291" t="s">
        <v>1673</v>
      </c>
      <c r="D1291" t="s">
        <v>1641</v>
      </c>
      <c r="E1291" t="s">
        <v>1316</v>
      </c>
      <c r="J1291" t="s">
        <v>1835</v>
      </c>
      <c r="N1291">
        <v>0</v>
      </c>
      <c r="O1291">
        <f>_xlfn.XLOOKUP(VALINA[[#This Row],[id]],prov_color!A:A,prov_color!C:C)</f>
        <v>188</v>
      </c>
      <c r="P1291" t="str">
        <f>_xlfn.XLOOKUP(VALINA[[#This Row],[id]],Table4[id],Table4[name])</f>
        <v>Southern Atlantic Ocean</v>
      </c>
      <c r="Q1291" t="str">
        <f>_xlfn.XLOOKUP(VALINA[[#This Row],[name]],Trans!A:A,Trans!B:B)</f>
        <v>Southern Atlantic Ocean</v>
      </c>
    </row>
    <row r="1292" spans="1:17" x14ac:dyDescent="0.25">
      <c r="A1292">
        <v>1291</v>
      </c>
      <c r="B1292" t="s">
        <v>11</v>
      </c>
      <c r="C1292" t="s">
        <v>1673</v>
      </c>
      <c r="D1292" t="s">
        <v>1641</v>
      </c>
      <c r="E1292" t="s">
        <v>1316</v>
      </c>
      <c r="J1292" t="s">
        <v>1835</v>
      </c>
      <c r="N1292">
        <v>0</v>
      </c>
      <c r="O1292">
        <f>_xlfn.XLOOKUP(VALINA[[#This Row],[id]],prov_color!A:A,prov_color!C:C)</f>
        <v>291</v>
      </c>
      <c r="P1292" t="str">
        <f>_xlfn.XLOOKUP(VALINA[[#This Row],[id]],Table4[id],Table4[name])</f>
        <v>Southern Atlantic Ocean</v>
      </c>
      <c r="Q1292" t="str">
        <f>_xlfn.XLOOKUP(VALINA[[#This Row],[name]],Trans!A:A,Trans!B:B)</f>
        <v>Southern Atlantic Ocean</v>
      </c>
    </row>
    <row r="1293" spans="1:17" x14ac:dyDescent="0.25">
      <c r="A1293">
        <v>1292</v>
      </c>
      <c r="B1293" t="s">
        <v>1016</v>
      </c>
      <c r="C1293" t="s">
        <v>1670</v>
      </c>
      <c r="D1293" t="s">
        <v>1641</v>
      </c>
      <c r="E1293" t="s">
        <v>1316</v>
      </c>
      <c r="J1293" t="s">
        <v>1835</v>
      </c>
      <c r="N1293">
        <v>0</v>
      </c>
      <c r="O1293">
        <f>_xlfn.XLOOKUP(VALINA[[#This Row],[id]],prov_color!A:A,prov_color!C:C)</f>
        <v>858</v>
      </c>
      <c r="P1293" t="str">
        <f>_xlfn.XLOOKUP(VALINA[[#This Row],[id]],Table4[id],Table4[name])</f>
        <v>Southern Atlantic Ocean</v>
      </c>
      <c r="Q1293" t="str">
        <f>_xlfn.XLOOKUP(VALINA[[#This Row],[name]],Trans!A:A,Trans!B:B)</f>
        <v>Southern Atlantic Ocean</v>
      </c>
    </row>
    <row r="1294" spans="1:17" x14ac:dyDescent="0.25">
      <c r="A1294">
        <v>1293</v>
      </c>
      <c r="B1294" t="s">
        <v>1016</v>
      </c>
      <c r="C1294" t="s">
        <v>1670</v>
      </c>
      <c r="D1294" t="s">
        <v>1641</v>
      </c>
      <c r="E1294" t="s">
        <v>1316</v>
      </c>
      <c r="J1294" t="s">
        <v>1835</v>
      </c>
      <c r="N1294">
        <v>0</v>
      </c>
      <c r="O1294">
        <f>_xlfn.XLOOKUP(VALINA[[#This Row],[id]],prov_color!A:A,prov_color!C:C)</f>
        <v>426</v>
      </c>
      <c r="P1294" t="str">
        <f>_xlfn.XLOOKUP(VALINA[[#This Row],[id]],Table4[id],Table4[name])</f>
        <v>Southern Atlantic Ocean</v>
      </c>
      <c r="Q1294" t="str">
        <f>_xlfn.XLOOKUP(VALINA[[#This Row],[name]],Trans!A:A,Trans!B:B)</f>
        <v>Southern Atlantic Ocean</v>
      </c>
    </row>
    <row r="1295" spans="1:17" x14ac:dyDescent="0.25">
      <c r="A1295">
        <v>1294</v>
      </c>
      <c r="B1295" t="s">
        <v>1016</v>
      </c>
      <c r="C1295" t="s">
        <v>1670</v>
      </c>
      <c r="D1295" t="s">
        <v>1641</v>
      </c>
      <c r="E1295" t="s">
        <v>1316</v>
      </c>
      <c r="J1295" t="s">
        <v>1842</v>
      </c>
      <c r="N1295">
        <v>0</v>
      </c>
      <c r="O1295">
        <f>_xlfn.XLOOKUP(VALINA[[#This Row],[id]],prov_color!A:A,prov_color!C:C)</f>
        <v>119</v>
      </c>
      <c r="P1295" t="str">
        <f>_xlfn.XLOOKUP(VALINA[[#This Row],[id]],Table4[id],Table4[name])</f>
        <v>Cape of Storms</v>
      </c>
      <c r="Q1295" t="str">
        <f>_xlfn.XLOOKUP(VALINA[[#This Row],[name]],Trans!A:A,Trans!B:B)</f>
        <v>Cape of Storms</v>
      </c>
    </row>
    <row r="1296" spans="1:17" x14ac:dyDescent="0.25">
      <c r="A1296">
        <v>1295</v>
      </c>
      <c r="B1296" t="s">
        <v>1016</v>
      </c>
      <c r="C1296" t="s">
        <v>1671</v>
      </c>
      <c r="D1296" t="s">
        <v>1641</v>
      </c>
      <c r="E1296" t="s">
        <v>1316</v>
      </c>
      <c r="J1296" t="s">
        <v>1843</v>
      </c>
      <c r="N1296">
        <v>0</v>
      </c>
      <c r="O1296">
        <f>_xlfn.XLOOKUP(VALINA[[#This Row],[id]],prov_color!A:A,prov_color!C:C)</f>
        <v>124</v>
      </c>
      <c r="P1296" t="str">
        <f>_xlfn.XLOOKUP(VALINA[[#This Row],[id]],Table4[id],Table4[name])</f>
        <v>South Indian Ocean</v>
      </c>
      <c r="Q1296" t="str">
        <f>_xlfn.XLOOKUP(VALINA[[#This Row],[name]],Trans!A:A,Trans!B:B)</f>
        <v>South Indian Ocean</v>
      </c>
    </row>
    <row r="1297" spans="1:17" x14ac:dyDescent="0.25">
      <c r="A1297">
        <v>1296</v>
      </c>
      <c r="B1297" t="s">
        <v>1016</v>
      </c>
      <c r="C1297" t="s">
        <v>1671</v>
      </c>
      <c r="D1297" t="s">
        <v>1641</v>
      </c>
      <c r="E1297" t="s">
        <v>1316</v>
      </c>
      <c r="J1297" t="s">
        <v>1960</v>
      </c>
      <c r="N1297">
        <v>0</v>
      </c>
      <c r="O1297">
        <f>_xlfn.XLOOKUP(VALINA[[#This Row],[id]],prov_color!A:A,prov_color!C:C)</f>
        <v>202</v>
      </c>
      <c r="P1297" t="str">
        <f>_xlfn.XLOOKUP(VALINA[[#This Row],[id]],Table4[id],Table4[name])</f>
        <v>Southern Indian Ocean</v>
      </c>
      <c r="Q1297" t="str">
        <f>_xlfn.XLOOKUP(VALINA[[#This Row],[name]],Trans!A:A,Trans!B:B)</f>
        <v>Southern Indian Ocean</v>
      </c>
    </row>
    <row r="1298" spans="1:17" x14ac:dyDescent="0.25">
      <c r="A1298">
        <v>1297</v>
      </c>
      <c r="B1298" t="s">
        <v>1016</v>
      </c>
      <c r="C1298" t="s">
        <v>1671</v>
      </c>
      <c r="D1298" t="s">
        <v>1641</v>
      </c>
      <c r="E1298" t="s">
        <v>1316</v>
      </c>
      <c r="J1298" t="s">
        <v>1960</v>
      </c>
      <c r="N1298">
        <v>0</v>
      </c>
      <c r="O1298">
        <f>_xlfn.XLOOKUP(VALINA[[#This Row],[id]],prov_color!A:A,prov_color!C:C)</f>
        <v>328</v>
      </c>
      <c r="P1298" t="str">
        <f>_xlfn.XLOOKUP(VALINA[[#This Row],[id]],Table4[id],Table4[name])</f>
        <v>Southern Indian Ocean</v>
      </c>
      <c r="Q1298" t="str">
        <f>_xlfn.XLOOKUP(VALINA[[#This Row],[name]],Trans!A:A,Trans!B:B)</f>
        <v>Southern Indian Ocean</v>
      </c>
    </row>
    <row r="1299" spans="1:17" x14ac:dyDescent="0.25">
      <c r="A1299">
        <v>1298</v>
      </c>
      <c r="B1299" t="s">
        <v>1016</v>
      </c>
      <c r="C1299" t="s">
        <v>1671</v>
      </c>
      <c r="D1299" t="s">
        <v>1641</v>
      </c>
      <c r="E1299" t="s">
        <v>1316</v>
      </c>
      <c r="J1299" t="s">
        <v>1960</v>
      </c>
      <c r="N1299">
        <v>0</v>
      </c>
      <c r="O1299">
        <f>_xlfn.XLOOKUP(VALINA[[#This Row],[id]],prov_color!A:A,prov_color!C:C)</f>
        <v>271</v>
      </c>
      <c r="P1299" t="str">
        <f>_xlfn.XLOOKUP(VALINA[[#This Row],[id]],Table4[id],Table4[name])</f>
        <v>Southern Indian Ocean</v>
      </c>
      <c r="Q1299" t="str">
        <f>_xlfn.XLOOKUP(VALINA[[#This Row],[name]],Trans!A:A,Trans!B:B)</f>
        <v>Southern Indian Ocean</v>
      </c>
    </row>
    <row r="1300" spans="1:17" x14ac:dyDescent="0.25">
      <c r="A1300">
        <v>1299</v>
      </c>
      <c r="B1300" t="s">
        <v>1016</v>
      </c>
      <c r="C1300" t="s">
        <v>1671</v>
      </c>
      <c r="D1300" t="s">
        <v>1641</v>
      </c>
      <c r="E1300" t="s">
        <v>1316</v>
      </c>
      <c r="J1300" t="s">
        <v>1844</v>
      </c>
      <c r="N1300">
        <v>0</v>
      </c>
      <c r="O1300">
        <f>_xlfn.XLOOKUP(VALINA[[#This Row],[id]],prov_color!A:A,prov_color!C:C)</f>
        <v>448</v>
      </c>
      <c r="P1300" t="str">
        <f>_xlfn.XLOOKUP(VALINA[[#This Row],[id]],Table4[id],Table4[name])</f>
        <v>The Roaring Forties</v>
      </c>
      <c r="Q1300" t="str">
        <f>_xlfn.XLOOKUP(VALINA[[#This Row],[name]],Trans!A:A,Trans!B:B)</f>
        <v>The Roaring Forties</v>
      </c>
    </row>
    <row r="1301" spans="1:17" x14ac:dyDescent="0.25">
      <c r="A1301">
        <v>1300</v>
      </c>
      <c r="B1301" t="s">
        <v>1016</v>
      </c>
      <c r="C1301" t="s">
        <v>1674</v>
      </c>
      <c r="D1301" t="s">
        <v>1641</v>
      </c>
      <c r="E1301" t="s">
        <v>1316</v>
      </c>
      <c r="J1301" t="s">
        <v>1960</v>
      </c>
      <c r="N1301">
        <v>0</v>
      </c>
      <c r="O1301">
        <f>_xlfn.XLOOKUP(VALINA[[#This Row],[id]],prov_color!A:A,prov_color!C:C)</f>
        <v>286</v>
      </c>
      <c r="P1301" t="str">
        <f>_xlfn.XLOOKUP(VALINA[[#This Row],[id]],Table4[id],Table4[name])</f>
        <v>Southern Indian Ocean</v>
      </c>
      <c r="Q1301" t="str">
        <f>_xlfn.XLOOKUP(VALINA[[#This Row],[name]],Trans!A:A,Trans!B:B)</f>
        <v>Southern Indian Ocean</v>
      </c>
    </row>
    <row r="1302" spans="1:17" x14ac:dyDescent="0.25">
      <c r="A1302">
        <v>1301</v>
      </c>
      <c r="B1302" t="s">
        <v>1016</v>
      </c>
      <c r="C1302" t="s">
        <v>1674</v>
      </c>
      <c r="D1302" t="s">
        <v>1641</v>
      </c>
      <c r="E1302" t="s">
        <v>1316</v>
      </c>
      <c r="J1302" t="s">
        <v>1960</v>
      </c>
      <c r="N1302">
        <v>0</v>
      </c>
      <c r="O1302">
        <f>_xlfn.XLOOKUP(VALINA[[#This Row],[id]],prov_color!A:A,prov_color!C:C)</f>
        <v>332</v>
      </c>
      <c r="P1302" t="str">
        <f>_xlfn.XLOOKUP(VALINA[[#This Row],[id]],Table4[id],Table4[name])</f>
        <v>Southern Indian Ocean</v>
      </c>
      <c r="Q1302" t="str">
        <f>_xlfn.XLOOKUP(VALINA[[#This Row],[name]],Trans!A:A,Trans!B:B)</f>
        <v>Southern Indian Ocean</v>
      </c>
    </row>
    <row r="1303" spans="1:17" x14ac:dyDescent="0.25">
      <c r="A1303">
        <v>1302</v>
      </c>
      <c r="B1303" t="s">
        <v>990</v>
      </c>
      <c r="C1303" t="s">
        <v>1674</v>
      </c>
      <c r="D1303" t="s">
        <v>1641</v>
      </c>
      <c r="E1303" t="s">
        <v>1316</v>
      </c>
      <c r="J1303" t="s">
        <v>1960</v>
      </c>
      <c r="N1303">
        <v>0</v>
      </c>
      <c r="O1303">
        <f>_xlfn.XLOOKUP(VALINA[[#This Row],[id]],prov_color!A:A,prov_color!C:C)</f>
        <v>205</v>
      </c>
      <c r="P1303" t="str">
        <f>_xlfn.XLOOKUP(VALINA[[#This Row],[id]],Table4[id],Table4[name])</f>
        <v>Southern Indian Ocean</v>
      </c>
      <c r="Q1303" t="str">
        <f>_xlfn.XLOOKUP(VALINA[[#This Row],[name]],Trans!A:A,Trans!B:B)</f>
        <v>Southern Indian Ocean</v>
      </c>
    </row>
    <row r="1304" spans="1:17" x14ac:dyDescent="0.25">
      <c r="A1304">
        <v>1303</v>
      </c>
      <c r="B1304" t="s">
        <v>990</v>
      </c>
      <c r="C1304" t="s">
        <v>1674</v>
      </c>
      <c r="D1304" t="s">
        <v>1641</v>
      </c>
      <c r="E1304" t="s">
        <v>1316</v>
      </c>
      <c r="J1304" t="s">
        <v>1960</v>
      </c>
      <c r="N1304">
        <v>0</v>
      </c>
      <c r="O1304">
        <f>_xlfn.XLOOKUP(VALINA[[#This Row],[id]],prov_color!A:A,prov_color!C:C)</f>
        <v>375</v>
      </c>
      <c r="P1304" t="str">
        <f>_xlfn.XLOOKUP(VALINA[[#This Row],[id]],Table4[id],Table4[name])</f>
        <v>Southern Indian Ocean</v>
      </c>
      <c r="Q1304" t="str">
        <f>_xlfn.XLOOKUP(VALINA[[#This Row],[name]],Trans!A:A,Trans!B:B)</f>
        <v>Southern Indian Ocean</v>
      </c>
    </row>
    <row r="1305" spans="1:17" x14ac:dyDescent="0.25">
      <c r="A1305">
        <v>1304</v>
      </c>
      <c r="B1305" t="s">
        <v>990</v>
      </c>
      <c r="C1305" t="s">
        <v>1674</v>
      </c>
      <c r="D1305" t="s">
        <v>1641</v>
      </c>
      <c r="E1305" t="s">
        <v>1316</v>
      </c>
      <c r="J1305" t="s">
        <v>1960</v>
      </c>
      <c r="N1305">
        <v>0</v>
      </c>
      <c r="O1305">
        <f>_xlfn.XLOOKUP(VALINA[[#This Row],[id]],prov_color!A:A,prov_color!C:C)</f>
        <v>319</v>
      </c>
      <c r="P1305" t="str">
        <f>_xlfn.XLOOKUP(VALINA[[#This Row],[id]],Table4[id],Table4[name])</f>
        <v>Southern Indian Ocean</v>
      </c>
      <c r="Q1305" t="str">
        <f>_xlfn.XLOOKUP(VALINA[[#This Row],[name]],Trans!A:A,Trans!B:B)</f>
        <v>Southern Indian Ocean</v>
      </c>
    </row>
    <row r="1306" spans="1:17" x14ac:dyDescent="0.25">
      <c r="A1306">
        <v>1305</v>
      </c>
      <c r="B1306" t="s">
        <v>990</v>
      </c>
      <c r="C1306" t="s">
        <v>1674</v>
      </c>
      <c r="D1306" t="s">
        <v>1641</v>
      </c>
      <c r="E1306" t="s">
        <v>1316</v>
      </c>
      <c r="J1306" t="s">
        <v>1960</v>
      </c>
      <c r="N1306">
        <v>0</v>
      </c>
      <c r="O1306">
        <f>_xlfn.XLOOKUP(VALINA[[#This Row],[id]],prov_color!A:A,prov_color!C:C)</f>
        <v>188</v>
      </c>
      <c r="P1306" t="str">
        <f>_xlfn.XLOOKUP(VALINA[[#This Row],[id]],Table4[id],Table4[name])</f>
        <v>Southern Indian Ocean</v>
      </c>
      <c r="Q1306" t="str">
        <f>_xlfn.XLOOKUP(VALINA[[#This Row],[name]],Trans!A:A,Trans!B:B)</f>
        <v>Southern Indian Ocean</v>
      </c>
    </row>
    <row r="1307" spans="1:17" x14ac:dyDescent="0.25">
      <c r="A1307">
        <v>1306</v>
      </c>
      <c r="B1307" t="s">
        <v>990</v>
      </c>
      <c r="C1307" t="s">
        <v>1674</v>
      </c>
      <c r="D1307" t="s">
        <v>1641</v>
      </c>
      <c r="E1307" t="s">
        <v>1316</v>
      </c>
      <c r="J1307" t="s">
        <v>1960</v>
      </c>
      <c r="N1307">
        <v>0</v>
      </c>
      <c r="O1307">
        <f>_xlfn.XLOOKUP(VALINA[[#This Row],[id]],prov_color!A:A,prov_color!C:C)</f>
        <v>297</v>
      </c>
      <c r="P1307" t="str">
        <f>_xlfn.XLOOKUP(VALINA[[#This Row],[id]],Table4[id],Table4[name])</f>
        <v>Southern Indian Ocean</v>
      </c>
      <c r="Q1307" t="str">
        <f>_xlfn.XLOOKUP(VALINA[[#This Row],[name]],Trans!A:A,Trans!B:B)</f>
        <v>Southern Indian Ocean</v>
      </c>
    </row>
    <row r="1308" spans="1:17" x14ac:dyDescent="0.25">
      <c r="A1308">
        <v>1307</v>
      </c>
      <c r="B1308" t="s">
        <v>990</v>
      </c>
      <c r="C1308" t="s">
        <v>1674</v>
      </c>
      <c r="D1308" t="s">
        <v>1641</v>
      </c>
      <c r="E1308" t="s">
        <v>1316</v>
      </c>
      <c r="J1308" t="s">
        <v>1960</v>
      </c>
      <c r="N1308">
        <v>0</v>
      </c>
      <c r="O1308">
        <f>_xlfn.XLOOKUP(VALINA[[#This Row],[id]],prov_color!A:A,prov_color!C:C)</f>
        <v>184</v>
      </c>
      <c r="P1308" t="str">
        <f>_xlfn.XLOOKUP(VALINA[[#This Row],[id]],Table4[id],Table4[name])</f>
        <v>Southern Indian Ocean</v>
      </c>
      <c r="Q1308" t="str">
        <f>_xlfn.XLOOKUP(VALINA[[#This Row],[name]],Trans!A:A,Trans!B:B)</f>
        <v>Southern Indian Ocean</v>
      </c>
    </row>
    <row r="1309" spans="1:17" x14ac:dyDescent="0.25">
      <c r="A1309">
        <v>1308</v>
      </c>
      <c r="B1309" t="s">
        <v>990</v>
      </c>
      <c r="C1309" t="s">
        <v>1674</v>
      </c>
      <c r="D1309" t="s">
        <v>1641</v>
      </c>
      <c r="E1309" t="s">
        <v>1316</v>
      </c>
      <c r="J1309" t="s">
        <v>1960</v>
      </c>
      <c r="N1309">
        <v>0</v>
      </c>
      <c r="O1309">
        <f>_xlfn.XLOOKUP(VALINA[[#This Row],[id]],prov_color!A:A,prov_color!C:C)</f>
        <v>153</v>
      </c>
      <c r="P1309" t="str">
        <f>_xlfn.XLOOKUP(VALINA[[#This Row],[id]],Table4[id],Table4[name])</f>
        <v>Southern Indian Ocean</v>
      </c>
      <c r="Q1309" t="str">
        <f>_xlfn.XLOOKUP(VALINA[[#This Row],[name]],Trans!A:A,Trans!B:B)</f>
        <v>Southern Indian Ocean</v>
      </c>
    </row>
    <row r="1310" spans="1:17" x14ac:dyDescent="0.25">
      <c r="A1310">
        <v>1309</v>
      </c>
      <c r="B1310" t="s">
        <v>990</v>
      </c>
      <c r="C1310" t="s">
        <v>1674</v>
      </c>
      <c r="D1310" t="s">
        <v>1641</v>
      </c>
      <c r="E1310" t="s">
        <v>1316</v>
      </c>
      <c r="J1310" t="s">
        <v>1960</v>
      </c>
      <c r="N1310">
        <v>0</v>
      </c>
      <c r="O1310">
        <f>_xlfn.XLOOKUP(VALINA[[#This Row],[id]],prov_color!A:A,prov_color!C:C)</f>
        <v>120</v>
      </c>
      <c r="P1310" t="str">
        <f>_xlfn.XLOOKUP(VALINA[[#This Row],[id]],Table4[id],Table4[name])</f>
        <v>Southern Indian Ocean</v>
      </c>
      <c r="Q1310" t="str">
        <f>_xlfn.XLOOKUP(VALINA[[#This Row],[name]],Trans!A:A,Trans!B:B)</f>
        <v>Southern Indian Ocean</v>
      </c>
    </row>
    <row r="1311" spans="1:17" x14ac:dyDescent="0.25">
      <c r="A1311">
        <v>1310</v>
      </c>
      <c r="B1311" t="s">
        <v>990</v>
      </c>
      <c r="C1311" t="s">
        <v>1674</v>
      </c>
      <c r="D1311" t="s">
        <v>1641</v>
      </c>
      <c r="E1311" t="s">
        <v>1316</v>
      </c>
      <c r="J1311" t="s">
        <v>1960</v>
      </c>
      <c r="N1311">
        <v>0</v>
      </c>
      <c r="O1311">
        <f>_xlfn.XLOOKUP(VALINA[[#This Row],[id]],prov_color!A:A,prov_color!C:C)</f>
        <v>216</v>
      </c>
      <c r="P1311" t="str">
        <f>_xlfn.XLOOKUP(VALINA[[#This Row],[id]],Table4[id],Table4[name])</f>
        <v>Southern Indian Ocean</v>
      </c>
      <c r="Q1311" t="str">
        <f>_xlfn.XLOOKUP(VALINA[[#This Row],[name]],Trans!A:A,Trans!B:B)</f>
        <v>Southern Indian Ocean</v>
      </c>
    </row>
    <row r="1312" spans="1:17" x14ac:dyDescent="0.25">
      <c r="A1312">
        <v>1311</v>
      </c>
      <c r="B1312" t="s">
        <v>990</v>
      </c>
      <c r="C1312" t="s">
        <v>1674</v>
      </c>
      <c r="D1312" t="s">
        <v>1641</v>
      </c>
      <c r="E1312" t="s">
        <v>1316</v>
      </c>
      <c r="J1312" t="s">
        <v>1960</v>
      </c>
      <c r="N1312">
        <v>0</v>
      </c>
      <c r="O1312">
        <f>_xlfn.XLOOKUP(VALINA[[#This Row],[id]],prov_color!A:A,prov_color!C:C)</f>
        <v>175</v>
      </c>
      <c r="P1312" t="str">
        <f>_xlfn.XLOOKUP(VALINA[[#This Row],[id]],Table4[id],Table4[name])</f>
        <v>Southern Indian Ocean</v>
      </c>
      <c r="Q1312" t="str">
        <f>_xlfn.XLOOKUP(VALINA[[#This Row],[name]],Trans!A:A,Trans!B:B)</f>
        <v>Southern Indian Ocean</v>
      </c>
    </row>
    <row r="1313" spans="1:17" x14ac:dyDescent="0.25">
      <c r="A1313">
        <v>1312</v>
      </c>
      <c r="B1313" t="s">
        <v>990</v>
      </c>
      <c r="C1313" t="s">
        <v>1677</v>
      </c>
      <c r="D1313" t="s">
        <v>1641</v>
      </c>
      <c r="E1313" t="s">
        <v>1316</v>
      </c>
      <c r="J1313" t="s">
        <v>1845</v>
      </c>
      <c r="N1313">
        <v>0</v>
      </c>
      <c r="O1313">
        <f>_xlfn.XLOOKUP(VALINA[[#This Row],[id]],prov_color!A:A,prov_color!C:C)</f>
        <v>131</v>
      </c>
      <c r="P1313" t="str">
        <f>_xlfn.XLOOKUP(VALINA[[#This Row],[id]],Table4[id],Table4[name])</f>
        <v>Bass Strait</v>
      </c>
      <c r="Q1313" t="str">
        <f>_xlfn.XLOOKUP(VALINA[[#This Row],[name]],Trans!A:A,Trans!B:B)</f>
        <v>Bass Strait</v>
      </c>
    </row>
    <row r="1314" spans="1:17" x14ac:dyDescent="0.25">
      <c r="A1314">
        <v>1313</v>
      </c>
      <c r="B1314" t="s">
        <v>990</v>
      </c>
      <c r="C1314" t="s">
        <v>1677</v>
      </c>
      <c r="D1314" t="s">
        <v>1641</v>
      </c>
      <c r="E1314" t="s">
        <v>1316</v>
      </c>
      <c r="J1314" t="s">
        <v>1406</v>
      </c>
      <c r="N1314">
        <v>0</v>
      </c>
      <c r="O1314">
        <f>_xlfn.XLOOKUP(VALINA[[#This Row],[id]],prov_color!A:A,prov_color!C:C)</f>
        <v>123</v>
      </c>
      <c r="P1314" t="str">
        <f>_xlfn.XLOOKUP(VALINA[[#This Row],[id]],Table4[id],Table4[name])</f>
        <v>Cape Howe</v>
      </c>
      <c r="Q1314" t="str">
        <f>_xlfn.XLOOKUP(VALINA[[#This Row],[name]],Trans!A:A,Trans!B:B)</f>
        <v>Cape Howe</v>
      </c>
    </row>
    <row r="1315" spans="1:17" x14ac:dyDescent="0.25">
      <c r="A1315">
        <v>1314</v>
      </c>
      <c r="B1315" t="s">
        <v>990</v>
      </c>
      <c r="C1315" t="s">
        <v>1677</v>
      </c>
      <c r="D1315" t="s">
        <v>1641</v>
      </c>
      <c r="E1315" t="s">
        <v>1316</v>
      </c>
      <c r="J1315" t="s">
        <v>1405</v>
      </c>
      <c r="N1315">
        <v>0</v>
      </c>
      <c r="O1315">
        <f>_xlfn.XLOOKUP(VALINA[[#This Row],[id]],prov_color!A:A,prov_color!C:C)</f>
        <v>196</v>
      </c>
      <c r="P1315" t="str">
        <f>_xlfn.XLOOKUP(VALINA[[#This Row],[id]],Table4[id],Table4[name])</f>
        <v>Tasman Sea</v>
      </c>
      <c r="Q1315" t="str">
        <f>_xlfn.XLOOKUP(VALINA[[#This Row],[name]],Trans!A:A,Trans!B:B)</f>
        <v>Tasman Sea</v>
      </c>
    </row>
    <row r="1316" spans="1:17" x14ac:dyDescent="0.25">
      <c r="A1316">
        <v>1315</v>
      </c>
      <c r="B1316" t="s">
        <v>990</v>
      </c>
      <c r="C1316" t="s">
        <v>1677</v>
      </c>
      <c r="D1316" t="s">
        <v>1641</v>
      </c>
      <c r="E1316" t="s">
        <v>1316</v>
      </c>
      <c r="J1316" t="s">
        <v>6467</v>
      </c>
      <c r="N1316">
        <v>0</v>
      </c>
      <c r="O1316">
        <f>_xlfn.XLOOKUP(VALINA[[#This Row],[id]],prov_color!A:A,prov_color!C:C)</f>
        <v>163</v>
      </c>
      <c r="P1316" t="str">
        <f>_xlfn.XLOOKUP(VALINA[[#This Row],[id]],Table4[id],Table4[name])</f>
        <v>Tasman Sea 2</v>
      </c>
      <c r="Q1316" t="e">
        <f>_xlfn.XLOOKUP(VALINA[[#This Row],[name]],Trans!A:A,Trans!B:B)</f>
        <v>#N/A</v>
      </c>
    </row>
    <row r="1317" spans="1:17" x14ac:dyDescent="0.25">
      <c r="A1317">
        <v>1316</v>
      </c>
      <c r="B1317" t="s">
        <v>990</v>
      </c>
      <c r="C1317" t="s">
        <v>1677</v>
      </c>
      <c r="D1317" t="s">
        <v>1641</v>
      </c>
      <c r="E1317" t="s">
        <v>1316</v>
      </c>
      <c r="J1317" t="s">
        <v>6468</v>
      </c>
      <c r="N1317">
        <v>0</v>
      </c>
      <c r="O1317">
        <f>_xlfn.XLOOKUP(VALINA[[#This Row],[id]],prov_color!A:A,prov_color!C:C)</f>
        <v>164</v>
      </c>
      <c r="P1317" t="str">
        <f>_xlfn.XLOOKUP(VALINA[[#This Row],[id]],Table4[id],Table4[name])</f>
        <v>Tasman Sea 3</v>
      </c>
      <c r="Q1317" t="e">
        <f>_xlfn.XLOOKUP(VALINA[[#This Row],[name]],Trans!A:A,Trans!B:B)</f>
        <v>#N/A</v>
      </c>
    </row>
    <row r="1318" spans="1:17" x14ac:dyDescent="0.25">
      <c r="A1318">
        <v>1317</v>
      </c>
      <c r="B1318" t="s">
        <v>990</v>
      </c>
      <c r="C1318" t="s">
        <v>1677</v>
      </c>
      <c r="D1318" t="s">
        <v>1641</v>
      </c>
      <c r="E1318" t="s">
        <v>1316</v>
      </c>
      <c r="J1318" t="s">
        <v>6469</v>
      </c>
      <c r="N1318">
        <v>0</v>
      </c>
      <c r="O1318">
        <f>_xlfn.XLOOKUP(VALINA[[#This Row],[id]],prov_color!A:A,prov_color!C:C)</f>
        <v>126</v>
      </c>
      <c r="P1318" t="str">
        <f>_xlfn.XLOOKUP(VALINA[[#This Row],[id]],Table4[id],Table4[name])</f>
        <v>Tasman Sea 4</v>
      </c>
      <c r="Q1318" t="e">
        <f>_xlfn.XLOOKUP(VALINA[[#This Row],[name]],Trans!A:A,Trans!B:B)</f>
        <v>#N/A</v>
      </c>
    </row>
    <row r="1319" spans="1:17" x14ac:dyDescent="0.25">
      <c r="A1319">
        <v>1318</v>
      </c>
      <c r="B1319" t="s">
        <v>990</v>
      </c>
      <c r="C1319" t="s">
        <v>1677</v>
      </c>
      <c r="D1319" t="s">
        <v>1641</v>
      </c>
      <c r="E1319" t="s">
        <v>1316</v>
      </c>
      <c r="J1319" t="s">
        <v>1603</v>
      </c>
      <c r="N1319">
        <v>0</v>
      </c>
      <c r="O1319">
        <f>_xlfn.XLOOKUP(VALINA[[#This Row],[id]],prov_color!A:A,prov_color!C:C)</f>
        <v>97</v>
      </c>
      <c r="P1319" t="str">
        <f>_xlfn.XLOOKUP(VALINA[[#This Row],[id]],Table4[id],Table4[name])</f>
        <v>Cook Strait</v>
      </c>
      <c r="Q1319" t="str">
        <f>_xlfn.XLOOKUP(VALINA[[#This Row],[name]],Trans!A:A,Trans!B:B)</f>
        <v>Cook Strait</v>
      </c>
    </row>
    <row r="1320" spans="1:17" x14ac:dyDescent="0.25">
      <c r="A1320">
        <v>1319</v>
      </c>
      <c r="B1320" t="s">
        <v>990</v>
      </c>
      <c r="C1320" t="s">
        <v>1677</v>
      </c>
      <c r="D1320" t="s">
        <v>1641</v>
      </c>
      <c r="E1320" t="s">
        <v>1316</v>
      </c>
      <c r="J1320" t="s">
        <v>1815</v>
      </c>
      <c r="N1320">
        <v>0</v>
      </c>
      <c r="O1320">
        <f>_xlfn.XLOOKUP(VALINA[[#This Row],[id]],prov_color!A:A,prov_color!C:C)</f>
        <v>120</v>
      </c>
      <c r="P1320" t="str">
        <f>_xlfn.XLOOKUP(VALINA[[#This Row],[id]],Table4[id],Table4[name])</f>
        <v>South Pacific Ocean</v>
      </c>
      <c r="Q1320" t="str">
        <f>_xlfn.XLOOKUP(VALINA[[#This Row],[name]],Trans!A:A,Trans!B:B)</f>
        <v>South Pacific Ocean</v>
      </c>
    </row>
    <row r="1321" spans="1:17" x14ac:dyDescent="0.25">
      <c r="A1321">
        <v>1320</v>
      </c>
      <c r="B1321" t="s">
        <v>990</v>
      </c>
      <c r="C1321" t="s">
        <v>1677</v>
      </c>
      <c r="D1321" t="s">
        <v>1641</v>
      </c>
      <c r="E1321" t="s">
        <v>1316</v>
      </c>
      <c r="J1321" t="s">
        <v>1815</v>
      </c>
      <c r="N1321">
        <v>0</v>
      </c>
      <c r="O1321">
        <f>_xlfn.XLOOKUP(VALINA[[#This Row],[id]],prov_color!A:A,prov_color!C:C)</f>
        <v>289</v>
      </c>
      <c r="P1321" t="str">
        <f>_xlfn.XLOOKUP(VALINA[[#This Row],[id]],Table4[id],Table4[name])</f>
        <v>South Pacific Ocean</v>
      </c>
      <c r="Q1321" t="str">
        <f>_xlfn.XLOOKUP(VALINA[[#This Row],[name]],Trans!A:A,Trans!B:B)</f>
        <v>South Pacific Ocean</v>
      </c>
    </row>
    <row r="1322" spans="1:17" x14ac:dyDescent="0.25">
      <c r="A1322">
        <v>1321</v>
      </c>
      <c r="B1322" t="s">
        <v>653</v>
      </c>
      <c r="C1322" t="s">
        <v>1640</v>
      </c>
      <c r="D1322" t="s">
        <v>1641</v>
      </c>
      <c r="E1322" t="s">
        <v>1316</v>
      </c>
      <c r="J1322" t="s">
        <v>1746</v>
      </c>
      <c r="N1322">
        <v>0</v>
      </c>
      <c r="O1322">
        <f>_xlfn.XLOOKUP(VALINA[[#This Row],[id]],prov_color!A:A,prov_color!C:C)</f>
        <v>597</v>
      </c>
      <c r="P1322" t="str">
        <f>_xlfn.XLOOKUP(VALINA[[#This Row],[id]],Table4[id],Table4[name])</f>
        <v>Northern Pacific Ocean</v>
      </c>
      <c r="Q1322" t="str">
        <f>_xlfn.XLOOKUP(VALINA[[#This Row],[name]],Trans!A:A,Trans!B:B)</f>
        <v>Northern Pacific Ocean</v>
      </c>
    </row>
    <row r="1323" spans="1:17" x14ac:dyDescent="0.25">
      <c r="A1323">
        <v>1322</v>
      </c>
      <c r="B1323" t="s">
        <v>990</v>
      </c>
      <c r="C1323" t="s">
        <v>1661</v>
      </c>
      <c r="D1323" t="s">
        <v>1641</v>
      </c>
      <c r="E1323" t="s">
        <v>1316</v>
      </c>
      <c r="J1323" t="s">
        <v>1815</v>
      </c>
      <c r="N1323">
        <v>0</v>
      </c>
      <c r="O1323">
        <f>_xlfn.XLOOKUP(VALINA[[#This Row],[id]],prov_color!A:A,prov_color!C:C)</f>
        <v>1306</v>
      </c>
      <c r="P1323" t="str">
        <f>_xlfn.XLOOKUP(VALINA[[#This Row],[id]],Table4[id],Table4[name])</f>
        <v>South Pacific Ocean</v>
      </c>
      <c r="Q1323" t="str">
        <f>_xlfn.XLOOKUP(VALINA[[#This Row],[name]],Trans!A:A,Trans!B:B)</f>
        <v>South Pacific Ocean</v>
      </c>
    </row>
    <row r="1324" spans="1:17" x14ac:dyDescent="0.25">
      <c r="A1324">
        <v>1323</v>
      </c>
      <c r="B1324" t="s">
        <v>1016</v>
      </c>
      <c r="C1324" t="s">
        <v>1671</v>
      </c>
      <c r="D1324" t="s">
        <v>1641</v>
      </c>
      <c r="E1324" t="s">
        <v>1316</v>
      </c>
      <c r="J1324" t="s">
        <v>1591</v>
      </c>
      <c r="N1324">
        <v>0</v>
      </c>
      <c r="O1324">
        <f>_xlfn.XLOOKUP(VALINA[[#This Row],[id]],prov_color!A:A,prov_color!C:C)</f>
        <v>260</v>
      </c>
      <c r="P1324" t="str">
        <f>_xlfn.XLOOKUP(VALINA[[#This Row],[id]],Table4[id],Table4[name])</f>
        <v>The Mascareignes</v>
      </c>
      <c r="Q1324" t="str">
        <f>_xlfn.XLOOKUP(VALINA[[#This Row],[name]],Trans!A:A,Trans!B:B)</f>
        <v>The Mascareignes</v>
      </c>
    </row>
    <row r="1325" spans="1:17" x14ac:dyDescent="0.25">
      <c r="A1325">
        <v>1324</v>
      </c>
      <c r="B1325" t="s">
        <v>1016</v>
      </c>
      <c r="C1325" t="s">
        <v>1671</v>
      </c>
      <c r="D1325" t="s">
        <v>1641</v>
      </c>
      <c r="E1325" t="s">
        <v>1316</v>
      </c>
      <c r="J1325" t="s">
        <v>1589</v>
      </c>
      <c r="N1325">
        <v>0</v>
      </c>
      <c r="O1325">
        <f>_xlfn.XLOOKUP(VALINA[[#This Row],[id]],prov_color!A:A,prov_color!C:C)</f>
        <v>177</v>
      </c>
      <c r="P1325" t="str">
        <f>_xlfn.XLOOKUP(VALINA[[#This Row],[id]],Table4[id],Table4[name])</f>
        <v>Coast of Tamatave</v>
      </c>
      <c r="Q1325" t="str">
        <f>_xlfn.XLOOKUP(VALINA[[#This Row],[name]],Trans!A:A,Trans!B:B)</f>
        <v>Coast of Tamatave</v>
      </c>
    </row>
    <row r="1326" spans="1:17" x14ac:dyDescent="0.25">
      <c r="A1326">
        <v>1325</v>
      </c>
      <c r="B1326" t="s">
        <v>1016</v>
      </c>
      <c r="C1326" t="s">
        <v>1671</v>
      </c>
      <c r="D1326" t="s">
        <v>1641</v>
      </c>
      <c r="E1326" t="s">
        <v>1316</v>
      </c>
      <c r="J1326" t="s">
        <v>1588</v>
      </c>
      <c r="N1326">
        <v>0</v>
      </c>
      <c r="O1326">
        <f>_xlfn.XLOOKUP(VALINA[[#This Row],[id]],prov_color!A:A,prov_color!C:C)</f>
        <v>185</v>
      </c>
      <c r="P1326" t="str">
        <f>_xlfn.XLOOKUP(VALINA[[#This Row],[id]],Table4[id],Table4[name])</f>
        <v>Diego Suarez Bay</v>
      </c>
      <c r="Q1326" t="str">
        <f>_xlfn.XLOOKUP(VALINA[[#This Row],[name]],Trans!A:A,Trans!B:B)</f>
        <v>Diego Suarez Bay</v>
      </c>
    </row>
    <row r="1327" spans="1:17" x14ac:dyDescent="0.25">
      <c r="A1327">
        <v>1326</v>
      </c>
      <c r="B1327" t="s">
        <v>653</v>
      </c>
      <c r="C1327" t="s">
        <v>1680</v>
      </c>
      <c r="D1327" t="s">
        <v>1641</v>
      </c>
      <c r="E1327" t="s">
        <v>1316</v>
      </c>
      <c r="J1327" t="s">
        <v>1846</v>
      </c>
      <c r="N1327">
        <v>0</v>
      </c>
      <c r="O1327">
        <f>_xlfn.XLOOKUP(VALINA[[#This Row],[id]],prov_color!A:A,prov_color!C:C)</f>
        <v>153</v>
      </c>
      <c r="P1327" t="str">
        <f>_xlfn.XLOOKUP(VALINA[[#This Row],[id]],Table4[id],Table4[name])</f>
        <v>Northern Caspian Sea</v>
      </c>
      <c r="Q1327" t="str">
        <f>_xlfn.XLOOKUP(VALINA[[#This Row],[name]],Trans!A:A,Trans!B:B)</f>
        <v>Northern Caspian Sea</v>
      </c>
    </row>
    <row r="1328" spans="1:17" x14ac:dyDescent="0.25">
      <c r="A1328">
        <v>1327</v>
      </c>
      <c r="B1328" t="s">
        <v>653</v>
      </c>
      <c r="C1328" t="s">
        <v>1680</v>
      </c>
      <c r="D1328" t="s">
        <v>1641</v>
      </c>
      <c r="E1328" t="s">
        <v>1316</v>
      </c>
      <c r="J1328" t="s">
        <v>1847</v>
      </c>
      <c r="N1328">
        <v>0</v>
      </c>
      <c r="O1328">
        <f>_xlfn.XLOOKUP(VALINA[[#This Row],[id]],prov_color!A:A,prov_color!C:C)</f>
        <v>121</v>
      </c>
      <c r="P1328" t="str">
        <f>_xlfn.XLOOKUP(VALINA[[#This Row],[id]],Table4[id],Table4[name])</f>
        <v>Southern Caspian Sea</v>
      </c>
      <c r="Q1328" t="str">
        <f>_xlfn.XLOOKUP(VALINA[[#This Row],[name]],Trans!A:A,Trans!B:B)</f>
        <v>Southern Caspian Sea</v>
      </c>
    </row>
    <row r="1329" spans="1:17" x14ac:dyDescent="0.25">
      <c r="A1329">
        <v>1328</v>
      </c>
      <c r="B1329" t="s">
        <v>1016</v>
      </c>
      <c r="C1329" t="s">
        <v>1671</v>
      </c>
      <c r="D1329" t="s">
        <v>1641</v>
      </c>
      <c r="E1329" t="s">
        <v>1316</v>
      </c>
      <c r="J1329" t="s">
        <v>1504</v>
      </c>
      <c r="N1329">
        <v>0</v>
      </c>
      <c r="O1329">
        <f>_xlfn.XLOOKUP(VALINA[[#This Row],[id]],prov_color!A:A,prov_color!C:C)</f>
        <v>55</v>
      </c>
      <c r="P1329" t="str">
        <f>_xlfn.XLOOKUP(VALINA[[#This Row],[id]],Table4[id],Table4[name])</f>
        <v>Coast of Ciskei</v>
      </c>
      <c r="Q1329" t="str">
        <f>_xlfn.XLOOKUP(VALINA[[#This Row],[name]],Trans!A:A,Trans!B:B)</f>
        <v>Coast of Ciskei</v>
      </c>
    </row>
    <row r="1330" spans="1:17" x14ac:dyDescent="0.25">
      <c r="A1330">
        <v>1329</v>
      </c>
      <c r="B1330" t="s">
        <v>1016</v>
      </c>
      <c r="C1330" t="s">
        <v>1670</v>
      </c>
      <c r="D1330" t="s">
        <v>1641</v>
      </c>
      <c r="E1330" t="s">
        <v>1316</v>
      </c>
      <c r="J1330" t="s">
        <v>1502</v>
      </c>
      <c r="N1330">
        <v>0</v>
      </c>
      <c r="O1330">
        <f>_xlfn.XLOOKUP(VALINA[[#This Row],[id]],prov_color!A:A,prov_color!C:C)</f>
        <v>55</v>
      </c>
      <c r="P1330" t="str">
        <f>_xlfn.XLOOKUP(VALINA[[#This Row],[id]],Table4[id],Table4[name])</f>
        <v>Table Bay</v>
      </c>
      <c r="Q1330" t="str">
        <f>_xlfn.XLOOKUP(VALINA[[#This Row],[name]],Trans!A:A,Trans!B:B)</f>
        <v>Table Bay</v>
      </c>
    </row>
    <row r="1331" spans="1:17" x14ac:dyDescent="0.25">
      <c r="A1331">
        <v>1330</v>
      </c>
      <c r="B1331" t="s">
        <v>1016</v>
      </c>
      <c r="C1331" t="s">
        <v>1670</v>
      </c>
      <c r="D1331" t="s">
        <v>1641</v>
      </c>
      <c r="E1331" t="s">
        <v>1316</v>
      </c>
      <c r="J1331" t="s">
        <v>1835</v>
      </c>
      <c r="N1331">
        <v>0</v>
      </c>
      <c r="O1331">
        <f>_xlfn.XLOOKUP(VALINA[[#This Row],[id]],prov_color!A:A,prov_color!C:C)</f>
        <v>306</v>
      </c>
      <c r="P1331" t="str">
        <f>_xlfn.XLOOKUP(VALINA[[#This Row],[id]],Table4[id],Table4[name])</f>
        <v>Southern Atlantic Ocean</v>
      </c>
      <c r="Q1331" t="str">
        <f>_xlfn.XLOOKUP(VALINA[[#This Row],[name]],Trans!A:A,Trans!B:B)</f>
        <v>Southern Atlantic Ocean</v>
      </c>
    </row>
    <row r="1332" spans="1:17" x14ac:dyDescent="0.25">
      <c r="A1332">
        <v>1331</v>
      </c>
      <c r="B1332" t="s">
        <v>346</v>
      </c>
      <c r="C1332" t="s">
        <v>1649</v>
      </c>
      <c r="D1332" t="s">
        <v>1641</v>
      </c>
      <c r="E1332" t="s">
        <v>1316</v>
      </c>
      <c r="J1332" t="s">
        <v>1848</v>
      </c>
      <c r="N1332">
        <v>0</v>
      </c>
      <c r="O1332">
        <f>_xlfn.XLOOKUP(VALINA[[#This Row],[id]],prov_color!A:A,prov_color!C:C)</f>
        <v>38</v>
      </c>
      <c r="P1332" t="str">
        <f>_xlfn.XLOOKUP(VALINA[[#This Row],[id]],Table4[id],Table4[name])</f>
        <v>Saint George's Channel</v>
      </c>
      <c r="Q1332" t="str">
        <f>_xlfn.XLOOKUP(VALINA[[#This Row],[name]],Trans!A:A,Trans!B:B)</f>
        <v>Saint George's Channel</v>
      </c>
    </row>
    <row r="1333" spans="1:17" x14ac:dyDescent="0.25">
      <c r="A1333">
        <v>1332</v>
      </c>
      <c r="B1333" t="s">
        <v>990</v>
      </c>
      <c r="C1333" t="s">
        <v>1661</v>
      </c>
      <c r="D1333" t="s">
        <v>1641</v>
      </c>
      <c r="E1333" t="s">
        <v>1316</v>
      </c>
      <c r="J1333" t="s">
        <v>1790</v>
      </c>
      <c r="N1333">
        <v>0</v>
      </c>
      <c r="O1333">
        <f>_xlfn.XLOOKUP(VALINA[[#This Row],[id]],prov_color!A:A,prov_color!C:C)</f>
        <v>1295</v>
      </c>
      <c r="P1333" t="str">
        <f>_xlfn.XLOOKUP(VALINA[[#This Row],[id]],Table4[id],Table4[name])</f>
        <v>Central Pacific Ocean</v>
      </c>
      <c r="Q1333" t="str">
        <f>_xlfn.XLOOKUP(VALINA[[#This Row],[name]],Trans!A:A,Trans!B:B)</f>
        <v>Central Pacific Ocean</v>
      </c>
    </row>
    <row r="1334" spans="1:17" x14ac:dyDescent="0.25">
      <c r="A1334">
        <v>1333</v>
      </c>
      <c r="B1334" t="s">
        <v>990</v>
      </c>
      <c r="C1334" t="s">
        <v>1661</v>
      </c>
      <c r="D1334" t="s">
        <v>1641</v>
      </c>
      <c r="E1334" t="s">
        <v>1316</v>
      </c>
      <c r="J1334" t="s">
        <v>1815</v>
      </c>
      <c r="N1334">
        <v>0</v>
      </c>
      <c r="O1334">
        <f>_xlfn.XLOOKUP(VALINA[[#This Row],[id]],prov_color!A:A,prov_color!C:C)</f>
        <v>956</v>
      </c>
      <c r="P1334" t="str">
        <f>_xlfn.XLOOKUP(VALINA[[#This Row],[id]],Table4[id],Table4[name])</f>
        <v>South Pacific Ocean</v>
      </c>
      <c r="Q1334" t="str">
        <f>_xlfn.XLOOKUP(VALINA[[#This Row],[name]],Trans!A:A,Trans!B:B)</f>
        <v>South Pacific Ocean</v>
      </c>
    </row>
    <row r="1335" spans="1:17" x14ac:dyDescent="0.25">
      <c r="A1335">
        <v>1334</v>
      </c>
      <c r="B1335" t="s">
        <v>11</v>
      </c>
      <c r="C1335" t="s">
        <v>1673</v>
      </c>
      <c r="D1335" t="s">
        <v>1641</v>
      </c>
      <c r="E1335" t="s">
        <v>1316</v>
      </c>
      <c r="J1335" t="s">
        <v>1835</v>
      </c>
      <c r="N1335">
        <v>0</v>
      </c>
      <c r="O1335">
        <f>_xlfn.XLOOKUP(VALINA[[#This Row],[id]],prov_color!A:A,prov_color!C:C)</f>
        <v>510</v>
      </c>
      <c r="P1335" t="str">
        <f>_xlfn.XLOOKUP(VALINA[[#This Row],[id]],Table4[id],Table4[name])</f>
        <v>Southern Atlantic Ocean</v>
      </c>
      <c r="Q1335" t="str">
        <f>_xlfn.XLOOKUP(VALINA[[#This Row],[name]],Trans!A:A,Trans!B:B)</f>
        <v>Southern Atlantic Ocean</v>
      </c>
    </row>
    <row r="1336" spans="1:17" x14ac:dyDescent="0.25">
      <c r="A1336">
        <v>1335</v>
      </c>
      <c r="B1336" t="s">
        <v>11</v>
      </c>
      <c r="C1336" t="s">
        <v>1673</v>
      </c>
      <c r="D1336" t="s">
        <v>1641</v>
      </c>
      <c r="E1336" t="s">
        <v>1316</v>
      </c>
      <c r="J1336" t="s">
        <v>1556</v>
      </c>
      <c r="N1336">
        <v>0</v>
      </c>
      <c r="O1336">
        <f>_xlfn.XLOOKUP(VALINA[[#This Row],[id]],prov_color!A:A,prov_color!C:C)</f>
        <v>135</v>
      </c>
      <c r="P1336" t="str">
        <f>_xlfn.XLOOKUP(VALINA[[#This Row],[id]],Table4[id],Table4[name])</f>
        <v>Bahia Blanca</v>
      </c>
      <c r="Q1336" t="str">
        <f>_xlfn.XLOOKUP(VALINA[[#This Row],[name]],Trans!A:A,Trans!B:B)</f>
        <v>Bahia Blanca</v>
      </c>
    </row>
    <row r="1337" spans="1:17" x14ac:dyDescent="0.25">
      <c r="A1337">
        <v>1336</v>
      </c>
      <c r="B1337" t="s">
        <v>11</v>
      </c>
      <c r="C1337" t="s">
        <v>1661</v>
      </c>
      <c r="D1337" t="s">
        <v>1641</v>
      </c>
      <c r="E1337" t="s">
        <v>1316</v>
      </c>
      <c r="J1337" t="s">
        <v>1849</v>
      </c>
      <c r="N1337">
        <v>0</v>
      </c>
      <c r="O1337">
        <f>_xlfn.XLOOKUP(VALINA[[#This Row],[id]],prov_color!A:A,prov_color!C:C)</f>
        <v>387</v>
      </c>
      <c r="P1337" t="str">
        <f>_xlfn.XLOOKUP(VALINA[[#This Row],[id]],Table4[id],Table4[name])</f>
        <v>Easter Island</v>
      </c>
      <c r="Q1337" t="str">
        <f>_xlfn.XLOOKUP(VALINA[[#This Row],[name]],Trans!A:A,Trans!B:B)</f>
        <v>Easter Island</v>
      </c>
    </row>
    <row r="1338" spans="1:17" x14ac:dyDescent="0.25">
      <c r="A1338">
        <v>1337</v>
      </c>
      <c r="B1338" t="s">
        <v>990</v>
      </c>
      <c r="C1338" t="s">
        <v>1672</v>
      </c>
      <c r="D1338" t="s">
        <v>1641</v>
      </c>
      <c r="E1338" t="s">
        <v>1316</v>
      </c>
      <c r="J1338" t="s">
        <v>1419</v>
      </c>
      <c r="N1338">
        <v>0</v>
      </c>
      <c r="O1338">
        <f>_xlfn.XLOOKUP(VALINA[[#This Row],[id]],prov_color!A:A,prov_color!C:C)</f>
        <v>106</v>
      </c>
      <c r="P1338" t="str">
        <f>_xlfn.XLOOKUP(VALINA[[#This Row],[id]],Table4[id],Table4[name])</f>
        <v>Milne Bay</v>
      </c>
      <c r="Q1338" t="str">
        <f>_xlfn.XLOOKUP(VALINA[[#This Row],[name]],Trans!A:A,Trans!B:B)</f>
        <v>Milne Bay</v>
      </c>
    </row>
    <row r="1339" spans="1:17" x14ac:dyDescent="0.25">
      <c r="A1339">
        <v>1338</v>
      </c>
      <c r="B1339" t="s">
        <v>990</v>
      </c>
      <c r="C1339" t="s">
        <v>1672</v>
      </c>
      <c r="D1339" t="s">
        <v>1641</v>
      </c>
      <c r="E1339" t="s">
        <v>1316</v>
      </c>
      <c r="J1339" t="s">
        <v>1410</v>
      </c>
      <c r="N1339">
        <v>0</v>
      </c>
      <c r="O1339">
        <f>_xlfn.XLOOKUP(VALINA[[#This Row],[id]],prov_color!A:A,prov_color!C:C)</f>
        <v>155</v>
      </c>
      <c r="P1339" t="str">
        <f>_xlfn.XLOOKUP(VALINA[[#This Row],[id]],Table4[id],Table4[name])</f>
        <v>Great Barrier Reef</v>
      </c>
      <c r="Q1339" t="str">
        <f>_xlfn.XLOOKUP(VALINA[[#This Row],[name]],Trans!A:A,Trans!B:B)</f>
        <v>Great Barrier Reef</v>
      </c>
    </row>
    <row r="1340" spans="1:17" x14ac:dyDescent="0.25">
      <c r="A1340">
        <v>1339</v>
      </c>
      <c r="B1340" t="s">
        <v>990</v>
      </c>
      <c r="C1340" t="s">
        <v>1672</v>
      </c>
      <c r="D1340" t="s">
        <v>1641</v>
      </c>
      <c r="E1340" t="s">
        <v>1316</v>
      </c>
      <c r="J1340" t="s">
        <v>1416</v>
      </c>
      <c r="N1340">
        <v>0</v>
      </c>
      <c r="O1340">
        <f>_xlfn.XLOOKUP(VALINA[[#This Row],[id]],prov_color!A:A,prov_color!C:C)</f>
        <v>80</v>
      </c>
      <c r="P1340" t="str">
        <f>_xlfn.XLOOKUP(VALINA[[#This Row],[id]],Table4[id],Table4[name])</f>
        <v>Papuan Coast</v>
      </c>
      <c r="Q1340" t="str">
        <f>_xlfn.XLOOKUP(VALINA[[#This Row],[name]],Trans!A:A,Trans!B:B)</f>
        <v>Papuan Coast</v>
      </c>
    </row>
    <row r="1341" spans="1:17" x14ac:dyDescent="0.25">
      <c r="A1341">
        <v>1340</v>
      </c>
      <c r="B1341" t="s">
        <v>990</v>
      </c>
      <c r="C1341" t="s">
        <v>1672</v>
      </c>
      <c r="D1341" t="s">
        <v>1641</v>
      </c>
      <c r="E1341" t="s">
        <v>1316</v>
      </c>
      <c r="J1341" t="s">
        <v>1411</v>
      </c>
      <c r="N1341">
        <v>0</v>
      </c>
      <c r="O1341">
        <f>_xlfn.XLOOKUP(VALINA[[#This Row],[id]],prov_color!A:A,prov_color!C:C)</f>
        <v>77</v>
      </c>
      <c r="P1341" t="str">
        <f>_xlfn.XLOOKUP(VALINA[[#This Row],[id]],Table4[id],Table4[name])</f>
        <v>Kolepom Bay</v>
      </c>
      <c r="Q1341" t="str">
        <f>_xlfn.XLOOKUP(VALINA[[#This Row],[name]],Trans!A:A,Trans!B:B)</f>
        <v>Kolepom Bay</v>
      </c>
    </row>
    <row r="1342" spans="1:17" x14ac:dyDescent="0.25">
      <c r="A1342">
        <v>1341</v>
      </c>
      <c r="B1342" t="s">
        <v>990</v>
      </c>
      <c r="C1342" t="s">
        <v>1672</v>
      </c>
      <c r="D1342" t="s">
        <v>1641</v>
      </c>
      <c r="E1342" t="s">
        <v>1316</v>
      </c>
      <c r="J1342" t="s">
        <v>1850</v>
      </c>
      <c r="N1342">
        <v>0</v>
      </c>
      <c r="O1342">
        <f>_xlfn.XLOOKUP(VALINA[[#This Row],[id]],prov_color!A:A,prov_color!C:C)</f>
        <v>65</v>
      </c>
      <c r="P1342" t="str">
        <f>_xlfn.XLOOKUP(VALINA[[#This Row],[id]],Table4[id],Table4[name])</f>
        <v>Arafuan Sea</v>
      </c>
      <c r="Q1342" t="str">
        <f>_xlfn.XLOOKUP(VALINA[[#This Row],[name]],Trans!A:A,Trans!B:B)</f>
        <v>Arafura Sea</v>
      </c>
    </row>
    <row r="1343" spans="1:17" x14ac:dyDescent="0.25">
      <c r="A1343">
        <v>1342</v>
      </c>
      <c r="B1343" t="s">
        <v>990</v>
      </c>
      <c r="C1343" t="s">
        <v>1672</v>
      </c>
      <c r="D1343" t="s">
        <v>1641</v>
      </c>
      <c r="E1343" t="s">
        <v>1316</v>
      </c>
      <c r="J1343" t="s">
        <v>1851</v>
      </c>
      <c r="N1343">
        <v>0</v>
      </c>
      <c r="O1343">
        <f>_xlfn.XLOOKUP(VALINA[[#This Row],[id]],prov_color!A:A,prov_color!C:C)</f>
        <v>110</v>
      </c>
      <c r="P1343" t="str">
        <f>_xlfn.XLOOKUP(VALINA[[#This Row],[id]],Table4[id],Table4[name])</f>
        <v>Gulf of Carpentaria</v>
      </c>
      <c r="Q1343" t="str">
        <f>_xlfn.XLOOKUP(VALINA[[#This Row],[name]],Trans!A:A,Trans!B:B)</f>
        <v>Gulf of Carpentaria</v>
      </c>
    </row>
    <row r="1344" spans="1:17" x14ac:dyDescent="0.25">
      <c r="A1344">
        <v>1343</v>
      </c>
      <c r="B1344" t="s">
        <v>990</v>
      </c>
      <c r="C1344" t="s">
        <v>1672</v>
      </c>
      <c r="D1344" t="s">
        <v>1641</v>
      </c>
      <c r="E1344" t="s">
        <v>1316</v>
      </c>
      <c r="J1344" t="s">
        <v>1398</v>
      </c>
      <c r="N1344">
        <v>0</v>
      </c>
      <c r="O1344">
        <f>_xlfn.XLOOKUP(VALINA[[#This Row],[id]],prov_color!A:A,prov_color!C:C)</f>
        <v>80</v>
      </c>
      <c r="P1344" t="str">
        <f>_xlfn.XLOOKUP(VALINA[[#This Row],[id]],Table4[id],Table4[name])</f>
        <v>King Sound</v>
      </c>
      <c r="Q1344" t="str">
        <f>_xlfn.XLOOKUP(VALINA[[#This Row],[name]],Trans!A:A,Trans!B:B)</f>
        <v>King Sound</v>
      </c>
    </row>
    <row r="1345" spans="1:17" x14ac:dyDescent="0.25">
      <c r="A1345">
        <v>1344</v>
      </c>
      <c r="B1345" t="s">
        <v>990</v>
      </c>
      <c r="C1345" t="s">
        <v>1672</v>
      </c>
      <c r="D1345" t="s">
        <v>1641</v>
      </c>
      <c r="E1345" t="s">
        <v>1316</v>
      </c>
      <c r="J1345" t="s">
        <v>1397</v>
      </c>
      <c r="N1345">
        <v>0</v>
      </c>
      <c r="O1345">
        <f>_xlfn.XLOOKUP(VALINA[[#This Row],[id]],prov_color!A:A,prov_color!C:C)</f>
        <v>61</v>
      </c>
      <c r="P1345" t="str">
        <f>_xlfn.XLOOKUP(VALINA[[#This Row],[id]],Table4[id],Table4[name])</f>
        <v>South Timor Sea</v>
      </c>
      <c r="Q1345" t="str">
        <f>_xlfn.XLOOKUP(VALINA[[#This Row],[name]],Trans!A:A,Trans!B:B)</f>
        <v>South Timor Sea</v>
      </c>
    </row>
    <row r="1346" spans="1:17" x14ac:dyDescent="0.25">
      <c r="A1346">
        <v>1345</v>
      </c>
      <c r="B1346" t="s">
        <v>653</v>
      </c>
      <c r="C1346" t="s">
        <v>1672</v>
      </c>
      <c r="D1346" t="s">
        <v>1641</v>
      </c>
      <c r="E1346" t="s">
        <v>1316</v>
      </c>
      <c r="J1346" t="s">
        <v>6461</v>
      </c>
      <c r="N1346">
        <v>0</v>
      </c>
      <c r="O1346">
        <f>_xlfn.XLOOKUP(VALINA[[#This Row],[id]],prov_color!A:A,prov_color!C:C)</f>
        <v>89</v>
      </c>
      <c r="P1346" t="str">
        <f>_xlfn.XLOOKUP(VALINA[[#This Row],[id]],Table4[id],Table4[name])</f>
        <v>Timor Sea 2</v>
      </c>
      <c r="Q1346" t="e">
        <f>_xlfn.XLOOKUP(VALINA[[#This Row],[name]],Trans!A:A,Trans!B:B)</f>
        <v>#N/A</v>
      </c>
    </row>
    <row r="1347" spans="1:17" x14ac:dyDescent="0.25">
      <c r="A1347">
        <v>1346</v>
      </c>
      <c r="B1347" t="s">
        <v>653</v>
      </c>
      <c r="C1347" t="s">
        <v>1672</v>
      </c>
      <c r="D1347" t="s">
        <v>1641</v>
      </c>
      <c r="E1347" t="s">
        <v>1316</v>
      </c>
      <c r="J1347" t="s">
        <v>1852</v>
      </c>
      <c r="N1347">
        <v>0</v>
      </c>
      <c r="O1347">
        <f>_xlfn.XLOOKUP(VALINA[[#This Row],[id]],prov_color!A:A,prov_color!C:C)</f>
        <v>72</v>
      </c>
      <c r="P1347" t="str">
        <f>_xlfn.XLOOKUP(VALINA[[#This Row],[id]],Table4[id],Table4[name])</f>
        <v>Sea of Timor</v>
      </c>
      <c r="Q1347" t="str">
        <f>_xlfn.XLOOKUP(VALINA[[#This Row],[name]],Trans!A:A,Trans!B:B)</f>
        <v>Sea of Timor</v>
      </c>
    </row>
    <row r="1348" spans="1:17" x14ac:dyDescent="0.25">
      <c r="A1348">
        <v>1347</v>
      </c>
      <c r="B1348" t="s">
        <v>653</v>
      </c>
      <c r="C1348" t="s">
        <v>1672</v>
      </c>
      <c r="D1348" t="s">
        <v>1641</v>
      </c>
      <c r="E1348" t="s">
        <v>1316</v>
      </c>
      <c r="J1348" t="s">
        <v>1388</v>
      </c>
      <c r="N1348">
        <v>0</v>
      </c>
      <c r="O1348">
        <f>_xlfn.XLOOKUP(VALINA[[#This Row],[id]],prov_color!A:A,prov_color!C:C)</f>
        <v>54</v>
      </c>
      <c r="P1348" t="str">
        <f>_xlfn.XLOOKUP(VALINA[[#This Row],[id]],Table4[id],Table4[name])</f>
        <v>Straits of Lombok</v>
      </c>
      <c r="Q1348" t="str">
        <f>_xlfn.XLOOKUP(VALINA[[#This Row],[name]],Trans!A:A,Trans!B:B)</f>
        <v>Straits of Lombok</v>
      </c>
    </row>
    <row r="1349" spans="1:17" x14ac:dyDescent="0.25">
      <c r="A1349">
        <v>1348</v>
      </c>
      <c r="B1349" t="s">
        <v>653</v>
      </c>
      <c r="C1349" t="s">
        <v>1672</v>
      </c>
      <c r="D1349" t="s">
        <v>1641</v>
      </c>
      <c r="E1349" t="s">
        <v>1316</v>
      </c>
      <c r="J1349" t="s">
        <v>1380</v>
      </c>
      <c r="N1349">
        <v>0</v>
      </c>
      <c r="O1349">
        <f>_xlfn.XLOOKUP(VALINA[[#This Row],[id]],prov_color!A:A,prov_color!C:C)</f>
        <v>114</v>
      </c>
      <c r="P1349" t="str">
        <f>_xlfn.XLOOKUP(VALINA[[#This Row],[id]],Table4[id],Table4[name])</f>
        <v>Moro Gulf</v>
      </c>
      <c r="Q1349" t="str">
        <f>_xlfn.XLOOKUP(VALINA[[#This Row],[name]],Trans!A:A,Trans!B:B)</f>
        <v>Moro Gulf</v>
      </c>
    </row>
    <row r="1350" spans="1:17" x14ac:dyDescent="0.25">
      <c r="A1350">
        <v>1349</v>
      </c>
      <c r="B1350" t="s">
        <v>653</v>
      </c>
      <c r="C1350" t="s">
        <v>1672</v>
      </c>
      <c r="D1350" t="s">
        <v>1641</v>
      </c>
      <c r="E1350" t="s">
        <v>1316</v>
      </c>
      <c r="J1350" t="s">
        <v>1391</v>
      </c>
      <c r="N1350">
        <v>0</v>
      </c>
      <c r="O1350">
        <f>_xlfn.XLOOKUP(VALINA[[#This Row],[id]],prov_color!A:A,prov_color!C:C)</f>
        <v>96</v>
      </c>
      <c r="P1350" t="str">
        <f>_xlfn.XLOOKUP(VALINA[[#This Row],[id]],Table4[id],Table4[name])</f>
        <v>Sea of Palawan</v>
      </c>
      <c r="Q1350" t="str">
        <f>_xlfn.XLOOKUP(VALINA[[#This Row],[name]],Trans!A:A,Trans!B:B)</f>
        <v>Sea of Palawan</v>
      </c>
    </row>
    <row r="1351" spans="1:17" x14ac:dyDescent="0.25">
      <c r="A1351">
        <v>1350</v>
      </c>
      <c r="B1351" t="s">
        <v>653</v>
      </c>
      <c r="C1351" t="s">
        <v>1672</v>
      </c>
      <c r="D1351" t="s">
        <v>1641</v>
      </c>
      <c r="E1351" t="s">
        <v>1316</v>
      </c>
      <c r="J1351" t="s">
        <v>1392</v>
      </c>
      <c r="N1351">
        <v>0</v>
      </c>
      <c r="O1351">
        <f>_xlfn.XLOOKUP(VALINA[[#This Row],[id]],prov_color!A:A,prov_color!C:C)</f>
        <v>94</v>
      </c>
      <c r="P1351" t="str">
        <f>_xlfn.XLOOKUP(VALINA[[#This Row],[id]],Table4[id],Table4[name])</f>
        <v>Coast of Brunei</v>
      </c>
      <c r="Q1351" t="str">
        <f>_xlfn.XLOOKUP(VALINA[[#This Row],[name]],Trans!A:A,Trans!B:B)</f>
        <v>Coast of Brunei</v>
      </c>
    </row>
    <row r="1352" spans="1:17" x14ac:dyDescent="0.25">
      <c r="A1352">
        <v>1351</v>
      </c>
      <c r="B1352" t="s">
        <v>653</v>
      </c>
      <c r="C1352" t="s">
        <v>1667</v>
      </c>
      <c r="D1352" t="s">
        <v>1641</v>
      </c>
      <c r="E1352" t="s">
        <v>1316</v>
      </c>
      <c r="J1352" t="s">
        <v>1352</v>
      </c>
      <c r="N1352">
        <v>0</v>
      </c>
      <c r="O1352">
        <f>_xlfn.XLOOKUP(VALINA[[#This Row],[id]],prov_color!A:A,prov_color!C:C)</f>
        <v>70</v>
      </c>
      <c r="P1352" t="str">
        <f>_xlfn.XLOOKUP(VALINA[[#This Row],[id]],Table4[id],Table4[name])</f>
        <v>Cam Rah Bay</v>
      </c>
      <c r="Q1352" t="str">
        <f>_xlfn.XLOOKUP(VALINA[[#This Row],[name]],Trans!A:A,Trans!B:B)</f>
        <v>Cam Rah Bay</v>
      </c>
    </row>
    <row r="1353" spans="1:17" x14ac:dyDescent="0.25">
      <c r="A1353">
        <v>1352</v>
      </c>
      <c r="B1353" t="s">
        <v>653</v>
      </c>
      <c r="C1353" t="s">
        <v>1672</v>
      </c>
      <c r="D1353" t="s">
        <v>1641</v>
      </c>
      <c r="E1353" t="s">
        <v>1316</v>
      </c>
      <c r="J1353" t="s">
        <v>1853</v>
      </c>
      <c r="N1353">
        <v>0</v>
      </c>
      <c r="O1353">
        <f>_xlfn.XLOOKUP(VALINA[[#This Row],[id]],prov_color!A:A,prov_color!C:C)</f>
        <v>86</v>
      </c>
      <c r="P1353" t="str">
        <f>_xlfn.XLOOKUP(VALINA[[#This Row],[id]],Table4[id],Table4[name])</f>
        <v>Manilla Bay</v>
      </c>
      <c r="Q1353" t="str">
        <f>_xlfn.XLOOKUP(VALINA[[#This Row],[name]],Trans!A:A,Trans!B:B)</f>
        <v>Manilla Bay</v>
      </c>
    </row>
    <row r="1354" spans="1:17" x14ac:dyDescent="0.25">
      <c r="A1354">
        <v>1353</v>
      </c>
      <c r="B1354" t="s">
        <v>653</v>
      </c>
      <c r="C1354" t="s">
        <v>1672</v>
      </c>
      <c r="D1354" t="s">
        <v>1641</v>
      </c>
      <c r="E1354" t="s">
        <v>1316</v>
      </c>
      <c r="J1354" t="s">
        <v>1395</v>
      </c>
      <c r="N1354">
        <v>0</v>
      </c>
      <c r="O1354">
        <f>_xlfn.XLOOKUP(VALINA[[#This Row],[id]],prov_color!A:A,prov_color!C:C)</f>
        <v>67</v>
      </c>
      <c r="P1354" t="str">
        <f>_xlfn.XLOOKUP(VALINA[[#This Row],[id]],Table4[id],Table4[name])</f>
        <v>Karimata Strait</v>
      </c>
      <c r="Q1354" t="str">
        <f>_xlfn.XLOOKUP(VALINA[[#This Row],[name]],Trans!A:A,Trans!B:B)</f>
        <v>Karimata Strait</v>
      </c>
    </row>
    <row r="1355" spans="1:17" x14ac:dyDescent="0.25">
      <c r="A1355">
        <v>1354</v>
      </c>
      <c r="B1355" t="s">
        <v>653</v>
      </c>
      <c r="C1355" t="s">
        <v>1672</v>
      </c>
      <c r="D1355" t="s">
        <v>1641</v>
      </c>
      <c r="E1355" t="s">
        <v>1316</v>
      </c>
      <c r="J1355" t="s">
        <v>1396</v>
      </c>
      <c r="N1355">
        <v>0</v>
      </c>
      <c r="O1355">
        <f>_xlfn.XLOOKUP(VALINA[[#This Row],[id]],prov_color!A:A,prov_color!C:C)</f>
        <v>84</v>
      </c>
      <c r="P1355" t="str">
        <f>_xlfn.XLOOKUP(VALINA[[#This Row],[id]],Table4[id],Table4[name])</f>
        <v>Coast of Java</v>
      </c>
      <c r="Q1355" t="str">
        <f>_xlfn.XLOOKUP(VALINA[[#This Row],[name]],Trans!A:A,Trans!B:B)</f>
        <v>Coast of Java</v>
      </c>
    </row>
    <row r="1356" spans="1:17" x14ac:dyDescent="0.25">
      <c r="A1356">
        <v>1355</v>
      </c>
      <c r="B1356" t="s">
        <v>653</v>
      </c>
      <c r="C1356" t="s">
        <v>1666</v>
      </c>
      <c r="D1356" t="s">
        <v>1641</v>
      </c>
      <c r="E1356" t="s">
        <v>1316</v>
      </c>
      <c r="J1356" t="s">
        <v>1854</v>
      </c>
      <c r="N1356">
        <v>0</v>
      </c>
      <c r="O1356">
        <f>_xlfn.XLOOKUP(VALINA[[#This Row],[id]],prov_color!A:A,prov_color!C:C)</f>
        <v>111</v>
      </c>
      <c r="P1356" t="str">
        <f>_xlfn.XLOOKUP(VALINA[[#This Row],[id]],Table4[id],Table4[name])</f>
        <v>Christmas Island</v>
      </c>
      <c r="Q1356" t="str">
        <f>_xlfn.XLOOKUP(VALINA[[#This Row],[name]],Trans!A:A,Trans!B:B)</f>
        <v>Christmas Island</v>
      </c>
    </row>
    <row r="1357" spans="1:17" x14ac:dyDescent="0.25">
      <c r="A1357">
        <v>1356</v>
      </c>
      <c r="B1357" t="s">
        <v>653</v>
      </c>
      <c r="C1357" t="s">
        <v>1667</v>
      </c>
      <c r="D1357" t="s">
        <v>1641</v>
      </c>
      <c r="E1357" t="s">
        <v>1316</v>
      </c>
      <c r="J1357" t="s">
        <v>6457</v>
      </c>
      <c r="N1357">
        <v>0</v>
      </c>
      <c r="O1357">
        <f>_xlfn.XLOOKUP(VALINA[[#This Row],[id]],prov_color!A:A,prov_color!C:C)</f>
        <v>121</v>
      </c>
      <c r="P1357" t="str">
        <f>_xlfn.XLOOKUP(VALINA[[#This Row],[id]],Table4[id],Table4[name])</f>
        <v>Mekong Delta 2</v>
      </c>
      <c r="Q1357" t="e">
        <f>_xlfn.XLOOKUP(VALINA[[#This Row],[name]],Trans!A:A,Trans!B:B)</f>
        <v>#N/A</v>
      </c>
    </row>
    <row r="1358" spans="1:17" x14ac:dyDescent="0.25">
      <c r="A1358">
        <v>1357</v>
      </c>
      <c r="B1358" t="s">
        <v>653</v>
      </c>
      <c r="C1358" t="s">
        <v>1666</v>
      </c>
      <c r="D1358" t="s">
        <v>1641</v>
      </c>
      <c r="E1358" t="s">
        <v>1316</v>
      </c>
      <c r="J1358" t="s">
        <v>1420</v>
      </c>
      <c r="N1358">
        <v>0</v>
      </c>
      <c r="O1358">
        <f>_xlfn.XLOOKUP(VALINA[[#This Row],[id]],prov_color!A:A,prov_color!C:C)</f>
        <v>119</v>
      </c>
      <c r="P1358" t="str">
        <f>_xlfn.XLOOKUP(VALINA[[#This Row],[id]],Table4[id],Table4[name])</f>
        <v>Nicobar Islands</v>
      </c>
      <c r="Q1358" t="str">
        <f>_xlfn.XLOOKUP(VALINA[[#This Row],[name]],Trans!A:A,Trans!B:B)</f>
        <v>Nicobar Islands</v>
      </c>
    </row>
    <row r="1359" spans="1:17" x14ac:dyDescent="0.25">
      <c r="A1359">
        <v>1358</v>
      </c>
      <c r="B1359" t="s">
        <v>653</v>
      </c>
      <c r="C1359" t="s">
        <v>1666</v>
      </c>
      <c r="D1359" t="s">
        <v>1641</v>
      </c>
      <c r="E1359" t="s">
        <v>1316</v>
      </c>
      <c r="J1359" t="s">
        <v>1350</v>
      </c>
      <c r="N1359">
        <v>0</v>
      </c>
      <c r="O1359">
        <f>_xlfn.XLOOKUP(VALINA[[#This Row],[id]],prov_color!A:A,prov_color!C:C)</f>
        <v>99</v>
      </c>
      <c r="P1359" t="str">
        <f>_xlfn.XLOOKUP(VALINA[[#This Row],[id]],Table4[id],Table4[name])</f>
        <v>Coast of Ajeh</v>
      </c>
      <c r="Q1359" t="str">
        <f>_xlfn.XLOOKUP(VALINA[[#This Row],[name]],Trans!A:A,Trans!B:B)</f>
        <v>Coast of Ajeh</v>
      </c>
    </row>
    <row r="1360" spans="1:17" x14ac:dyDescent="0.25">
      <c r="A1360">
        <v>1359</v>
      </c>
      <c r="B1360" t="s">
        <v>653</v>
      </c>
      <c r="C1360" t="s">
        <v>1671</v>
      </c>
      <c r="D1360" t="s">
        <v>1641</v>
      </c>
      <c r="E1360" t="s">
        <v>1316</v>
      </c>
      <c r="J1360" t="s">
        <v>1855</v>
      </c>
      <c r="N1360">
        <v>0</v>
      </c>
      <c r="O1360">
        <f>_xlfn.XLOOKUP(VALINA[[#This Row],[id]],prov_color!A:A,prov_color!C:C)</f>
        <v>242</v>
      </c>
      <c r="P1360" t="str">
        <f>_xlfn.XLOOKUP(VALINA[[#This Row],[id]],Table4[id],Table4[name])</f>
        <v>Western Oman Sea</v>
      </c>
      <c r="Q1360" t="str">
        <f>_xlfn.XLOOKUP(VALINA[[#This Row],[name]],Trans!A:A,Trans!B:B)</f>
        <v>Western Oman Sea</v>
      </c>
    </row>
    <row r="1361" spans="1:17" x14ac:dyDescent="0.25">
      <c r="A1361">
        <v>1360</v>
      </c>
      <c r="B1361" t="s">
        <v>1016</v>
      </c>
      <c r="C1361" t="s">
        <v>1671</v>
      </c>
      <c r="D1361" t="s">
        <v>1641</v>
      </c>
      <c r="E1361" t="s">
        <v>1316</v>
      </c>
      <c r="J1361" t="s">
        <v>1505</v>
      </c>
      <c r="N1361">
        <v>0</v>
      </c>
      <c r="O1361">
        <f>_xlfn.XLOOKUP(VALINA[[#This Row],[id]],prov_color!A:A,prov_color!C:C)</f>
        <v>137</v>
      </c>
      <c r="P1361" t="str">
        <f>_xlfn.XLOOKUP(VALINA[[#This Row],[id]],Table4[id],Table4[name])</f>
        <v>Coast of Transkei</v>
      </c>
      <c r="Q1361" t="str">
        <f>_xlfn.XLOOKUP(VALINA[[#This Row],[name]],Trans!A:A,Trans!B:B)</f>
        <v>Coast of Transkei</v>
      </c>
    </row>
    <row r="1362" spans="1:17" x14ac:dyDescent="0.25">
      <c r="A1362">
        <v>1361</v>
      </c>
      <c r="B1362" t="s">
        <v>346</v>
      </c>
      <c r="C1362" t="s">
        <v>1632</v>
      </c>
      <c r="D1362" t="s">
        <v>1632</v>
      </c>
      <c r="E1362" t="s">
        <v>1633</v>
      </c>
      <c r="J1362" t="s">
        <v>1321</v>
      </c>
      <c r="O1362">
        <f>_xlfn.XLOOKUP(VALINA[[#This Row],[id]],prov_color!A:A,prov_color!C:C)</f>
        <v>16</v>
      </c>
      <c r="P1362" t="str">
        <f>_xlfn.XLOOKUP(VALINA[[#This Row],[id]],Table4[id],Table4[name])</f>
        <v>Lake Ladoga</v>
      </c>
      <c r="Q1362" t="str">
        <f>_xlfn.XLOOKUP(VALINA[[#This Row],[name]],Trans!A:A,Trans!B:B)</f>
        <v>Lake Ladoga</v>
      </c>
    </row>
    <row r="1363" spans="1:17" x14ac:dyDescent="0.25">
      <c r="A1363">
        <v>1362</v>
      </c>
      <c r="B1363" t="s">
        <v>346</v>
      </c>
      <c r="C1363" t="s">
        <v>1650</v>
      </c>
      <c r="D1363" t="s">
        <v>1641</v>
      </c>
      <c r="E1363" t="s">
        <v>1316</v>
      </c>
      <c r="J1363" t="s">
        <v>1325</v>
      </c>
      <c r="N1363">
        <v>0</v>
      </c>
      <c r="O1363">
        <f>_xlfn.XLOOKUP(VALINA[[#This Row],[id]],prov_color!A:A,prov_color!C:C)</f>
        <v>30</v>
      </c>
      <c r="P1363" t="str">
        <f>_xlfn.XLOOKUP(VALINA[[#This Row],[id]],Table4[id],Table4[name])</f>
        <v>The Skagerack</v>
      </c>
      <c r="Q1363" t="str">
        <f>_xlfn.XLOOKUP(VALINA[[#This Row],[name]],Trans!A:A,Trans!B:B)</f>
        <v>The Skagerack</v>
      </c>
    </row>
    <row r="1364" spans="1:17" x14ac:dyDescent="0.25">
      <c r="A1364">
        <v>1363</v>
      </c>
      <c r="B1364" t="s">
        <v>653</v>
      </c>
      <c r="C1364" t="s">
        <v>1664</v>
      </c>
      <c r="D1364" t="s">
        <v>1641</v>
      </c>
      <c r="E1364" t="s">
        <v>1316</v>
      </c>
      <c r="J1364" t="s">
        <v>1514</v>
      </c>
      <c r="N1364">
        <v>0</v>
      </c>
      <c r="O1364">
        <f>_xlfn.XLOOKUP(VALINA[[#This Row],[id]],prov_color!A:A,prov_color!C:C)</f>
        <v>58</v>
      </c>
      <c r="P1364" t="str">
        <f>_xlfn.XLOOKUP(VALINA[[#This Row],[id]],Table4[id],Table4[name])</f>
        <v>Persian Gulf</v>
      </c>
      <c r="Q1364" t="str">
        <f>_xlfn.XLOOKUP(VALINA[[#This Row],[name]],Trans!A:A,Trans!B:B)</f>
        <v>Persian Gulf</v>
      </c>
    </row>
    <row r="1365" spans="1:17" x14ac:dyDescent="0.25">
      <c r="A1365">
        <v>1364</v>
      </c>
      <c r="B1365" t="s">
        <v>11</v>
      </c>
      <c r="C1365" t="s">
        <v>1661</v>
      </c>
      <c r="D1365" t="s">
        <v>1641</v>
      </c>
      <c r="E1365" t="s">
        <v>1316</v>
      </c>
      <c r="J1365" t="s">
        <v>1562</v>
      </c>
      <c r="N1365">
        <v>0</v>
      </c>
      <c r="O1365">
        <f>_xlfn.XLOOKUP(VALINA[[#This Row],[id]],prov_color!A:A,prov_color!C:C)</f>
        <v>163</v>
      </c>
      <c r="P1365" t="str">
        <f>_xlfn.XLOOKUP(VALINA[[#This Row],[id]],Table4[id],Table4[name])</f>
        <v>Atacama Coast</v>
      </c>
      <c r="Q1365" t="str">
        <f>_xlfn.XLOOKUP(VALINA[[#This Row],[name]],Trans!A:A,Trans!B:B)</f>
        <v>Atacama Coast</v>
      </c>
    </row>
    <row r="1366" spans="1:17" x14ac:dyDescent="0.25">
      <c r="A1366">
        <v>1365</v>
      </c>
      <c r="B1366" t="s">
        <v>1016</v>
      </c>
      <c r="C1366" t="s">
        <v>1670</v>
      </c>
      <c r="D1366" t="s">
        <v>1641</v>
      </c>
      <c r="E1366" t="s">
        <v>1316</v>
      </c>
      <c r="J1366" t="s">
        <v>1495</v>
      </c>
      <c r="N1366">
        <v>0</v>
      </c>
      <c r="O1366">
        <f>_xlfn.XLOOKUP(VALINA[[#This Row],[id]],prov_color!A:A,prov_color!C:C)</f>
        <v>125</v>
      </c>
      <c r="P1366" t="str">
        <f>_xlfn.XLOOKUP(VALINA[[#This Row],[id]],Table4[id],Table4[name])</f>
        <v>Ivory Coast</v>
      </c>
      <c r="Q1366" t="str">
        <f>_xlfn.XLOOKUP(VALINA[[#This Row],[name]],Trans!A:A,Trans!B:B)</f>
        <v>Ivory Coast</v>
      </c>
    </row>
    <row r="1367" spans="1:17" x14ac:dyDescent="0.25">
      <c r="A1367">
        <v>1366</v>
      </c>
      <c r="B1367" t="s">
        <v>1016</v>
      </c>
      <c r="C1367" t="s">
        <v>1670</v>
      </c>
      <c r="D1367" t="s">
        <v>1641</v>
      </c>
      <c r="E1367" t="s">
        <v>1316</v>
      </c>
      <c r="J1367" t="s">
        <v>1835</v>
      </c>
      <c r="N1367">
        <v>0</v>
      </c>
      <c r="O1367">
        <f>_xlfn.XLOOKUP(VALINA[[#This Row],[id]],prov_color!A:A,prov_color!C:C)</f>
        <v>347</v>
      </c>
      <c r="P1367" t="str">
        <f>_xlfn.XLOOKUP(VALINA[[#This Row],[id]],Table4[id],Table4[name])</f>
        <v>Southern Atlantic Ocean</v>
      </c>
      <c r="Q1367" t="str">
        <f>_xlfn.XLOOKUP(VALINA[[#This Row],[name]],Trans!A:A,Trans!B:B)</f>
        <v>Southern Atlantic Ocean</v>
      </c>
    </row>
    <row r="1368" spans="1:17" x14ac:dyDescent="0.25">
      <c r="A1368">
        <v>1367</v>
      </c>
      <c r="B1368" t="s">
        <v>11</v>
      </c>
      <c r="C1368" t="s">
        <v>1673</v>
      </c>
      <c r="D1368" t="s">
        <v>1641</v>
      </c>
      <c r="E1368" t="s">
        <v>1316</v>
      </c>
      <c r="J1368" t="s">
        <v>1835</v>
      </c>
      <c r="N1368">
        <v>0</v>
      </c>
      <c r="O1368">
        <f>_xlfn.XLOOKUP(VALINA[[#This Row],[id]],prov_color!A:A,prov_color!C:C)</f>
        <v>374</v>
      </c>
      <c r="P1368" t="str">
        <f>_xlfn.XLOOKUP(VALINA[[#This Row],[id]],Table4[id],Table4[name])</f>
        <v>Southern Atlantic Ocean</v>
      </c>
      <c r="Q1368" t="str">
        <f>_xlfn.XLOOKUP(VALINA[[#This Row],[name]],Trans!A:A,Trans!B:B)</f>
        <v>Southern Atlantic Ocean</v>
      </c>
    </row>
    <row r="1369" spans="1:17" x14ac:dyDescent="0.25">
      <c r="A1369">
        <v>1368</v>
      </c>
      <c r="B1369" t="s">
        <v>1016</v>
      </c>
      <c r="C1369" t="s">
        <v>1657</v>
      </c>
      <c r="D1369" t="s">
        <v>1641</v>
      </c>
      <c r="E1369" t="s">
        <v>1316</v>
      </c>
      <c r="J1369" t="s">
        <v>1433</v>
      </c>
      <c r="N1369">
        <v>0</v>
      </c>
      <c r="O1369">
        <f>_xlfn.XLOOKUP(VALINA[[#This Row],[id]],prov_color!A:A,prov_color!C:C)</f>
        <v>274</v>
      </c>
      <c r="P1369" t="str">
        <f>_xlfn.XLOOKUP(VALINA[[#This Row],[id]],Table4[id],Table4[name])</f>
        <v>Central Atlantic Ocean</v>
      </c>
      <c r="Q1369" t="str">
        <f>_xlfn.XLOOKUP(VALINA[[#This Row],[name]],Trans!A:A,Trans!B:B)</f>
        <v>Central Atlantic Ocean</v>
      </c>
    </row>
    <row r="1370" spans="1:17" x14ac:dyDescent="0.25">
      <c r="A1370">
        <v>1369</v>
      </c>
      <c r="B1370" t="s">
        <v>11</v>
      </c>
      <c r="C1370" t="s">
        <v>1632</v>
      </c>
      <c r="D1370" t="s">
        <v>1632</v>
      </c>
      <c r="E1370" t="s">
        <v>1316</v>
      </c>
      <c r="J1370" t="s">
        <v>1522</v>
      </c>
      <c r="N1370">
        <v>0</v>
      </c>
      <c r="O1370">
        <f>_xlfn.XLOOKUP(VALINA[[#This Row],[id]],prov_color!A:A,prov_color!C:C)</f>
        <v>17</v>
      </c>
      <c r="P1370" t="str">
        <f>_xlfn.XLOOKUP(VALINA[[#This Row],[id]],Table4[id],Table4[name])</f>
        <v>Lake Ontario</v>
      </c>
      <c r="Q1370" t="str">
        <f>_xlfn.XLOOKUP(VALINA[[#This Row],[name]],Trans!A:A,Trans!B:B)</f>
        <v>Lake Ontario</v>
      </c>
    </row>
    <row r="1371" spans="1:17" x14ac:dyDescent="0.25">
      <c r="A1371">
        <v>1370</v>
      </c>
      <c r="B1371" t="s">
        <v>11</v>
      </c>
      <c r="C1371" t="s">
        <v>1632</v>
      </c>
      <c r="D1371" t="s">
        <v>1632</v>
      </c>
      <c r="E1371" t="s">
        <v>1316</v>
      </c>
      <c r="J1371" t="s">
        <v>1523</v>
      </c>
      <c r="N1371">
        <v>0</v>
      </c>
      <c r="O1371">
        <f>_xlfn.XLOOKUP(VALINA[[#This Row],[id]],prov_color!A:A,prov_color!C:C)</f>
        <v>20</v>
      </c>
      <c r="P1371" t="str">
        <f>_xlfn.XLOOKUP(VALINA[[#This Row],[id]],Table4[id],Table4[name])</f>
        <v>Lake Erie</v>
      </c>
      <c r="Q1371" t="str">
        <f>_xlfn.XLOOKUP(VALINA[[#This Row],[name]],Trans!A:A,Trans!B:B)</f>
        <v>Lake Erie</v>
      </c>
    </row>
    <row r="1372" spans="1:17" x14ac:dyDescent="0.25">
      <c r="A1372">
        <v>1371</v>
      </c>
      <c r="B1372" t="s">
        <v>11</v>
      </c>
      <c r="C1372" t="s">
        <v>1632</v>
      </c>
      <c r="D1372" t="s">
        <v>1632</v>
      </c>
      <c r="E1372" t="s">
        <v>1316</v>
      </c>
      <c r="J1372" t="s">
        <v>1524</v>
      </c>
      <c r="N1372">
        <v>0</v>
      </c>
      <c r="O1372">
        <f>_xlfn.XLOOKUP(VALINA[[#This Row],[id]],prov_color!A:A,prov_color!C:C)</f>
        <v>54</v>
      </c>
      <c r="P1372" t="str">
        <f>_xlfn.XLOOKUP(VALINA[[#This Row],[id]],Table4[id],Table4[name])</f>
        <v>Lake Michigan</v>
      </c>
      <c r="Q1372" t="str">
        <f>_xlfn.XLOOKUP(VALINA[[#This Row],[name]],Trans!A:A,Trans!B:B)</f>
        <v>Lakes Michigan &amp; Huron</v>
      </c>
    </row>
    <row r="1373" spans="1:17" x14ac:dyDescent="0.25">
      <c r="A1373">
        <v>1372</v>
      </c>
      <c r="B1373" t="s">
        <v>11</v>
      </c>
      <c r="C1373" t="s">
        <v>1632</v>
      </c>
      <c r="D1373" t="s">
        <v>1632</v>
      </c>
      <c r="E1373" t="s">
        <v>1316</v>
      </c>
      <c r="J1373" t="s">
        <v>1526</v>
      </c>
      <c r="N1373">
        <v>0</v>
      </c>
      <c r="O1373">
        <f>_xlfn.XLOOKUP(VALINA[[#This Row],[id]],prov_color!A:A,prov_color!C:C)</f>
        <v>71</v>
      </c>
      <c r="P1373" t="str">
        <f>_xlfn.XLOOKUP(VALINA[[#This Row],[id]],Table4[id],Table4[name])</f>
        <v>Lake Superior</v>
      </c>
      <c r="Q1373" t="str">
        <f>_xlfn.XLOOKUP(VALINA[[#This Row],[name]],Trans!A:A,Trans!B:B)</f>
        <v>Lake Superior</v>
      </c>
    </row>
    <row r="1374" spans="1:17" x14ac:dyDescent="0.25">
      <c r="A1374">
        <v>1373</v>
      </c>
      <c r="B1374" t="s">
        <v>11</v>
      </c>
      <c r="C1374" t="s">
        <v>1653</v>
      </c>
      <c r="D1374" t="s">
        <v>1641</v>
      </c>
      <c r="E1374" t="s">
        <v>1316</v>
      </c>
      <c r="J1374" t="s">
        <v>1530</v>
      </c>
      <c r="N1374">
        <v>0</v>
      </c>
      <c r="O1374">
        <f>_xlfn.XLOOKUP(VALINA[[#This Row],[id]],prov_color!A:A,prov_color!C:C)</f>
        <v>78</v>
      </c>
      <c r="P1374" t="str">
        <f>_xlfn.XLOOKUP(VALINA[[#This Row],[id]],Table4[id],Table4[name])</f>
        <v>Tampa Bay</v>
      </c>
      <c r="Q1374" t="str">
        <f>_xlfn.XLOOKUP(VALINA[[#This Row],[name]],Trans!A:A,Trans!B:B)</f>
        <v>Tampa Bay</v>
      </c>
    </row>
    <row r="1375" spans="1:17" x14ac:dyDescent="0.25">
      <c r="A1375">
        <v>1374</v>
      </c>
      <c r="B1375" t="s">
        <v>11</v>
      </c>
      <c r="C1375" t="s">
        <v>1661</v>
      </c>
      <c r="D1375" t="s">
        <v>1641</v>
      </c>
      <c r="E1375" t="s">
        <v>1316</v>
      </c>
      <c r="J1375" t="s">
        <v>1560</v>
      </c>
      <c r="N1375">
        <v>0</v>
      </c>
      <c r="O1375">
        <f>_xlfn.XLOOKUP(VALINA[[#This Row],[id]],prov_color!A:A,prov_color!C:C)</f>
        <v>157</v>
      </c>
      <c r="P1375" t="str">
        <f>_xlfn.XLOOKUP(VALINA[[#This Row],[id]],Table4[id],Table4[name])</f>
        <v>South Chilean Coast</v>
      </c>
      <c r="Q1375" t="str">
        <f>_xlfn.XLOOKUP(VALINA[[#This Row],[name]],Trans!A:A,Trans!B:B)</f>
        <v>South Chilean Coast</v>
      </c>
    </row>
    <row r="1376" spans="1:17" x14ac:dyDescent="0.25">
      <c r="A1376">
        <v>1375</v>
      </c>
      <c r="B1376" t="s">
        <v>11</v>
      </c>
      <c r="C1376" t="s">
        <v>1653</v>
      </c>
      <c r="D1376" t="s">
        <v>1641</v>
      </c>
      <c r="E1376" t="s">
        <v>1316</v>
      </c>
      <c r="J1376" t="s">
        <v>1856</v>
      </c>
      <c r="N1376">
        <v>0</v>
      </c>
      <c r="O1376">
        <f>_xlfn.XLOOKUP(VALINA[[#This Row],[id]],prov_color!A:A,prov_color!C:C)</f>
        <v>78</v>
      </c>
      <c r="P1376" t="str">
        <f>_xlfn.XLOOKUP(VALINA[[#This Row],[id]],Table4[id],Table4[name])</f>
        <v>Greater Antillas</v>
      </c>
      <c r="Q1376" t="str">
        <f>_xlfn.XLOOKUP(VALINA[[#This Row],[name]],Trans!A:A,Trans!B:B)</f>
        <v>Greater Antilles</v>
      </c>
    </row>
    <row r="1377" spans="1:17" x14ac:dyDescent="0.25">
      <c r="A1377">
        <v>1376</v>
      </c>
      <c r="B1377" t="s">
        <v>11</v>
      </c>
      <c r="C1377" t="s">
        <v>1673</v>
      </c>
      <c r="D1377" t="s">
        <v>1641</v>
      </c>
      <c r="E1377" t="s">
        <v>1316</v>
      </c>
      <c r="J1377" t="s">
        <v>1835</v>
      </c>
      <c r="N1377">
        <v>0</v>
      </c>
      <c r="O1377">
        <f>_xlfn.XLOOKUP(VALINA[[#This Row],[id]],prov_color!A:A,prov_color!C:C)</f>
        <v>477</v>
      </c>
      <c r="P1377" t="str">
        <f>_xlfn.XLOOKUP(VALINA[[#This Row],[id]],Table4[id],Table4[name])</f>
        <v>Southern Atlantic Ocean</v>
      </c>
      <c r="Q1377" t="str">
        <f>_xlfn.XLOOKUP(VALINA[[#This Row],[name]],Trans!A:A,Trans!B:B)</f>
        <v>Southern Atlantic Ocean</v>
      </c>
    </row>
    <row r="1378" spans="1:17" x14ac:dyDescent="0.25">
      <c r="A1378">
        <v>1377</v>
      </c>
      <c r="B1378" t="s">
        <v>11</v>
      </c>
      <c r="C1378" t="s">
        <v>1673</v>
      </c>
      <c r="D1378" t="s">
        <v>1641</v>
      </c>
      <c r="E1378" t="s">
        <v>1316</v>
      </c>
      <c r="J1378" t="s">
        <v>1835</v>
      </c>
      <c r="N1378">
        <v>0</v>
      </c>
      <c r="O1378">
        <f>_xlfn.XLOOKUP(VALINA[[#This Row],[id]],prov_color!A:A,prov_color!C:C)</f>
        <v>574</v>
      </c>
      <c r="P1378" t="str">
        <f>_xlfn.XLOOKUP(VALINA[[#This Row],[id]],Table4[id],Table4[name])</f>
        <v>Southern Atlantic Ocean</v>
      </c>
      <c r="Q1378" t="str">
        <f>_xlfn.XLOOKUP(VALINA[[#This Row],[name]],Trans!A:A,Trans!B:B)</f>
        <v>Southern Atlantic Ocean</v>
      </c>
    </row>
    <row r="1379" spans="1:17" x14ac:dyDescent="0.25">
      <c r="A1379">
        <v>1378</v>
      </c>
      <c r="B1379" t="s">
        <v>11</v>
      </c>
      <c r="C1379" t="s">
        <v>1653</v>
      </c>
      <c r="D1379" t="s">
        <v>1641</v>
      </c>
      <c r="E1379" t="s">
        <v>1316</v>
      </c>
      <c r="J1379" t="s">
        <v>1857</v>
      </c>
      <c r="N1379">
        <v>0</v>
      </c>
      <c r="O1379">
        <f>_xlfn.XLOOKUP(VALINA[[#This Row],[id]],prov_color!A:A,prov_color!C:C)</f>
        <v>59</v>
      </c>
      <c r="P1379" t="str">
        <f>_xlfn.XLOOKUP(VALINA[[#This Row],[id]],Table4[id],Table4[name])</f>
        <v>Lesser Antillas</v>
      </c>
      <c r="Q1379" t="str">
        <f>_xlfn.XLOOKUP(VALINA[[#This Row],[name]],Trans!A:A,Trans!B:B)</f>
        <v>Lesser Antilles</v>
      </c>
    </row>
    <row r="1380" spans="1:17" x14ac:dyDescent="0.25">
      <c r="A1380">
        <v>1379</v>
      </c>
      <c r="E1380" t="s">
        <v>1633</v>
      </c>
      <c r="J1380" t="s">
        <v>1858</v>
      </c>
      <c r="O1380">
        <f>_xlfn.XLOOKUP(VALINA[[#This Row],[id]],prov_color!A:A,prov_color!C:C)</f>
        <v>0</v>
      </c>
      <c r="P1380" t="e">
        <f>_xlfn.XLOOKUP(VALINA[[#This Row],[id]],Table4[id],Table4[name])</f>
        <v>#N/A</v>
      </c>
      <c r="Q1380" t="str">
        <f>_xlfn.XLOOKUP(VALINA[[#This Row],[name]],Trans!A:A,Trans!B:B)</f>
        <v>Columbia River</v>
      </c>
    </row>
    <row r="1381" spans="1:17" x14ac:dyDescent="0.25">
      <c r="A1381">
        <v>1380</v>
      </c>
      <c r="E1381" t="s">
        <v>1633</v>
      </c>
      <c r="J1381" t="s">
        <v>1859</v>
      </c>
      <c r="O1381">
        <f>_xlfn.XLOOKUP(VALINA[[#This Row],[id]],prov_color!A:A,prov_color!C:C)</f>
        <v>0</v>
      </c>
      <c r="P1381" t="e">
        <f>_xlfn.XLOOKUP(VALINA[[#This Row],[id]],Table4[id],Table4[name])</f>
        <v>#N/A</v>
      </c>
      <c r="Q1381" t="str">
        <f>_xlfn.XLOOKUP(VALINA[[#This Row],[name]],Trans!A:A,Trans!B:B)</f>
        <v>Sacramento River</v>
      </c>
    </row>
    <row r="1382" spans="1:17" x14ac:dyDescent="0.25">
      <c r="A1382">
        <v>1381</v>
      </c>
      <c r="E1382" t="s">
        <v>1633</v>
      </c>
      <c r="J1382" t="s">
        <v>1860</v>
      </c>
      <c r="O1382">
        <f>_xlfn.XLOOKUP(VALINA[[#This Row],[id]],prov_color!A:A,prov_color!C:C)</f>
        <v>0</v>
      </c>
      <c r="P1382" t="e">
        <f>_xlfn.XLOOKUP(VALINA[[#This Row],[id]],Table4[id],Table4[name])</f>
        <v>#N/A</v>
      </c>
      <c r="Q1382" t="str">
        <f>_xlfn.XLOOKUP(VALINA[[#This Row],[name]],Trans!A:A,Trans!B:B)</f>
        <v>Colorado River</v>
      </c>
    </row>
    <row r="1383" spans="1:17" x14ac:dyDescent="0.25">
      <c r="A1383">
        <v>1382</v>
      </c>
      <c r="E1383" t="s">
        <v>1633</v>
      </c>
      <c r="J1383" t="s">
        <v>1861</v>
      </c>
      <c r="O1383">
        <f>_xlfn.XLOOKUP(VALINA[[#This Row],[id]],prov_color!A:A,prov_color!C:C)</f>
        <v>0</v>
      </c>
      <c r="P1383" t="e">
        <f>_xlfn.XLOOKUP(VALINA[[#This Row],[id]],Table4[id],Table4[name])</f>
        <v>#N/A</v>
      </c>
      <c r="Q1383" t="str">
        <f>_xlfn.XLOOKUP(VALINA[[#This Row],[name]],Trans!A:A,Trans!B:B)</f>
        <v>Rio Grande River</v>
      </c>
    </row>
    <row r="1384" spans="1:17" x14ac:dyDescent="0.25">
      <c r="A1384">
        <v>1383</v>
      </c>
      <c r="E1384" t="s">
        <v>1633</v>
      </c>
      <c r="J1384" t="s">
        <v>1862</v>
      </c>
      <c r="O1384">
        <f>_xlfn.XLOOKUP(VALINA[[#This Row],[id]],prov_color!A:A,prov_color!C:C)</f>
        <v>0</v>
      </c>
      <c r="P1384" t="e">
        <f>_xlfn.XLOOKUP(VALINA[[#This Row],[id]],Table4[id],Table4[name])</f>
        <v>#N/A</v>
      </c>
      <c r="Q1384" t="str">
        <f>_xlfn.XLOOKUP(VALINA[[#This Row],[name]],Trans!A:A,Trans!B:B)</f>
        <v>Matagorda River</v>
      </c>
    </row>
    <row r="1385" spans="1:17" x14ac:dyDescent="0.25">
      <c r="A1385">
        <v>1384</v>
      </c>
      <c r="E1385" t="s">
        <v>1633</v>
      </c>
      <c r="J1385" t="s">
        <v>1863</v>
      </c>
      <c r="O1385">
        <f>_xlfn.XLOOKUP(VALINA[[#This Row],[id]],prov_color!A:A,prov_color!C:C)</f>
        <v>0</v>
      </c>
      <c r="P1385" t="e">
        <f>_xlfn.XLOOKUP(VALINA[[#This Row],[id]],Table4[id],Table4[name])</f>
        <v>#N/A</v>
      </c>
      <c r="Q1385" t="str">
        <f>_xlfn.XLOOKUP(VALINA[[#This Row],[name]],Trans!A:A,Trans!B:B)</f>
        <v>Murray River</v>
      </c>
    </row>
    <row r="1386" spans="1:17" x14ac:dyDescent="0.25">
      <c r="A1386">
        <v>1385</v>
      </c>
      <c r="E1386" t="s">
        <v>1633</v>
      </c>
      <c r="J1386" t="s">
        <v>1864</v>
      </c>
      <c r="O1386">
        <f>_xlfn.XLOOKUP(VALINA[[#This Row],[id]],prov_color!A:A,prov_color!C:C)</f>
        <v>0</v>
      </c>
      <c r="P1386" t="e">
        <f>_xlfn.XLOOKUP(VALINA[[#This Row],[id]],Table4[id],Table4[name])</f>
        <v>#N/A</v>
      </c>
      <c r="Q1386" t="str">
        <f>_xlfn.XLOOKUP(VALINA[[#This Row],[name]],Trans!A:A,Trans!B:B)</f>
        <v>Savannah River</v>
      </c>
    </row>
    <row r="1387" spans="1:17" x14ac:dyDescent="0.25">
      <c r="A1387">
        <v>1386</v>
      </c>
      <c r="E1387" t="s">
        <v>1633</v>
      </c>
      <c r="J1387" t="s">
        <v>1865</v>
      </c>
      <c r="O1387">
        <f>_xlfn.XLOOKUP(VALINA[[#This Row],[id]],prov_color!A:A,prov_color!C:C)</f>
        <v>0</v>
      </c>
      <c r="P1387" t="e">
        <f>_xlfn.XLOOKUP(VALINA[[#This Row],[id]],Table4[id],Table4[name])</f>
        <v>#N/A</v>
      </c>
      <c r="Q1387" t="str">
        <f>_xlfn.XLOOKUP(VALINA[[#This Row],[name]],Trans!A:A,Trans!B:B)</f>
        <v>Charles River</v>
      </c>
    </row>
    <row r="1388" spans="1:17" x14ac:dyDescent="0.25">
      <c r="A1388">
        <v>1387</v>
      </c>
      <c r="E1388" t="s">
        <v>1633</v>
      </c>
      <c r="J1388" t="s">
        <v>1866</v>
      </c>
      <c r="O1388">
        <f>_xlfn.XLOOKUP(VALINA[[#This Row],[id]],prov_color!A:A,prov_color!C:C)</f>
        <v>0</v>
      </c>
      <c r="P1388" t="e">
        <f>_xlfn.XLOOKUP(VALINA[[#This Row],[id]],Table4[id],Table4[name])</f>
        <v>#N/A</v>
      </c>
      <c r="Q1388" t="str">
        <f>_xlfn.XLOOKUP(VALINA[[#This Row],[name]],Trans!A:A,Trans!B:B)</f>
        <v>Santee River</v>
      </c>
    </row>
    <row r="1389" spans="1:17" x14ac:dyDescent="0.25">
      <c r="A1389">
        <v>1388</v>
      </c>
      <c r="E1389" t="s">
        <v>1633</v>
      </c>
      <c r="J1389" t="s">
        <v>1867</v>
      </c>
      <c r="O1389">
        <f>_xlfn.XLOOKUP(VALINA[[#This Row],[id]],prov_color!A:A,prov_color!C:C)</f>
        <v>0</v>
      </c>
      <c r="P1389" t="e">
        <f>_xlfn.XLOOKUP(VALINA[[#This Row],[id]],Table4[id],Table4[name])</f>
        <v>#N/A</v>
      </c>
      <c r="Q1389" t="str">
        <f>_xlfn.XLOOKUP(VALINA[[#This Row],[name]],Trans!A:A,Trans!B:B)</f>
        <v>James River</v>
      </c>
    </row>
    <row r="1390" spans="1:17" x14ac:dyDescent="0.25">
      <c r="A1390">
        <v>1389</v>
      </c>
      <c r="E1390" t="s">
        <v>1633</v>
      </c>
      <c r="J1390" t="s">
        <v>1868</v>
      </c>
      <c r="O1390">
        <f>_xlfn.XLOOKUP(VALINA[[#This Row],[id]],prov_color!A:A,prov_color!C:C)</f>
        <v>0</v>
      </c>
      <c r="P1390" t="e">
        <f>_xlfn.XLOOKUP(VALINA[[#This Row],[id]],Table4[id],Table4[name])</f>
        <v>#N/A</v>
      </c>
      <c r="Q1390" t="str">
        <f>_xlfn.XLOOKUP(VALINA[[#This Row],[name]],Trans!A:A,Trans!B:B)</f>
        <v>Ganges River</v>
      </c>
    </row>
    <row r="1391" spans="1:17" x14ac:dyDescent="0.25">
      <c r="A1391">
        <v>1390</v>
      </c>
      <c r="E1391" t="s">
        <v>1633</v>
      </c>
      <c r="J1391" t="s">
        <v>1869</v>
      </c>
      <c r="O1391">
        <f>_xlfn.XLOOKUP(VALINA[[#This Row],[id]],prov_color!A:A,prov_color!C:C)</f>
        <v>0</v>
      </c>
      <c r="P1391" t="e">
        <f>_xlfn.XLOOKUP(VALINA[[#This Row],[id]],Table4[id],Table4[name])</f>
        <v>#N/A</v>
      </c>
      <c r="Q1391" t="str">
        <f>_xlfn.XLOOKUP(VALINA[[#This Row],[name]],Trans!A:A,Trans!B:B)</f>
        <v>Volga River</v>
      </c>
    </row>
    <row r="1392" spans="1:17" x14ac:dyDescent="0.25">
      <c r="A1392">
        <v>1391</v>
      </c>
      <c r="E1392" t="s">
        <v>1633</v>
      </c>
      <c r="J1392" t="s">
        <v>1870</v>
      </c>
      <c r="O1392">
        <f>_xlfn.XLOOKUP(VALINA[[#This Row],[id]],prov_color!A:A,prov_color!C:C)</f>
        <v>0</v>
      </c>
      <c r="P1392" t="e">
        <f>_xlfn.XLOOKUP(VALINA[[#This Row],[id]],Table4[id],Table4[name])</f>
        <v>#N/A</v>
      </c>
      <c r="Q1392" t="str">
        <f>_xlfn.XLOOKUP(VALINA[[#This Row],[name]],Trans!A:A,Trans!B:B)</f>
        <v>Danube River</v>
      </c>
    </row>
    <row r="1393" spans="1:17" x14ac:dyDescent="0.25">
      <c r="A1393">
        <v>1392</v>
      </c>
      <c r="E1393" t="s">
        <v>1633</v>
      </c>
      <c r="J1393" t="s">
        <v>1871</v>
      </c>
      <c r="O1393">
        <f>_xlfn.XLOOKUP(VALINA[[#This Row],[id]],prov_color!A:A,prov_color!C:C)</f>
        <v>0</v>
      </c>
      <c r="P1393" t="e">
        <f>_xlfn.XLOOKUP(VALINA[[#This Row],[id]],Table4[id],Table4[name])</f>
        <v>#N/A</v>
      </c>
      <c r="Q1393" t="str">
        <f>_xlfn.XLOOKUP(VALINA[[#This Row],[name]],Trans!A:A,Trans!B:B)</f>
        <v>Connecticut River</v>
      </c>
    </row>
    <row r="1394" spans="1:17" x14ac:dyDescent="0.25">
      <c r="A1394">
        <v>1393</v>
      </c>
      <c r="E1394" t="s">
        <v>1633</v>
      </c>
      <c r="J1394" t="s">
        <v>1872</v>
      </c>
      <c r="O1394">
        <f>_xlfn.XLOOKUP(VALINA[[#This Row],[id]],prov_color!A:A,prov_color!C:C)</f>
        <v>0</v>
      </c>
      <c r="P1394" t="e">
        <f>_xlfn.XLOOKUP(VALINA[[#This Row],[id]],Table4[id],Table4[name])</f>
        <v>#N/A</v>
      </c>
      <c r="Q1394" t="str">
        <f>_xlfn.XLOOKUP(VALINA[[#This Row],[name]],Trans!A:A,Trans!B:B)</f>
        <v>Kenebec River</v>
      </c>
    </row>
    <row r="1395" spans="1:17" x14ac:dyDescent="0.25">
      <c r="A1395">
        <v>1394</v>
      </c>
      <c r="E1395" t="s">
        <v>1633</v>
      </c>
      <c r="J1395" t="s">
        <v>1873</v>
      </c>
      <c r="O1395">
        <f>_xlfn.XLOOKUP(VALINA[[#This Row],[id]],prov_color!A:A,prov_color!C:C)</f>
        <v>0</v>
      </c>
      <c r="P1395" t="e">
        <f>_xlfn.XLOOKUP(VALINA[[#This Row],[id]],Table4[id],Table4[name])</f>
        <v>#N/A</v>
      </c>
      <c r="Q1395" t="str">
        <f>_xlfn.XLOOKUP(VALINA[[#This Row],[name]],Trans!A:A,Trans!B:B)</f>
        <v>Narva River</v>
      </c>
    </row>
    <row r="1396" spans="1:17" x14ac:dyDescent="0.25">
      <c r="A1396">
        <v>1395</v>
      </c>
      <c r="E1396" t="s">
        <v>1633</v>
      </c>
      <c r="J1396" t="s">
        <v>1874</v>
      </c>
      <c r="O1396">
        <f>_xlfn.XLOOKUP(VALINA[[#This Row],[id]],prov_color!A:A,prov_color!C:C)</f>
        <v>0</v>
      </c>
      <c r="P1396" t="e">
        <f>_xlfn.XLOOKUP(VALINA[[#This Row],[id]],Table4[id],Table4[name])</f>
        <v>#N/A</v>
      </c>
      <c r="Q1396" t="str">
        <f>_xlfn.XLOOKUP(VALINA[[#This Row],[name]],Trans!A:A,Trans!B:B)</f>
        <v>St. Croix River</v>
      </c>
    </row>
    <row r="1397" spans="1:17" x14ac:dyDescent="0.25">
      <c r="A1397">
        <v>1396</v>
      </c>
      <c r="E1397" t="s">
        <v>1633</v>
      </c>
      <c r="J1397" t="s">
        <v>1875</v>
      </c>
      <c r="O1397">
        <f>_xlfn.XLOOKUP(VALINA[[#This Row],[id]],prov_color!A:A,prov_color!C:C)</f>
        <v>0</v>
      </c>
      <c r="P1397" t="e">
        <f>_xlfn.XLOOKUP(VALINA[[#This Row],[id]],Table4[id],Table4[name])</f>
        <v>#N/A</v>
      </c>
      <c r="Q1397" t="str">
        <f>_xlfn.XLOOKUP(VALINA[[#This Row],[name]],Trans!A:A,Trans!B:B)</f>
        <v>St. John River</v>
      </c>
    </row>
    <row r="1398" spans="1:17" x14ac:dyDescent="0.25">
      <c r="A1398">
        <v>1397</v>
      </c>
      <c r="E1398" t="s">
        <v>1633</v>
      </c>
      <c r="J1398" t="s">
        <v>1876</v>
      </c>
      <c r="O1398">
        <f>_xlfn.XLOOKUP(VALINA[[#This Row],[id]],prov_color!A:A,prov_color!C:C)</f>
        <v>0</v>
      </c>
      <c r="P1398" t="e">
        <f>_xlfn.XLOOKUP(VALINA[[#This Row],[id]],Table4[id],Table4[name])</f>
        <v>#N/A</v>
      </c>
      <c r="Q1398" t="str">
        <f>_xlfn.XLOOKUP(VALINA[[#This Row],[name]],Trans!A:A,Trans!B:B)</f>
        <v>Lake Constance</v>
      </c>
    </row>
    <row r="1399" spans="1:17" x14ac:dyDescent="0.25">
      <c r="A1399">
        <v>1398</v>
      </c>
      <c r="E1399" t="s">
        <v>1633</v>
      </c>
      <c r="J1399" t="s">
        <v>1877</v>
      </c>
      <c r="O1399">
        <f>_xlfn.XLOOKUP(VALINA[[#This Row],[id]],prov_color!A:A,prov_color!C:C)</f>
        <v>0</v>
      </c>
      <c r="P1399" t="e">
        <f>_xlfn.XLOOKUP(VALINA[[#This Row],[id]],Table4[id],Table4[name])</f>
        <v>#N/A</v>
      </c>
      <c r="Q1399" t="str">
        <f>_xlfn.XLOOKUP(VALINA[[#This Row],[name]],Trans!A:A,Trans!B:B)</f>
        <v>Athabasca River</v>
      </c>
    </row>
    <row r="1400" spans="1:17" x14ac:dyDescent="0.25">
      <c r="A1400">
        <v>1399</v>
      </c>
      <c r="E1400" t="s">
        <v>1633</v>
      </c>
      <c r="J1400" t="s">
        <v>1878</v>
      </c>
      <c r="O1400">
        <f>_xlfn.XLOOKUP(VALINA[[#This Row],[id]],prov_color!A:A,prov_color!C:C)</f>
        <v>0</v>
      </c>
      <c r="P1400" t="e">
        <f>_xlfn.XLOOKUP(VALINA[[#This Row],[id]],Table4[id],Table4[name])</f>
        <v>#N/A</v>
      </c>
      <c r="Q1400" t="str">
        <f>_xlfn.XLOOKUP(VALINA[[#This Row],[name]],Trans!A:A,Trans!B:B)</f>
        <v>Orinoco River</v>
      </c>
    </row>
    <row r="1401" spans="1:17" x14ac:dyDescent="0.25">
      <c r="A1401">
        <v>1400</v>
      </c>
      <c r="E1401" t="s">
        <v>1633</v>
      </c>
      <c r="J1401" t="s">
        <v>1879</v>
      </c>
      <c r="O1401">
        <f>_xlfn.XLOOKUP(VALINA[[#This Row],[id]],prov_color!A:A,prov_color!C:C)</f>
        <v>0</v>
      </c>
      <c r="P1401" t="e">
        <f>_xlfn.XLOOKUP(VALINA[[#This Row],[id]],Table4[id],Table4[name])</f>
        <v>#N/A</v>
      </c>
      <c r="Q1401" t="str">
        <f>_xlfn.XLOOKUP(VALINA[[#This Row],[name]],Trans!A:A,Trans!B:B)</f>
        <v>Maroni River</v>
      </c>
    </row>
    <row r="1402" spans="1:17" x14ac:dyDescent="0.25">
      <c r="A1402">
        <v>1401</v>
      </c>
      <c r="E1402" t="s">
        <v>1633</v>
      </c>
      <c r="J1402" t="s">
        <v>1880</v>
      </c>
      <c r="O1402">
        <f>_xlfn.XLOOKUP(VALINA[[#This Row],[id]],prov_color!A:A,prov_color!C:C)</f>
        <v>0</v>
      </c>
      <c r="P1402" t="e">
        <f>_xlfn.XLOOKUP(VALINA[[#This Row],[id]],Table4[id],Table4[name])</f>
        <v>#N/A</v>
      </c>
      <c r="Q1402" t="str">
        <f>_xlfn.XLOOKUP(VALINA[[#This Row],[name]],Trans!A:A,Trans!B:B)</f>
        <v>Rhine River</v>
      </c>
    </row>
    <row r="1403" spans="1:17" x14ac:dyDescent="0.25">
      <c r="A1403">
        <v>1402</v>
      </c>
      <c r="E1403" t="s">
        <v>1633</v>
      </c>
      <c r="J1403" t="s">
        <v>1881</v>
      </c>
      <c r="O1403">
        <f>_xlfn.XLOOKUP(VALINA[[#This Row],[id]],prov_color!A:A,prov_color!C:C)</f>
        <v>0</v>
      </c>
      <c r="P1403" t="e">
        <f>_xlfn.XLOOKUP(VALINA[[#This Row],[id]],Table4[id],Table4[name])</f>
        <v>#N/A</v>
      </c>
      <c r="Q1403" t="str">
        <f>_xlfn.XLOOKUP(VALINA[[#This Row],[name]],Trans!A:A,Trans!B:B)</f>
        <v>Parana River</v>
      </c>
    </row>
    <row r="1404" spans="1:17" x14ac:dyDescent="0.25">
      <c r="A1404">
        <v>1403</v>
      </c>
      <c r="E1404" t="s">
        <v>1633</v>
      </c>
      <c r="J1404" t="s">
        <v>1882</v>
      </c>
      <c r="O1404">
        <f>_xlfn.XLOOKUP(VALINA[[#This Row],[id]],prov_color!A:A,prov_color!C:C)</f>
        <v>0</v>
      </c>
      <c r="P1404" t="e">
        <f>_xlfn.XLOOKUP(VALINA[[#This Row],[id]],Table4[id],Table4[name])</f>
        <v>#N/A</v>
      </c>
      <c r="Q1404" t="str">
        <f>_xlfn.XLOOKUP(VALINA[[#This Row],[name]],Trans!A:A,Trans!B:B)</f>
        <v>Orange River</v>
      </c>
    </row>
    <row r="1405" spans="1:17" x14ac:dyDescent="0.25">
      <c r="A1405">
        <v>1404</v>
      </c>
      <c r="E1405" t="s">
        <v>1633</v>
      </c>
      <c r="J1405" t="s">
        <v>1883</v>
      </c>
      <c r="O1405">
        <f>_xlfn.XLOOKUP(VALINA[[#This Row],[id]],prov_color!A:A,prov_color!C:C)</f>
        <v>0</v>
      </c>
      <c r="P1405" t="e">
        <f>_xlfn.XLOOKUP(VALINA[[#This Row],[id]],Table4[id],Table4[name])</f>
        <v>#N/A</v>
      </c>
      <c r="Q1405" t="str">
        <f>_xlfn.XLOOKUP(VALINA[[#This Row],[name]],Trans!A:A,Trans!B:B)</f>
        <v>Great Fish River</v>
      </c>
    </row>
    <row r="1406" spans="1:17" x14ac:dyDescent="0.25">
      <c r="A1406">
        <v>1405</v>
      </c>
      <c r="E1406" t="s">
        <v>1633</v>
      </c>
      <c r="J1406" t="s">
        <v>1884</v>
      </c>
      <c r="O1406">
        <f>_xlfn.XLOOKUP(VALINA[[#This Row],[id]],prov_color!A:A,prov_color!C:C)</f>
        <v>0</v>
      </c>
      <c r="P1406" t="e">
        <f>_xlfn.XLOOKUP(VALINA[[#This Row],[id]],Table4[id],Table4[name])</f>
        <v>#N/A</v>
      </c>
      <c r="Q1406" t="str">
        <f>_xlfn.XLOOKUP(VALINA[[#This Row],[name]],Trans!A:A,Trans!B:B)</f>
        <v>Limpopo River</v>
      </c>
    </row>
    <row r="1407" spans="1:17" x14ac:dyDescent="0.25">
      <c r="A1407">
        <v>1406</v>
      </c>
      <c r="E1407" t="s">
        <v>1633</v>
      </c>
      <c r="J1407" t="s">
        <v>1885</v>
      </c>
      <c r="O1407">
        <f>_xlfn.XLOOKUP(VALINA[[#This Row],[id]],prov_color!A:A,prov_color!C:C)</f>
        <v>0</v>
      </c>
      <c r="P1407" t="e">
        <f>_xlfn.XLOOKUP(VALINA[[#This Row],[id]],Table4[id],Table4[name])</f>
        <v>#N/A</v>
      </c>
      <c r="Q1407" t="str">
        <f>_xlfn.XLOOKUP(VALINA[[#This Row],[name]],Trans!A:A,Trans!B:B)</f>
        <v>Zambeze River</v>
      </c>
    </row>
    <row r="1408" spans="1:17" x14ac:dyDescent="0.25">
      <c r="A1408">
        <v>1407</v>
      </c>
      <c r="E1408" t="s">
        <v>1633</v>
      </c>
      <c r="J1408" t="s">
        <v>1886</v>
      </c>
      <c r="O1408">
        <f>_xlfn.XLOOKUP(VALINA[[#This Row],[id]],prov_color!A:A,prov_color!C:C)</f>
        <v>0</v>
      </c>
      <c r="P1408" t="e">
        <f>_xlfn.XLOOKUP(VALINA[[#This Row],[id]],Table4[id],Table4[name])</f>
        <v>#N/A</v>
      </c>
      <c r="Q1408" t="str">
        <f>_xlfn.XLOOKUP(VALINA[[#This Row],[name]],Trans!A:A,Trans!B:B)</f>
        <v>Congo River</v>
      </c>
    </row>
    <row r="1409" spans="1:17" x14ac:dyDescent="0.25">
      <c r="A1409">
        <v>1408</v>
      </c>
      <c r="E1409" t="s">
        <v>1633</v>
      </c>
      <c r="J1409" t="s">
        <v>1887</v>
      </c>
      <c r="O1409">
        <f>_xlfn.XLOOKUP(VALINA[[#This Row],[id]],prov_color!A:A,prov_color!C:C)</f>
        <v>0</v>
      </c>
      <c r="P1409" t="e">
        <f>_xlfn.XLOOKUP(VALINA[[#This Row],[id]],Table4[id],Table4[name])</f>
        <v>#N/A</v>
      </c>
      <c r="Q1409" t="str">
        <f>_xlfn.XLOOKUP(VALINA[[#This Row],[name]],Trans!A:A,Trans!B:B)</f>
        <v>Rufiji River</v>
      </c>
    </row>
    <row r="1410" spans="1:17" x14ac:dyDescent="0.25">
      <c r="A1410">
        <v>1409</v>
      </c>
      <c r="E1410" t="s">
        <v>1633</v>
      </c>
      <c r="J1410" t="s">
        <v>1888</v>
      </c>
      <c r="O1410">
        <f>_xlfn.XLOOKUP(VALINA[[#This Row],[id]],prov_color!A:A,prov_color!C:C)</f>
        <v>0</v>
      </c>
      <c r="P1410" t="e">
        <f>_xlfn.XLOOKUP(VALINA[[#This Row],[id]],Table4[id],Table4[name])</f>
        <v>#N/A</v>
      </c>
      <c r="Q1410" t="str">
        <f>_xlfn.XLOOKUP(VALINA[[#This Row],[name]],Trans!A:A,Trans!B:B)</f>
        <v>Ogowe River</v>
      </c>
    </row>
    <row r="1411" spans="1:17" x14ac:dyDescent="0.25">
      <c r="A1411">
        <v>1410</v>
      </c>
      <c r="E1411" t="s">
        <v>1633</v>
      </c>
      <c r="J1411" t="s">
        <v>1889</v>
      </c>
      <c r="O1411">
        <f>_xlfn.XLOOKUP(VALINA[[#This Row],[id]],prov_color!A:A,prov_color!C:C)</f>
        <v>0</v>
      </c>
      <c r="P1411" t="e">
        <f>_xlfn.XLOOKUP(VALINA[[#This Row],[id]],Table4[id],Table4[name])</f>
        <v>#N/A</v>
      </c>
      <c r="Q1411" t="str">
        <f>_xlfn.XLOOKUP(VALINA[[#This Row],[name]],Trans!A:A,Trans!B:B)</f>
        <v>Niger River</v>
      </c>
    </row>
    <row r="1412" spans="1:17" x14ac:dyDescent="0.25">
      <c r="A1412">
        <v>1411</v>
      </c>
      <c r="E1412" t="s">
        <v>1633</v>
      </c>
      <c r="J1412" t="s">
        <v>1890</v>
      </c>
      <c r="O1412">
        <f>_xlfn.XLOOKUP(VALINA[[#This Row],[id]],prov_color!A:A,prov_color!C:C)</f>
        <v>0</v>
      </c>
      <c r="P1412" t="e">
        <f>_xlfn.XLOOKUP(VALINA[[#This Row],[id]],Table4[id],Table4[name])</f>
        <v>#N/A</v>
      </c>
      <c r="Q1412" t="str">
        <f>_xlfn.XLOOKUP(VALINA[[#This Row],[name]],Trans!A:A,Trans!B:B)</f>
        <v>Nile River</v>
      </c>
    </row>
    <row r="1413" spans="1:17" x14ac:dyDescent="0.25">
      <c r="A1413">
        <v>1412</v>
      </c>
      <c r="E1413" t="s">
        <v>1633</v>
      </c>
      <c r="J1413" t="s">
        <v>1891</v>
      </c>
      <c r="O1413">
        <f>_xlfn.XLOOKUP(VALINA[[#This Row],[id]],prov_color!A:A,prov_color!C:C)</f>
        <v>0</v>
      </c>
      <c r="P1413" t="e">
        <f>_xlfn.XLOOKUP(VALINA[[#This Row],[id]],Table4[id],Table4[name])</f>
        <v>#N/A</v>
      </c>
      <c r="Q1413" t="str">
        <f>_xlfn.XLOOKUP(VALINA[[#This Row],[name]],Trans!A:A,Trans!B:B)</f>
        <v>Senegal River</v>
      </c>
    </row>
    <row r="1414" spans="1:17" x14ac:dyDescent="0.25">
      <c r="A1414">
        <v>1413</v>
      </c>
      <c r="E1414" t="s">
        <v>1633</v>
      </c>
      <c r="J1414" t="s">
        <v>1892</v>
      </c>
      <c r="O1414">
        <f>_xlfn.XLOOKUP(VALINA[[#This Row],[id]],prov_color!A:A,prov_color!C:C)</f>
        <v>0</v>
      </c>
      <c r="P1414" t="e">
        <f>_xlfn.XLOOKUP(VALINA[[#This Row],[id]],Table4[id],Table4[name])</f>
        <v>#N/A</v>
      </c>
      <c r="Q1414" t="str">
        <f>_xlfn.XLOOKUP(VALINA[[#This Row],[name]],Trans!A:A,Trans!B:B)</f>
        <v>Tajo River</v>
      </c>
    </row>
    <row r="1415" spans="1:17" x14ac:dyDescent="0.25">
      <c r="A1415">
        <v>1414</v>
      </c>
      <c r="E1415" t="s">
        <v>1633</v>
      </c>
      <c r="J1415" t="s">
        <v>1893</v>
      </c>
      <c r="O1415">
        <f>_xlfn.XLOOKUP(VALINA[[#This Row],[id]],prov_color!A:A,prov_color!C:C)</f>
        <v>0</v>
      </c>
      <c r="P1415" t="e">
        <f>_xlfn.XLOOKUP(VALINA[[#This Row],[id]],Table4[id],Table4[name])</f>
        <v>#N/A</v>
      </c>
      <c r="Q1415" t="str">
        <f>_xlfn.XLOOKUP(VALINA[[#This Row],[name]],Trans!A:A,Trans!B:B)</f>
        <v>Ebro River</v>
      </c>
    </row>
    <row r="1416" spans="1:17" x14ac:dyDescent="0.25">
      <c r="A1416">
        <v>1415</v>
      </c>
      <c r="E1416" t="s">
        <v>1633</v>
      </c>
      <c r="J1416" t="s">
        <v>1894</v>
      </c>
      <c r="O1416">
        <f>_xlfn.XLOOKUP(VALINA[[#This Row],[id]],prov_color!A:A,prov_color!C:C)</f>
        <v>0</v>
      </c>
      <c r="P1416" t="e">
        <f>_xlfn.XLOOKUP(VALINA[[#This Row],[id]],Table4[id],Table4[name])</f>
        <v>#N/A</v>
      </c>
      <c r="Q1416" t="str">
        <f>_xlfn.XLOOKUP(VALINA[[#This Row],[name]],Trans!A:A,Trans!B:B)</f>
        <v>Garonne River</v>
      </c>
    </row>
    <row r="1417" spans="1:17" x14ac:dyDescent="0.25">
      <c r="A1417">
        <v>1416</v>
      </c>
      <c r="E1417" t="s">
        <v>1633</v>
      </c>
      <c r="J1417" t="s">
        <v>1895</v>
      </c>
      <c r="O1417">
        <f>_xlfn.XLOOKUP(VALINA[[#This Row],[id]],prov_color!A:A,prov_color!C:C)</f>
        <v>0</v>
      </c>
      <c r="P1417" t="e">
        <f>_xlfn.XLOOKUP(VALINA[[#This Row],[id]],Table4[id],Table4[name])</f>
        <v>#N/A</v>
      </c>
      <c r="Q1417" t="str">
        <f>_xlfn.XLOOKUP(VALINA[[#This Row],[name]],Trans!A:A,Trans!B:B)</f>
        <v>Rh�ne River</v>
      </c>
    </row>
    <row r="1418" spans="1:17" x14ac:dyDescent="0.25">
      <c r="A1418">
        <v>1417</v>
      </c>
      <c r="E1418" t="s">
        <v>1633</v>
      </c>
      <c r="J1418" t="s">
        <v>1896</v>
      </c>
      <c r="O1418">
        <f>_xlfn.XLOOKUP(VALINA[[#This Row],[id]],prov_color!A:A,prov_color!C:C)</f>
        <v>0</v>
      </c>
      <c r="P1418" t="e">
        <f>_xlfn.XLOOKUP(VALINA[[#This Row],[id]],Table4[id],Table4[name])</f>
        <v>#N/A</v>
      </c>
      <c r="Q1418" t="str">
        <f>_xlfn.XLOOKUP(VALINA[[#This Row],[name]],Trans!A:A,Trans!B:B)</f>
        <v>Loire River</v>
      </c>
    </row>
    <row r="1419" spans="1:17" x14ac:dyDescent="0.25">
      <c r="A1419">
        <v>1418</v>
      </c>
      <c r="E1419" t="s">
        <v>1633</v>
      </c>
      <c r="J1419" t="s">
        <v>1897</v>
      </c>
      <c r="O1419">
        <f>_xlfn.XLOOKUP(VALINA[[#This Row],[id]],prov_color!A:A,prov_color!C:C)</f>
        <v>0</v>
      </c>
      <c r="P1419" t="e">
        <f>_xlfn.XLOOKUP(VALINA[[#This Row],[id]],Table4[id],Table4[name])</f>
        <v>#N/A</v>
      </c>
      <c r="Q1419" t="str">
        <f>_xlfn.XLOOKUP(VALINA[[#This Row],[name]],Trans!A:A,Trans!B:B)</f>
        <v>Seine River</v>
      </c>
    </row>
    <row r="1420" spans="1:17" x14ac:dyDescent="0.25">
      <c r="A1420">
        <v>1419</v>
      </c>
      <c r="E1420" t="s">
        <v>1633</v>
      </c>
      <c r="J1420" t="s">
        <v>1961</v>
      </c>
      <c r="O1420">
        <f>_xlfn.XLOOKUP(VALINA[[#This Row],[id]],prov_color!A:A,prov_color!C:C)</f>
        <v>0</v>
      </c>
      <c r="P1420" t="e">
        <f>_xlfn.XLOOKUP(VALINA[[#This Row],[id]],Table4[id],Table4[name])</f>
        <v>#N/A</v>
      </c>
      <c r="Q1420" t="str">
        <f>_xlfn.XLOOKUP(VALINA[[#This Row],[name]],Trans!A:A,Trans!B:B)</f>
        <v>P� River</v>
      </c>
    </row>
    <row r="1421" spans="1:17" x14ac:dyDescent="0.25">
      <c r="A1421">
        <v>1420</v>
      </c>
      <c r="E1421" t="s">
        <v>1633</v>
      </c>
      <c r="J1421" t="s">
        <v>1899</v>
      </c>
      <c r="O1421">
        <f>_xlfn.XLOOKUP(VALINA[[#This Row],[id]],prov_color!A:A,prov_color!C:C)</f>
        <v>0</v>
      </c>
      <c r="P1421" t="e">
        <f>_xlfn.XLOOKUP(VALINA[[#This Row],[id]],Table4[id],Table4[name])</f>
        <v>#N/A</v>
      </c>
      <c r="Q1421" t="str">
        <f>_xlfn.XLOOKUP(VALINA[[#This Row],[name]],Trans!A:A,Trans!B:B)</f>
        <v>Maas River</v>
      </c>
    </row>
    <row r="1422" spans="1:17" x14ac:dyDescent="0.25">
      <c r="A1422">
        <v>1421</v>
      </c>
      <c r="E1422" t="s">
        <v>1633</v>
      </c>
      <c r="J1422" t="s">
        <v>1900</v>
      </c>
      <c r="O1422">
        <f>_xlfn.XLOOKUP(VALINA[[#This Row],[id]],prov_color!A:A,prov_color!C:C)</f>
        <v>0</v>
      </c>
      <c r="P1422" t="e">
        <f>_xlfn.XLOOKUP(VALINA[[#This Row],[id]],Table4[id],Table4[name])</f>
        <v>#N/A</v>
      </c>
      <c r="Q1422" t="str">
        <f>_xlfn.XLOOKUP(VALINA[[#This Row],[name]],Trans!A:A,Trans!B:B)</f>
        <v>Panaima River</v>
      </c>
    </row>
    <row r="1423" spans="1:17" x14ac:dyDescent="0.25">
      <c r="A1423">
        <v>1422</v>
      </c>
      <c r="E1423" t="s">
        <v>1633</v>
      </c>
      <c r="J1423" t="s">
        <v>1901</v>
      </c>
      <c r="O1423">
        <f>_xlfn.XLOOKUP(VALINA[[#This Row],[id]],prov_color!A:A,prov_color!C:C)</f>
        <v>0</v>
      </c>
      <c r="P1423" t="e">
        <f>_xlfn.XLOOKUP(VALINA[[#This Row],[id]],Table4[id],Table4[name])</f>
        <v>#N/A</v>
      </c>
      <c r="Q1423" t="str">
        <f>_xlfn.XLOOKUP(VALINA[[#This Row],[name]],Trans!A:A,Trans!B:B)</f>
        <v>Thames River</v>
      </c>
    </row>
    <row r="1424" spans="1:17" x14ac:dyDescent="0.25">
      <c r="A1424">
        <v>1423</v>
      </c>
      <c r="E1424" t="s">
        <v>1633</v>
      </c>
      <c r="J1424" t="s">
        <v>1902</v>
      </c>
      <c r="O1424">
        <f>_xlfn.XLOOKUP(VALINA[[#This Row],[id]],prov_color!A:A,prov_color!C:C)</f>
        <v>0</v>
      </c>
      <c r="P1424" t="e">
        <f>_xlfn.XLOOKUP(VALINA[[#This Row],[id]],Table4[id],Table4[name])</f>
        <v>#N/A</v>
      </c>
      <c r="Q1424" t="str">
        <f>_xlfn.XLOOKUP(VALINA[[#This Row],[name]],Trans!A:A,Trans!B:B)</f>
        <v>Weser River</v>
      </c>
    </row>
    <row r="1425" spans="1:17" x14ac:dyDescent="0.25">
      <c r="A1425">
        <v>1424</v>
      </c>
      <c r="E1425" t="s">
        <v>1633</v>
      </c>
      <c r="J1425" t="s">
        <v>1903</v>
      </c>
      <c r="O1425">
        <f>_xlfn.XLOOKUP(VALINA[[#This Row],[id]],prov_color!A:A,prov_color!C:C)</f>
        <v>0</v>
      </c>
      <c r="P1425" t="e">
        <f>_xlfn.XLOOKUP(VALINA[[#This Row],[id]],Table4[id],Table4[name])</f>
        <v>#N/A</v>
      </c>
      <c r="Q1425" t="str">
        <f>_xlfn.XLOOKUP(VALINA[[#This Row],[name]],Trans!A:A,Trans!B:B)</f>
        <v>Elbe River</v>
      </c>
    </row>
    <row r="1426" spans="1:17" x14ac:dyDescent="0.25">
      <c r="A1426">
        <v>1425</v>
      </c>
      <c r="E1426" t="s">
        <v>1633</v>
      </c>
      <c r="J1426" t="s">
        <v>1904</v>
      </c>
      <c r="O1426">
        <f>_xlfn.XLOOKUP(VALINA[[#This Row],[id]],prov_color!A:A,prov_color!C:C)</f>
        <v>0</v>
      </c>
      <c r="P1426" t="e">
        <f>_xlfn.XLOOKUP(VALINA[[#This Row],[id]],Table4[id],Table4[name])</f>
        <v>#N/A</v>
      </c>
      <c r="Q1426" t="str">
        <f>_xlfn.XLOOKUP(VALINA[[#This Row],[name]],Trans!A:A,Trans!B:B)</f>
        <v>Oder River</v>
      </c>
    </row>
    <row r="1427" spans="1:17" x14ac:dyDescent="0.25">
      <c r="A1427">
        <v>1426</v>
      </c>
      <c r="E1427" t="s">
        <v>1633</v>
      </c>
      <c r="J1427" t="s">
        <v>1905</v>
      </c>
      <c r="O1427">
        <f>_xlfn.XLOOKUP(VALINA[[#This Row],[id]],prov_color!A:A,prov_color!C:C)</f>
        <v>0</v>
      </c>
      <c r="P1427" t="e">
        <f>_xlfn.XLOOKUP(VALINA[[#This Row],[id]],Table4[id],Table4[name])</f>
        <v>#N/A</v>
      </c>
      <c r="Q1427" t="str">
        <f>_xlfn.XLOOKUP(VALINA[[#This Row],[name]],Trans!A:A,Trans!B:B)</f>
        <v>Vistula River</v>
      </c>
    </row>
    <row r="1428" spans="1:17" x14ac:dyDescent="0.25">
      <c r="A1428">
        <v>1427</v>
      </c>
      <c r="E1428" t="s">
        <v>1633</v>
      </c>
      <c r="J1428" t="s">
        <v>1906</v>
      </c>
      <c r="O1428">
        <f>_xlfn.XLOOKUP(VALINA[[#This Row],[id]],prov_color!A:A,prov_color!C:C)</f>
        <v>0</v>
      </c>
      <c r="P1428" t="e">
        <f>_xlfn.XLOOKUP(VALINA[[#This Row],[id]],Table4[id],Table4[name])</f>
        <v>#N/A</v>
      </c>
      <c r="Q1428" t="str">
        <f>_xlfn.XLOOKUP(VALINA[[#This Row],[name]],Trans!A:A,Trans!B:B)</f>
        <v>Amazon River</v>
      </c>
    </row>
    <row r="1429" spans="1:17" x14ac:dyDescent="0.25">
      <c r="A1429">
        <v>1428</v>
      </c>
      <c r="E1429" t="s">
        <v>1633</v>
      </c>
      <c r="J1429" t="s">
        <v>1907</v>
      </c>
      <c r="O1429">
        <f>_xlfn.XLOOKUP(VALINA[[#This Row],[id]],prov_color!A:A,prov_color!C:C)</f>
        <v>0</v>
      </c>
      <c r="P1429" t="e">
        <f>_xlfn.XLOOKUP(VALINA[[#This Row],[id]],Table4[id],Table4[name])</f>
        <v>#N/A</v>
      </c>
      <c r="Q1429" t="str">
        <f>_xlfn.XLOOKUP(VALINA[[#This Row],[name]],Trans!A:A,Trans!B:B)</f>
        <v>Dniester River</v>
      </c>
    </row>
    <row r="1430" spans="1:17" x14ac:dyDescent="0.25">
      <c r="A1430">
        <v>1429</v>
      </c>
      <c r="E1430" t="s">
        <v>1633</v>
      </c>
      <c r="J1430" t="s">
        <v>1908</v>
      </c>
      <c r="O1430">
        <f>_xlfn.XLOOKUP(VALINA[[#This Row],[id]],prov_color!A:A,prov_color!C:C)</f>
        <v>0</v>
      </c>
      <c r="P1430" t="e">
        <f>_xlfn.XLOOKUP(VALINA[[#This Row],[id]],Table4[id],Table4[name])</f>
        <v>#N/A</v>
      </c>
      <c r="Q1430" t="str">
        <f>_xlfn.XLOOKUP(VALINA[[#This Row],[name]],Trans!A:A,Trans!B:B)</f>
        <v>Dvina River</v>
      </c>
    </row>
    <row r="1431" spans="1:17" x14ac:dyDescent="0.25">
      <c r="A1431">
        <v>1430</v>
      </c>
      <c r="E1431" t="s">
        <v>1633</v>
      </c>
      <c r="J1431" t="s">
        <v>1909</v>
      </c>
      <c r="O1431">
        <f>_xlfn.XLOOKUP(VALINA[[#This Row],[id]],prov_color!A:A,prov_color!C:C)</f>
        <v>0</v>
      </c>
      <c r="P1431" t="e">
        <f>_xlfn.XLOOKUP(VALINA[[#This Row],[id]],Table4[id],Table4[name])</f>
        <v>#N/A</v>
      </c>
      <c r="Q1431" t="str">
        <f>_xlfn.XLOOKUP(VALINA[[#This Row],[name]],Trans!A:A,Trans!B:B)</f>
        <v>Dniepr River</v>
      </c>
    </row>
    <row r="1432" spans="1:17" x14ac:dyDescent="0.25">
      <c r="A1432">
        <v>1431</v>
      </c>
      <c r="E1432" t="s">
        <v>1633</v>
      </c>
      <c r="J1432" t="s">
        <v>1910</v>
      </c>
      <c r="O1432">
        <f>_xlfn.XLOOKUP(VALINA[[#This Row],[id]],prov_color!A:A,prov_color!C:C)</f>
        <v>0</v>
      </c>
      <c r="P1432" t="e">
        <f>_xlfn.XLOOKUP(VALINA[[#This Row],[id]],Table4[id],Table4[name])</f>
        <v>#N/A</v>
      </c>
      <c r="Q1432" t="str">
        <f>_xlfn.XLOOKUP(VALINA[[#This Row],[name]],Trans!A:A,Trans!B:B)</f>
        <v>Sakarya River</v>
      </c>
    </row>
    <row r="1433" spans="1:17" x14ac:dyDescent="0.25">
      <c r="A1433">
        <v>1432</v>
      </c>
      <c r="E1433" t="s">
        <v>1633</v>
      </c>
      <c r="J1433" t="s">
        <v>1911</v>
      </c>
      <c r="O1433">
        <f>_xlfn.XLOOKUP(VALINA[[#This Row],[id]],prov_color!A:A,prov_color!C:C)</f>
        <v>0</v>
      </c>
      <c r="P1433" t="e">
        <f>_xlfn.XLOOKUP(VALINA[[#This Row],[id]],Table4[id],Table4[name])</f>
        <v>#N/A</v>
      </c>
      <c r="Q1433" t="str">
        <f>_xlfn.XLOOKUP(VALINA[[#This Row],[name]],Trans!A:A,Trans!B:B)</f>
        <v>Kizil River</v>
      </c>
    </row>
    <row r="1434" spans="1:17" x14ac:dyDescent="0.25">
      <c r="A1434">
        <v>1433</v>
      </c>
      <c r="E1434" t="s">
        <v>1633</v>
      </c>
      <c r="J1434" t="s">
        <v>1912</v>
      </c>
      <c r="O1434">
        <f>_xlfn.XLOOKUP(VALINA[[#This Row],[id]],prov_color!A:A,prov_color!C:C)</f>
        <v>0</v>
      </c>
      <c r="P1434" t="e">
        <f>_xlfn.XLOOKUP(VALINA[[#This Row],[id]],Table4[id],Table4[name])</f>
        <v>#N/A</v>
      </c>
      <c r="Q1434" t="str">
        <f>_xlfn.XLOOKUP(VALINA[[#This Row],[name]],Trans!A:A,Trans!B:B)</f>
        <v>Velikaya River</v>
      </c>
    </row>
    <row r="1435" spans="1:17" x14ac:dyDescent="0.25">
      <c r="A1435">
        <v>1434</v>
      </c>
      <c r="E1435" t="s">
        <v>1633</v>
      </c>
      <c r="J1435" t="s">
        <v>1913</v>
      </c>
      <c r="O1435">
        <f>_xlfn.XLOOKUP(VALINA[[#This Row],[id]],prov_color!A:A,prov_color!C:C)</f>
        <v>0</v>
      </c>
      <c r="P1435" t="e">
        <f>_xlfn.XLOOKUP(VALINA[[#This Row],[id]],Table4[id],Table4[name])</f>
        <v>#N/A</v>
      </c>
      <c r="Q1435" t="str">
        <f>_xlfn.XLOOKUP(VALINA[[#This Row],[name]],Trans!A:A,Trans!B:B)</f>
        <v>Saguenay River</v>
      </c>
    </row>
    <row r="1436" spans="1:17" x14ac:dyDescent="0.25">
      <c r="A1436">
        <v>1435</v>
      </c>
      <c r="E1436" t="s">
        <v>1633</v>
      </c>
      <c r="J1436" t="s">
        <v>1914</v>
      </c>
      <c r="O1436">
        <f>_xlfn.XLOOKUP(VALINA[[#This Row],[id]],prov_color!A:A,prov_color!C:C)</f>
        <v>0</v>
      </c>
      <c r="P1436" t="e">
        <f>_xlfn.XLOOKUP(VALINA[[#This Row],[id]],Table4[id],Table4[name])</f>
        <v>#N/A</v>
      </c>
      <c r="Q1436" t="str">
        <f>_xlfn.XLOOKUP(VALINA[[#This Row],[name]],Trans!A:A,Trans!B:B)</f>
        <v>Donets River</v>
      </c>
    </row>
    <row r="1437" spans="1:17" x14ac:dyDescent="0.25">
      <c r="A1437">
        <v>1436</v>
      </c>
      <c r="E1437" t="s">
        <v>1633</v>
      </c>
      <c r="J1437" t="s">
        <v>1915</v>
      </c>
      <c r="O1437">
        <f>_xlfn.XLOOKUP(VALINA[[#This Row],[id]],prov_color!A:A,prov_color!C:C)</f>
        <v>0</v>
      </c>
      <c r="P1437" t="e">
        <f>_xlfn.XLOOKUP(VALINA[[#This Row],[id]],Table4[id],Table4[name])</f>
        <v>#N/A</v>
      </c>
      <c r="Q1437" t="str">
        <f>_xlfn.XLOOKUP(VALINA[[#This Row],[name]],Trans!A:A,Trans!B:B)</f>
        <v>Susquehanna River</v>
      </c>
    </row>
    <row r="1438" spans="1:17" x14ac:dyDescent="0.25">
      <c r="A1438">
        <v>1437</v>
      </c>
      <c r="E1438" t="s">
        <v>1633</v>
      </c>
      <c r="J1438" t="s">
        <v>1916</v>
      </c>
      <c r="O1438">
        <f>_xlfn.XLOOKUP(VALINA[[#This Row],[id]],prov_color!A:A,prov_color!C:C)</f>
        <v>0</v>
      </c>
      <c r="P1438" t="e">
        <f>_xlfn.XLOOKUP(VALINA[[#This Row],[id]],Table4[id],Table4[name])</f>
        <v>#N/A</v>
      </c>
      <c r="Q1438" t="str">
        <f>_xlfn.XLOOKUP(VALINA[[#This Row],[name]],Trans!A:A,Trans!B:B)</f>
        <v>Jordan River</v>
      </c>
    </row>
    <row r="1439" spans="1:17" x14ac:dyDescent="0.25">
      <c r="A1439">
        <v>1438</v>
      </c>
      <c r="E1439" t="s">
        <v>1633</v>
      </c>
      <c r="J1439" t="s">
        <v>1962</v>
      </c>
      <c r="O1439">
        <f>_xlfn.XLOOKUP(VALINA[[#This Row],[id]],prov_color!A:A,prov_color!C:C)</f>
        <v>0</v>
      </c>
      <c r="P1439" t="e">
        <f>_xlfn.XLOOKUP(VALINA[[#This Row],[id]],Table4[id],Table4[name])</f>
        <v>#N/A</v>
      </c>
      <c r="Q1439" t="str">
        <f>_xlfn.XLOOKUP(VALINA[[#This Row],[name]],Trans!A:A,Trans!B:B)</f>
        <v>Ural River</v>
      </c>
    </row>
    <row r="1440" spans="1:17" x14ac:dyDescent="0.25">
      <c r="A1440">
        <v>1439</v>
      </c>
      <c r="E1440" t="s">
        <v>1633</v>
      </c>
      <c r="J1440" t="s">
        <v>1918</v>
      </c>
      <c r="O1440">
        <f>_xlfn.XLOOKUP(VALINA[[#This Row],[id]],prov_color!A:A,prov_color!C:C)</f>
        <v>0</v>
      </c>
      <c r="P1440" t="e">
        <f>_xlfn.XLOOKUP(VALINA[[#This Row],[id]],Table4[id],Table4[name])</f>
        <v>#N/A</v>
      </c>
      <c r="Q1440" t="str">
        <f>_xlfn.XLOOKUP(VALINA[[#This Row],[name]],Trans!A:A,Trans!B:B)</f>
        <v>Irtych River</v>
      </c>
    </row>
    <row r="1441" spans="1:17" x14ac:dyDescent="0.25">
      <c r="A1441">
        <v>1440</v>
      </c>
      <c r="E1441" t="s">
        <v>1633</v>
      </c>
      <c r="J1441" t="s">
        <v>1917</v>
      </c>
      <c r="O1441">
        <f>_xlfn.XLOOKUP(VALINA[[#This Row],[id]],prov_color!A:A,prov_color!C:C)</f>
        <v>0</v>
      </c>
      <c r="P1441" t="e">
        <f>_xlfn.XLOOKUP(VALINA[[#This Row],[id]],Table4[id],Table4[name])</f>
        <v>#N/A</v>
      </c>
      <c r="Q1441" t="str">
        <f>_xlfn.XLOOKUP(VALINA[[#This Row],[name]],Trans!A:A,Trans!B:B)</f>
        <v>Ob River</v>
      </c>
    </row>
    <row r="1442" spans="1:17" x14ac:dyDescent="0.25">
      <c r="A1442">
        <v>1441</v>
      </c>
      <c r="E1442" t="s">
        <v>1633</v>
      </c>
      <c r="J1442" t="s">
        <v>1919</v>
      </c>
      <c r="O1442">
        <f>_xlfn.XLOOKUP(VALINA[[#This Row],[id]],prov_color!A:A,prov_color!C:C)</f>
        <v>0</v>
      </c>
      <c r="P1442" t="e">
        <f>_xlfn.XLOOKUP(VALINA[[#This Row],[id]],Table4[id],Table4[name])</f>
        <v>#N/A</v>
      </c>
      <c r="Q1442" t="str">
        <f>_xlfn.XLOOKUP(VALINA[[#This Row],[name]],Trans!A:A,Trans!B:B)</f>
        <v>Ienissei River</v>
      </c>
    </row>
    <row r="1443" spans="1:17" x14ac:dyDescent="0.25">
      <c r="A1443">
        <v>1442</v>
      </c>
      <c r="E1443" t="s">
        <v>1633</v>
      </c>
      <c r="J1443" t="s">
        <v>1920</v>
      </c>
      <c r="O1443">
        <f>_xlfn.XLOOKUP(VALINA[[#This Row],[id]],prov_color!A:A,prov_color!C:C)</f>
        <v>56</v>
      </c>
      <c r="P1443" t="str">
        <f>_xlfn.XLOOKUP(VALINA[[#This Row],[id]],Table4[id],Table4[name])</f>
        <v>Lake Baikal</v>
      </c>
      <c r="Q1443" t="str">
        <f>_xlfn.XLOOKUP(VALINA[[#This Row],[name]],Trans!A:A,Trans!B:B)</f>
        <v>Lake Baikal &amp; Selenga River</v>
      </c>
    </row>
    <row r="1444" spans="1:17" x14ac:dyDescent="0.25">
      <c r="A1444">
        <v>1443</v>
      </c>
      <c r="E1444" t="s">
        <v>1633</v>
      </c>
      <c r="J1444" t="s">
        <v>1921</v>
      </c>
      <c r="O1444">
        <f>_xlfn.XLOOKUP(VALINA[[#This Row],[id]],prov_color!A:A,prov_color!C:C)</f>
        <v>0</v>
      </c>
      <c r="P1444" t="e">
        <f>_xlfn.XLOOKUP(VALINA[[#This Row],[id]],Table4[id],Table4[name])</f>
        <v>#N/A</v>
      </c>
      <c r="Q1444" t="str">
        <f>_xlfn.XLOOKUP(VALINA[[#This Row],[name]],Trans!A:A,Trans!B:B)</f>
        <v>Indus River</v>
      </c>
    </row>
    <row r="1445" spans="1:17" x14ac:dyDescent="0.25">
      <c r="A1445">
        <v>1444</v>
      </c>
      <c r="E1445" t="s">
        <v>1633</v>
      </c>
      <c r="J1445" t="s">
        <v>1922</v>
      </c>
      <c r="O1445">
        <f>_xlfn.XLOOKUP(VALINA[[#This Row],[id]],prov_color!A:A,prov_color!C:C)</f>
        <v>0</v>
      </c>
      <c r="P1445" t="e">
        <f>_xlfn.XLOOKUP(VALINA[[#This Row],[id]],Table4[id],Table4[name])</f>
        <v>#N/A</v>
      </c>
      <c r="Q1445" t="str">
        <f>_xlfn.XLOOKUP(VALINA[[#This Row],[name]],Trans!A:A,Trans!B:B)</f>
        <v>Hudson River</v>
      </c>
    </row>
    <row r="1446" spans="1:17" x14ac:dyDescent="0.25">
      <c r="A1446">
        <v>1445</v>
      </c>
      <c r="E1446" t="s">
        <v>1633</v>
      </c>
      <c r="J1446" t="s">
        <v>1923</v>
      </c>
      <c r="O1446">
        <f>_xlfn.XLOOKUP(VALINA[[#This Row],[id]],prov_color!A:A,prov_color!C:C)</f>
        <v>0</v>
      </c>
      <c r="P1446" t="e">
        <f>_xlfn.XLOOKUP(VALINA[[#This Row],[id]],Table4[id],Table4[name])</f>
        <v>#N/A</v>
      </c>
      <c r="Q1446" t="str">
        <f>_xlfn.XLOOKUP(VALINA[[#This Row],[name]],Trans!A:A,Trans!B:B)</f>
        <v>Amur River</v>
      </c>
    </row>
    <row r="1447" spans="1:17" x14ac:dyDescent="0.25">
      <c r="A1447">
        <v>1446</v>
      </c>
      <c r="E1447" t="s">
        <v>1633</v>
      </c>
      <c r="J1447" t="s">
        <v>1924</v>
      </c>
      <c r="O1447">
        <f>_xlfn.XLOOKUP(VALINA[[#This Row],[id]],prov_color!A:A,prov_color!C:C)</f>
        <v>0</v>
      </c>
      <c r="P1447" t="e">
        <f>_xlfn.XLOOKUP(VALINA[[#This Row],[id]],Table4[id],Table4[name])</f>
        <v>#N/A</v>
      </c>
      <c r="Q1447" t="str">
        <f>_xlfn.XLOOKUP(VALINA[[#This Row],[name]],Trans!A:A,Trans!B:B)</f>
        <v>Yalu River</v>
      </c>
    </row>
    <row r="1448" spans="1:17" x14ac:dyDescent="0.25">
      <c r="A1448">
        <v>1447</v>
      </c>
      <c r="E1448" t="s">
        <v>1633</v>
      </c>
      <c r="J1448" t="s">
        <v>1925</v>
      </c>
      <c r="O1448">
        <f>_xlfn.XLOOKUP(VALINA[[#This Row],[id]],prov_color!A:A,prov_color!C:C)</f>
        <v>0</v>
      </c>
      <c r="P1448" t="e">
        <f>_xlfn.XLOOKUP(VALINA[[#This Row],[id]],Table4[id],Table4[name])</f>
        <v>#N/A</v>
      </c>
      <c r="Q1448" t="str">
        <f>_xlfn.XLOOKUP(VALINA[[#This Row],[name]],Trans!A:A,Trans!B:B)</f>
        <v>Yellow River</v>
      </c>
    </row>
    <row r="1449" spans="1:17" x14ac:dyDescent="0.25">
      <c r="A1449">
        <v>1448</v>
      </c>
      <c r="E1449" t="s">
        <v>1633</v>
      </c>
      <c r="J1449" t="s">
        <v>1926</v>
      </c>
      <c r="O1449">
        <f>_xlfn.XLOOKUP(VALINA[[#This Row],[id]],prov_color!A:A,prov_color!C:C)</f>
        <v>0</v>
      </c>
      <c r="P1449" t="e">
        <f>_xlfn.XLOOKUP(VALINA[[#This Row],[id]],Table4[id],Table4[name])</f>
        <v>#N/A</v>
      </c>
      <c r="Q1449" t="str">
        <f>_xlfn.XLOOKUP(VALINA[[#This Row],[name]],Trans!A:A,Trans!B:B)</f>
        <v>Yang Tse River</v>
      </c>
    </row>
    <row r="1450" spans="1:17" x14ac:dyDescent="0.25">
      <c r="A1450">
        <v>1449</v>
      </c>
      <c r="E1450" t="s">
        <v>1633</v>
      </c>
      <c r="J1450" t="s">
        <v>1927</v>
      </c>
      <c r="O1450">
        <f>_xlfn.XLOOKUP(VALINA[[#This Row],[id]],prov_color!A:A,prov_color!C:C)</f>
        <v>0</v>
      </c>
      <c r="P1450" t="e">
        <f>_xlfn.XLOOKUP(VALINA[[#This Row],[id]],Table4[id],Table4[name])</f>
        <v>#N/A</v>
      </c>
      <c r="Q1450" t="str">
        <f>_xlfn.XLOOKUP(VALINA[[#This Row],[name]],Trans!A:A,Trans!B:B)</f>
        <v>Pearl River</v>
      </c>
    </row>
    <row r="1451" spans="1:17" x14ac:dyDescent="0.25">
      <c r="A1451">
        <v>1450</v>
      </c>
      <c r="E1451" t="s">
        <v>1633</v>
      </c>
      <c r="J1451" t="s">
        <v>1928</v>
      </c>
      <c r="O1451">
        <f>_xlfn.XLOOKUP(VALINA[[#This Row],[id]],prov_color!A:A,prov_color!C:C)</f>
        <v>0</v>
      </c>
      <c r="P1451" t="e">
        <f>_xlfn.XLOOKUP(VALINA[[#This Row],[id]],Table4[id],Table4[name])</f>
        <v>#N/A</v>
      </c>
      <c r="Q1451" t="str">
        <f>_xlfn.XLOOKUP(VALINA[[#This Row],[name]],Trans!A:A,Trans!B:B)</f>
        <v>Mississippi &amp; Ohio Rivers</v>
      </c>
    </row>
    <row r="1452" spans="1:17" x14ac:dyDescent="0.25">
      <c r="A1452">
        <v>1451</v>
      </c>
      <c r="E1452" t="s">
        <v>1633</v>
      </c>
      <c r="J1452" t="s">
        <v>1929</v>
      </c>
      <c r="O1452">
        <f>_xlfn.XLOOKUP(VALINA[[#This Row],[id]],prov_color!A:A,prov_color!C:C)</f>
        <v>0</v>
      </c>
      <c r="P1452" t="e">
        <f>_xlfn.XLOOKUP(VALINA[[#This Row],[id]],Table4[id],Table4[name])</f>
        <v>#N/A</v>
      </c>
      <c r="Q1452" t="str">
        <f>_xlfn.XLOOKUP(VALINA[[#This Row],[name]],Trans!A:A,Trans!B:B)</f>
        <v>Mahakan River</v>
      </c>
    </row>
    <row r="1453" spans="1:17" x14ac:dyDescent="0.25">
      <c r="A1453">
        <v>1452</v>
      </c>
      <c r="E1453" t="s">
        <v>1633</v>
      </c>
      <c r="J1453" t="s">
        <v>1930</v>
      </c>
      <c r="O1453">
        <f>_xlfn.XLOOKUP(VALINA[[#This Row],[id]],prov_color!A:A,prov_color!C:C)</f>
        <v>0</v>
      </c>
      <c r="P1453" t="e">
        <f>_xlfn.XLOOKUP(VALINA[[#This Row],[id]],Table4[id],Table4[name])</f>
        <v>#N/A</v>
      </c>
      <c r="Q1453" t="str">
        <f>_xlfn.XLOOKUP(VALINA[[#This Row],[name]],Trans!A:A,Trans!B:B)</f>
        <v>Kahajan River</v>
      </c>
    </row>
    <row r="1454" spans="1:17" x14ac:dyDescent="0.25">
      <c r="A1454">
        <v>1453</v>
      </c>
      <c r="E1454" t="s">
        <v>1633</v>
      </c>
      <c r="J1454" t="s">
        <v>1450</v>
      </c>
      <c r="O1454">
        <f>_xlfn.XLOOKUP(VALINA[[#This Row],[id]],prov_color!A:A,prov_color!C:C)</f>
        <v>8</v>
      </c>
      <c r="P1454" t="str">
        <f>_xlfn.XLOOKUP(VALINA[[#This Row],[id]],Table4[id],Table4[name])</f>
        <v>Lake Tiberiade</v>
      </c>
      <c r="Q1454" t="str">
        <f>_xlfn.XLOOKUP(VALINA[[#This Row],[name]],Trans!A:A,Trans!B:B)</f>
        <v>Lake Tiberiade</v>
      </c>
    </row>
    <row r="1455" spans="1:17" x14ac:dyDescent="0.25">
      <c r="A1455">
        <v>1454</v>
      </c>
      <c r="E1455" t="s">
        <v>1633</v>
      </c>
      <c r="J1455" t="s">
        <v>1931</v>
      </c>
      <c r="O1455">
        <f>_xlfn.XLOOKUP(VALINA[[#This Row],[id]],prov_color!A:A,prov_color!C:C)</f>
        <v>0</v>
      </c>
      <c r="P1455" t="e">
        <f>_xlfn.XLOOKUP(VALINA[[#This Row],[id]],Table4[id],Table4[name])</f>
        <v>#N/A</v>
      </c>
      <c r="Q1455" t="str">
        <f>_xlfn.XLOOKUP(VALINA[[#This Row],[name]],Trans!A:A,Trans!B:B)</f>
        <v>Dead Sea</v>
      </c>
    </row>
    <row r="1456" spans="1:17" x14ac:dyDescent="0.25">
      <c r="A1456">
        <v>1455</v>
      </c>
      <c r="E1456" t="s">
        <v>1633</v>
      </c>
      <c r="J1456" t="s">
        <v>1932</v>
      </c>
      <c r="O1456">
        <f>_xlfn.XLOOKUP(VALINA[[#This Row],[id]],prov_color!A:A,prov_color!C:C)</f>
        <v>0</v>
      </c>
      <c r="P1456" t="e">
        <f>_xlfn.XLOOKUP(VALINA[[#This Row],[id]],Table4[id],Table4[name])</f>
        <v>#N/A</v>
      </c>
      <c r="Q1456" t="str">
        <f>_xlfn.XLOOKUP(VALINA[[#This Row],[name]],Trans!A:A,Trans!B:B)</f>
        <v>Lake Peipus</v>
      </c>
    </row>
    <row r="1457" spans="1:17" x14ac:dyDescent="0.25">
      <c r="A1457">
        <v>1456</v>
      </c>
      <c r="E1457" t="s">
        <v>1633</v>
      </c>
      <c r="J1457" t="s">
        <v>1933</v>
      </c>
      <c r="O1457">
        <f>_xlfn.XLOOKUP(VALINA[[#This Row],[id]],prov_color!A:A,prov_color!C:C)</f>
        <v>0</v>
      </c>
      <c r="P1457" t="e">
        <f>_xlfn.XLOOKUP(VALINA[[#This Row],[id]],Table4[id],Table4[name])</f>
        <v>#N/A</v>
      </c>
      <c r="Q1457" t="str">
        <f>_xlfn.XLOOKUP(VALINA[[#This Row],[name]],Trans!A:A,Trans!B:B)</f>
        <v>Mekong River</v>
      </c>
    </row>
    <row r="1458" spans="1:17" x14ac:dyDescent="0.25">
      <c r="A1458">
        <v>1457</v>
      </c>
      <c r="E1458" t="s">
        <v>1633</v>
      </c>
      <c r="J1458" t="s">
        <v>1934</v>
      </c>
      <c r="O1458">
        <f>_xlfn.XLOOKUP(VALINA[[#This Row],[id]],prov_color!A:A,prov_color!C:C)</f>
        <v>0</v>
      </c>
      <c r="P1458" t="e">
        <f>_xlfn.XLOOKUP(VALINA[[#This Row],[id]],Table4[id],Table4[name])</f>
        <v>#N/A</v>
      </c>
      <c r="Q1458" t="str">
        <f>_xlfn.XLOOKUP(VALINA[[#This Row],[name]],Trans!A:A,Trans!B:B)</f>
        <v>Fraser River</v>
      </c>
    </row>
    <row r="1459" spans="1:17" x14ac:dyDescent="0.25">
      <c r="A1459">
        <v>1458</v>
      </c>
      <c r="E1459" t="s">
        <v>1633</v>
      </c>
      <c r="J1459" t="s">
        <v>1634</v>
      </c>
      <c r="O1459">
        <f>_xlfn.XLOOKUP(VALINA[[#This Row],[id]],prov_color!A:A,prov_color!C:C)</f>
        <v>0</v>
      </c>
      <c r="P1459" t="e">
        <f>_xlfn.XLOOKUP(VALINA[[#This Row],[id]],Table4[id],Table4[name])</f>
        <v>#N/A</v>
      </c>
      <c r="Q1459" t="str">
        <f>_xlfn.XLOOKUP(VALINA[[#This Row],[name]],Trans!A:A,Trans!B:B)</f>
        <v>M�laren</v>
      </c>
    </row>
    <row r="1460" spans="1:17" x14ac:dyDescent="0.25">
      <c r="A1460">
        <v>1459</v>
      </c>
      <c r="E1460" t="s">
        <v>1633</v>
      </c>
      <c r="J1460" t="s">
        <v>1635</v>
      </c>
      <c r="O1460">
        <f>_xlfn.XLOOKUP(VALINA[[#This Row],[id]],prov_color!A:A,prov_color!C:C)</f>
        <v>0</v>
      </c>
      <c r="P1460" t="e">
        <f>_xlfn.XLOOKUP(VALINA[[#This Row],[id]],Table4[id],Table4[name])</f>
        <v>#N/A</v>
      </c>
      <c r="Q1460" t="str">
        <f>_xlfn.XLOOKUP(VALINA[[#This Row],[name]],Trans!A:A,Trans!B:B)</f>
        <v>Hj�lmaren</v>
      </c>
    </row>
    <row r="1461" spans="1:17" x14ac:dyDescent="0.25">
      <c r="A1461">
        <v>1460</v>
      </c>
      <c r="E1461" t="s">
        <v>1633</v>
      </c>
      <c r="J1461" t="s">
        <v>1935</v>
      </c>
      <c r="O1461">
        <f>_xlfn.XLOOKUP(VALINA[[#This Row],[id]],prov_color!A:A,prov_color!C:C)</f>
        <v>0</v>
      </c>
      <c r="P1461" t="e">
        <f>_xlfn.XLOOKUP(VALINA[[#This Row],[id]],Table4[id],Table4[name])</f>
        <v>#N/A</v>
      </c>
      <c r="Q1461" t="str">
        <f>_xlfn.XLOOKUP(VALINA[[#This Row],[name]],Trans!A:A,Trans!B:B)</f>
        <v>Lake V�nern</v>
      </c>
    </row>
    <row r="1462" spans="1:17" x14ac:dyDescent="0.25">
      <c r="A1462">
        <v>1461</v>
      </c>
      <c r="E1462" t="s">
        <v>1633</v>
      </c>
      <c r="J1462" t="s">
        <v>1936</v>
      </c>
      <c r="O1462">
        <f>_xlfn.XLOOKUP(VALINA[[#This Row],[id]],prov_color!A:A,prov_color!C:C)</f>
        <v>11</v>
      </c>
      <c r="P1462" t="str">
        <f>_xlfn.XLOOKUP(VALINA[[#This Row],[id]],Table4[id],Table4[name])</f>
        <v>Lake Vettern</v>
      </c>
      <c r="Q1462" t="str">
        <f>_xlfn.XLOOKUP(VALINA[[#This Row],[name]],Trans!A:A,Trans!B:B)</f>
        <v>Lake V�ttern</v>
      </c>
    </row>
    <row r="1463" spans="1:17" x14ac:dyDescent="0.25">
      <c r="A1463">
        <v>1462</v>
      </c>
      <c r="E1463" t="s">
        <v>1633</v>
      </c>
      <c r="J1463" t="s">
        <v>1937</v>
      </c>
      <c r="O1463">
        <f>_xlfn.XLOOKUP(VALINA[[#This Row],[id]],prov_color!A:A,prov_color!C:C)</f>
        <v>0</v>
      </c>
      <c r="P1463" t="e">
        <f>_xlfn.XLOOKUP(VALINA[[#This Row],[id]],Table4[id],Table4[name])</f>
        <v>#N/A</v>
      </c>
      <c r="Q1463" t="str">
        <f>_xlfn.XLOOKUP(VALINA[[#This Row],[name]],Trans!A:A,Trans!B:B)</f>
        <v>Lake Geneva</v>
      </c>
    </row>
    <row r="1464" spans="1:17" x14ac:dyDescent="0.25">
      <c r="A1464">
        <v>1463</v>
      </c>
      <c r="E1464" t="s">
        <v>1633</v>
      </c>
      <c r="J1464" t="s">
        <v>1938</v>
      </c>
      <c r="O1464">
        <f>_xlfn.XLOOKUP(VALINA[[#This Row],[id]],prov_color!A:A,prov_color!C:C)</f>
        <v>0</v>
      </c>
      <c r="P1464" t="e">
        <f>_xlfn.XLOOKUP(VALINA[[#This Row],[id]],Table4[id],Table4[name])</f>
        <v>#N/A</v>
      </c>
      <c r="Q1464" t="str">
        <f>_xlfn.XLOOKUP(VALINA[[#This Row],[name]],Trans!A:A,Trans!B:B)</f>
        <v>Niagara Falls</v>
      </c>
    </row>
    <row r="1465" spans="1:17" x14ac:dyDescent="0.25">
      <c r="A1465">
        <v>1464</v>
      </c>
      <c r="E1465" t="s">
        <v>1633</v>
      </c>
      <c r="J1465" t="s">
        <v>1939</v>
      </c>
      <c r="O1465">
        <f>_xlfn.XLOOKUP(VALINA[[#This Row],[id]],prov_color!A:A,prov_color!C:C)</f>
        <v>0</v>
      </c>
      <c r="P1465" t="e">
        <f>_xlfn.XLOOKUP(VALINA[[#This Row],[id]],Table4[id],Table4[name])</f>
        <v>#N/A</v>
      </c>
      <c r="Q1465" t="str">
        <f>_xlfn.XLOOKUP(VALINA[[#This Row],[name]],Trans!A:A,Trans!B:B)</f>
        <v>Great Rapid River</v>
      </c>
    </row>
    <row r="1466" spans="1:17" x14ac:dyDescent="0.25">
      <c r="A1466">
        <v>1465</v>
      </c>
      <c r="E1466" t="s">
        <v>1633</v>
      </c>
      <c r="J1466" t="s">
        <v>1940</v>
      </c>
      <c r="O1466">
        <f>_xlfn.XLOOKUP(VALINA[[#This Row],[id]],prov_color!A:A,prov_color!C:C)</f>
        <v>0</v>
      </c>
      <c r="P1466" t="e">
        <f>_xlfn.XLOOKUP(VALINA[[#This Row],[id]],Table4[id],Table4[name])</f>
        <v>#N/A</v>
      </c>
      <c r="Q1466" t="str">
        <f>_xlfn.XLOOKUP(VALINA[[#This Row],[name]],Trans!A:A,Trans!B:B)</f>
        <v>Illinois River</v>
      </c>
    </row>
    <row r="1467" spans="1:17" x14ac:dyDescent="0.25">
      <c r="A1467">
        <v>1466</v>
      </c>
      <c r="B1467" t="s">
        <v>346</v>
      </c>
      <c r="C1467" t="s">
        <v>375</v>
      </c>
      <c r="D1467" t="s">
        <v>376</v>
      </c>
      <c r="E1467" t="s">
        <v>14</v>
      </c>
      <c r="F1467" t="s">
        <v>349</v>
      </c>
      <c r="G1467" t="s">
        <v>122</v>
      </c>
      <c r="H1467" t="s">
        <v>377</v>
      </c>
      <c r="I1467" t="s">
        <v>27</v>
      </c>
      <c r="J1467" t="s">
        <v>1163</v>
      </c>
      <c r="K1467">
        <v>0</v>
      </c>
      <c r="L1467">
        <v>1</v>
      </c>
      <c r="M1467">
        <v>1</v>
      </c>
      <c r="N1467">
        <v>0</v>
      </c>
      <c r="O1467">
        <f>_xlfn.XLOOKUP(VALINA[[#This Row],[id]],prov_color!A:A,prov_color!C:C)</f>
        <v>72</v>
      </c>
      <c r="P1467" t="str">
        <f>_xlfn.XLOOKUP(VALINA[[#This Row],[id]],Table4[id],Table4[name])</f>
        <v>Iceland</v>
      </c>
      <c r="Q1467" t="str">
        <f>_xlfn.XLOOKUP(VALINA[[#This Row],[name]],Trans!A:A,Trans!B:B)</f>
        <v>Iceland</v>
      </c>
    </row>
    <row r="1468" spans="1:17" x14ac:dyDescent="0.25">
      <c r="A1468">
        <v>1467</v>
      </c>
      <c r="B1468" t="s">
        <v>653</v>
      </c>
      <c r="C1468" t="s">
        <v>701</v>
      </c>
      <c r="D1468" t="s">
        <v>841</v>
      </c>
      <c r="E1468" t="s">
        <v>14</v>
      </c>
      <c r="F1468" t="s">
        <v>15</v>
      </c>
      <c r="G1468" t="s">
        <v>122</v>
      </c>
      <c r="H1468" t="s">
        <v>703</v>
      </c>
      <c r="I1468" t="s">
        <v>20</v>
      </c>
      <c r="J1468" t="s">
        <v>1164</v>
      </c>
      <c r="K1468">
        <v>2</v>
      </c>
      <c r="L1468">
        <v>2</v>
      </c>
      <c r="M1468">
        <v>1</v>
      </c>
      <c r="N1468">
        <v>0</v>
      </c>
      <c r="O1468">
        <f>_xlfn.XLOOKUP(VALINA[[#This Row],[id]],prov_color!A:A,prov_color!C:C)</f>
        <v>34</v>
      </c>
      <c r="P1468" t="str">
        <f>_xlfn.XLOOKUP(VALINA[[#This Row],[id]],Table4[id],Table4[name])</f>
        <v>Nagorje</v>
      </c>
      <c r="Q1468" t="str">
        <f>_xlfn.XLOOKUP(VALINA[[#This Row],[name]],Trans!A:A,Trans!B:B)</f>
        <v>Nagorje</v>
      </c>
    </row>
    <row r="1469" spans="1:17" x14ac:dyDescent="0.25">
      <c r="A1469">
        <v>1468</v>
      </c>
      <c r="B1469" t="s">
        <v>653</v>
      </c>
      <c r="C1469" t="s">
        <v>701</v>
      </c>
      <c r="D1469" t="s">
        <v>841</v>
      </c>
      <c r="E1469" t="s">
        <v>14</v>
      </c>
      <c r="F1469" t="s">
        <v>15</v>
      </c>
      <c r="G1469" t="s">
        <v>122</v>
      </c>
      <c r="H1469" t="s">
        <v>703</v>
      </c>
      <c r="I1469" t="s">
        <v>20</v>
      </c>
      <c r="J1469" t="s">
        <v>1165</v>
      </c>
      <c r="K1469">
        <v>2</v>
      </c>
      <c r="L1469">
        <v>2</v>
      </c>
      <c r="M1469">
        <v>1</v>
      </c>
      <c r="N1469">
        <v>0</v>
      </c>
      <c r="O1469">
        <f>_xlfn.XLOOKUP(VALINA[[#This Row],[id]],prov_color!A:A,prov_color!C:C)</f>
        <v>32</v>
      </c>
      <c r="P1469" t="str">
        <f>_xlfn.XLOOKUP(VALINA[[#This Row],[id]],Table4[id],Table4[name])</f>
        <v>Khretset</v>
      </c>
      <c r="Q1469" t="str">
        <f>_xlfn.XLOOKUP(VALINA[[#This Row],[name]],Trans!A:A,Trans!B:B)</f>
        <v>Khretset</v>
      </c>
    </row>
    <row r="1470" spans="1:17" x14ac:dyDescent="0.25">
      <c r="A1470">
        <v>1469</v>
      </c>
      <c r="B1470" t="s">
        <v>346</v>
      </c>
      <c r="C1470" t="s">
        <v>375</v>
      </c>
      <c r="D1470" t="s">
        <v>379</v>
      </c>
      <c r="E1470" t="s">
        <v>22</v>
      </c>
      <c r="F1470" t="s">
        <v>349</v>
      </c>
      <c r="G1470" t="s">
        <v>26</v>
      </c>
      <c r="H1470" t="s">
        <v>377</v>
      </c>
      <c r="I1470" t="s">
        <v>1612</v>
      </c>
      <c r="J1470" t="s">
        <v>1636</v>
      </c>
      <c r="K1470">
        <v>0</v>
      </c>
      <c r="L1470">
        <v>3</v>
      </c>
      <c r="M1470">
        <v>1</v>
      </c>
      <c r="N1470">
        <v>0</v>
      </c>
      <c r="O1470">
        <f>_xlfn.XLOOKUP(VALINA[[#This Row],[id]],prov_color!A:A,prov_color!C:C)</f>
        <v>32</v>
      </c>
      <c r="P1470" t="str">
        <f>_xlfn.XLOOKUP(VALINA[[#This Row],[id]],Table4[id],Table4[name])</f>
        <v>Gastrikland</v>
      </c>
      <c r="Q1470" t="str">
        <f>_xlfn.XLOOKUP(VALINA[[#This Row],[name]],Trans!A:A,Trans!B:B)</f>
        <v>G�strikland</v>
      </c>
    </row>
    <row r="1471" spans="1:17" x14ac:dyDescent="0.25">
      <c r="A1471">
        <v>1470</v>
      </c>
      <c r="B1471" t="s">
        <v>346</v>
      </c>
      <c r="C1471" t="s">
        <v>392</v>
      </c>
      <c r="D1471" t="s">
        <v>393</v>
      </c>
      <c r="E1471" t="s">
        <v>80</v>
      </c>
      <c r="F1471" t="s">
        <v>394</v>
      </c>
      <c r="G1471" t="s">
        <v>122</v>
      </c>
      <c r="H1471" t="s">
        <v>388</v>
      </c>
      <c r="I1471" t="s">
        <v>20</v>
      </c>
      <c r="J1471" t="s">
        <v>1167</v>
      </c>
      <c r="K1471">
        <v>0</v>
      </c>
      <c r="L1471">
        <v>1</v>
      </c>
      <c r="M1471">
        <v>1</v>
      </c>
      <c r="N1471">
        <v>0</v>
      </c>
      <c r="O1471">
        <f>_xlfn.XLOOKUP(VALINA[[#This Row],[id]],prov_color!A:A,prov_color!C:C)</f>
        <v>41</v>
      </c>
      <c r="P1471" t="str">
        <f>_xlfn.XLOOKUP(VALINA[[#This Row],[id]],Table4[id],Table4[name])</f>
        <v>Karelia</v>
      </c>
      <c r="Q1471" t="str">
        <f>_xlfn.XLOOKUP(VALINA[[#This Row],[name]],Trans!A:A,Trans!B:B)</f>
        <v>Karelia</v>
      </c>
    </row>
    <row r="1472" spans="1:17" x14ac:dyDescent="0.25">
      <c r="A1472">
        <v>1471</v>
      </c>
      <c r="E1472" t="s">
        <v>1633</v>
      </c>
      <c r="J1472" t="s">
        <v>1941</v>
      </c>
      <c r="O1472">
        <f>_xlfn.XLOOKUP(VALINA[[#This Row],[id]],prov_color!A:A,prov_color!C:C)</f>
        <v>0</v>
      </c>
      <c r="P1472" t="e">
        <f>_xlfn.XLOOKUP(VALINA[[#This Row],[id]],Table4[id],Table4[name])</f>
        <v>#N/A</v>
      </c>
      <c r="Q1472" t="str">
        <f>_xlfn.XLOOKUP(VALINA[[#This Row],[name]],Trans!A:A,Trans!B:B)</f>
        <v>Alabama River</v>
      </c>
    </row>
    <row r="1473" spans="1:17" x14ac:dyDescent="0.25">
      <c r="A1473">
        <v>1472</v>
      </c>
      <c r="E1473" t="s">
        <v>1633</v>
      </c>
      <c r="J1473" t="s">
        <v>1942</v>
      </c>
      <c r="O1473">
        <f>_xlfn.XLOOKUP(VALINA[[#This Row],[id]],prov_color!A:A,prov_color!C:C)</f>
        <v>0</v>
      </c>
      <c r="P1473" t="e">
        <f>_xlfn.XLOOKUP(VALINA[[#This Row],[id]],Table4[id],Table4[name])</f>
        <v>#N/A</v>
      </c>
      <c r="Q1473" t="str">
        <f>_xlfn.XLOOKUP(VALINA[[#This Row],[name]],Trans!A:A,Trans!B:B)</f>
        <v>St.Lawrence River</v>
      </c>
    </row>
    <row r="1474" spans="1:17" x14ac:dyDescent="0.25">
      <c r="A1474">
        <v>1473</v>
      </c>
      <c r="B1474" t="s">
        <v>11</v>
      </c>
      <c r="C1474" t="s">
        <v>12</v>
      </c>
      <c r="D1474" t="s">
        <v>25</v>
      </c>
      <c r="E1474" t="s">
        <v>22</v>
      </c>
      <c r="F1474" t="s">
        <v>15</v>
      </c>
      <c r="G1474" t="s">
        <v>35</v>
      </c>
      <c r="H1474" t="s">
        <v>36</v>
      </c>
      <c r="I1474" t="s">
        <v>20</v>
      </c>
      <c r="J1474" t="s">
        <v>25</v>
      </c>
      <c r="K1474">
        <v>5</v>
      </c>
      <c r="L1474">
        <v>5</v>
      </c>
      <c r="M1474">
        <v>2</v>
      </c>
      <c r="N1474">
        <v>0</v>
      </c>
      <c r="O1474">
        <f>_xlfn.XLOOKUP(VALINA[[#This Row],[id]],prov_color!A:A,prov_color!C:C)</f>
        <v>43</v>
      </c>
      <c r="P1474" t="str">
        <f>_xlfn.XLOOKUP(VALINA[[#This Row],[id]],Table4[id],Table4[name])</f>
        <v>Oregon</v>
      </c>
      <c r="Q1474" t="str">
        <f>_xlfn.XLOOKUP(VALINA[[#This Row],[name]],Trans!A:A,Trans!B:B)</f>
        <v>Oregon</v>
      </c>
    </row>
    <row r="1475" spans="1:17" x14ac:dyDescent="0.25">
      <c r="A1475">
        <v>1474</v>
      </c>
      <c r="B1475" t="s">
        <v>11</v>
      </c>
      <c r="C1475" t="s">
        <v>12</v>
      </c>
      <c r="D1475" t="s">
        <v>25</v>
      </c>
      <c r="E1475" t="s">
        <v>14</v>
      </c>
      <c r="F1475" t="s">
        <v>15</v>
      </c>
      <c r="G1475" t="s">
        <v>35</v>
      </c>
      <c r="H1475" t="s">
        <v>36</v>
      </c>
      <c r="I1475" t="s">
        <v>43</v>
      </c>
      <c r="J1475" t="s">
        <v>1168</v>
      </c>
      <c r="K1475">
        <v>5</v>
      </c>
      <c r="L1475">
        <v>2</v>
      </c>
      <c r="M1475">
        <v>1</v>
      </c>
      <c r="N1475">
        <v>0</v>
      </c>
      <c r="O1475">
        <f>_xlfn.XLOOKUP(VALINA[[#This Row],[id]],prov_color!A:A,prov_color!C:C)</f>
        <v>35</v>
      </c>
      <c r="P1475" t="str">
        <f>_xlfn.XLOOKUP(VALINA[[#This Row],[id]],Table4[id],Table4[name])</f>
        <v>Sierra Nevada</v>
      </c>
      <c r="Q1475" t="str">
        <f>_xlfn.XLOOKUP(VALINA[[#This Row],[name]],Trans!A:A,Trans!B:B)</f>
        <v>Sierra Nevada</v>
      </c>
    </row>
    <row r="1476" spans="1:17" x14ac:dyDescent="0.25">
      <c r="A1476">
        <v>1475</v>
      </c>
      <c r="B1476" t="s">
        <v>11</v>
      </c>
      <c r="C1476" t="s">
        <v>12</v>
      </c>
      <c r="D1476" t="s">
        <v>33</v>
      </c>
      <c r="E1476" t="s">
        <v>14</v>
      </c>
      <c r="F1476" t="s">
        <v>15</v>
      </c>
      <c r="G1476" t="s">
        <v>35</v>
      </c>
      <c r="H1476" t="s">
        <v>36</v>
      </c>
      <c r="I1476" t="s">
        <v>43</v>
      </c>
      <c r="J1476" t="s">
        <v>1169</v>
      </c>
      <c r="K1476">
        <v>5</v>
      </c>
      <c r="L1476">
        <v>2</v>
      </c>
      <c r="M1476">
        <v>1</v>
      </c>
      <c r="N1476">
        <v>0</v>
      </c>
      <c r="O1476">
        <f>_xlfn.XLOOKUP(VALINA[[#This Row],[id]],prov_color!A:A,prov_color!C:C)</f>
        <v>36</v>
      </c>
      <c r="P1476" t="str">
        <f>_xlfn.XLOOKUP(VALINA[[#This Row],[id]],Table4[id],Table4[name])</f>
        <v>Tonopah</v>
      </c>
      <c r="Q1476" t="str">
        <f>_xlfn.XLOOKUP(VALINA[[#This Row],[name]],Trans!A:A,Trans!B:B)</f>
        <v>Tonopah</v>
      </c>
    </row>
    <row r="1477" spans="1:17" x14ac:dyDescent="0.25">
      <c r="A1477">
        <v>1476</v>
      </c>
      <c r="B1477" t="s">
        <v>11</v>
      </c>
      <c r="C1477" t="s">
        <v>12</v>
      </c>
      <c r="D1477" t="s">
        <v>33</v>
      </c>
      <c r="E1477" t="s">
        <v>14</v>
      </c>
      <c r="F1477" t="s">
        <v>15</v>
      </c>
      <c r="G1477" t="s">
        <v>35</v>
      </c>
      <c r="H1477" t="s">
        <v>40</v>
      </c>
      <c r="I1477" t="s">
        <v>43</v>
      </c>
      <c r="J1477" t="s">
        <v>1170</v>
      </c>
      <c r="K1477">
        <v>5</v>
      </c>
      <c r="L1477">
        <v>2</v>
      </c>
      <c r="M1477">
        <v>1</v>
      </c>
      <c r="N1477">
        <v>0</v>
      </c>
      <c r="O1477">
        <f>_xlfn.XLOOKUP(VALINA[[#This Row],[id]],prov_color!A:A,prov_color!C:C)</f>
        <v>41</v>
      </c>
      <c r="P1477" t="str">
        <f>_xlfn.XLOOKUP(VALINA[[#This Row],[id]],Table4[id],Table4[name])</f>
        <v>Inyo</v>
      </c>
      <c r="Q1477" t="str">
        <f>_xlfn.XLOOKUP(VALINA[[#This Row],[name]],Trans!A:A,Trans!B:B)</f>
        <v>Inyo</v>
      </c>
    </row>
    <row r="1478" spans="1:17" x14ac:dyDescent="0.25">
      <c r="A1478">
        <v>1477</v>
      </c>
      <c r="B1478" t="s">
        <v>11</v>
      </c>
      <c r="C1478" t="s">
        <v>12</v>
      </c>
      <c r="D1478" t="s">
        <v>51</v>
      </c>
      <c r="E1478" t="s">
        <v>52</v>
      </c>
      <c r="F1478" t="s">
        <v>15</v>
      </c>
      <c r="G1478" t="s">
        <v>47</v>
      </c>
      <c r="H1478" t="s">
        <v>48</v>
      </c>
      <c r="I1478" t="s">
        <v>53</v>
      </c>
      <c r="J1478" t="s">
        <v>1171</v>
      </c>
      <c r="K1478">
        <v>5</v>
      </c>
      <c r="L1478">
        <v>2</v>
      </c>
      <c r="M1478">
        <v>1</v>
      </c>
      <c r="N1478">
        <v>0</v>
      </c>
      <c r="O1478">
        <f>_xlfn.XLOOKUP(VALINA[[#This Row],[id]],prov_color!A:A,prov_color!C:C)</f>
        <v>52</v>
      </c>
      <c r="P1478" t="str">
        <f>_xlfn.XLOOKUP(VALINA[[#This Row],[id]],Table4[id],Table4[name])</f>
        <v>Utah</v>
      </c>
      <c r="Q1478" t="str">
        <f>_xlfn.XLOOKUP(VALINA[[#This Row],[name]],Trans!A:A,Trans!B:B)</f>
        <v>Utah</v>
      </c>
    </row>
    <row r="1479" spans="1:17" x14ac:dyDescent="0.25">
      <c r="A1479">
        <v>1478</v>
      </c>
      <c r="B1479" t="s">
        <v>11</v>
      </c>
      <c r="C1479" t="s">
        <v>12</v>
      </c>
      <c r="D1479" t="s">
        <v>51</v>
      </c>
      <c r="E1479" t="s">
        <v>52</v>
      </c>
      <c r="F1479" t="s">
        <v>15</v>
      </c>
      <c r="G1479" t="s">
        <v>47</v>
      </c>
      <c r="H1479" t="s">
        <v>48</v>
      </c>
      <c r="I1479" t="s">
        <v>53</v>
      </c>
      <c r="J1479" t="s">
        <v>1172</v>
      </c>
      <c r="K1479">
        <v>5</v>
      </c>
      <c r="L1479">
        <v>1</v>
      </c>
      <c r="M1479">
        <v>1</v>
      </c>
      <c r="N1479">
        <v>0</v>
      </c>
      <c r="O1479">
        <f>_xlfn.XLOOKUP(VALINA[[#This Row],[id]],prov_color!A:A,prov_color!C:C)</f>
        <v>47</v>
      </c>
      <c r="P1479" t="str">
        <f>_xlfn.XLOOKUP(VALINA[[#This Row],[id]],Table4[id],Table4[name])</f>
        <v>Moab</v>
      </c>
      <c r="Q1479" t="str">
        <f>_xlfn.XLOOKUP(VALINA[[#This Row],[name]],Trans!A:A,Trans!B:B)</f>
        <v>Moab</v>
      </c>
    </row>
    <row r="1480" spans="1:17" x14ac:dyDescent="0.25">
      <c r="A1480">
        <v>1479</v>
      </c>
      <c r="B1480" t="s">
        <v>11</v>
      </c>
      <c r="C1480" t="s">
        <v>12</v>
      </c>
      <c r="D1480" t="s">
        <v>64</v>
      </c>
      <c r="E1480" t="s">
        <v>34</v>
      </c>
      <c r="F1480" t="s">
        <v>15</v>
      </c>
      <c r="G1480" t="s">
        <v>35</v>
      </c>
      <c r="H1480" t="s">
        <v>59</v>
      </c>
      <c r="I1480" t="s">
        <v>20</v>
      </c>
      <c r="J1480" t="s">
        <v>1173</v>
      </c>
      <c r="K1480">
        <v>5</v>
      </c>
      <c r="L1480">
        <v>3</v>
      </c>
      <c r="M1480">
        <v>1</v>
      </c>
      <c r="N1480">
        <v>0</v>
      </c>
      <c r="O1480">
        <f>_xlfn.XLOOKUP(VALINA[[#This Row],[id]],prov_color!A:A,prov_color!C:C)</f>
        <v>65</v>
      </c>
      <c r="P1480" t="str">
        <f>_xlfn.XLOOKUP(VALINA[[#This Row],[id]],Table4[id],Table4[name])</f>
        <v>Colorado</v>
      </c>
      <c r="Q1480" t="str">
        <f>_xlfn.XLOOKUP(VALINA[[#This Row],[name]],Trans!A:A,Trans!B:B)</f>
        <v>Colorado</v>
      </c>
    </row>
    <row r="1481" spans="1:17" x14ac:dyDescent="0.25">
      <c r="A1481">
        <v>1480</v>
      </c>
      <c r="B1481" t="s">
        <v>11</v>
      </c>
      <c r="C1481" t="s">
        <v>12</v>
      </c>
      <c r="D1481" t="s">
        <v>64</v>
      </c>
      <c r="E1481" t="s">
        <v>34</v>
      </c>
      <c r="F1481" t="s">
        <v>15</v>
      </c>
      <c r="G1481" t="s">
        <v>35</v>
      </c>
      <c r="H1481" t="s">
        <v>59</v>
      </c>
      <c r="I1481" t="s">
        <v>20</v>
      </c>
      <c r="J1481" t="s">
        <v>1174</v>
      </c>
      <c r="K1481">
        <v>5</v>
      </c>
      <c r="L1481">
        <v>2</v>
      </c>
      <c r="M1481">
        <v>2</v>
      </c>
      <c r="N1481">
        <v>0</v>
      </c>
      <c r="O1481">
        <f>_xlfn.XLOOKUP(VALINA[[#This Row],[id]],prov_color!A:A,prov_color!C:C)</f>
        <v>52</v>
      </c>
      <c r="P1481" t="str">
        <f>_xlfn.XLOOKUP(VALINA[[#This Row],[id]],Table4[id],Table4[name])</f>
        <v>Llano Estacado</v>
      </c>
      <c r="Q1481" t="str">
        <f>_xlfn.XLOOKUP(VALINA[[#This Row],[name]],Trans!A:A,Trans!B:B)</f>
        <v>Llano Estacado</v>
      </c>
    </row>
    <row r="1482" spans="1:17" x14ac:dyDescent="0.25">
      <c r="A1482">
        <v>1481</v>
      </c>
      <c r="B1482" t="s">
        <v>11</v>
      </c>
      <c r="C1482" t="s">
        <v>12</v>
      </c>
      <c r="D1482" t="s">
        <v>100</v>
      </c>
      <c r="E1482" t="s">
        <v>34</v>
      </c>
      <c r="F1482" t="s">
        <v>15</v>
      </c>
      <c r="G1482" t="s">
        <v>26</v>
      </c>
      <c r="H1482" t="s">
        <v>111</v>
      </c>
      <c r="I1482" t="s">
        <v>20</v>
      </c>
      <c r="J1482" t="s">
        <v>1175</v>
      </c>
      <c r="K1482">
        <v>5</v>
      </c>
      <c r="L1482">
        <v>2</v>
      </c>
      <c r="M1482">
        <v>1</v>
      </c>
      <c r="N1482">
        <v>0</v>
      </c>
      <c r="O1482">
        <f>_xlfn.XLOOKUP(VALINA[[#This Row],[id]],prov_color!A:A,prov_color!C:C)</f>
        <v>75</v>
      </c>
      <c r="P1482" t="str">
        <f>_xlfn.XLOOKUP(VALINA[[#This Row],[id]],Table4[id],Table4[name])</f>
        <v>Oklahoma</v>
      </c>
      <c r="Q1482" t="str">
        <f>_xlfn.XLOOKUP(VALINA[[#This Row],[name]],Trans!A:A,Trans!B:B)</f>
        <v>Oklahoma</v>
      </c>
    </row>
    <row r="1483" spans="1:17" x14ac:dyDescent="0.25">
      <c r="A1483">
        <v>1482</v>
      </c>
      <c r="B1483" t="s">
        <v>11</v>
      </c>
      <c r="C1483" t="s">
        <v>244</v>
      </c>
      <c r="D1483" t="s">
        <v>260</v>
      </c>
      <c r="E1483" t="s">
        <v>14</v>
      </c>
      <c r="F1483" t="s">
        <v>15</v>
      </c>
      <c r="G1483" t="s">
        <v>75</v>
      </c>
      <c r="H1483" t="s">
        <v>256</v>
      </c>
      <c r="I1483" t="s">
        <v>27</v>
      </c>
      <c r="J1483" t="s">
        <v>1637</v>
      </c>
      <c r="K1483">
        <v>5</v>
      </c>
      <c r="L1483">
        <v>2</v>
      </c>
      <c r="M1483">
        <v>2</v>
      </c>
      <c r="N1483">
        <v>0</v>
      </c>
      <c r="O1483">
        <f>_xlfn.XLOOKUP(VALINA[[#This Row],[id]],prov_color!A:A,prov_color!C:C)</f>
        <v>34</v>
      </c>
      <c r="P1483" t="str">
        <f>_xlfn.XLOOKUP(VALINA[[#This Row],[id]],Table4[id],Table4[name])</f>
        <v>Monta����</v>
      </c>
      <c r="Q1483" t="str">
        <f>_xlfn.XLOOKUP(VALINA[[#This Row],[name]],Trans!A:A,Trans!B:B)</f>
        <v>Monta�a</v>
      </c>
    </row>
    <row r="1484" spans="1:17" x14ac:dyDescent="0.25">
      <c r="A1484">
        <v>1483</v>
      </c>
      <c r="B1484" t="s">
        <v>11</v>
      </c>
      <c r="C1484" t="s">
        <v>244</v>
      </c>
      <c r="D1484" t="s">
        <v>260</v>
      </c>
      <c r="E1484" t="s">
        <v>14</v>
      </c>
      <c r="F1484" t="s">
        <v>15</v>
      </c>
      <c r="G1484" t="s">
        <v>75</v>
      </c>
      <c r="H1484" t="s">
        <v>256</v>
      </c>
      <c r="I1484" t="s">
        <v>212</v>
      </c>
      <c r="J1484" t="s">
        <v>1177</v>
      </c>
      <c r="K1484">
        <v>5</v>
      </c>
      <c r="L1484">
        <v>2</v>
      </c>
      <c r="M1484">
        <v>1</v>
      </c>
      <c r="N1484">
        <v>0</v>
      </c>
      <c r="O1484">
        <f>_xlfn.XLOOKUP(VALINA[[#This Row],[id]],prov_color!A:A,prov_color!C:C)</f>
        <v>30</v>
      </c>
      <c r="P1484" t="str">
        <f>_xlfn.XLOOKUP(VALINA[[#This Row],[id]],Table4[id],Table4[name])</f>
        <v>Atalaya</v>
      </c>
      <c r="Q1484" t="str">
        <f>_xlfn.XLOOKUP(VALINA[[#This Row],[name]],Trans!A:A,Trans!B:B)</f>
        <v>Atalaya</v>
      </c>
    </row>
    <row r="1485" spans="1:17" x14ac:dyDescent="0.25">
      <c r="A1485">
        <v>1484</v>
      </c>
      <c r="B1485" t="s">
        <v>11</v>
      </c>
      <c r="C1485" t="s">
        <v>244</v>
      </c>
      <c r="D1485" t="s">
        <v>260</v>
      </c>
      <c r="E1485" t="s">
        <v>14</v>
      </c>
      <c r="F1485" t="s">
        <v>15</v>
      </c>
      <c r="G1485" t="s">
        <v>75</v>
      </c>
      <c r="H1485" t="s">
        <v>256</v>
      </c>
      <c r="I1485" t="s">
        <v>141</v>
      </c>
      <c r="J1485" t="s">
        <v>1178</v>
      </c>
      <c r="K1485">
        <v>5</v>
      </c>
      <c r="L1485">
        <v>2</v>
      </c>
      <c r="M1485">
        <v>1</v>
      </c>
      <c r="N1485">
        <v>0</v>
      </c>
      <c r="O1485">
        <f>_xlfn.XLOOKUP(VALINA[[#This Row],[id]],prov_color!A:A,prov_color!C:C)</f>
        <v>30</v>
      </c>
      <c r="P1485" t="str">
        <f>_xlfn.XLOOKUP(VALINA[[#This Row],[id]],Table4[id],Table4[name])</f>
        <v>Manu</v>
      </c>
      <c r="Q1485" t="str">
        <f>_xlfn.XLOOKUP(VALINA[[#This Row],[name]],Trans!A:A,Trans!B:B)</f>
        <v>Manu</v>
      </c>
    </row>
    <row r="1486" spans="1:17" x14ac:dyDescent="0.25">
      <c r="A1486">
        <v>1485</v>
      </c>
      <c r="B1486" t="s">
        <v>11</v>
      </c>
      <c r="C1486" t="s">
        <v>244</v>
      </c>
      <c r="D1486" t="s">
        <v>323</v>
      </c>
      <c r="E1486" t="s">
        <v>34</v>
      </c>
      <c r="F1486" t="s">
        <v>15</v>
      </c>
      <c r="G1486" t="s">
        <v>35</v>
      </c>
      <c r="H1486" t="s">
        <v>326</v>
      </c>
      <c r="I1486" t="s">
        <v>43</v>
      </c>
      <c r="J1486" t="s">
        <v>1179</v>
      </c>
      <c r="K1486">
        <v>5</v>
      </c>
      <c r="L1486">
        <v>8</v>
      </c>
      <c r="M1486">
        <v>1</v>
      </c>
      <c r="N1486">
        <v>0</v>
      </c>
      <c r="O1486">
        <f>_xlfn.XLOOKUP(VALINA[[#This Row],[id]],prov_color!A:A,prov_color!C:C)</f>
        <v>40</v>
      </c>
      <c r="P1486" t="str">
        <f>_xlfn.XLOOKUP(VALINA[[#This Row],[id]],Table4[id],Table4[name])</f>
        <v>Pampas del Norte</v>
      </c>
      <c r="Q1486" t="str">
        <f>_xlfn.XLOOKUP(VALINA[[#This Row],[name]],Trans!A:A,Trans!B:B)</f>
        <v>Pampas del Norte</v>
      </c>
    </row>
    <row r="1487" spans="1:17" x14ac:dyDescent="0.25">
      <c r="A1487">
        <v>1486</v>
      </c>
      <c r="B1487" t="s">
        <v>11</v>
      </c>
      <c r="C1487" t="s">
        <v>244</v>
      </c>
      <c r="D1487" t="s">
        <v>323</v>
      </c>
      <c r="E1487" t="s">
        <v>34</v>
      </c>
      <c r="F1487" t="s">
        <v>15</v>
      </c>
      <c r="G1487" t="s">
        <v>35</v>
      </c>
      <c r="H1487" t="s">
        <v>326</v>
      </c>
      <c r="I1487" t="s">
        <v>43</v>
      </c>
      <c r="J1487" t="s">
        <v>1180</v>
      </c>
      <c r="K1487">
        <v>5</v>
      </c>
      <c r="L1487">
        <v>8</v>
      </c>
      <c r="M1487">
        <v>3</v>
      </c>
      <c r="N1487">
        <v>0</v>
      </c>
      <c r="O1487">
        <f>_xlfn.XLOOKUP(VALINA[[#This Row],[id]],prov_color!A:A,prov_color!C:C)</f>
        <v>35</v>
      </c>
      <c r="P1487" t="str">
        <f>_xlfn.XLOOKUP(VALINA[[#This Row],[id]],Table4[id],Table4[name])</f>
        <v>Pampas del Sur</v>
      </c>
      <c r="Q1487" t="str">
        <f>_xlfn.XLOOKUP(VALINA[[#This Row],[name]],Trans!A:A,Trans!B:B)</f>
        <v>Pampas del Sur</v>
      </c>
    </row>
    <row r="1488" spans="1:17" x14ac:dyDescent="0.25">
      <c r="A1488">
        <v>1487</v>
      </c>
      <c r="B1488" t="s">
        <v>1016</v>
      </c>
      <c r="C1488" t="s">
        <v>1093</v>
      </c>
      <c r="D1488" t="s">
        <v>1121</v>
      </c>
      <c r="E1488" t="s">
        <v>52</v>
      </c>
      <c r="F1488" t="s">
        <v>15</v>
      </c>
      <c r="G1488" t="s">
        <v>47</v>
      </c>
      <c r="H1488" t="s">
        <v>616</v>
      </c>
      <c r="I1488" t="s">
        <v>1039</v>
      </c>
      <c r="J1488" t="s">
        <v>1181</v>
      </c>
      <c r="K1488">
        <v>9</v>
      </c>
      <c r="L1488">
        <v>2</v>
      </c>
      <c r="M1488">
        <v>3</v>
      </c>
      <c r="N1488">
        <v>0</v>
      </c>
      <c r="O1488">
        <f>_xlfn.XLOOKUP(VALINA[[#This Row],[id]],prov_color!A:A,prov_color!C:C)</f>
        <v>48</v>
      </c>
      <c r="P1488" t="str">
        <f>_xlfn.XLOOKUP(VALINA[[#This Row],[id]],Table4[id],Table4[name])</f>
        <v>Awdaghost</v>
      </c>
      <c r="Q1488" t="str">
        <f>_xlfn.XLOOKUP(VALINA[[#This Row],[name]],Trans!A:A,Trans!B:B)</f>
        <v>Awdaghost</v>
      </c>
    </row>
    <row r="1489" spans="1:17" x14ac:dyDescent="0.25">
      <c r="A1489">
        <v>1488</v>
      </c>
      <c r="B1489" t="s">
        <v>1016</v>
      </c>
      <c r="C1489" t="s">
        <v>1093</v>
      </c>
      <c r="D1489" t="s">
        <v>1115</v>
      </c>
      <c r="E1489" t="s">
        <v>34</v>
      </c>
      <c r="F1489" t="s">
        <v>15</v>
      </c>
      <c r="G1489" t="s">
        <v>26</v>
      </c>
      <c r="H1489" t="s">
        <v>1182</v>
      </c>
      <c r="I1489" t="s">
        <v>1039</v>
      </c>
      <c r="J1489" t="s">
        <v>1183</v>
      </c>
      <c r="K1489">
        <v>9</v>
      </c>
      <c r="L1489">
        <v>2</v>
      </c>
      <c r="M1489">
        <v>3</v>
      </c>
      <c r="N1489">
        <v>0</v>
      </c>
      <c r="O1489">
        <f>_xlfn.XLOOKUP(VALINA[[#This Row],[id]],prov_color!A:A,prov_color!C:C)</f>
        <v>37</v>
      </c>
      <c r="P1489" t="str">
        <f>_xlfn.XLOOKUP(VALINA[[#This Row],[id]],Table4[id],Table4[name])</f>
        <v>Walata</v>
      </c>
      <c r="Q1489" t="str">
        <f>_xlfn.XLOOKUP(VALINA[[#This Row],[name]],Trans!A:A,Trans!B:B)</f>
        <v>Walata</v>
      </c>
    </row>
    <row r="1490" spans="1:17" x14ac:dyDescent="0.25">
      <c r="A1490">
        <v>1489</v>
      </c>
      <c r="B1490" t="s">
        <v>1016</v>
      </c>
      <c r="C1490" t="s">
        <v>1093</v>
      </c>
      <c r="D1490" t="s">
        <v>1115</v>
      </c>
      <c r="E1490" t="s">
        <v>22</v>
      </c>
      <c r="F1490" t="s">
        <v>609</v>
      </c>
      <c r="G1490" t="s">
        <v>75</v>
      </c>
      <c r="H1490" t="s">
        <v>1182</v>
      </c>
      <c r="I1490" t="s">
        <v>915</v>
      </c>
      <c r="J1490" t="s">
        <v>1638</v>
      </c>
      <c r="K1490">
        <v>9</v>
      </c>
      <c r="L1490">
        <v>5</v>
      </c>
      <c r="M1490">
        <v>5</v>
      </c>
      <c r="N1490">
        <v>0</v>
      </c>
      <c r="O1490">
        <f>_xlfn.XLOOKUP(VALINA[[#This Row],[id]],prov_color!A:A,prov_color!C:C)</f>
        <v>51</v>
      </c>
      <c r="P1490" t="str">
        <f>_xlfn.XLOOKUP(VALINA[[#This Row],[id]],Table4[id],Table4[name])</f>
        <v>Jenne</v>
      </c>
      <c r="Q1490" t="str">
        <f>_xlfn.XLOOKUP(VALINA[[#This Row],[name]],Trans!A:A,Trans!B:B)</f>
        <v>Jenn�</v>
      </c>
    </row>
    <row r="1491" spans="1:17" x14ac:dyDescent="0.25">
      <c r="A1491">
        <v>1490</v>
      </c>
      <c r="B1491" t="s">
        <v>1016</v>
      </c>
      <c r="C1491" t="s">
        <v>1093</v>
      </c>
      <c r="D1491" t="s">
        <v>1185</v>
      </c>
      <c r="E1491" t="s">
        <v>22</v>
      </c>
      <c r="F1491" t="s">
        <v>609</v>
      </c>
      <c r="G1491" t="s">
        <v>75</v>
      </c>
      <c r="H1491" t="s">
        <v>1182</v>
      </c>
      <c r="I1491" t="s">
        <v>18</v>
      </c>
      <c r="J1491" t="s">
        <v>1186</v>
      </c>
      <c r="K1491">
        <v>9</v>
      </c>
      <c r="L1491">
        <v>8</v>
      </c>
      <c r="M1491">
        <v>5</v>
      </c>
      <c r="N1491">
        <v>0</v>
      </c>
      <c r="O1491">
        <f>_xlfn.XLOOKUP(VALINA[[#This Row],[id]],prov_color!A:A,prov_color!C:C)</f>
        <v>56</v>
      </c>
      <c r="P1491" t="str">
        <f>_xlfn.XLOOKUP(VALINA[[#This Row],[id]],Table4[id],Table4[name])</f>
        <v>Bambuk</v>
      </c>
      <c r="Q1491" t="str">
        <f>_xlfn.XLOOKUP(VALINA[[#This Row],[name]],Trans!A:A,Trans!B:B)</f>
        <v>Bambuk</v>
      </c>
    </row>
    <row r="1492" spans="1:17" x14ac:dyDescent="0.25">
      <c r="A1492">
        <v>1491</v>
      </c>
      <c r="B1492" t="s">
        <v>1016</v>
      </c>
      <c r="C1492" t="s">
        <v>1093</v>
      </c>
      <c r="D1492" t="s">
        <v>1115</v>
      </c>
      <c r="E1492" t="s">
        <v>22</v>
      </c>
      <c r="F1492" t="s">
        <v>609</v>
      </c>
      <c r="G1492" t="s">
        <v>75</v>
      </c>
      <c r="H1492" t="s">
        <v>1182</v>
      </c>
      <c r="I1492" t="s">
        <v>1039</v>
      </c>
      <c r="J1492" t="s">
        <v>1187</v>
      </c>
      <c r="K1492">
        <v>9</v>
      </c>
      <c r="L1492">
        <v>2</v>
      </c>
      <c r="M1492">
        <v>4</v>
      </c>
      <c r="N1492">
        <v>0</v>
      </c>
      <c r="O1492">
        <f>_xlfn.XLOOKUP(VALINA[[#This Row],[id]],prov_color!A:A,prov_color!C:C)</f>
        <v>49</v>
      </c>
      <c r="P1492" t="str">
        <f>_xlfn.XLOOKUP(VALINA[[#This Row],[id]],Table4[id],Table4[name])</f>
        <v>Segu</v>
      </c>
      <c r="Q1492" t="str">
        <f>_xlfn.XLOOKUP(VALINA[[#This Row],[name]],Trans!A:A,Trans!B:B)</f>
        <v>Segu</v>
      </c>
    </row>
    <row r="1493" spans="1:17" x14ac:dyDescent="0.25">
      <c r="A1493">
        <v>1492</v>
      </c>
      <c r="B1493" t="s">
        <v>1016</v>
      </c>
      <c r="C1493" t="s">
        <v>1093</v>
      </c>
      <c r="D1493" t="s">
        <v>1110</v>
      </c>
      <c r="E1493" t="s">
        <v>22</v>
      </c>
      <c r="F1493" t="s">
        <v>609</v>
      </c>
      <c r="G1493" t="s">
        <v>75</v>
      </c>
      <c r="H1493" t="s">
        <v>1182</v>
      </c>
      <c r="I1493" t="s">
        <v>1039</v>
      </c>
      <c r="J1493" t="s">
        <v>1188</v>
      </c>
      <c r="K1493">
        <v>9</v>
      </c>
      <c r="L1493">
        <v>2</v>
      </c>
      <c r="M1493">
        <v>4</v>
      </c>
      <c r="N1493">
        <v>0</v>
      </c>
      <c r="O1493">
        <f>_xlfn.XLOOKUP(VALINA[[#This Row],[id]],prov_color!A:A,prov_color!C:C)</f>
        <v>45</v>
      </c>
      <c r="P1493" t="str">
        <f>_xlfn.XLOOKUP(VALINA[[#This Row],[id]],Table4[id],Table4[name])</f>
        <v>Niani</v>
      </c>
      <c r="Q1493" t="str">
        <f>_xlfn.XLOOKUP(VALINA[[#This Row],[name]],Trans!A:A,Trans!B:B)</f>
        <v>Niani</v>
      </c>
    </row>
    <row r="1494" spans="1:17" x14ac:dyDescent="0.25">
      <c r="A1494">
        <v>1493</v>
      </c>
      <c r="B1494" t="s">
        <v>1016</v>
      </c>
      <c r="C1494" t="s">
        <v>1093</v>
      </c>
      <c r="D1494" t="s">
        <v>1110</v>
      </c>
      <c r="E1494" t="s">
        <v>22</v>
      </c>
      <c r="F1494" t="s">
        <v>15</v>
      </c>
      <c r="G1494" t="s">
        <v>75</v>
      </c>
      <c r="H1494" t="s">
        <v>1111</v>
      </c>
      <c r="I1494" t="s">
        <v>915</v>
      </c>
      <c r="J1494" t="s">
        <v>1189</v>
      </c>
      <c r="K1494">
        <v>9</v>
      </c>
      <c r="L1494">
        <v>2</v>
      </c>
      <c r="M1494">
        <v>4</v>
      </c>
      <c r="N1494">
        <v>0</v>
      </c>
      <c r="O1494">
        <f>_xlfn.XLOOKUP(VALINA[[#This Row],[id]],prov_color!A:A,prov_color!C:C)</f>
        <v>70</v>
      </c>
      <c r="P1494" t="str">
        <f>_xlfn.XLOOKUP(VALINA[[#This Row],[id]],Table4[id],Table4[name])</f>
        <v>Mossi</v>
      </c>
      <c r="Q1494" t="str">
        <f>_xlfn.XLOOKUP(VALINA[[#This Row],[name]],Trans!A:A,Trans!B:B)</f>
        <v>Mossi</v>
      </c>
    </row>
    <row r="1495" spans="1:17" x14ac:dyDescent="0.25">
      <c r="A1495">
        <v>1494</v>
      </c>
      <c r="B1495" t="s">
        <v>1016</v>
      </c>
      <c r="C1495" t="s">
        <v>1093</v>
      </c>
      <c r="D1495" t="s">
        <v>1185</v>
      </c>
      <c r="E1495" t="s">
        <v>34</v>
      </c>
      <c r="F1495" t="s">
        <v>609</v>
      </c>
      <c r="G1495" t="s">
        <v>75</v>
      </c>
      <c r="H1495" t="s">
        <v>1182</v>
      </c>
      <c r="I1495" t="s">
        <v>18</v>
      </c>
      <c r="J1495" t="s">
        <v>1639</v>
      </c>
      <c r="K1495">
        <v>9</v>
      </c>
      <c r="L1495">
        <v>8</v>
      </c>
      <c r="M1495">
        <v>6</v>
      </c>
      <c r="N1495">
        <v>0</v>
      </c>
      <c r="O1495">
        <f>_xlfn.XLOOKUP(VALINA[[#This Row],[id]],prov_color!A:A,prov_color!C:C)</f>
        <v>57</v>
      </c>
      <c r="P1495" t="str">
        <f>_xlfn.XLOOKUP(VALINA[[#This Row],[id]],Table4[id],Table4[name])</f>
        <v>Bure</v>
      </c>
      <c r="Q1495" t="str">
        <f>_xlfn.XLOOKUP(VALINA[[#This Row],[name]],Trans!A:A,Trans!B:B)</f>
        <v>Bur�</v>
      </c>
    </row>
    <row r="1496" spans="1:17" x14ac:dyDescent="0.25">
      <c r="A1496">
        <v>1495</v>
      </c>
      <c r="B1496" t="s">
        <v>1016</v>
      </c>
      <c r="C1496" t="s">
        <v>1093</v>
      </c>
      <c r="D1496" t="s">
        <v>1185</v>
      </c>
      <c r="E1496" t="s">
        <v>52</v>
      </c>
      <c r="F1496" t="s">
        <v>609</v>
      </c>
      <c r="G1496" t="s">
        <v>47</v>
      </c>
      <c r="H1496" t="s">
        <v>1182</v>
      </c>
      <c r="I1496" t="s">
        <v>685</v>
      </c>
      <c r="J1496" t="s">
        <v>1185</v>
      </c>
      <c r="K1496">
        <v>9</v>
      </c>
      <c r="L1496">
        <v>14</v>
      </c>
      <c r="M1496">
        <v>4</v>
      </c>
      <c r="N1496">
        <v>0</v>
      </c>
      <c r="O1496">
        <f>_xlfn.XLOOKUP(VALINA[[#This Row],[id]],prov_color!A:A,prov_color!C:C)</f>
        <v>46</v>
      </c>
      <c r="P1496" t="str">
        <f>_xlfn.XLOOKUP(VALINA[[#This Row],[id]],Table4[id],Table4[name])</f>
        <v>Timbuktu</v>
      </c>
      <c r="Q1496" t="str">
        <f>_xlfn.XLOOKUP(VALINA[[#This Row],[name]],Trans!A:A,Trans!B:B)</f>
        <v>Timbuktu</v>
      </c>
    </row>
    <row r="1497" spans="1:17" x14ac:dyDescent="0.25">
      <c r="A1497">
        <v>1496</v>
      </c>
      <c r="B1497" t="s">
        <v>1016</v>
      </c>
      <c r="C1497" t="s">
        <v>1093</v>
      </c>
      <c r="D1497" t="s">
        <v>1185</v>
      </c>
      <c r="E1497" t="s">
        <v>34</v>
      </c>
      <c r="F1497" t="s">
        <v>609</v>
      </c>
      <c r="G1497" t="s">
        <v>75</v>
      </c>
      <c r="H1497" t="s">
        <v>1191</v>
      </c>
      <c r="I1497" t="s">
        <v>53</v>
      </c>
      <c r="J1497" t="s">
        <v>1192</v>
      </c>
      <c r="K1497">
        <v>9</v>
      </c>
      <c r="L1497">
        <v>4</v>
      </c>
      <c r="M1497">
        <v>2</v>
      </c>
      <c r="N1497">
        <v>0</v>
      </c>
      <c r="O1497">
        <f>_xlfn.XLOOKUP(VALINA[[#This Row],[id]],prov_color!A:A,prov_color!C:C)</f>
        <v>55</v>
      </c>
      <c r="P1497" t="str">
        <f>_xlfn.XLOOKUP(VALINA[[#This Row],[id]],Table4[id],Table4[name])</f>
        <v>Gao</v>
      </c>
      <c r="Q1497" t="str">
        <f>_xlfn.XLOOKUP(VALINA[[#This Row],[name]],Trans!A:A,Trans!B:B)</f>
        <v>Gao</v>
      </c>
    </row>
    <row r="1498" spans="1:17" x14ac:dyDescent="0.25">
      <c r="A1498">
        <v>1497</v>
      </c>
      <c r="B1498" t="s">
        <v>1016</v>
      </c>
      <c r="C1498" t="s">
        <v>1093</v>
      </c>
      <c r="D1498" t="s">
        <v>1185</v>
      </c>
      <c r="E1498" t="s">
        <v>34</v>
      </c>
      <c r="F1498" t="s">
        <v>609</v>
      </c>
      <c r="G1498" t="s">
        <v>75</v>
      </c>
      <c r="H1498" t="s">
        <v>1191</v>
      </c>
      <c r="I1498" t="s">
        <v>43</v>
      </c>
      <c r="J1498" t="s">
        <v>1193</v>
      </c>
      <c r="K1498">
        <v>9</v>
      </c>
      <c r="L1498">
        <v>3</v>
      </c>
      <c r="M1498">
        <v>6</v>
      </c>
      <c r="N1498">
        <v>0</v>
      </c>
      <c r="O1498">
        <f>_xlfn.XLOOKUP(VALINA[[#This Row],[id]],prov_color!A:A,prov_color!C:C)</f>
        <v>39</v>
      </c>
      <c r="P1498" t="str">
        <f>_xlfn.XLOOKUP(VALINA[[#This Row],[id]],Table4[id],Table4[name])</f>
        <v>Say</v>
      </c>
      <c r="Q1498" t="str">
        <f>_xlfn.XLOOKUP(VALINA[[#This Row],[name]],Trans!A:A,Trans!B:B)</f>
        <v>Say</v>
      </c>
    </row>
    <row r="1499" spans="1:17" x14ac:dyDescent="0.25">
      <c r="A1499">
        <v>1498</v>
      </c>
      <c r="B1499" t="s">
        <v>1016</v>
      </c>
      <c r="C1499" t="s">
        <v>1093</v>
      </c>
      <c r="D1499" t="s">
        <v>1103</v>
      </c>
      <c r="E1499" t="s">
        <v>22</v>
      </c>
      <c r="F1499" t="s">
        <v>15</v>
      </c>
      <c r="G1499" t="s">
        <v>75</v>
      </c>
      <c r="H1499" t="s">
        <v>1108</v>
      </c>
      <c r="I1499" t="s">
        <v>915</v>
      </c>
      <c r="J1499" t="s">
        <v>1194</v>
      </c>
      <c r="K1499">
        <v>9</v>
      </c>
      <c r="L1499">
        <v>3</v>
      </c>
      <c r="M1499">
        <v>2</v>
      </c>
      <c r="N1499">
        <v>0</v>
      </c>
      <c r="O1499">
        <f>_xlfn.XLOOKUP(VALINA[[#This Row],[id]],prov_color!A:A,prov_color!C:C)</f>
        <v>61</v>
      </c>
      <c r="P1499" t="str">
        <f>_xlfn.XLOOKUP(VALINA[[#This Row],[id]],Table4[id],Table4[name])</f>
        <v>Begho</v>
      </c>
      <c r="Q1499" t="str">
        <f>_xlfn.XLOOKUP(VALINA[[#This Row],[name]],Trans!A:A,Trans!B:B)</f>
        <v>Begho</v>
      </c>
    </row>
    <row r="1500" spans="1:17" x14ac:dyDescent="0.25">
      <c r="A1500">
        <v>1499</v>
      </c>
      <c r="B1500" t="s">
        <v>1016</v>
      </c>
      <c r="C1500" t="s">
        <v>1093</v>
      </c>
      <c r="D1500" t="s">
        <v>1103</v>
      </c>
      <c r="E1500" t="s">
        <v>22</v>
      </c>
      <c r="F1500" t="s">
        <v>15</v>
      </c>
      <c r="G1500" t="s">
        <v>75</v>
      </c>
      <c r="H1500" t="s">
        <v>1104</v>
      </c>
      <c r="I1500" t="s">
        <v>1039</v>
      </c>
      <c r="J1500" t="s">
        <v>1195</v>
      </c>
      <c r="K1500">
        <v>9</v>
      </c>
      <c r="L1500">
        <v>3</v>
      </c>
      <c r="M1500">
        <v>2</v>
      </c>
      <c r="N1500">
        <v>0</v>
      </c>
      <c r="O1500">
        <f>_xlfn.XLOOKUP(VALINA[[#This Row],[id]],prov_color!A:A,prov_color!C:C)</f>
        <v>56</v>
      </c>
      <c r="P1500" t="str">
        <f>_xlfn.XLOOKUP(VALINA[[#This Row],[id]],Table4[id],Table4[name])</f>
        <v>Zaria</v>
      </c>
      <c r="Q1500" t="str">
        <f>_xlfn.XLOOKUP(VALINA[[#This Row],[name]],Trans!A:A,Trans!B:B)</f>
        <v>Zaria</v>
      </c>
    </row>
    <row r="1501" spans="1:17" x14ac:dyDescent="0.25">
      <c r="A1501">
        <v>1500</v>
      </c>
      <c r="B1501" t="s">
        <v>1016</v>
      </c>
      <c r="C1501" t="s">
        <v>1093</v>
      </c>
      <c r="D1501" t="s">
        <v>1103</v>
      </c>
      <c r="E1501" t="s">
        <v>22</v>
      </c>
      <c r="F1501" t="s">
        <v>15</v>
      </c>
      <c r="G1501" t="s">
        <v>75</v>
      </c>
      <c r="H1501" t="s">
        <v>1104</v>
      </c>
      <c r="I1501" t="s">
        <v>43</v>
      </c>
      <c r="J1501" t="s">
        <v>1196</v>
      </c>
      <c r="K1501">
        <v>9</v>
      </c>
      <c r="L1501">
        <v>7</v>
      </c>
      <c r="M1501">
        <v>4</v>
      </c>
      <c r="N1501">
        <v>0</v>
      </c>
      <c r="O1501">
        <f>_xlfn.XLOOKUP(VALINA[[#This Row],[id]],prov_color!A:A,prov_color!C:C)</f>
        <v>31</v>
      </c>
      <c r="P1501" t="str">
        <f>_xlfn.XLOOKUP(VALINA[[#This Row],[id]],Table4[id],Table4[name])</f>
        <v>Oye</v>
      </c>
      <c r="Q1501" t="str">
        <f>_xlfn.XLOOKUP(VALINA[[#This Row],[name]],Trans!A:A,Trans!B:B)</f>
        <v>Oye</v>
      </c>
    </row>
    <row r="1502" spans="1:17" x14ac:dyDescent="0.25">
      <c r="A1502">
        <v>1501</v>
      </c>
      <c r="B1502" t="s">
        <v>1016</v>
      </c>
      <c r="C1502" t="s">
        <v>1093</v>
      </c>
      <c r="D1502" t="s">
        <v>1103</v>
      </c>
      <c r="E1502" t="s">
        <v>34</v>
      </c>
      <c r="F1502" t="s">
        <v>15</v>
      </c>
      <c r="G1502" t="s">
        <v>75</v>
      </c>
      <c r="H1502" t="s">
        <v>1104</v>
      </c>
      <c r="I1502" t="s">
        <v>43</v>
      </c>
      <c r="J1502" t="s">
        <v>1197</v>
      </c>
      <c r="K1502">
        <v>9</v>
      </c>
      <c r="L1502">
        <v>3</v>
      </c>
      <c r="M1502">
        <v>6</v>
      </c>
      <c r="N1502">
        <v>0</v>
      </c>
      <c r="O1502">
        <f>_xlfn.XLOOKUP(VALINA[[#This Row],[id]],prov_color!A:A,prov_color!C:C)</f>
        <v>43</v>
      </c>
      <c r="P1502" t="str">
        <f>_xlfn.XLOOKUP(VALINA[[#This Row],[id]],Table4[id],Table4[name])</f>
        <v>Kano</v>
      </c>
      <c r="Q1502" t="str">
        <f>_xlfn.XLOOKUP(VALINA[[#This Row],[name]],Trans!A:A,Trans!B:B)</f>
        <v>Kano</v>
      </c>
    </row>
    <row r="1503" spans="1:17" x14ac:dyDescent="0.25">
      <c r="A1503">
        <v>1502</v>
      </c>
      <c r="B1503" t="s">
        <v>1016</v>
      </c>
      <c r="C1503" t="s">
        <v>1093</v>
      </c>
      <c r="D1503" t="s">
        <v>1103</v>
      </c>
      <c r="E1503" t="s">
        <v>22</v>
      </c>
      <c r="F1503" t="s">
        <v>15</v>
      </c>
      <c r="G1503" t="s">
        <v>75</v>
      </c>
      <c r="H1503" t="s">
        <v>1104</v>
      </c>
      <c r="I1503" t="s">
        <v>43</v>
      </c>
      <c r="J1503" t="s">
        <v>1198</v>
      </c>
      <c r="K1503">
        <v>9</v>
      </c>
      <c r="L1503">
        <v>3</v>
      </c>
      <c r="M1503">
        <v>2</v>
      </c>
      <c r="N1503">
        <v>0</v>
      </c>
      <c r="O1503">
        <f>_xlfn.XLOOKUP(VALINA[[#This Row],[id]],prov_color!A:A,prov_color!C:C)</f>
        <v>52</v>
      </c>
      <c r="P1503" t="str">
        <f>_xlfn.XLOOKUP(VALINA[[#This Row],[id]],Table4[id],Table4[name])</f>
        <v>Nupa</v>
      </c>
      <c r="Q1503" t="str">
        <f>_xlfn.XLOOKUP(VALINA[[#This Row],[name]],Trans!A:A,Trans!B:B)</f>
        <v>Nupa</v>
      </c>
    </row>
    <row r="1504" spans="1:17" x14ac:dyDescent="0.25">
      <c r="A1504">
        <v>1503</v>
      </c>
      <c r="B1504" t="s">
        <v>1016</v>
      </c>
      <c r="C1504" t="s">
        <v>1093</v>
      </c>
      <c r="D1504" t="s">
        <v>1098</v>
      </c>
      <c r="E1504" t="s">
        <v>22</v>
      </c>
      <c r="F1504" t="s">
        <v>15</v>
      </c>
      <c r="G1504" t="s">
        <v>75</v>
      </c>
      <c r="H1504" t="s">
        <v>1095</v>
      </c>
      <c r="I1504" t="s">
        <v>1039</v>
      </c>
      <c r="J1504" t="s">
        <v>1199</v>
      </c>
      <c r="K1504">
        <v>9</v>
      </c>
      <c r="L1504">
        <v>3</v>
      </c>
      <c r="M1504">
        <v>4</v>
      </c>
      <c r="N1504">
        <v>0</v>
      </c>
      <c r="O1504">
        <f>_xlfn.XLOOKUP(VALINA[[#This Row],[id]],prov_color!A:A,prov_color!C:C)</f>
        <v>48</v>
      </c>
      <c r="P1504" t="str">
        <f>_xlfn.XLOOKUP(VALINA[[#This Row],[id]],Table4[id],Table4[name])</f>
        <v>Teke</v>
      </c>
      <c r="Q1504" t="str">
        <f>_xlfn.XLOOKUP(VALINA[[#This Row],[name]],Trans!A:A,Trans!B:B)</f>
        <v>Teke</v>
      </c>
    </row>
    <row r="1505" spans="1:17" x14ac:dyDescent="0.25">
      <c r="A1505">
        <v>1504</v>
      </c>
      <c r="B1505" t="s">
        <v>1016</v>
      </c>
      <c r="C1505" t="s">
        <v>1093</v>
      </c>
      <c r="D1505" t="s">
        <v>1098</v>
      </c>
      <c r="E1505" t="s">
        <v>80</v>
      </c>
      <c r="F1505" t="s">
        <v>15</v>
      </c>
      <c r="G1505" t="s">
        <v>75</v>
      </c>
      <c r="H1505" t="s">
        <v>1095</v>
      </c>
      <c r="I1505" t="s">
        <v>1039</v>
      </c>
      <c r="J1505" t="s">
        <v>1200</v>
      </c>
      <c r="K1505">
        <v>9</v>
      </c>
      <c r="L1505">
        <v>3</v>
      </c>
      <c r="M1505">
        <v>5</v>
      </c>
      <c r="N1505">
        <v>0</v>
      </c>
      <c r="O1505">
        <f>_xlfn.XLOOKUP(VALINA[[#This Row],[id]],prov_color!A:A,prov_color!C:C)</f>
        <v>68</v>
      </c>
      <c r="P1505" t="str">
        <f>_xlfn.XLOOKUP(VALINA[[#This Row],[id]],Table4[id],Table4[name])</f>
        <v>Ngoyo</v>
      </c>
      <c r="Q1505" t="str">
        <f>_xlfn.XLOOKUP(VALINA[[#This Row],[name]],Trans!A:A,Trans!B:B)</f>
        <v>Ngoyo</v>
      </c>
    </row>
    <row r="1506" spans="1:17" x14ac:dyDescent="0.25">
      <c r="A1506">
        <v>1505</v>
      </c>
      <c r="B1506" t="s">
        <v>1016</v>
      </c>
      <c r="C1506" t="s">
        <v>1093</v>
      </c>
      <c r="D1506" t="s">
        <v>1094</v>
      </c>
      <c r="E1506" t="s">
        <v>80</v>
      </c>
      <c r="F1506" t="s">
        <v>15</v>
      </c>
      <c r="G1506" t="s">
        <v>75</v>
      </c>
      <c r="H1506" t="s">
        <v>1095</v>
      </c>
      <c r="I1506" t="s">
        <v>1039</v>
      </c>
      <c r="J1506" t="s">
        <v>1201</v>
      </c>
      <c r="K1506">
        <v>9</v>
      </c>
      <c r="L1506">
        <v>4</v>
      </c>
      <c r="M1506">
        <v>5</v>
      </c>
      <c r="N1506">
        <v>0</v>
      </c>
      <c r="O1506">
        <f>_xlfn.XLOOKUP(VALINA[[#This Row],[id]],prov_color!A:A,prov_color!C:C)</f>
        <v>60</v>
      </c>
      <c r="P1506" t="str">
        <f>_xlfn.XLOOKUP(VALINA[[#This Row],[id]],Table4[id],Table4[name])</f>
        <v>Ndongo</v>
      </c>
      <c r="Q1506" t="str">
        <f>_xlfn.XLOOKUP(VALINA[[#This Row],[name]],Trans!A:A,Trans!B:B)</f>
        <v>Ndongo</v>
      </c>
    </row>
    <row r="1507" spans="1:17" x14ac:dyDescent="0.25">
      <c r="A1507">
        <v>1506</v>
      </c>
      <c r="B1507" t="s">
        <v>1016</v>
      </c>
      <c r="C1507" t="s">
        <v>1093</v>
      </c>
      <c r="D1507" t="s">
        <v>1094</v>
      </c>
      <c r="E1507" t="s">
        <v>22</v>
      </c>
      <c r="F1507" t="s">
        <v>15</v>
      </c>
      <c r="G1507" t="s">
        <v>75</v>
      </c>
      <c r="H1507" t="s">
        <v>1095</v>
      </c>
      <c r="I1507" t="s">
        <v>685</v>
      </c>
      <c r="J1507" t="s">
        <v>1094</v>
      </c>
      <c r="K1507">
        <v>9</v>
      </c>
      <c r="L1507">
        <v>10</v>
      </c>
      <c r="M1507">
        <v>6</v>
      </c>
      <c r="N1507">
        <v>0</v>
      </c>
      <c r="O1507">
        <f>_xlfn.XLOOKUP(VALINA[[#This Row],[id]],prov_color!A:A,prov_color!C:C)</f>
        <v>59</v>
      </c>
      <c r="P1507" t="str">
        <f>_xlfn.XLOOKUP(VALINA[[#This Row],[id]],Table4[id],Table4[name])</f>
        <v>Congo</v>
      </c>
      <c r="Q1507" t="str">
        <f>_xlfn.XLOOKUP(VALINA[[#This Row],[name]],Trans!A:A,Trans!B:B)</f>
        <v>Congo</v>
      </c>
    </row>
    <row r="1508" spans="1:17" x14ac:dyDescent="0.25">
      <c r="A1508">
        <v>1507</v>
      </c>
      <c r="B1508" t="s">
        <v>1016</v>
      </c>
      <c r="C1508" t="s">
        <v>1066</v>
      </c>
      <c r="D1508" t="s">
        <v>1202</v>
      </c>
      <c r="E1508" t="s">
        <v>34</v>
      </c>
      <c r="F1508" t="s">
        <v>15</v>
      </c>
      <c r="G1508" t="s">
        <v>75</v>
      </c>
      <c r="H1508" t="s">
        <v>1071</v>
      </c>
      <c r="I1508" t="s">
        <v>43</v>
      </c>
      <c r="J1508" t="s">
        <v>1203</v>
      </c>
      <c r="K1508">
        <v>9</v>
      </c>
      <c r="L1508">
        <v>1</v>
      </c>
      <c r="M1508">
        <v>4</v>
      </c>
      <c r="N1508">
        <v>0</v>
      </c>
      <c r="O1508">
        <f>_xlfn.XLOOKUP(VALINA[[#This Row],[id]],prov_color!A:A,prov_color!C:C)</f>
        <v>45</v>
      </c>
      <c r="P1508" t="str">
        <f>_xlfn.XLOOKUP(VALINA[[#This Row],[id]],Table4[id],Table4[name])</f>
        <v>Chibuene</v>
      </c>
      <c r="Q1508" t="str">
        <f>_xlfn.XLOOKUP(VALINA[[#This Row],[name]],Trans!A:A,Trans!B:B)</f>
        <v>Chibuene</v>
      </c>
    </row>
    <row r="1509" spans="1:17" x14ac:dyDescent="0.25">
      <c r="A1509">
        <v>1508</v>
      </c>
      <c r="B1509" t="s">
        <v>1016</v>
      </c>
      <c r="C1509" t="s">
        <v>1066</v>
      </c>
      <c r="D1509" t="s">
        <v>1202</v>
      </c>
      <c r="E1509" t="s">
        <v>14</v>
      </c>
      <c r="F1509" t="s">
        <v>15</v>
      </c>
      <c r="G1509" t="s">
        <v>75</v>
      </c>
      <c r="H1509" t="s">
        <v>1068</v>
      </c>
      <c r="I1509" t="s">
        <v>27</v>
      </c>
      <c r="J1509" t="s">
        <v>1202</v>
      </c>
      <c r="K1509">
        <v>9</v>
      </c>
      <c r="L1509">
        <v>4</v>
      </c>
      <c r="M1509">
        <v>4</v>
      </c>
      <c r="N1509">
        <v>0</v>
      </c>
      <c r="O1509">
        <f>_xlfn.XLOOKUP(VALINA[[#This Row],[id]],prov_color!A:A,prov_color!C:C)</f>
        <v>47</v>
      </c>
      <c r="P1509" t="str">
        <f>_xlfn.XLOOKUP(VALINA[[#This Row],[id]],Table4[id],Table4[name])</f>
        <v>Sofala</v>
      </c>
      <c r="Q1509" t="str">
        <f>_xlfn.XLOOKUP(VALINA[[#This Row],[name]],Trans!A:A,Trans!B:B)</f>
        <v>Sofala</v>
      </c>
    </row>
    <row r="1510" spans="1:17" x14ac:dyDescent="0.25">
      <c r="A1510">
        <v>1509</v>
      </c>
      <c r="B1510" t="s">
        <v>1016</v>
      </c>
      <c r="C1510" t="s">
        <v>1066</v>
      </c>
      <c r="D1510" t="s">
        <v>1202</v>
      </c>
      <c r="E1510" t="s">
        <v>80</v>
      </c>
      <c r="F1510" t="s">
        <v>15</v>
      </c>
      <c r="G1510" t="s">
        <v>75</v>
      </c>
      <c r="H1510" t="s">
        <v>1068</v>
      </c>
      <c r="I1510" t="s">
        <v>18</v>
      </c>
      <c r="J1510" t="s">
        <v>1204</v>
      </c>
      <c r="K1510">
        <v>9</v>
      </c>
      <c r="L1510">
        <v>6</v>
      </c>
      <c r="M1510">
        <v>6</v>
      </c>
      <c r="N1510">
        <v>0</v>
      </c>
      <c r="O1510">
        <f>_xlfn.XLOOKUP(VALINA[[#This Row],[id]],prov_color!A:A,prov_color!C:C)</f>
        <v>56</v>
      </c>
      <c r="P1510" t="str">
        <f>_xlfn.XLOOKUP(VALINA[[#This Row],[id]],Table4[id],Table4[name])</f>
        <v>Zimbabwe</v>
      </c>
      <c r="Q1510" t="str">
        <f>_xlfn.XLOOKUP(VALINA[[#This Row],[name]],Trans!A:A,Trans!B:B)</f>
        <v>Zimbabwe</v>
      </c>
    </row>
    <row r="1511" spans="1:17" x14ac:dyDescent="0.25">
      <c r="A1511">
        <v>1510</v>
      </c>
      <c r="B1511" t="s">
        <v>1016</v>
      </c>
      <c r="C1511" t="s">
        <v>1066</v>
      </c>
      <c r="D1511" t="s">
        <v>1202</v>
      </c>
      <c r="E1511" t="s">
        <v>14</v>
      </c>
      <c r="F1511" t="s">
        <v>15</v>
      </c>
      <c r="G1511" t="s">
        <v>75</v>
      </c>
      <c r="H1511" t="s">
        <v>1068</v>
      </c>
      <c r="I1511" t="s">
        <v>141</v>
      </c>
      <c r="J1511" t="s">
        <v>1205</v>
      </c>
      <c r="K1511">
        <v>9</v>
      </c>
      <c r="L1511">
        <v>3</v>
      </c>
      <c r="M1511">
        <v>6</v>
      </c>
      <c r="N1511">
        <v>0</v>
      </c>
      <c r="O1511">
        <f>_xlfn.XLOOKUP(VALINA[[#This Row],[id]],prov_color!A:A,prov_color!C:C)</f>
        <v>61</v>
      </c>
      <c r="P1511" t="str">
        <f>_xlfn.XLOOKUP(VALINA[[#This Row],[id]],Table4[id],Table4[name])</f>
        <v>Rozwi</v>
      </c>
      <c r="Q1511" t="str">
        <f>_xlfn.XLOOKUP(VALINA[[#This Row],[name]],Trans!A:A,Trans!B:B)</f>
        <v>Rozwi</v>
      </c>
    </row>
    <row r="1512" spans="1:17" x14ac:dyDescent="0.25">
      <c r="A1512">
        <v>1511</v>
      </c>
      <c r="B1512" t="s">
        <v>1016</v>
      </c>
      <c r="C1512" t="s">
        <v>1066</v>
      </c>
      <c r="D1512" t="s">
        <v>1202</v>
      </c>
      <c r="E1512" t="s">
        <v>14</v>
      </c>
      <c r="F1512" t="s">
        <v>15</v>
      </c>
      <c r="G1512" t="s">
        <v>75</v>
      </c>
      <c r="H1512" t="s">
        <v>1068</v>
      </c>
      <c r="I1512" t="s">
        <v>1039</v>
      </c>
      <c r="J1512" t="s">
        <v>1206</v>
      </c>
      <c r="K1512">
        <v>9</v>
      </c>
      <c r="L1512">
        <v>3</v>
      </c>
      <c r="M1512">
        <v>6</v>
      </c>
      <c r="N1512">
        <v>0</v>
      </c>
      <c r="O1512">
        <f>_xlfn.XLOOKUP(VALINA[[#This Row],[id]],prov_color!A:A,prov_color!C:C)</f>
        <v>66</v>
      </c>
      <c r="P1512" t="str">
        <f>_xlfn.XLOOKUP(VALINA[[#This Row],[id]],Table4[id],Table4[name])</f>
        <v>Nembire</v>
      </c>
      <c r="Q1512" t="str">
        <f>_xlfn.XLOOKUP(VALINA[[#This Row],[name]],Trans!A:A,Trans!B:B)</f>
        <v>Nembire</v>
      </c>
    </row>
    <row r="1513" spans="1:17" x14ac:dyDescent="0.25">
      <c r="A1513">
        <v>1512</v>
      </c>
      <c r="B1513" t="s">
        <v>1016</v>
      </c>
      <c r="C1513" t="s">
        <v>1035</v>
      </c>
      <c r="D1513" t="s">
        <v>1055</v>
      </c>
      <c r="E1513" t="s">
        <v>34</v>
      </c>
      <c r="F1513" t="s">
        <v>15</v>
      </c>
      <c r="G1513" t="s">
        <v>75</v>
      </c>
      <c r="H1513" t="s">
        <v>1056</v>
      </c>
      <c r="I1513" t="s">
        <v>141</v>
      </c>
      <c r="J1513" t="s">
        <v>1207</v>
      </c>
      <c r="K1513">
        <v>9</v>
      </c>
      <c r="L1513">
        <v>2</v>
      </c>
      <c r="M1513">
        <v>4</v>
      </c>
      <c r="N1513">
        <v>0</v>
      </c>
      <c r="O1513">
        <f>_xlfn.XLOOKUP(VALINA[[#This Row],[id]],prov_color!A:A,prov_color!C:C)</f>
        <v>48</v>
      </c>
      <c r="P1513" t="str">
        <f>_xlfn.XLOOKUP(VALINA[[#This Row],[id]],Table4[id],Table4[name])</f>
        <v>Morogoro</v>
      </c>
      <c r="Q1513" t="str">
        <f>_xlfn.XLOOKUP(VALINA[[#This Row],[name]],Trans!A:A,Trans!B:B)</f>
        <v>Morogoro</v>
      </c>
    </row>
    <row r="1514" spans="1:17" x14ac:dyDescent="0.25">
      <c r="A1514">
        <v>1513</v>
      </c>
      <c r="B1514" t="s">
        <v>1016</v>
      </c>
      <c r="C1514" t="s">
        <v>1035</v>
      </c>
      <c r="D1514" t="s">
        <v>1055</v>
      </c>
      <c r="E1514" t="s">
        <v>34</v>
      </c>
      <c r="F1514" t="s">
        <v>15</v>
      </c>
      <c r="G1514" t="s">
        <v>75</v>
      </c>
      <c r="H1514" t="s">
        <v>1056</v>
      </c>
      <c r="I1514" t="s">
        <v>1039</v>
      </c>
      <c r="J1514" t="s">
        <v>1208</v>
      </c>
      <c r="K1514">
        <v>9</v>
      </c>
      <c r="L1514">
        <v>1</v>
      </c>
      <c r="M1514">
        <v>4</v>
      </c>
      <c r="N1514">
        <v>0</v>
      </c>
      <c r="O1514">
        <f>_xlfn.XLOOKUP(VALINA[[#This Row],[id]],prov_color!A:A,prov_color!C:C)</f>
        <v>63</v>
      </c>
      <c r="P1514" t="str">
        <f>_xlfn.XLOOKUP(VALINA[[#This Row],[id]],Table4[id],Table4[name])</f>
        <v>Arusha</v>
      </c>
      <c r="Q1514" t="str">
        <f>_xlfn.XLOOKUP(VALINA[[#This Row],[name]],Trans!A:A,Trans!B:B)</f>
        <v>Arusha</v>
      </c>
    </row>
    <row r="1515" spans="1:17" x14ac:dyDescent="0.25">
      <c r="A1515">
        <v>1514</v>
      </c>
      <c r="B1515" t="s">
        <v>1016</v>
      </c>
      <c r="C1515" t="s">
        <v>1035</v>
      </c>
      <c r="D1515" t="s">
        <v>1055</v>
      </c>
      <c r="E1515" t="s">
        <v>14</v>
      </c>
      <c r="F1515" t="s">
        <v>15</v>
      </c>
      <c r="G1515" t="s">
        <v>75</v>
      </c>
      <c r="H1515" t="s">
        <v>1056</v>
      </c>
      <c r="I1515" t="s">
        <v>212</v>
      </c>
      <c r="J1515" t="s">
        <v>1209</v>
      </c>
      <c r="K1515">
        <v>9</v>
      </c>
      <c r="L1515">
        <v>1</v>
      </c>
      <c r="M1515">
        <v>4</v>
      </c>
      <c r="N1515">
        <v>0</v>
      </c>
      <c r="O1515">
        <f>_xlfn.XLOOKUP(VALINA[[#This Row],[id]],prov_color!A:A,prov_color!C:C)</f>
        <v>40</v>
      </c>
      <c r="P1515" t="str">
        <f>_xlfn.XLOOKUP(VALINA[[#This Row],[id]],Table4[id],Table4[name])</f>
        <v>Galana</v>
      </c>
      <c r="Q1515" t="str">
        <f>_xlfn.XLOOKUP(VALINA[[#This Row],[name]],Trans!A:A,Trans!B:B)</f>
        <v>Galana</v>
      </c>
    </row>
    <row r="1516" spans="1:17" x14ac:dyDescent="0.25">
      <c r="A1516">
        <v>1515</v>
      </c>
      <c r="B1516" t="s">
        <v>1016</v>
      </c>
      <c r="C1516" t="s">
        <v>1035</v>
      </c>
      <c r="D1516" t="s">
        <v>1055</v>
      </c>
      <c r="E1516" t="s">
        <v>34</v>
      </c>
      <c r="F1516" t="s">
        <v>15</v>
      </c>
      <c r="G1516" t="s">
        <v>75</v>
      </c>
      <c r="H1516" t="s">
        <v>1056</v>
      </c>
      <c r="I1516" t="s">
        <v>1039</v>
      </c>
      <c r="J1516" t="s">
        <v>1210</v>
      </c>
      <c r="K1516">
        <v>9</v>
      </c>
      <c r="L1516">
        <v>1</v>
      </c>
      <c r="M1516">
        <v>4</v>
      </c>
      <c r="N1516">
        <v>0</v>
      </c>
      <c r="O1516">
        <f>_xlfn.XLOOKUP(VALINA[[#This Row],[id]],prov_color!A:A,prov_color!C:C)</f>
        <v>45</v>
      </c>
      <c r="P1516" t="str">
        <f>_xlfn.XLOOKUP(VALINA[[#This Row],[id]],Table4[id],Table4[name])</f>
        <v>Tana</v>
      </c>
      <c r="Q1516" t="str">
        <f>_xlfn.XLOOKUP(VALINA[[#This Row],[name]],Trans!A:A,Trans!B:B)</f>
        <v>Tana</v>
      </c>
    </row>
    <row r="1517" spans="1:17" x14ac:dyDescent="0.25">
      <c r="A1517">
        <v>1516</v>
      </c>
      <c r="B1517" t="s">
        <v>1016</v>
      </c>
      <c r="C1517" t="s">
        <v>1035</v>
      </c>
      <c r="D1517" t="s">
        <v>1042</v>
      </c>
      <c r="E1517" t="s">
        <v>14</v>
      </c>
      <c r="F1517" t="s">
        <v>650</v>
      </c>
      <c r="G1517" t="s">
        <v>47</v>
      </c>
      <c r="H1517" t="s">
        <v>1043</v>
      </c>
      <c r="I1517" t="s">
        <v>43</v>
      </c>
      <c r="J1517" t="s">
        <v>1211</v>
      </c>
      <c r="K1517">
        <v>5</v>
      </c>
      <c r="L1517">
        <v>1</v>
      </c>
      <c r="M1517">
        <v>1</v>
      </c>
      <c r="N1517">
        <v>0</v>
      </c>
      <c r="O1517">
        <f>_xlfn.XLOOKUP(VALINA[[#This Row],[id]],prov_color!A:A,prov_color!C:C)</f>
        <v>65</v>
      </c>
      <c r="P1517" t="str">
        <f>_xlfn.XLOOKUP(VALINA[[#This Row],[id]],Table4[id],Table4[name])</f>
        <v>Welo</v>
      </c>
      <c r="Q1517" t="str">
        <f>_xlfn.XLOOKUP(VALINA[[#This Row],[name]],Trans!A:A,Trans!B:B)</f>
        <v>Welo</v>
      </c>
    </row>
    <row r="1518" spans="1:17" x14ac:dyDescent="0.25">
      <c r="A1518">
        <v>1517</v>
      </c>
      <c r="B1518" t="s">
        <v>1016</v>
      </c>
      <c r="C1518" t="s">
        <v>1035</v>
      </c>
      <c r="D1518" t="s">
        <v>1042</v>
      </c>
      <c r="E1518" t="s">
        <v>14</v>
      </c>
      <c r="F1518" t="s">
        <v>650</v>
      </c>
      <c r="G1518" t="s">
        <v>35</v>
      </c>
      <c r="H1518" t="s">
        <v>1043</v>
      </c>
      <c r="I1518" t="s">
        <v>685</v>
      </c>
      <c r="J1518" t="s">
        <v>1212</v>
      </c>
      <c r="K1518">
        <v>5</v>
      </c>
      <c r="L1518">
        <v>10</v>
      </c>
      <c r="M1518">
        <v>6</v>
      </c>
      <c r="N1518">
        <v>0</v>
      </c>
      <c r="O1518">
        <f>_xlfn.XLOOKUP(VALINA[[#This Row],[id]],prov_color!A:A,prov_color!C:C)</f>
        <v>59</v>
      </c>
      <c r="P1518" t="str">
        <f>_xlfn.XLOOKUP(VALINA[[#This Row],[id]],Table4[id],Table4[name])</f>
        <v>Shewa</v>
      </c>
      <c r="Q1518" t="str">
        <f>_xlfn.XLOOKUP(VALINA[[#This Row],[name]],Trans!A:A,Trans!B:B)</f>
        <v>Shewa</v>
      </c>
    </row>
    <row r="1519" spans="1:17" x14ac:dyDescent="0.25">
      <c r="A1519">
        <v>1518</v>
      </c>
      <c r="B1519" t="s">
        <v>1016</v>
      </c>
      <c r="C1519" t="s">
        <v>1035</v>
      </c>
      <c r="D1519" t="s">
        <v>1046</v>
      </c>
      <c r="E1519" t="s">
        <v>52</v>
      </c>
      <c r="F1519" t="s">
        <v>609</v>
      </c>
      <c r="G1519" t="s">
        <v>47</v>
      </c>
      <c r="H1519" t="s">
        <v>1047</v>
      </c>
      <c r="I1519" t="s">
        <v>43</v>
      </c>
      <c r="J1519" t="s">
        <v>1213</v>
      </c>
      <c r="K1519">
        <v>5</v>
      </c>
      <c r="L1519">
        <v>1</v>
      </c>
      <c r="M1519">
        <v>1</v>
      </c>
      <c r="N1519">
        <v>0</v>
      </c>
      <c r="O1519">
        <f>_xlfn.XLOOKUP(VALINA[[#This Row],[id]],prov_color!A:A,prov_color!C:C)</f>
        <v>52</v>
      </c>
      <c r="P1519" t="str">
        <f>_xlfn.XLOOKUP(VALINA[[#This Row],[id]],Table4[id],Table4[name])</f>
        <v>Arsi</v>
      </c>
      <c r="Q1519" t="str">
        <f>_xlfn.XLOOKUP(VALINA[[#This Row],[name]],Trans!A:A,Trans!B:B)</f>
        <v>Arsi</v>
      </c>
    </row>
    <row r="1520" spans="1:17" x14ac:dyDescent="0.25">
      <c r="A1520">
        <v>1519</v>
      </c>
      <c r="B1520" t="s">
        <v>1016</v>
      </c>
      <c r="C1520" t="s">
        <v>1035</v>
      </c>
      <c r="D1520" t="s">
        <v>1046</v>
      </c>
      <c r="E1520" t="s">
        <v>52</v>
      </c>
      <c r="F1520" t="s">
        <v>609</v>
      </c>
      <c r="G1520" t="s">
        <v>47</v>
      </c>
      <c r="H1520" t="s">
        <v>1047</v>
      </c>
      <c r="I1520" t="s">
        <v>43</v>
      </c>
      <c r="J1520" t="s">
        <v>1214</v>
      </c>
      <c r="K1520">
        <v>5</v>
      </c>
      <c r="L1520">
        <v>0</v>
      </c>
      <c r="M1520">
        <v>1</v>
      </c>
      <c r="N1520">
        <v>0</v>
      </c>
      <c r="O1520">
        <f>_xlfn.XLOOKUP(VALINA[[#This Row],[id]],prov_color!A:A,prov_color!C:C)</f>
        <v>36</v>
      </c>
      <c r="P1520" t="str">
        <f>_xlfn.XLOOKUP(VALINA[[#This Row],[id]],Table4[id],Table4[name])</f>
        <v>Harerge</v>
      </c>
      <c r="Q1520" t="str">
        <f>_xlfn.XLOOKUP(VALINA[[#This Row],[name]],Trans!A:A,Trans!B:B)</f>
        <v>Harerge</v>
      </c>
    </row>
    <row r="1521" spans="1:17" x14ac:dyDescent="0.25">
      <c r="A1521">
        <v>1520</v>
      </c>
      <c r="B1521" t="s">
        <v>653</v>
      </c>
      <c r="C1521" t="s">
        <v>740</v>
      </c>
      <c r="D1521" t="s">
        <v>747</v>
      </c>
      <c r="E1521" t="s">
        <v>14</v>
      </c>
      <c r="F1521" t="s">
        <v>748</v>
      </c>
      <c r="G1521" t="s">
        <v>75</v>
      </c>
      <c r="H1521" t="s">
        <v>1215</v>
      </c>
      <c r="I1521" t="s">
        <v>352</v>
      </c>
      <c r="J1521" t="s">
        <v>1216</v>
      </c>
      <c r="K1521">
        <v>5</v>
      </c>
      <c r="L1521">
        <v>1</v>
      </c>
      <c r="M1521">
        <v>3</v>
      </c>
      <c r="N1521">
        <v>0</v>
      </c>
      <c r="O1521">
        <f>_xlfn.XLOOKUP(VALINA[[#This Row],[id]],prov_color!A:A,prov_color!C:C)</f>
        <v>52</v>
      </c>
      <c r="P1521" t="str">
        <f>_xlfn.XLOOKUP(VALINA[[#This Row],[id]],Table4[id],Table4[name])</f>
        <v>Chandigarh</v>
      </c>
      <c r="Q1521" t="str">
        <f>_xlfn.XLOOKUP(VALINA[[#This Row],[name]],Trans!A:A,Trans!B:B)</f>
        <v>Chandigarh</v>
      </c>
    </row>
    <row r="1522" spans="1:17" x14ac:dyDescent="0.25">
      <c r="A1522">
        <v>1521</v>
      </c>
      <c r="B1522" t="s">
        <v>653</v>
      </c>
      <c r="C1522" t="s">
        <v>740</v>
      </c>
      <c r="D1522" t="s">
        <v>747</v>
      </c>
      <c r="E1522" t="s">
        <v>34</v>
      </c>
      <c r="F1522" t="s">
        <v>748</v>
      </c>
      <c r="G1522" t="s">
        <v>276</v>
      </c>
      <c r="H1522" t="s">
        <v>1215</v>
      </c>
      <c r="I1522" t="s">
        <v>352</v>
      </c>
      <c r="J1522" t="s">
        <v>1217</v>
      </c>
      <c r="K1522">
        <v>5</v>
      </c>
      <c r="L1522">
        <v>2</v>
      </c>
      <c r="M1522">
        <v>4</v>
      </c>
      <c r="N1522">
        <v>0</v>
      </c>
      <c r="O1522">
        <f>_xlfn.XLOOKUP(VALINA[[#This Row],[id]],prov_color!A:A,prov_color!C:C)</f>
        <v>45</v>
      </c>
      <c r="P1522" t="str">
        <f>_xlfn.XLOOKUP(VALINA[[#This Row],[id]],Table4[id],Table4[name])</f>
        <v>Panjab</v>
      </c>
      <c r="Q1522" t="str">
        <f>_xlfn.XLOOKUP(VALINA[[#This Row],[name]],Trans!A:A,Trans!B:B)</f>
        <v>Panjab</v>
      </c>
    </row>
    <row r="1523" spans="1:17" x14ac:dyDescent="0.25">
      <c r="A1523">
        <v>1522</v>
      </c>
      <c r="B1523" t="s">
        <v>653</v>
      </c>
      <c r="C1523" t="s">
        <v>740</v>
      </c>
      <c r="D1523" t="s">
        <v>747</v>
      </c>
      <c r="E1523" t="s">
        <v>34</v>
      </c>
      <c r="F1523" t="s">
        <v>609</v>
      </c>
      <c r="G1523" t="s">
        <v>75</v>
      </c>
      <c r="H1523" t="s">
        <v>749</v>
      </c>
      <c r="I1523" t="s">
        <v>352</v>
      </c>
      <c r="J1523" t="s">
        <v>1218</v>
      </c>
      <c r="K1523">
        <v>5</v>
      </c>
      <c r="L1523">
        <v>2</v>
      </c>
      <c r="M1523">
        <v>6</v>
      </c>
      <c r="N1523">
        <v>0</v>
      </c>
      <c r="O1523">
        <f>_xlfn.XLOOKUP(VALINA[[#This Row],[id]],prov_color!A:A,prov_color!C:C)</f>
        <v>42</v>
      </c>
      <c r="P1523" t="str">
        <f>_xlfn.XLOOKUP(VALINA[[#This Row],[id]],Table4[id],Table4[name])</f>
        <v>Bikaner</v>
      </c>
      <c r="Q1523" t="str">
        <f>_xlfn.XLOOKUP(VALINA[[#This Row],[name]],Trans!A:A,Trans!B:B)</f>
        <v>Bikaner</v>
      </c>
    </row>
    <row r="1524" spans="1:17" x14ac:dyDescent="0.25">
      <c r="A1524">
        <v>1523</v>
      </c>
      <c r="B1524" t="s">
        <v>653</v>
      </c>
      <c r="C1524" t="s">
        <v>740</v>
      </c>
      <c r="D1524" t="s">
        <v>741</v>
      </c>
      <c r="E1524" t="s">
        <v>34</v>
      </c>
      <c r="F1524" t="s">
        <v>609</v>
      </c>
      <c r="G1524" t="s">
        <v>75</v>
      </c>
      <c r="H1524" t="s">
        <v>1219</v>
      </c>
      <c r="I1524" t="s">
        <v>43</v>
      </c>
      <c r="J1524" t="s">
        <v>1220</v>
      </c>
      <c r="K1524">
        <v>5</v>
      </c>
      <c r="L1524">
        <v>4</v>
      </c>
      <c r="M1524">
        <v>3</v>
      </c>
      <c r="N1524">
        <v>0</v>
      </c>
      <c r="O1524">
        <f>_xlfn.XLOOKUP(VALINA[[#This Row],[id]],prov_color!A:A,prov_color!C:C)</f>
        <v>83</v>
      </c>
      <c r="P1524" t="str">
        <f>_xlfn.XLOOKUP(VALINA[[#This Row],[id]],Table4[id],Table4[name])</f>
        <v>Thar</v>
      </c>
      <c r="Q1524" t="str">
        <f>_xlfn.XLOOKUP(VALINA[[#This Row],[name]],Trans!A:A,Trans!B:B)</f>
        <v>Thar</v>
      </c>
    </row>
    <row r="1525" spans="1:17" x14ac:dyDescent="0.25">
      <c r="A1525">
        <v>1524</v>
      </c>
      <c r="B1525" t="s">
        <v>653</v>
      </c>
      <c r="C1525" t="s">
        <v>672</v>
      </c>
      <c r="D1525" t="s">
        <v>1221</v>
      </c>
      <c r="E1525" t="s">
        <v>14</v>
      </c>
      <c r="F1525" t="s">
        <v>609</v>
      </c>
      <c r="G1525" t="s">
        <v>75</v>
      </c>
      <c r="H1525" t="s">
        <v>1219</v>
      </c>
      <c r="I1525" t="s">
        <v>43</v>
      </c>
      <c r="J1525" t="s">
        <v>1222</v>
      </c>
      <c r="K1525">
        <v>5</v>
      </c>
      <c r="L1525">
        <v>3</v>
      </c>
      <c r="M1525">
        <v>4</v>
      </c>
      <c r="N1525">
        <v>0</v>
      </c>
      <c r="O1525">
        <f>_xlfn.XLOOKUP(VALINA[[#This Row],[id]],prov_color!A:A,prov_color!C:C)</f>
        <v>68</v>
      </c>
      <c r="P1525" t="str">
        <f>_xlfn.XLOOKUP(VALINA[[#This Row],[id]],Table4[id],Table4[name])</f>
        <v>Quetta</v>
      </c>
      <c r="Q1525" t="str">
        <f>_xlfn.XLOOKUP(VALINA[[#This Row],[name]],Trans!A:A,Trans!B:B)</f>
        <v>Quetta</v>
      </c>
    </row>
    <row r="1526" spans="1:17" x14ac:dyDescent="0.25">
      <c r="A1526">
        <v>1525</v>
      </c>
      <c r="B1526" t="s">
        <v>653</v>
      </c>
      <c r="C1526" t="s">
        <v>672</v>
      </c>
      <c r="D1526" t="s">
        <v>1221</v>
      </c>
      <c r="E1526" t="s">
        <v>14</v>
      </c>
      <c r="F1526" t="s">
        <v>609</v>
      </c>
      <c r="G1526" t="s">
        <v>75</v>
      </c>
      <c r="H1526" t="s">
        <v>1219</v>
      </c>
      <c r="I1526" t="s">
        <v>41</v>
      </c>
      <c r="J1526" t="s">
        <v>1223</v>
      </c>
      <c r="K1526">
        <v>5</v>
      </c>
      <c r="L1526">
        <v>3</v>
      </c>
      <c r="M1526">
        <v>5</v>
      </c>
      <c r="N1526">
        <v>0</v>
      </c>
      <c r="O1526">
        <f>_xlfn.XLOOKUP(VALINA[[#This Row],[id]],prov_color!A:A,prov_color!C:C)</f>
        <v>45</v>
      </c>
      <c r="P1526" t="str">
        <f>_xlfn.XLOOKUP(VALINA[[#This Row],[id]],Table4[id],Table4[name])</f>
        <v>Qandahar</v>
      </c>
      <c r="Q1526" t="str">
        <f>_xlfn.XLOOKUP(VALINA[[#This Row],[name]],Trans!A:A,Trans!B:B)</f>
        <v>Qandahar</v>
      </c>
    </row>
    <row r="1527" spans="1:17" x14ac:dyDescent="0.25">
      <c r="A1527">
        <v>1526</v>
      </c>
      <c r="B1527" t="s">
        <v>653</v>
      </c>
      <c r="C1527" t="s">
        <v>672</v>
      </c>
      <c r="D1527" t="s">
        <v>735</v>
      </c>
      <c r="E1527" t="s">
        <v>14</v>
      </c>
      <c r="F1527" t="s">
        <v>609</v>
      </c>
      <c r="G1527" t="s">
        <v>75</v>
      </c>
      <c r="H1527" t="s">
        <v>736</v>
      </c>
      <c r="I1527" t="s">
        <v>41</v>
      </c>
      <c r="J1527" t="s">
        <v>1224</v>
      </c>
      <c r="K1527">
        <v>5</v>
      </c>
      <c r="L1527">
        <v>2</v>
      </c>
      <c r="M1527">
        <v>3</v>
      </c>
      <c r="N1527">
        <v>0</v>
      </c>
      <c r="O1527">
        <f>_xlfn.XLOOKUP(VALINA[[#This Row],[id]],prov_color!A:A,prov_color!C:C)</f>
        <v>42</v>
      </c>
      <c r="P1527" t="str">
        <f>_xlfn.XLOOKUP(VALINA[[#This Row],[id]],Table4[id],Table4[name])</f>
        <v>Zahedan</v>
      </c>
      <c r="Q1527" t="str">
        <f>_xlfn.XLOOKUP(VALINA[[#This Row],[name]],Trans!A:A,Trans!B:B)</f>
        <v>Zahedan</v>
      </c>
    </row>
    <row r="1528" spans="1:17" x14ac:dyDescent="0.25">
      <c r="A1528">
        <v>1527</v>
      </c>
      <c r="B1528" t="s">
        <v>653</v>
      </c>
      <c r="C1528" t="s">
        <v>672</v>
      </c>
      <c r="D1528" t="s">
        <v>1221</v>
      </c>
      <c r="E1528" t="s">
        <v>14</v>
      </c>
      <c r="F1528" t="s">
        <v>609</v>
      </c>
      <c r="G1528" t="s">
        <v>276</v>
      </c>
      <c r="H1528" t="s">
        <v>1219</v>
      </c>
      <c r="I1528" t="s">
        <v>41</v>
      </c>
      <c r="J1528" t="s">
        <v>1225</v>
      </c>
      <c r="K1528">
        <v>5</v>
      </c>
      <c r="L1528">
        <v>2</v>
      </c>
      <c r="M1528">
        <v>8</v>
      </c>
      <c r="N1528">
        <v>0</v>
      </c>
      <c r="O1528">
        <f>_xlfn.XLOOKUP(VALINA[[#This Row],[id]],prov_color!A:A,prov_color!C:C)</f>
        <v>67</v>
      </c>
      <c r="P1528" t="str">
        <f>_xlfn.XLOOKUP(VALINA[[#This Row],[id]],Table4[id],Table4[name])</f>
        <v>Kabul</v>
      </c>
      <c r="Q1528" t="str">
        <f>_xlfn.XLOOKUP(VALINA[[#This Row],[name]],Trans!A:A,Trans!B:B)</f>
        <v>Kabul</v>
      </c>
    </row>
    <row r="1529" spans="1:17" x14ac:dyDescent="0.25">
      <c r="A1529">
        <v>1528</v>
      </c>
      <c r="B1529" t="s">
        <v>653</v>
      </c>
      <c r="C1529" t="s">
        <v>672</v>
      </c>
      <c r="D1529" t="s">
        <v>1221</v>
      </c>
      <c r="E1529" t="s">
        <v>80</v>
      </c>
      <c r="F1529" t="s">
        <v>609</v>
      </c>
      <c r="G1529" t="s">
        <v>35</v>
      </c>
      <c r="H1529" t="s">
        <v>719</v>
      </c>
      <c r="I1529" t="s">
        <v>53</v>
      </c>
      <c r="J1529" t="s">
        <v>1226</v>
      </c>
      <c r="K1529">
        <v>5</v>
      </c>
      <c r="L1529">
        <v>2</v>
      </c>
      <c r="M1529">
        <v>4</v>
      </c>
      <c r="N1529">
        <v>0</v>
      </c>
      <c r="O1529">
        <f>_xlfn.XLOOKUP(VALINA[[#This Row],[id]],prov_color!A:A,prov_color!C:C)</f>
        <v>72</v>
      </c>
      <c r="P1529" t="str">
        <f>_xlfn.XLOOKUP(VALINA[[#This Row],[id]],Table4[id],Table4[name])</f>
        <v>Kushka</v>
      </c>
      <c r="Q1529" t="str">
        <f>_xlfn.XLOOKUP(VALINA[[#This Row],[name]],Trans!A:A,Trans!B:B)</f>
        <v>Kushka</v>
      </c>
    </row>
    <row r="1530" spans="1:17" x14ac:dyDescent="0.25">
      <c r="A1530">
        <v>1529</v>
      </c>
      <c r="B1530" t="s">
        <v>653</v>
      </c>
      <c r="C1530" t="s">
        <v>672</v>
      </c>
      <c r="D1530" t="s">
        <v>673</v>
      </c>
      <c r="E1530" t="s">
        <v>14</v>
      </c>
      <c r="F1530" t="s">
        <v>609</v>
      </c>
      <c r="G1530" t="s">
        <v>35</v>
      </c>
      <c r="H1530" t="s">
        <v>719</v>
      </c>
      <c r="I1530" t="s">
        <v>41</v>
      </c>
      <c r="J1530" t="s">
        <v>1227</v>
      </c>
      <c r="K1530">
        <v>5</v>
      </c>
      <c r="L1530">
        <v>3</v>
      </c>
      <c r="M1530">
        <v>2</v>
      </c>
      <c r="N1530">
        <v>0</v>
      </c>
      <c r="O1530">
        <f>_xlfn.XLOOKUP(VALINA[[#This Row],[id]],prov_color!A:A,prov_color!C:C)</f>
        <v>45</v>
      </c>
      <c r="P1530" t="str">
        <f>_xlfn.XLOOKUP(VALINA[[#This Row],[id]],Table4[id],Table4[name])</f>
        <v>Birjand</v>
      </c>
      <c r="Q1530" t="str">
        <f>_xlfn.XLOOKUP(VALINA[[#This Row],[name]],Trans!A:A,Trans!B:B)</f>
        <v>Birjand</v>
      </c>
    </row>
    <row r="1531" spans="1:17" x14ac:dyDescent="0.25">
      <c r="A1531">
        <v>1530</v>
      </c>
      <c r="B1531" t="s">
        <v>653</v>
      </c>
      <c r="C1531" t="s">
        <v>672</v>
      </c>
      <c r="D1531" t="s">
        <v>673</v>
      </c>
      <c r="E1531" t="s">
        <v>14</v>
      </c>
      <c r="F1531" t="s">
        <v>609</v>
      </c>
      <c r="G1531" t="s">
        <v>35</v>
      </c>
      <c r="H1531" t="s">
        <v>719</v>
      </c>
      <c r="I1531" t="s">
        <v>43</v>
      </c>
      <c r="J1531" t="s">
        <v>1228</v>
      </c>
      <c r="K1531">
        <v>5</v>
      </c>
      <c r="L1531">
        <v>4</v>
      </c>
      <c r="M1531">
        <v>2</v>
      </c>
      <c r="N1531">
        <v>0</v>
      </c>
      <c r="O1531">
        <f>_xlfn.XLOOKUP(VALINA[[#This Row],[id]],prov_color!A:A,prov_color!C:C)</f>
        <v>74</v>
      </c>
      <c r="P1531" t="str">
        <f>_xlfn.XLOOKUP(VALINA[[#This Row],[id]],Table4[id],Table4[name])</f>
        <v>Khorasan</v>
      </c>
      <c r="Q1531" t="str">
        <f>_xlfn.XLOOKUP(VALINA[[#This Row],[name]],Trans!A:A,Trans!B:B)</f>
        <v>Khorasan</v>
      </c>
    </row>
    <row r="1532" spans="1:17" x14ac:dyDescent="0.25">
      <c r="A1532">
        <v>1531</v>
      </c>
      <c r="B1532" t="s">
        <v>653</v>
      </c>
      <c r="C1532" t="s">
        <v>672</v>
      </c>
      <c r="D1532" t="s">
        <v>1221</v>
      </c>
      <c r="E1532" t="s">
        <v>34</v>
      </c>
      <c r="F1532" t="s">
        <v>609</v>
      </c>
      <c r="G1532" t="s">
        <v>35</v>
      </c>
      <c r="H1532" t="s">
        <v>719</v>
      </c>
      <c r="I1532" t="s">
        <v>685</v>
      </c>
      <c r="J1532" t="s">
        <v>1229</v>
      </c>
      <c r="K1532">
        <v>5</v>
      </c>
      <c r="L1532">
        <v>5</v>
      </c>
      <c r="M1532">
        <v>6</v>
      </c>
      <c r="N1532">
        <v>0</v>
      </c>
      <c r="O1532">
        <f>_xlfn.XLOOKUP(VALINA[[#This Row],[id]],prov_color!A:A,prov_color!C:C)</f>
        <v>72</v>
      </c>
      <c r="P1532" t="str">
        <f>_xlfn.XLOOKUP(VALINA[[#This Row],[id]],Table4[id],Table4[name])</f>
        <v>Herat</v>
      </c>
      <c r="Q1532" t="str">
        <f>_xlfn.XLOOKUP(VALINA[[#This Row],[name]],Trans!A:A,Trans!B:B)</f>
        <v>Herat</v>
      </c>
    </row>
    <row r="1533" spans="1:17" x14ac:dyDescent="0.25">
      <c r="A1533">
        <v>1532</v>
      </c>
      <c r="B1533" t="s">
        <v>653</v>
      </c>
      <c r="C1533" t="s">
        <v>672</v>
      </c>
      <c r="D1533" t="s">
        <v>711</v>
      </c>
      <c r="E1533" t="s">
        <v>52</v>
      </c>
      <c r="F1533" t="s">
        <v>609</v>
      </c>
      <c r="G1533" t="s">
        <v>35</v>
      </c>
      <c r="H1533" t="s">
        <v>719</v>
      </c>
      <c r="I1533" t="s">
        <v>53</v>
      </c>
      <c r="J1533" t="s">
        <v>1230</v>
      </c>
      <c r="K1533">
        <v>5</v>
      </c>
      <c r="L1533">
        <v>5</v>
      </c>
      <c r="M1533">
        <v>5</v>
      </c>
      <c r="N1533">
        <v>0</v>
      </c>
      <c r="O1533">
        <f>_xlfn.XLOOKUP(VALINA[[#This Row],[id]],prov_color!A:A,prov_color!C:C)</f>
        <v>57</v>
      </c>
      <c r="P1533" t="str">
        <f>_xlfn.XLOOKUP(VALINA[[#This Row],[id]],Table4[id],Table4[name])</f>
        <v>Bukhara</v>
      </c>
      <c r="Q1533" t="str">
        <f>_xlfn.XLOOKUP(VALINA[[#This Row],[name]],Trans!A:A,Trans!B:B)</f>
        <v>Bukhara</v>
      </c>
    </row>
    <row r="1534" spans="1:17" x14ac:dyDescent="0.25">
      <c r="A1534">
        <v>1533</v>
      </c>
      <c r="B1534" t="s">
        <v>653</v>
      </c>
      <c r="C1534" t="s">
        <v>672</v>
      </c>
      <c r="D1534" t="s">
        <v>711</v>
      </c>
      <c r="E1534" t="s">
        <v>34</v>
      </c>
      <c r="F1534" t="s">
        <v>609</v>
      </c>
      <c r="G1534" t="s">
        <v>35</v>
      </c>
      <c r="H1534" t="s">
        <v>719</v>
      </c>
      <c r="I1534" t="s">
        <v>41</v>
      </c>
      <c r="J1534" t="s">
        <v>1231</v>
      </c>
      <c r="K1534">
        <v>5</v>
      </c>
      <c r="L1534">
        <v>2</v>
      </c>
      <c r="M1534">
        <v>3</v>
      </c>
      <c r="N1534">
        <v>0</v>
      </c>
      <c r="O1534">
        <f>_xlfn.XLOOKUP(VALINA[[#This Row],[id]],prov_color!A:A,prov_color!C:C)</f>
        <v>56</v>
      </c>
      <c r="P1534" t="str">
        <f>_xlfn.XLOOKUP(VALINA[[#This Row],[id]],Table4[id],Table4[name])</f>
        <v>Khiva</v>
      </c>
      <c r="Q1534" t="str">
        <f>_xlfn.XLOOKUP(VALINA[[#This Row],[name]],Trans!A:A,Trans!B:B)</f>
        <v>Khiva</v>
      </c>
    </row>
    <row r="1535" spans="1:17" x14ac:dyDescent="0.25">
      <c r="A1535">
        <v>1534</v>
      </c>
      <c r="B1535" t="s">
        <v>653</v>
      </c>
      <c r="C1535" t="s">
        <v>672</v>
      </c>
      <c r="D1535" t="s">
        <v>711</v>
      </c>
      <c r="E1535" t="s">
        <v>34</v>
      </c>
      <c r="F1535" t="s">
        <v>609</v>
      </c>
      <c r="G1535" t="s">
        <v>47</v>
      </c>
      <c r="H1535" t="s">
        <v>712</v>
      </c>
      <c r="I1535" t="s">
        <v>53</v>
      </c>
      <c r="J1535" t="s">
        <v>1232</v>
      </c>
      <c r="K1535">
        <v>5</v>
      </c>
      <c r="L1535">
        <v>1</v>
      </c>
      <c r="M1535">
        <v>2</v>
      </c>
      <c r="N1535">
        <v>0</v>
      </c>
      <c r="O1535">
        <f>_xlfn.XLOOKUP(VALINA[[#This Row],[id]],prov_color!A:A,prov_color!C:C)</f>
        <v>63</v>
      </c>
      <c r="P1535" t="str">
        <f>_xlfn.XLOOKUP(VALINA[[#This Row],[id]],Table4[id],Table4[name])</f>
        <v>Kyzylkum</v>
      </c>
      <c r="Q1535" t="str">
        <f>_xlfn.XLOOKUP(VALINA[[#This Row],[name]],Trans!A:A,Trans!B:B)</f>
        <v>Kyzylkum</v>
      </c>
    </row>
    <row r="1536" spans="1:17" x14ac:dyDescent="0.25">
      <c r="A1536">
        <v>1535</v>
      </c>
      <c r="B1536" t="s">
        <v>653</v>
      </c>
      <c r="C1536" t="s">
        <v>672</v>
      </c>
      <c r="D1536" t="s">
        <v>711</v>
      </c>
      <c r="E1536" t="s">
        <v>34</v>
      </c>
      <c r="F1536" t="s">
        <v>609</v>
      </c>
      <c r="G1536" t="s">
        <v>47</v>
      </c>
      <c r="H1536" t="s">
        <v>712</v>
      </c>
      <c r="I1536" t="s">
        <v>41</v>
      </c>
      <c r="J1536" t="s">
        <v>1233</v>
      </c>
      <c r="K1536">
        <v>5</v>
      </c>
      <c r="L1536">
        <v>1</v>
      </c>
      <c r="M1536">
        <v>4</v>
      </c>
      <c r="N1536">
        <v>0</v>
      </c>
      <c r="O1536">
        <f>_xlfn.XLOOKUP(VALINA[[#This Row],[id]],prov_color!A:A,prov_color!C:C)</f>
        <v>89</v>
      </c>
      <c r="P1536" t="str">
        <f>_xlfn.XLOOKUP(VALINA[[#This Row],[id]],Table4[id],Table4[name])</f>
        <v>Karsak</v>
      </c>
      <c r="Q1536" t="str">
        <f>_xlfn.XLOOKUP(VALINA[[#This Row],[name]],Trans!A:A,Trans!B:B)</f>
        <v>Karsak</v>
      </c>
    </row>
    <row r="1537" spans="1:17" x14ac:dyDescent="0.25">
      <c r="A1537">
        <v>1536</v>
      </c>
      <c r="B1537" t="s">
        <v>653</v>
      </c>
      <c r="C1537" t="s">
        <v>701</v>
      </c>
      <c r="D1537" t="s">
        <v>803</v>
      </c>
      <c r="E1537" t="s">
        <v>34</v>
      </c>
      <c r="F1537" t="s">
        <v>609</v>
      </c>
      <c r="G1537" t="s">
        <v>35</v>
      </c>
      <c r="H1537" t="s">
        <v>714</v>
      </c>
      <c r="I1537" t="s">
        <v>41</v>
      </c>
      <c r="J1537" t="s">
        <v>1234</v>
      </c>
      <c r="K1537">
        <v>5</v>
      </c>
      <c r="L1537">
        <v>1</v>
      </c>
      <c r="M1537">
        <v>3</v>
      </c>
      <c r="N1537">
        <v>0</v>
      </c>
      <c r="O1537">
        <f>_xlfn.XLOOKUP(VALINA[[#This Row],[id]],prov_color!A:A,prov_color!C:C)</f>
        <v>85</v>
      </c>
      <c r="P1537" t="str">
        <f>_xlfn.XLOOKUP(VALINA[[#This Row],[id]],Table4[id],Table4[name])</f>
        <v>Nura</v>
      </c>
      <c r="Q1537" t="str">
        <f>_xlfn.XLOOKUP(VALINA[[#This Row],[name]],Trans!A:A,Trans!B:B)</f>
        <v>Nura</v>
      </c>
    </row>
    <row r="1538" spans="1:17" x14ac:dyDescent="0.25">
      <c r="A1538">
        <v>1537</v>
      </c>
      <c r="B1538" t="s">
        <v>11</v>
      </c>
      <c r="C1538" t="s">
        <v>12</v>
      </c>
      <c r="D1538" t="s">
        <v>1235</v>
      </c>
      <c r="E1538" t="s">
        <v>34</v>
      </c>
      <c r="F1538" t="s">
        <v>15</v>
      </c>
      <c r="G1538" t="s">
        <v>16</v>
      </c>
      <c r="H1538" t="s">
        <v>377</v>
      </c>
      <c r="I1538" t="s">
        <v>20</v>
      </c>
      <c r="J1538" t="s">
        <v>1236</v>
      </c>
      <c r="K1538">
        <v>3</v>
      </c>
      <c r="L1538">
        <v>1</v>
      </c>
      <c r="M1538">
        <v>1</v>
      </c>
      <c r="N1538">
        <v>0</v>
      </c>
      <c r="O1538">
        <f>_xlfn.XLOOKUP(VALINA[[#This Row],[id]],prov_color!A:A,prov_color!C:C)</f>
        <v>45</v>
      </c>
      <c r="P1538" t="str">
        <f>_xlfn.XLOOKUP(VALINA[[#This Row],[id]],Table4[id],Table4[name])</f>
        <v>Vestbygden</v>
      </c>
      <c r="Q1538" t="str">
        <f>_xlfn.XLOOKUP(VALINA[[#This Row],[name]],Trans!A:A,Trans!B:B)</f>
        <v>Vestbygden</v>
      </c>
    </row>
    <row r="1539" spans="1:17" x14ac:dyDescent="0.25">
      <c r="A1539">
        <v>1538</v>
      </c>
      <c r="B1539" t="s">
        <v>11</v>
      </c>
      <c r="C1539" t="s">
        <v>12</v>
      </c>
      <c r="D1539" t="s">
        <v>1235</v>
      </c>
      <c r="E1539" t="s">
        <v>34</v>
      </c>
      <c r="F1539" t="s">
        <v>15</v>
      </c>
      <c r="G1539" t="s">
        <v>16</v>
      </c>
      <c r="H1539" t="s">
        <v>377</v>
      </c>
      <c r="I1539" t="s">
        <v>27</v>
      </c>
      <c r="J1539" t="s">
        <v>1237</v>
      </c>
      <c r="K1539">
        <v>3</v>
      </c>
      <c r="L1539">
        <v>1</v>
      </c>
      <c r="M1539">
        <v>1</v>
      </c>
      <c r="N1539">
        <v>0</v>
      </c>
      <c r="O1539">
        <f>_xlfn.XLOOKUP(VALINA[[#This Row],[id]],prov_color!A:A,prov_color!C:C)</f>
        <v>40</v>
      </c>
      <c r="P1539" t="str">
        <f>_xlfn.XLOOKUP(VALINA[[#This Row],[id]],Table4[id],Table4[name])</f>
        <v>Eiriksfjord</v>
      </c>
      <c r="Q1539" t="str">
        <f>_xlfn.XLOOKUP(VALINA[[#This Row],[name]],Trans!A:A,Trans!B:B)</f>
        <v>Eiriksfjord</v>
      </c>
    </row>
    <row r="1540" spans="1:17" x14ac:dyDescent="0.25">
      <c r="A1540">
        <v>1539</v>
      </c>
      <c r="B1540" t="s">
        <v>653</v>
      </c>
      <c r="C1540" t="s">
        <v>868</v>
      </c>
      <c r="D1540" t="s">
        <v>1238</v>
      </c>
      <c r="E1540" t="s">
        <v>14</v>
      </c>
      <c r="F1540" t="s">
        <v>748</v>
      </c>
      <c r="G1540" t="s">
        <v>16</v>
      </c>
      <c r="H1540" t="s">
        <v>768</v>
      </c>
      <c r="I1540" t="s">
        <v>41</v>
      </c>
      <c r="J1540" t="s">
        <v>1239</v>
      </c>
      <c r="K1540">
        <v>5</v>
      </c>
      <c r="L1540">
        <v>2</v>
      </c>
      <c r="M1540">
        <v>1</v>
      </c>
      <c r="N1540">
        <v>0</v>
      </c>
      <c r="O1540">
        <f>_xlfn.XLOOKUP(VALINA[[#This Row],[id]],prov_color!A:A,prov_color!C:C)</f>
        <v>60</v>
      </c>
      <c r="P1540" t="str">
        <f>_xlfn.XLOOKUP(VALINA[[#This Row],[id]],Table4[id],Table4[name])</f>
        <v>Nepal</v>
      </c>
      <c r="Q1540" t="str">
        <f>_xlfn.XLOOKUP(VALINA[[#This Row],[name]],Trans!A:A,Trans!B:B)</f>
        <v>Nepal</v>
      </c>
    </row>
    <row r="1541" spans="1:17" x14ac:dyDescent="0.25">
      <c r="A1541">
        <v>1540</v>
      </c>
      <c r="B1541" t="s">
        <v>653</v>
      </c>
      <c r="C1541" t="s">
        <v>868</v>
      </c>
      <c r="D1541" t="s">
        <v>1238</v>
      </c>
      <c r="E1541" t="s">
        <v>14</v>
      </c>
      <c r="F1541" t="s">
        <v>799</v>
      </c>
      <c r="G1541" t="s">
        <v>16</v>
      </c>
      <c r="H1541" t="s">
        <v>1240</v>
      </c>
      <c r="I1541" t="s">
        <v>41</v>
      </c>
      <c r="J1541" t="s">
        <v>1241</v>
      </c>
      <c r="K1541">
        <v>5</v>
      </c>
      <c r="L1541">
        <v>1</v>
      </c>
      <c r="M1541">
        <v>1</v>
      </c>
      <c r="N1541">
        <v>0</v>
      </c>
      <c r="O1541">
        <f>_xlfn.XLOOKUP(VALINA[[#This Row],[id]],prov_color!A:A,prov_color!C:C)</f>
        <v>73</v>
      </c>
      <c r="P1541" t="str">
        <f>_xlfn.XLOOKUP(VALINA[[#This Row],[id]],Table4[id],Table4[name])</f>
        <v>Gangdise</v>
      </c>
      <c r="Q1541" t="str">
        <f>_xlfn.XLOOKUP(VALINA[[#This Row],[name]],Trans!A:A,Trans!B:B)</f>
        <v>Gangdise</v>
      </c>
    </row>
    <row r="1542" spans="1:17" x14ac:dyDescent="0.25">
      <c r="A1542">
        <v>1541</v>
      </c>
      <c r="B1542" t="s">
        <v>653</v>
      </c>
      <c r="C1542" t="s">
        <v>868</v>
      </c>
      <c r="D1542" t="s">
        <v>1238</v>
      </c>
      <c r="E1542" t="s">
        <v>14</v>
      </c>
      <c r="F1542" t="s">
        <v>799</v>
      </c>
      <c r="G1542" t="s">
        <v>16</v>
      </c>
      <c r="H1542" t="s">
        <v>1240</v>
      </c>
      <c r="I1542" t="s">
        <v>41</v>
      </c>
      <c r="J1542" t="s">
        <v>1242</v>
      </c>
      <c r="K1542">
        <v>5</v>
      </c>
      <c r="L1542">
        <v>1</v>
      </c>
      <c r="M1542">
        <v>1</v>
      </c>
      <c r="N1542">
        <v>0</v>
      </c>
      <c r="O1542">
        <f>_xlfn.XLOOKUP(VALINA[[#This Row],[id]],prov_color!A:A,prov_color!C:C)</f>
        <v>89</v>
      </c>
      <c r="P1542" t="str">
        <f>_xlfn.XLOOKUP(VALINA[[#This Row],[id]],Table4[id],Table4[name])</f>
        <v>Kunlun</v>
      </c>
      <c r="Q1542" t="str">
        <f>_xlfn.XLOOKUP(VALINA[[#This Row],[name]],Trans!A:A,Trans!B:B)</f>
        <v>Kunlun</v>
      </c>
    </row>
    <row r="1543" spans="1:17" x14ac:dyDescent="0.25">
      <c r="A1543">
        <v>1542</v>
      </c>
      <c r="B1543" t="s">
        <v>653</v>
      </c>
      <c r="C1543" t="s">
        <v>868</v>
      </c>
      <c r="D1543" t="s">
        <v>1238</v>
      </c>
      <c r="E1543" t="s">
        <v>14</v>
      </c>
      <c r="F1543" t="s">
        <v>799</v>
      </c>
      <c r="G1543" t="s">
        <v>16</v>
      </c>
      <c r="H1543" t="s">
        <v>1240</v>
      </c>
      <c r="I1543" t="s">
        <v>41</v>
      </c>
      <c r="J1543" t="s">
        <v>1243</v>
      </c>
      <c r="K1543">
        <v>5</v>
      </c>
      <c r="L1543">
        <v>1</v>
      </c>
      <c r="M1543">
        <v>1</v>
      </c>
      <c r="N1543">
        <v>0</v>
      </c>
      <c r="O1543">
        <f>_xlfn.XLOOKUP(VALINA[[#This Row],[id]],prov_color!A:A,prov_color!C:C)</f>
        <v>97</v>
      </c>
      <c r="P1543" t="str">
        <f>_xlfn.XLOOKUP(VALINA[[#This Row],[id]],Table4[id],Table4[name])</f>
        <v>Dangla</v>
      </c>
      <c r="Q1543" t="str">
        <f>_xlfn.XLOOKUP(VALINA[[#This Row],[name]],Trans!A:A,Trans!B:B)</f>
        <v>Dangla</v>
      </c>
    </row>
    <row r="1544" spans="1:17" x14ac:dyDescent="0.25">
      <c r="A1544">
        <v>1543</v>
      </c>
      <c r="B1544" t="s">
        <v>653</v>
      </c>
      <c r="C1544" t="s">
        <v>868</v>
      </c>
      <c r="D1544" t="s">
        <v>1238</v>
      </c>
      <c r="E1544" t="s">
        <v>14</v>
      </c>
      <c r="F1544" t="s">
        <v>799</v>
      </c>
      <c r="G1544" t="s">
        <v>16</v>
      </c>
      <c r="H1544" t="s">
        <v>1240</v>
      </c>
      <c r="I1544" t="s">
        <v>41</v>
      </c>
      <c r="J1544" t="s">
        <v>1244</v>
      </c>
      <c r="K1544">
        <v>5</v>
      </c>
      <c r="L1544">
        <v>2</v>
      </c>
      <c r="M1544">
        <v>2</v>
      </c>
      <c r="N1544">
        <v>0</v>
      </c>
      <c r="O1544">
        <f>_xlfn.XLOOKUP(VALINA[[#This Row],[id]],prov_color!A:A,prov_color!C:C)</f>
        <v>105</v>
      </c>
      <c r="P1544" t="str">
        <f>_xlfn.XLOOKUP(VALINA[[#This Row],[id]],Table4[id],Table4[name])</f>
        <v>Lhasa</v>
      </c>
      <c r="Q1544" t="str">
        <f>_xlfn.XLOOKUP(VALINA[[#This Row],[name]],Trans!A:A,Trans!B:B)</f>
        <v>Lhasa</v>
      </c>
    </row>
    <row r="1545" spans="1:17" x14ac:dyDescent="0.25">
      <c r="A1545">
        <v>1544</v>
      </c>
      <c r="B1545" t="s">
        <v>653</v>
      </c>
      <c r="C1545" t="s">
        <v>868</v>
      </c>
      <c r="D1545" t="s">
        <v>1245</v>
      </c>
      <c r="E1545" t="s">
        <v>14</v>
      </c>
      <c r="F1545" t="s">
        <v>799</v>
      </c>
      <c r="G1545" t="s">
        <v>75</v>
      </c>
      <c r="H1545" t="s">
        <v>886</v>
      </c>
      <c r="I1545" t="s">
        <v>41</v>
      </c>
      <c r="J1545" t="s">
        <v>1246</v>
      </c>
      <c r="K1545">
        <v>5</v>
      </c>
      <c r="L1545">
        <v>1</v>
      </c>
      <c r="M1545">
        <v>1</v>
      </c>
      <c r="N1545">
        <v>0</v>
      </c>
      <c r="O1545">
        <f>_xlfn.XLOOKUP(VALINA[[#This Row],[id]],prov_color!A:A,prov_color!C:C)</f>
        <v>65</v>
      </c>
      <c r="P1545" t="str">
        <f>_xlfn.XLOOKUP(VALINA[[#This Row],[id]],Table4[id],Table4[name])</f>
        <v>Xinjiang</v>
      </c>
      <c r="Q1545" t="str">
        <f>_xlfn.XLOOKUP(VALINA[[#This Row],[name]],Trans!A:A,Trans!B:B)</f>
        <v>Xinjiang</v>
      </c>
    </row>
    <row r="1546" spans="1:17" x14ac:dyDescent="0.25">
      <c r="A1546">
        <v>1545</v>
      </c>
      <c r="B1546" t="s">
        <v>653</v>
      </c>
      <c r="C1546" t="s">
        <v>868</v>
      </c>
      <c r="D1546" t="s">
        <v>1245</v>
      </c>
      <c r="E1546" t="s">
        <v>14</v>
      </c>
      <c r="F1546" t="s">
        <v>799</v>
      </c>
      <c r="G1546" t="s">
        <v>75</v>
      </c>
      <c r="H1546" t="s">
        <v>922</v>
      </c>
      <c r="I1546" t="s">
        <v>141</v>
      </c>
      <c r="J1546" t="s">
        <v>1247</v>
      </c>
      <c r="K1546">
        <v>5</v>
      </c>
      <c r="L1546">
        <v>2</v>
      </c>
      <c r="M1546">
        <v>2</v>
      </c>
      <c r="N1546">
        <v>0</v>
      </c>
      <c r="O1546">
        <f>_xlfn.XLOOKUP(VALINA[[#This Row],[id]],prov_color!A:A,prov_color!C:C)</f>
        <v>47</v>
      </c>
      <c r="P1546" t="str">
        <f>_xlfn.XLOOKUP(VALINA[[#This Row],[id]],Table4[id],Table4[name])</f>
        <v>Kachin</v>
      </c>
      <c r="Q1546" t="str">
        <f>_xlfn.XLOOKUP(VALINA[[#This Row],[name]],Trans!A:A,Trans!B:B)</f>
        <v>Kachin</v>
      </c>
    </row>
    <row r="1547" spans="1:17" x14ac:dyDescent="0.25">
      <c r="A1547">
        <v>1546</v>
      </c>
      <c r="B1547" t="s">
        <v>653</v>
      </c>
      <c r="C1547" t="s">
        <v>904</v>
      </c>
      <c r="D1547" t="s">
        <v>921</v>
      </c>
      <c r="E1547" t="s">
        <v>14</v>
      </c>
      <c r="F1547" t="s">
        <v>748</v>
      </c>
      <c r="G1547" t="s">
        <v>75</v>
      </c>
      <c r="H1547" t="s">
        <v>922</v>
      </c>
      <c r="I1547" t="s">
        <v>352</v>
      </c>
      <c r="J1547" t="s">
        <v>921</v>
      </c>
      <c r="K1547">
        <v>5</v>
      </c>
      <c r="L1547">
        <v>2</v>
      </c>
      <c r="M1547">
        <v>5</v>
      </c>
      <c r="N1547">
        <v>0</v>
      </c>
      <c r="O1547">
        <f>_xlfn.XLOOKUP(VALINA[[#This Row],[id]],prov_color!A:A,prov_color!C:C)</f>
        <v>46</v>
      </c>
      <c r="P1547" t="str">
        <f>_xlfn.XLOOKUP(VALINA[[#This Row],[id]],Table4[id],Table4[name])</f>
        <v>Assam</v>
      </c>
      <c r="Q1547" t="str">
        <f>_xlfn.XLOOKUP(VALINA[[#This Row],[name]],Trans!A:A,Trans!B:B)</f>
        <v>Assam</v>
      </c>
    </row>
    <row r="1548" spans="1:17" x14ac:dyDescent="0.25">
      <c r="A1548">
        <v>1547</v>
      </c>
      <c r="B1548" t="s">
        <v>653</v>
      </c>
      <c r="C1548" t="s">
        <v>904</v>
      </c>
      <c r="D1548" t="s">
        <v>924</v>
      </c>
      <c r="E1548" t="s">
        <v>14</v>
      </c>
      <c r="F1548" t="s">
        <v>799</v>
      </c>
      <c r="G1548" t="s">
        <v>75</v>
      </c>
      <c r="H1548" t="s">
        <v>922</v>
      </c>
      <c r="I1548" t="s">
        <v>43</v>
      </c>
      <c r="J1548" t="s">
        <v>1248</v>
      </c>
      <c r="K1548">
        <v>5</v>
      </c>
      <c r="L1548">
        <v>2</v>
      </c>
      <c r="M1548">
        <v>6</v>
      </c>
      <c r="N1548">
        <v>0</v>
      </c>
      <c r="O1548">
        <f>_xlfn.XLOOKUP(VALINA[[#This Row],[id]],prov_color!A:A,prov_color!C:C)</f>
        <v>44</v>
      </c>
      <c r="P1548" t="str">
        <f>_xlfn.XLOOKUP(VALINA[[#This Row],[id]],Table4[id],Table4[name])</f>
        <v>Mandalay</v>
      </c>
      <c r="Q1548" t="str">
        <f>_xlfn.XLOOKUP(VALINA[[#This Row],[name]],Trans!A:A,Trans!B:B)</f>
        <v>Mandalay</v>
      </c>
    </row>
    <row r="1549" spans="1:17" x14ac:dyDescent="0.25">
      <c r="A1549">
        <v>1548</v>
      </c>
      <c r="B1549" t="s">
        <v>653</v>
      </c>
      <c r="C1549" t="s">
        <v>904</v>
      </c>
      <c r="D1549" t="s">
        <v>924</v>
      </c>
      <c r="E1549" t="s">
        <v>14</v>
      </c>
      <c r="F1549" t="s">
        <v>799</v>
      </c>
      <c r="G1549" t="s">
        <v>75</v>
      </c>
      <c r="H1549" t="s">
        <v>922</v>
      </c>
      <c r="I1549" t="s">
        <v>18</v>
      </c>
      <c r="J1549" t="s">
        <v>1249</v>
      </c>
      <c r="K1549">
        <v>5</v>
      </c>
      <c r="L1549">
        <v>5</v>
      </c>
      <c r="M1549">
        <v>3</v>
      </c>
      <c r="N1549">
        <v>0</v>
      </c>
      <c r="O1549">
        <f>_xlfn.XLOOKUP(VALINA[[#This Row],[id]],prov_color!A:A,prov_color!C:C)</f>
        <v>40</v>
      </c>
      <c r="P1549" t="str">
        <f>_xlfn.XLOOKUP(VALINA[[#This Row],[id]],Table4[id],Table4[name])</f>
        <v>Shan</v>
      </c>
      <c r="Q1549" t="str">
        <f>_xlfn.XLOOKUP(VALINA[[#This Row],[name]],Trans!A:A,Trans!B:B)</f>
        <v>Shan</v>
      </c>
    </row>
    <row r="1550" spans="1:17" x14ac:dyDescent="0.25">
      <c r="A1550">
        <v>1549</v>
      </c>
      <c r="B1550" t="s">
        <v>653</v>
      </c>
      <c r="C1550" t="s">
        <v>904</v>
      </c>
      <c r="D1550" t="s">
        <v>924</v>
      </c>
      <c r="E1550" t="s">
        <v>14</v>
      </c>
      <c r="F1550" t="s">
        <v>799</v>
      </c>
      <c r="G1550" t="s">
        <v>75</v>
      </c>
      <c r="H1550" t="s">
        <v>922</v>
      </c>
      <c r="I1550" t="s">
        <v>43</v>
      </c>
      <c r="J1550" t="s">
        <v>1250</v>
      </c>
      <c r="K1550">
        <v>5</v>
      </c>
      <c r="L1550">
        <v>6</v>
      </c>
      <c r="M1550">
        <v>3</v>
      </c>
      <c r="N1550">
        <v>0</v>
      </c>
      <c r="O1550">
        <f>_xlfn.XLOOKUP(VALINA[[#This Row],[id]],prov_color!A:A,prov_color!C:C)</f>
        <v>38</v>
      </c>
      <c r="P1550" t="str">
        <f>_xlfn.XLOOKUP(VALINA[[#This Row],[id]],Table4[id],Table4[name])</f>
        <v>Bago</v>
      </c>
      <c r="Q1550" t="str">
        <f>_xlfn.XLOOKUP(VALINA[[#This Row],[name]],Trans!A:A,Trans!B:B)</f>
        <v>Bago</v>
      </c>
    </row>
    <row r="1551" spans="1:17" x14ac:dyDescent="0.25">
      <c r="A1551">
        <v>1550</v>
      </c>
      <c r="B1551" t="s">
        <v>653</v>
      </c>
      <c r="C1551" t="s">
        <v>904</v>
      </c>
      <c r="D1551" t="s">
        <v>914</v>
      </c>
      <c r="E1551" t="s">
        <v>14</v>
      </c>
      <c r="F1551" t="s">
        <v>799</v>
      </c>
      <c r="G1551" t="s">
        <v>75</v>
      </c>
      <c r="H1551" t="s">
        <v>918</v>
      </c>
      <c r="I1551" t="s">
        <v>43</v>
      </c>
      <c r="J1551" t="s">
        <v>1251</v>
      </c>
      <c r="K1551">
        <v>5</v>
      </c>
      <c r="L1551">
        <v>5</v>
      </c>
      <c r="M1551">
        <v>2</v>
      </c>
      <c r="N1551">
        <v>0</v>
      </c>
      <c r="O1551">
        <f>_xlfn.XLOOKUP(VALINA[[#This Row],[id]],prov_color!A:A,prov_color!C:C)</f>
        <v>29</v>
      </c>
      <c r="P1551" t="str">
        <f>_xlfn.XLOOKUP(VALINA[[#This Row],[id]],Table4[id],Table4[name])</f>
        <v>Lampang</v>
      </c>
      <c r="Q1551" t="str">
        <f>_xlfn.XLOOKUP(VALINA[[#This Row],[name]],Trans!A:A,Trans!B:B)</f>
        <v>Lampang</v>
      </c>
    </row>
    <row r="1552" spans="1:17" x14ac:dyDescent="0.25">
      <c r="A1552">
        <v>1551</v>
      </c>
      <c r="B1552" t="s">
        <v>653</v>
      </c>
      <c r="C1552" t="s">
        <v>904</v>
      </c>
      <c r="D1552" t="s">
        <v>914</v>
      </c>
      <c r="E1552" t="s">
        <v>22</v>
      </c>
      <c r="F1552" t="s">
        <v>799</v>
      </c>
      <c r="G1552" t="s">
        <v>75</v>
      </c>
      <c r="H1552" t="s">
        <v>918</v>
      </c>
      <c r="I1552" t="s">
        <v>43</v>
      </c>
      <c r="J1552" t="s">
        <v>1252</v>
      </c>
      <c r="K1552">
        <v>5</v>
      </c>
      <c r="L1552">
        <v>5</v>
      </c>
      <c r="M1552">
        <v>2</v>
      </c>
      <c r="N1552">
        <v>0</v>
      </c>
      <c r="O1552">
        <f>_xlfn.XLOOKUP(VALINA[[#This Row],[id]],prov_color!A:A,prov_color!C:C)</f>
        <v>40</v>
      </c>
      <c r="P1552" t="str">
        <f>_xlfn.XLOOKUP(VALINA[[#This Row],[id]],Table4[id],Table4[name])</f>
        <v>Sarakham</v>
      </c>
      <c r="Q1552" t="str">
        <f>_xlfn.XLOOKUP(VALINA[[#This Row],[name]],Trans!A:A,Trans!B:B)</f>
        <v>Sarakham</v>
      </c>
    </row>
    <row r="1553" spans="1:17" x14ac:dyDescent="0.25">
      <c r="A1553">
        <v>1552</v>
      </c>
      <c r="B1553" t="s">
        <v>653</v>
      </c>
      <c r="C1553" t="s">
        <v>904</v>
      </c>
      <c r="D1553" t="s">
        <v>905</v>
      </c>
      <c r="E1553" t="s">
        <v>14</v>
      </c>
      <c r="F1553" t="s">
        <v>799</v>
      </c>
      <c r="G1553" t="s">
        <v>75</v>
      </c>
      <c r="H1553" t="s">
        <v>918</v>
      </c>
      <c r="I1553" t="s">
        <v>43</v>
      </c>
      <c r="J1553" t="s">
        <v>1253</v>
      </c>
      <c r="K1553">
        <v>5</v>
      </c>
      <c r="L1553">
        <v>5</v>
      </c>
      <c r="M1553">
        <v>3</v>
      </c>
      <c r="N1553">
        <v>0</v>
      </c>
      <c r="O1553">
        <f>_xlfn.XLOOKUP(VALINA[[#This Row],[id]],prov_color!A:A,prov_color!C:C)</f>
        <v>46</v>
      </c>
      <c r="P1553" t="str">
        <f>_xlfn.XLOOKUP(VALINA[[#This Row],[id]],Table4[id],Table4[name])</f>
        <v>Mekong</v>
      </c>
      <c r="Q1553" t="str">
        <f>_xlfn.XLOOKUP(VALINA[[#This Row],[name]],Trans!A:A,Trans!B:B)</f>
        <v>Mekong</v>
      </c>
    </row>
    <row r="1554" spans="1:17" x14ac:dyDescent="0.25">
      <c r="A1554">
        <v>1553</v>
      </c>
      <c r="B1554" t="s">
        <v>653</v>
      </c>
      <c r="C1554" t="s">
        <v>868</v>
      </c>
      <c r="D1554" t="s">
        <v>1254</v>
      </c>
      <c r="E1554" t="s">
        <v>14</v>
      </c>
      <c r="F1554" t="s">
        <v>799</v>
      </c>
      <c r="G1554" t="s">
        <v>75</v>
      </c>
      <c r="H1554" t="s">
        <v>922</v>
      </c>
      <c r="I1554" t="s">
        <v>41</v>
      </c>
      <c r="J1554" t="s">
        <v>1254</v>
      </c>
      <c r="K1554">
        <v>5</v>
      </c>
      <c r="L1554">
        <v>9</v>
      </c>
      <c r="M1554">
        <v>3</v>
      </c>
      <c r="N1554">
        <v>0</v>
      </c>
      <c r="O1554">
        <f>_xlfn.XLOOKUP(VALINA[[#This Row],[id]],prov_color!A:A,prov_color!C:C)</f>
        <v>43</v>
      </c>
      <c r="P1554" t="str">
        <f>_xlfn.XLOOKUP(VALINA[[#This Row],[id]],Table4[id],Table4[name])</f>
        <v>Yunnan</v>
      </c>
      <c r="Q1554" t="str">
        <f>_xlfn.XLOOKUP(VALINA[[#This Row],[name]],Trans!A:A,Trans!B:B)</f>
        <v>Yunnan</v>
      </c>
    </row>
    <row r="1555" spans="1:17" x14ac:dyDescent="0.25">
      <c r="A1555">
        <v>1554</v>
      </c>
      <c r="B1555" t="s">
        <v>653</v>
      </c>
      <c r="C1555" t="s">
        <v>904</v>
      </c>
      <c r="D1555" t="s">
        <v>905</v>
      </c>
      <c r="E1555" t="s">
        <v>14</v>
      </c>
      <c r="F1555" t="s">
        <v>799</v>
      </c>
      <c r="G1555" t="s">
        <v>75</v>
      </c>
      <c r="H1555" t="s">
        <v>906</v>
      </c>
      <c r="I1555" t="s">
        <v>776</v>
      </c>
      <c r="J1555" t="s">
        <v>1255</v>
      </c>
      <c r="K1555">
        <v>5</v>
      </c>
      <c r="L1555">
        <v>6</v>
      </c>
      <c r="M1555">
        <v>4</v>
      </c>
      <c r="N1555">
        <v>0</v>
      </c>
      <c r="O1555">
        <f>_xlfn.XLOOKUP(VALINA[[#This Row],[id]],prov_color!A:A,prov_color!C:C)</f>
        <v>46</v>
      </c>
      <c r="P1555" t="str">
        <f>_xlfn.XLOOKUP(VALINA[[#This Row],[id]],Table4[id],Table4[name])</f>
        <v>Lao Cai</v>
      </c>
      <c r="Q1555" t="str">
        <f>_xlfn.XLOOKUP(VALINA[[#This Row],[name]],Trans!A:A,Trans!B:B)</f>
        <v>Lao Cai</v>
      </c>
    </row>
    <row r="1556" spans="1:17" x14ac:dyDescent="0.25">
      <c r="A1556">
        <v>1555</v>
      </c>
      <c r="B1556" t="s">
        <v>653</v>
      </c>
      <c r="C1556" t="s">
        <v>868</v>
      </c>
      <c r="D1556" t="s">
        <v>896</v>
      </c>
      <c r="E1556" t="s">
        <v>14</v>
      </c>
      <c r="F1556" t="s">
        <v>858</v>
      </c>
      <c r="G1556" t="s">
        <v>75</v>
      </c>
      <c r="H1556" t="s">
        <v>898</v>
      </c>
      <c r="I1556" t="s">
        <v>776</v>
      </c>
      <c r="J1556" t="s">
        <v>1256</v>
      </c>
      <c r="K1556">
        <v>5</v>
      </c>
      <c r="L1556">
        <v>8</v>
      </c>
      <c r="M1556">
        <v>3</v>
      </c>
      <c r="N1556">
        <v>0</v>
      </c>
      <c r="O1556">
        <f>_xlfn.XLOOKUP(VALINA[[#This Row],[id]],prov_color!A:A,prov_color!C:C)</f>
        <v>41</v>
      </c>
      <c r="P1556" t="str">
        <f>_xlfn.XLOOKUP(VALINA[[#This Row],[id]],Table4[id],Table4[name])</f>
        <v>Wenshan</v>
      </c>
      <c r="Q1556" t="str">
        <f>_xlfn.XLOOKUP(VALINA[[#This Row],[name]],Trans!A:A,Trans!B:B)</f>
        <v>Wenshan</v>
      </c>
    </row>
    <row r="1557" spans="1:17" x14ac:dyDescent="0.25">
      <c r="A1557">
        <v>1556</v>
      </c>
      <c r="B1557" t="s">
        <v>653</v>
      </c>
      <c r="C1557" t="s">
        <v>868</v>
      </c>
      <c r="D1557" t="s">
        <v>1254</v>
      </c>
      <c r="E1557" t="s">
        <v>14</v>
      </c>
      <c r="F1557" t="s">
        <v>858</v>
      </c>
      <c r="G1557" t="s">
        <v>35</v>
      </c>
      <c r="H1557" t="s">
        <v>898</v>
      </c>
      <c r="I1557" t="s">
        <v>43</v>
      </c>
      <c r="J1557" t="s">
        <v>1257</v>
      </c>
      <c r="K1557">
        <v>5</v>
      </c>
      <c r="L1557">
        <v>12</v>
      </c>
      <c r="M1557">
        <v>4</v>
      </c>
      <c r="N1557">
        <v>0</v>
      </c>
      <c r="O1557">
        <f>_xlfn.XLOOKUP(VALINA[[#This Row],[id]],prov_color!A:A,prov_color!C:C)</f>
        <v>82</v>
      </c>
      <c r="P1557" t="str">
        <f>_xlfn.XLOOKUP(VALINA[[#This Row],[id]],Table4[id],Table4[name])</f>
        <v>Guizhou</v>
      </c>
      <c r="Q1557" t="str">
        <f>_xlfn.XLOOKUP(VALINA[[#This Row],[name]],Trans!A:A,Trans!B:B)</f>
        <v>Guizhou</v>
      </c>
    </row>
    <row r="1558" spans="1:17" x14ac:dyDescent="0.25">
      <c r="A1558">
        <v>1557</v>
      </c>
      <c r="B1558" t="s">
        <v>653</v>
      </c>
      <c r="C1558" t="s">
        <v>868</v>
      </c>
      <c r="D1558" t="s">
        <v>1245</v>
      </c>
      <c r="E1558" t="s">
        <v>34</v>
      </c>
      <c r="F1558" t="s">
        <v>858</v>
      </c>
      <c r="G1558" t="s">
        <v>75</v>
      </c>
      <c r="H1558" t="s">
        <v>922</v>
      </c>
      <c r="I1558" t="s">
        <v>776</v>
      </c>
      <c r="J1558" t="s">
        <v>1258</v>
      </c>
      <c r="K1558">
        <v>5</v>
      </c>
      <c r="L1558">
        <v>10</v>
      </c>
      <c r="M1558">
        <v>3</v>
      </c>
      <c r="N1558">
        <v>0</v>
      </c>
      <c r="O1558">
        <f>_xlfn.XLOOKUP(VALINA[[#This Row],[id]],prov_color!A:A,prov_color!C:C)</f>
        <v>100</v>
      </c>
      <c r="P1558" t="str">
        <f>_xlfn.XLOOKUP(VALINA[[#This Row],[id]],Table4[id],Table4[name])</f>
        <v>Sichuan Pendi</v>
      </c>
      <c r="Q1558" t="str">
        <f>_xlfn.XLOOKUP(VALINA[[#This Row],[name]],Trans!A:A,Trans!B:B)</f>
        <v>Sichuan Pendi</v>
      </c>
    </row>
    <row r="1559" spans="1:17" x14ac:dyDescent="0.25">
      <c r="A1559">
        <v>1558</v>
      </c>
      <c r="B1559" t="s">
        <v>653</v>
      </c>
      <c r="C1559" t="s">
        <v>868</v>
      </c>
      <c r="D1559" t="s">
        <v>1259</v>
      </c>
      <c r="E1559" t="s">
        <v>14</v>
      </c>
      <c r="F1559" t="s">
        <v>858</v>
      </c>
      <c r="G1559" t="s">
        <v>35</v>
      </c>
      <c r="H1559" t="s">
        <v>886</v>
      </c>
      <c r="I1559" t="s">
        <v>18</v>
      </c>
      <c r="J1559" t="s">
        <v>1260</v>
      </c>
      <c r="K1559">
        <v>5</v>
      </c>
      <c r="L1559">
        <v>4</v>
      </c>
      <c r="M1559">
        <v>3</v>
      </c>
      <c r="N1559">
        <v>0</v>
      </c>
      <c r="O1559">
        <f>_xlfn.XLOOKUP(VALINA[[#This Row],[id]],prov_color!A:A,prov_color!C:C)</f>
        <v>78</v>
      </c>
      <c r="P1559" t="str">
        <f>_xlfn.XLOOKUP(VALINA[[#This Row],[id]],Table4[id],Table4[name])</f>
        <v>Lanzhou</v>
      </c>
      <c r="Q1559" t="str">
        <f>_xlfn.XLOOKUP(VALINA[[#This Row],[name]],Trans!A:A,Trans!B:B)</f>
        <v>Lanzhou</v>
      </c>
    </row>
    <row r="1560" spans="1:17" x14ac:dyDescent="0.25">
      <c r="A1560">
        <v>1559</v>
      </c>
      <c r="B1560" t="s">
        <v>653</v>
      </c>
      <c r="C1560" t="s">
        <v>868</v>
      </c>
      <c r="D1560" t="s">
        <v>1259</v>
      </c>
      <c r="E1560" t="s">
        <v>14</v>
      </c>
      <c r="F1560" t="s">
        <v>858</v>
      </c>
      <c r="G1560" t="s">
        <v>35</v>
      </c>
      <c r="H1560" t="s">
        <v>886</v>
      </c>
      <c r="I1560" t="s">
        <v>53</v>
      </c>
      <c r="J1560" t="s">
        <v>1261</v>
      </c>
      <c r="K1560">
        <v>5</v>
      </c>
      <c r="L1560">
        <v>4</v>
      </c>
      <c r="M1560">
        <v>4</v>
      </c>
      <c r="N1560">
        <v>0</v>
      </c>
      <c r="O1560">
        <f>_xlfn.XLOOKUP(VALINA[[#This Row],[id]],prov_color!A:A,prov_color!C:C)</f>
        <v>63</v>
      </c>
      <c r="P1560" t="str">
        <f>_xlfn.XLOOKUP(VALINA[[#This Row],[id]],Table4[id],Table4[name])</f>
        <v>Xining</v>
      </c>
      <c r="Q1560" t="str">
        <f>_xlfn.XLOOKUP(VALINA[[#This Row],[name]],Trans!A:A,Trans!B:B)</f>
        <v>Xining</v>
      </c>
    </row>
    <row r="1561" spans="1:17" x14ac:dyDescent="0.25">
      <c r="A1561">
        <v>1560</v>
      </c>
      <c r="B1561" t="s">
        <v>653</v>
      </c>
      <c r="C1561" t="s">
        <v>868</v>
      </c>
      <c r="D1561" t="s">
        <v>1259</v>
      </c>
      <c r="E1561" t="s">
        <v>14</v>
      </c>
      <c r="F1561" t="s">
        <v>858</v>
      </c>
      <c r="G1561" t="s">
        <v>35</v>
      </c>
      <c r="H1561" t="s">
        <v>886</v>
      </c>
      <c r="I1561" t="s">
        <v>212</v>
      </c>
      <c r="J1561" t="s">
        <v>1262</v>
      </c>
      <c r="K1561">
        <v>5</v>
      </c>
      <c r="L1561">
        <v>4</v>
      </c>
      <c r="M1561">
        <v>4</v>
      </c>
      <c r="N1561">
        <v>0</v>
      </c>
      <c r="O1561">
        <f>_xlfn.XLOOKUP(VALINA[[#This Row],[id]],prov_color!A:A,prov_color!C:C)</f>
        <v>109</v>
      </c>
      <c r="P1561" t="str">
        <f>_xlfn.XLOOKUP(VALINA[[#This Row],[id]],Table4[id],Table4[name])</f>
        <v>Ningxia</v>
      </c>
      <c r="Q1561" t="str">
        <f>_xlfn.XLOOKUP(VALINA[[#This Row],[name]],Trans!A:A,Trans!B:B)</f>
        <v>Ningxia</v>
      </c>
    </row>
    <row r="1562" spans="1:17" x14ac:dyDescent="0.25">
      <c r="A1562">
        <v>1561</v>
      </c>
      <c r="B1562" t="s">
        <v>653</v>
      </c>
      <c r="C1562" t="s">
        <v>868</v>
      </c>
      <c r="D1562" t="s">
        <v>885</v>
      </c>
      <c r="E1562" t="s">
        <v>14</v>
      </c>
      <c r="F1562" t="s">
        <v>858</v>
      </c>
      <c r="G1562" t="s">
        <v>35</v>
      </c>
      <c r="H1562" t="s">
        <v>886</v>
      </c>
      <c r="I1562" t="s">
        <v>41</v>
      </c>
      <c r="J1562" t="s">
        <v>1263</v>
      </c>
      <c r="K1562">
        <v>5</v>
      </c>
      <c r="L1562">
        <v>2</v>
      </c>
      <c r="M1562">
        <v>3</v>
      </c>
      <c r="N1562">
        <v>0</v>
      </c>
      <c r="O1562">
        <f>_xlfn.XLOOKUP(VALINA[[#This Row],[id]],prov_color!A:A,prov_color!C:C)</f>
        <v>46</v>
      </c>
      <c r="P1562" t="str">
        <f>_xlfn.XLOOKUP(VALINA[[#This Row],[id]],Table4[id],Table4[name])</f>
        <v>Hohhot</v>
      </c>
      <c r="Q1562" t="str">
        <f>_xlfn.XLOOKUP(VALINA[[#This Row],[name]],Trans!A:A,Trans!B:B)</f>
        <v>Hohhot</v>
      </c>
    </row>
    <row r="1563" spans="1:17" x14ac:dyDescent="0.25">
      <c r="A1563">
        <v>1562</v>
      </c>
      <c r="B1563" t="s">
        <v>653</v>
      </c>
      <c r="C1563" t="s">
        <v>868</v>
      </c>
      <c r="D1563" t="s">
        <v>885</v>
      </c>
      <c r="E1563" t="s">
        <v>34</v>
      </c>
      <c r="F1563" t="s">
        <v>858</v>
      </c>
      <c r="G1563" t="s">
        <v>35</v>
      </c>
      <c r="H1563" t="s">
        <v>886</v>
      </c>
      <c r="I1563" t="s">
        <v>43</v>
      </c>
      <c r="J1563" t="s">
        <v>1264</v>
      </c>
      <c r="K1563">
        <v>5</v>
      </c>
      <c r="L1563">
        <v>10</v>
      </c>
      <c r="M1563">
        <v>7</v>
      </c>
      <c r="N1563">
        <v>0</v>
      </c>
      <c r="O1563">
        <f>_xlfn.XLOOKUP(VALINA[[#This Row],[id]],prov_color!A:A,prov_color!C:C)</f>
        <v>80</v>
      </c>
      <c r="P1563" t="str">
        <f>_xlfn.XLOOKUP(VALINA[[#This Row],[id]],Table4[id],Table4[name])</f>
        <v>Shanxi</v>
      </c>
      <c r="Q1563" t="str">
        <f>_xlfn.XLOOKUP(VALINA[[#This Row],[name]],Trans!A:A,Trans!B:B)</f>
        <v>Shanxi</v>
      </c>
    </row>
    <row r="1564" spans="1:17" x14ac:dyDescent="0.25">
      <c r="A1564">
        <v>1563</v>
      </c>
      <c r="B1564" t="s">
        <v>653</v>
      </c>
      <c r="C1564" t="s">
        <v>868</v>
      </c>
      <c r="D1564" t="s">
        <v>1259</v>
      </c>
      <c r="E1564" t="s">
        <v>34</v>
      </c>
      <c r="F1564" t="s">
        <v>858</v>
      </c>
      <c r="G1564" t="s">
        <v>35</v>
      </c>
      <c r="H1564" t="s">
        <v>886</v>
      </c>
      <c r="I1564" t="s">
        <v>1612</v>
      </c>
      <c r="J1564" t="s">
        <v>1265</v>
      </c>
      <c r="K1564">
        <v>5</v>
      </c>
      <c r="L1564">
        <v>11</v>
      </c>
      <c r="M1564">
        <v>10</v>
      </c>
      <c r="N1564">
        <v>0</v>
      </c>
      <c r="O1564">
        <f>_xlfn.XLOOKUP(VALINA[[#This Row],[id]],prov_color!A:A,prov_color!C:C)</f>
        <v>94</v>
      </c>
      <c r="P1564" t="str">
        <f>_xlfn.XLOOKUP(VALINA[[#This Row],[id]],Table4[id],Table4[name])</f>
        <v>Shaanxi</v>
      </c>
      <c r="Q1564" t="str">
        <f>_xlfn.XLOOKUP(VALINA[[#This Row],[name]],Trans!A:A,Trans!B:B)</f>
        <v>Shaanxi</v>
      </c>
    </row>
    <row r="1565" spans="1:17" x14ac:dyDescent="0.25">
      <c r="A1565">
        <v>1564</v>
      </c>
      <c r="B1565" t="s">
        <v>653</v>
      </c>
      <c r="C1565" t="s">
        <v>868</v>
      </c>
      <c r="D1565" t="s">
        <v>885</v>
      </c>
      <c r="E1565" t="s">
        <v>14</v>
      </c>
      <c r="F1565" t="s">
        <v>858</v>
      </c>
      <c r="G1565" t="s">
        <v>35</v>
      </c>
      <c r="H1565" t="s">
        <v>886</v>
      </c>
      <c r="I1565" t="s">
        <v>352</v>
      </c>
      <c r="J1565" t="s">
        <v>1266</v>
      </c>
      <c r="K1565">
        <v>5</v>
      </c>
      <c r="L1565">
        <v>9</v>
      </c>
      <c r="M1565">
        <v>10</v>
      </c>
      <c r="N1565">
        <v>0</v>
      </c>
      <c r="O1565">
        <f>_xlfn.XLOOKUP(VALINA[[#This Row],[id]],prov_color!A:A,prov_color!C:C)</f>
        <v>52</v>
      </c>
      <c r="P1565" t="str">
        <f>_xlfn.XLOOKUP(VALINA[[#This Row],[id]],Table4[id],Table4[name])</f>
        <v>Henan</v>
      </c>
      <c r="Q1565" t="str">
        <f>_xlfn.XLOOKUP(VALINA[[#This Row],[name]],Trans!A:A,Trans!B:B)</f>
        <v>Henan</v>
      </c>
    </row>
    <row r="1566" spans="1:17" x14ac:dyDescent="0.25">
      <c r="A1566">
        <v>1565</v>
      </c>
      <c r="B1566" t="s">
        <v>653</v>
      </c>
      <c r="C1566" t="s">
        <v>868</v>
      </c>
      <c r="D1566" t="s">
        <v>892</v>
      </c>
      <c r="E1566" t="s">
        <v>34</v>
      </c>
      <c r="F1566" t="s">
        <v>858</v>
      </c>
      <c r="G1566" t="s">
        <v>35</v>
      </c>
      <c r="H1566" t="s">
        <v>886</v>
      </c>
      <c r="I1566" t="s">
        <v>352</v>
      </c>
      <c r="J1566" t="s">
        <v>1267</v>
      </c>
      <c r="K1566">
        <v>5</v>
      </c>
      <c r="L1566">
        <v>15</v>
      </c>
      <c r="M1566">
        <v>6</v>
      </c>
      <c r="N1566">
        <v>0</v>
      </c>
      <c r="O1566">
        <f>_xlfn.XLOOKUP(VALINA[[#This Row],[id]],prov_color!A:A,prov_color!C:C)</f>
        <v>70</v>
      </c>
      <c r="P1566" t="str">
        <f>_xlfn.XLOOKUP(VALINA[[#This Row],[id]],Table4[id],Table4[name])</f>
        <v>Hubei</v>
      </c>
      <c r="Q1566" t="str">
        <f>_xlfn.XLOOKUP(VALINA[[#This Row],[name]],Trans!A:A,Trans!B:B)</f>
        <v>Hubei</v>
      </c>
    </row>
    <row r="1567" spans="1:17" x14ac:dyDescent="0.25">
      <c r="A1567">
        <v>1566</v>
      </c>
      <c r="B1567" t="s">
        <v>653</v>
      </c>
      <c r="C1567" t="s">
        <v>868</v>
      </c>
      <c r="D1567" t="s">
        <v>896</v>
      </c>
      <c r="E1567" t="s">
        <v>34</v>
      </c>
      <c r="F1567" t="s">
        <v>858</v>
      </c>
      <c r="G1567" t="s">
        <v>35</v>
      </c>
      <c r="H1567" t="s">
        <v>898</v>
      </c>
      <c r="I1567" t="s">
        <v>141</v>
      </c>
      <c r="J1567" t="s">
        <v>1268</v>
      </c>
      <c r="K1567">
        <v>5</v>
      </c>
      <c r="L1567">
        <v>13</v>
      </c>
      <c r="M1567">
        <v>4</v>
      </c>
      <c r="N1567">
        <v>0</v>
      </c>
      <c r="O1567">
        <f>_xlfn.XLOOKUP(VALINA[[#This Row],[id]],prov_color!A:A,prov_color!C:C)</f>
        <v>91</v>
      </c>
      <c r="P1567" t="str">
        <f>_xlfn.XLOOKUP(VALINA[[#This Row],[id]],Table4[id],Table4[name])</f>
        <v>Hunan</v>
      </c>
      <c r="Q1567" t="str">
        <f>_xlfn.XLOOKUP(VALINA[[#This Row],[name]],Trans!A:A,Trans!B:B)</f>
        <v>Hunan</v>
      </c>
    </row>
    <row r="1568" spans="1:17" x14ac:dyDescent="0.25">
      <c r="A1568">
        <v>1567</v>
      </c>
      <c r="B1568" t="s">
        <v>653</v>
      </c>
      <c r="C1568" t="s">
        <v>868</v>
      </c>
      <c r="D1568" t="s">
        <v>892</v>
      </c>
      <c r="E1568" t="s">
        <v>34</v>
      </c>
      <c r="F1568" t="s">
        <v>858</v>
      </c>
      <c r="G1568" t="s">
        <v>35</v>
      </c>
      <c r="H1568" t="s">
        <v>886</v>
      </c>
      <c r="I1568" t="s">
        <v>776</v>
      </c>
      <c r="J1568" t="s">
        <v>1269</v>
      </c>
      <c r="K1568">
        <v>5</v>
      </c>
      <c r="L1568">
        <v>12</v>
      </c>
      <c r="M1568">
        <v>8</v>
      </c>
      <c r="N1568">
        <v>0</v>
      </c>
      <c r="O1568">
        <f>_xlfn.XLOOKUP(VALINA[[#This Row],[id]],prov_color!A:A,prov_color!C:C)</f>
        <v>61</v>
      </c>
      <c r="P1568" t="str">
        <f>_xlfn.XLOOKUP(VALINA[[#This Row],[id]],Table4[id],Table4[name])</f>
        <v>Nanchang</v>
      </c>
      <c r="Q1568" t="str">
        <f>_xlfn.XLOOKUP(VALINA[[#This Row],[name]],Trans!A:A,Trans!B:B)</f>
        <v>Nanchang</v>
      </c>
    </row>
    <row r="1569" spans="1:17" x14ac:dyDescent="0.25">
      <c r="A1569">
        <v>1568</v>
      </c>
      <c r="B1569" t="s">
        <v>11</v>
      </c>
      <c r="C1569" t="s">
        <v>12</v>
      </c>
      <c r="D1569" t="s">
        <v>1270</v>
      </c>
      <c r="E1569" t="s">
        <v>34</v>
      </c>
      <c r="F1569" t="s">
        <v>15</v>
      </c>
      <c r="G1569" t="s">
        <v>75</v>
      </c>
      <c r="H1569" t="s">
        <v>224</v>
      </c>
      <c r="I1569" t="s">
        <v>1612</v>
      </c>
      <c r="J1569" t="s">
        <v>1270</v>
      </c>
      <c r="K1569">
        <v>4</v>
      </c>
      <c r="L1569">
        <v>2</v>
      </c>
      <c r="M1569">
        <v>1</v>
      </c>
      <c r="N1569">
        <v>0</v>
      </c>
      <c r="O1569">
        <f>_xlfn.XLOOKUP(VALINA[[#This Row],[id]],prov_color!A:A,prov_color!C:C)</f>
        <v>6</v>
      </c>
      <c r="P1569" t="str">
        <f>_xlfn.XLOOKUP(VALINA[[#This Row],[id]],Table4[id],Table4[name])</f>
        <v>Bermuda</v>
      </c>
      <c r="Q1569" t="str">
        <f>_xlfn.XLOOKUP(VALINA[[#This Row],[name]],Trans!A:A,Trans!B:B)</f>
        <v>Bermuda</v>
      </c>
    </row>
    <row r="1570" spans="1:17" x14ac:dyDescent="0.25">
      <c r="A1570">
        <v>1569</v>
      </c>
      <c r="B1570" t="s">
        <v>11</v>
      </c>
      <c r="C1570" t="s">
        <v>222</v>
      </c>
      <c r="D1570" t="s">
        <v>223</v>
      </c>
      <c r="E1570" t="s">
        <v>22</v>
      </c>
      <c r="F1570" t="s">
        <v>15</v>
      </c>
      <c r="G1570" t="s">
        <v>35</v>
      </c>
      <c r="H1570" t="s">
        <v>224</v>
      </c>
      <c r="I1570" t="s">
        <v>103</v>
      </c>
      <c r="J1570" t="s">
        <v>1271</v>
      </c>
      <c r="K1570">
        <v>4</v>
      </c>
      <c r="L1570">
        <v>2</v>
      </c>
      <c r="M1570">
        <v>1</v>
      </c>
      <c r="N1570">
        <v>0</v>
      </c>
      <c r="O1570">
        <f>_xlfn.XLOOKUP(VALINA[[#This Row],[id]],prov_color!A:A,prov_color!C:C)</f>
        <v>12</v>
      </c>
      <c r="P1570" t="str">
        <f>_xlfn.XLOOKUP(VALINA[[#This Row],[id]],Table4[id],Table4[name])</f>
        <v>Bahamas</v>
      </c>
      <c r="Q1570" t="str">
        <f>_xlfn.XLOOKUP(VALINA[[#This Row],[name]],Trans!A:A,Trans!B:B)</f>
        <v>Bahamas</v>
      </c>
    </row>
    <row r="1571" spans="1:17" x14ac:dyDescent="0.25">
      <c r="A1571">
        <v>1570</v>
      </c>
      <c r="B1571" t="s">
        <v>653</v>
      </c>
      <c r="C1571" t="s">
        <v>701</v>
      </c>
      <c r="D1571" t="s">
        <v>812</v>
      </c>
      <c r="E1571" t="s">
        <v>80</v>
      </c>
      <c r="F1571" t="s">
        <v>15</v>
      </c>
      <c r="G1571" t="s">
        <v>122</v>
      </c>
      <c r="H1571" t="s">
        <v>703</v>
      </c>
      <c r="I1571" t="s">
        <v>20</v>
      </c>
      <c r="J1571" t="s">
        <v>1272</v>
      </c>
      <c r="K1571">
        <v>5</v>
      </c>
      <c r="L1571">
        <v>2</v>
      </c>
      <c r="M1571">
        <v>1</v>
      </c>
      <c r="N1571">
        <v>0</v>
      </c>
      <c r="O1571">
        <f>_xlfn.XLOOKUP(VALINA[[#This Row],[id]],prov_color!A:A,prov_color!C:C)</f>
        <v>46</v>
      </c>
      <c r="P1571" t="str">
        <f>_xlfn.XLOOKUP(VALINA[[#This Row],[id]],Table4[id],Table4[name])</f>
        <v>Sadrinsk</v>
      </c>
      <c r="Q1571" t="str">
        <f>_xlfn.XLOOKUP(VALINA[[#This Row],[name]],Trans!A:A,Trans!B:B)</f>
        <v>Sadrinsk</v>
      </c>
    </row>
    <row r="1572" spans="1:17" x14ac:dyDescent="0.25">
      <c r="A1572">
        <v>1571</v>
      </c>
      <c r="B1572" t="s">
        <v>653</v>
      </c>
      <c r="C1572" t="s">
        <v>701</v>
      </c>
      <c r="D1572" t="s">
        <v>812</v>
      </c>
      <c r="E1572" t="s">
        <v>80</v>
      </c>
      <c r="F1572" t="s">
        <v>15</v>
      </c>
      <c r="G1572" t="s">
        <v>122</v>
      </c>
      <c r="H1572" t="s">
        <v>703</v>
      </c>
      <c r="I1572" t="s">
        <v>20</v>
      </c>
      <c r="J1572" t="s">
        <v>1273</v>
      </c>
      <c r="K1572">
        <v>5</v>
      </c>
      <c r="L1572">
        <v>2</v>
      </c>
      <c r="M1572">
        <v>1</v>
      </c>
      <c r="N1572">
        <v>0</v>
      </c>
      <c r="O1572">
        <f>_xlfn.XLOOKUP(VALINA[[#This Row],[id]],prov_color!A:A,prov_color!C:C)</f>
        <v>51</v>
      </c>
      <c r="P1572" t="str">
        <f>_xlfn.XLOOKUP(VALINA[[#This Row],[id]],Table4[id],Table4[name])</f>
        <v>Jalutorovsk</v>
      </c>
      <c r="Q1572" t="str">
        <f>_xlfn.XLOOKUP(VALINA[[#This Row],[name]],Trans!A:A,Trans!B:B)</f>
        <v>Jalutorovsk</v>
      </c>
    </row>
    <row r="1573" spans="1:17" x14ac:dyDescent="0.25">
      <c r="A1573">
        <v>1572</v>
      </c>
      <c r="B1573" t="s">
        <v>653</v>
      </c>
      <c r="C1573" t="s">
        <v>701</v>
      </c>
      <c r="D1573" t="s">
        <v>812</v>
      </c>
      <c r="E1573" t="s">
        <v>80</v>
      </c>
      <c r="F1573" t="s">
        <v>15</v>
      </c>
      <c r="G1573" t="s">
        <v>122</v>
      </c>
      <c r="H1573" t="s">
        <v>703</v>
      </c>
      <c r="I1573" t="s">
        <v>20</v>
      </c>
      <c r="J1573" t="s">
        <v>1274</v>
      </c>
      <c r="K1573">
        <v>5</v>
      </c>
      <c r="L1573">
        <v>1</v>
      </c>
      <c r="M1573">
        <v>1</v>
      </c>
      <c r="N1573">
        <v>0</v>
      </c>
      <c r="O1573">
        <f>_xlfn.XLOOKUP(VALINA[[#This Row],[id]],prov_color!A:A,prov_color!C:C)</f>
        <v>45</v>
      </c>
      <c r="P1573" t="str">
        <f>_xlfn.XLOOKUP(VALINA[[#This Row],[id]],Table4[id],Table4[name])</f>
        <v>Nefedova</v>
      </c>
      <c r="Q1573" t="str">
        <f>_xlfn.XLOOKUP(VALINA[[#This Row],[name]],Trans!A:A,Trans!B:B)</f>
        <v>Nefedova</v>
      </c>
    </row>
    <row r="1574" spans="1:17" x14ac:dyDescent="0.25">
      <c r="A1574">
        <v>1573</v>
      </c>
      <c r="B1574" t="s">
        <v>653</v>
      </c>
      <c r="C1574" t="s">
        <v>701</v>
      </c>
      <c r="D1574" t="s">
        <v>812</v>
      </c>
      <c r="E1574" t="s">
        <v>80</v>
      </c>
      <c r="F1574" t="s">
        <v>15</v>
      </c>
      <c r="G1574" t="s">
        <v>122</v>
      </c>
      <c r="H1574" t="s">
        <v>703</v>
      </c>
      <c r="I1574" t="s">
        <v>1612</v>
      </c>
      <c r="J1574" t="s">
        <v>1275</v>
      </c>
      <c r="K1574">
        <v>5</v>
      </c>
      <c r="L1574">
        <v>1</v>
      </c>
      <c r="M1574">
        <v>1</v>
      </c>
      <c r="N1574">
        <v>0</v>
      </c>
      <c r="O1574">
        <f>_xlfn.XLOOKUP(VALINA[[#This Row],[id]],prov_color!A:A,prov_color!C:C)</f>
        <v>70</v>
      </c>
      <c r="P1574" t="str">
        <f>_xlfn.XLOOKUP(VALINA[[#This Row],[id]],Table4[id],Table4[name])</f>
        <v>Tobolsk</v>
      </c>
      <c r="Q1574" t="str">
        <f>_xlfn.XLOOKUP(VALINA[[#This Row],[name]],Trans!A:A,Trans!B:B)</f>
        <v>Tobolsk</v>
      </c>
    </row>
    <row r="1575" spans="1:17" x14ac:dyDescent="0.25">
      <c r="A1575">
        <v>1574</v>
      </c>
      <c r="B1575" t="s">
        <v>653</v>
      </c>
      <c r="C1575" t="s">
        <v>701</v>
      </c>
      <c r="D1575" t="s">
        <v>812</v>
      </c>
      <c r="E1575" t="s">
        <v>34</v>
      </c>
      <c r="F1575" t="s">
        <v>15</v>
      </c>
      <c r="G1575" t="s">
        <v>122</v>
      </c>
      <c r="H1575" t="s">
        <v>703</v>
      </c>
      <c r="I1575" t="s">
        <v>43</v>
      </c>
      <c r="J1575" t="s">
        <v>1276</v>
      </c>
      <c r="K1575">
        <v>5</v>
      </c>
      <c r="L1575">
        <v>1</v>
      </c>
      <c r="M1575">
        <v>1</v>
      </c>
      <c r="N1575">
        <v>0</v>
      </c>
      <c r="O1575">
        <f>_xlfn.XLOOKUP(VALINA[[#This Row],[id]],prov_color!A:A,prov_color!C:C)</f>
        <v>59</v>
      </c>
      <c r="P1575" t="str">
        <f>_xlfn.XLOOKUP(VALINA[[#This Row],[id]],Table4[id],Table4[name])</f>
        <v>Demjanskoje</v>
      </c>
      <c r="Q1575" t="str">
        <f>_xlfn.XLOOKUP(VALINA[[#This Row],[name]],Trans!A:A,Trans!B:B)</f>
        <v>Demjanskoje</v>
      </c>
    </row>
    <row r="1576" spans="1:17" x14ac:dyDescent="0.25">
      <c r="A1576">
        <v>1575</v>
      </c>
      <c r="B1576" t="s">
        <v>653</v>
      </c>
      <c r="C1576" t="s">
        <v>701</v>
      </c>
      <c r="D1576" t="s">
        <v>812</v>
      </c>
      <c r="E1576" t="s">
        <v>80</v>
      </c>
      <c r="F1576" t="s">
        <v>15</v>
      </c>
      <c r="G1576" t="s">
        <v>122</v>
      </c>
      <c r="H1576" t="s">
        <v>1277</v>
      </c>
      <c r="I1576" t="s">
        <v>53</v>
      </c>
      <c r="J1576" t="s">
        <v>1278</v>
      </c>
      <c r="K1576">
        <v>5</v>
      </c>
      <c r="L1576">
        <v>1</v>
      </c>
      <c r="M1576">
        <v>1</v>
      </c>
      <c r="N1576">
        <v>0</v>
      </c>
      <c r="O1576">
        <f>_xlfn.XLOOKUP(VALINA[[#This Row],[id]],prov_color!A:A,prov_color!C:C)</f>
        <v>70</v>
      </c>
      <c r="P1576" t="str">
        <f>_xlfn.XLOOKUP(VALINA[[#This Row],[id]],Table4[id],Table4[name])</f>
        <v>Sergino</v>
      </c>
      <c r="Q1576" t="str">
        <f>_xlfn.XLOOKUP(VALINA[[#This Row],[name]],Trans!A:A,Trans!B:B)</f>
        <v>Sergino</v>
      </c>
    </row>
    <row r="1577" spans="1:17" x14ac:dyDescent="0.25">
      <c r="A1577">
        <v>1576</v>
      </c>
      <c r="B1577" t="s">
        <v>653</v>
      </c>
      <c r="C1577" t="s">
        <v>701</v>
      </c>
      <c r="D1577" t="s">
        <v>812</v>
      </c>
      <c r="E1577" t="s">
        <v>80</v>
      </c>
      <c r="F1577" t="s">
        <v>15</v>
      </c>
      <c r="G1577" t="s">
        <v>122</v>
      </c>
      <c r="H1577" t="s">
        <v>1277</v>
      </c>
      <c r="I1577" t="s">
        <v>43</v>
      </c>
      <c r="J1577" t="s">
        <v>1279</v>
      </c>
      <c r="K1577">
        <v>5</v>
      </c>
      <c r="L1577">
        <v>1</v>
      </c>
      <c r="M1577">
        <v>1</v>
      </c>
      <c r="N1577">
        <v>0</v>
      </c>
      <c r="O1577">
        <f>_xlfn.XLOOKUP(VALINA[[#This Row],[id]],prov_color!A:A,prov_color!C:C)</f>
        <v>63</v>
      </c>
      <c r="P1577" t="str">
        <f>_xlfn.XLOOKUP(VALINA[[#This Row],[id]],Table4[id],Table4[name])</f>
        <v>Manskijisk</v>
      </c>
      <c r="Q1577" t="str">
        <f>_xlfn.XLOOKUP(VALINA[[#This Row],[name]],Trans!A:A,Trans!B:B)</f>
        <v>Manskijisk</v>
      </c>
    </row>
    <row r="1578" spans="1:17" x14ac:dyDescent="0.25">
      <c r="A1578">
        <v>1577</v>
      </c>
      <c r="B1578" t="s">
        <v>653</v>
      </c>
      <c r="C1578" t="s">
        <v>701</v>
      </c>
      <c r="D1578" t="s">
        <v>812</v>
      </c>
      <c r="E1578" t="s">
        <v>80</v>
      </c>
      <c r="F1578" t="s">
        <v>15</v>
      </c>
      <c r="G1578" t="s">
        <v>122</v>
      </c>
      <c r="H1578" t="s">
        <v>1277</v>
      </c>
      <c r="I1578" t="s">
        <v>43</v>
      </c>
      <c r="J1578" t="s">
        <v>1280</v>
      </c>
      <c r="K1578">
        <v>5</v>
      </c>
      <c r="L1578">
        <v>1</v>
      </c>
      <c r="M1578">
        <v>1</v>
      </c>
      <c r="N1578">
        <v>0</v>
      </c>
      <c r="O1578">
        <f>_xlfn.XLOOKUP(VALINA[[#This Row],[id]],prov_color!A:A,prov_color!C:C)</f>
        <v>62</v>
      </c>
      <c r="P1578" t="str">
        <f>_xlfn.XLOOKUP(VALINA[[#This Row],[id]],Table4[id],Table4[name])</f>
        <v>Vakhovska</v>
      </c>
      <c r="Q1578" t="str">
        <f>_xlfn.XLOOKUP(VALINA[[#This Row],[name]],Trans!A:A,Trans!B:B)</f>
        <v>Vakhovska</v>
      </c>
    </row>
    <row r="1579" spans="1:17" x14ac:dyDescent="0.25">
      <c r="A1579">
        <v>1578</v>
      </c>
      <c r="B1579" t="s">
        <v>653</v>
      </c>
      <c r="C1579" t="s">
        <v>701</v>
      </c>
      <c r="D1579" t="s">
        <v>812</v>
      </c>
      <c r="E1579" t="s">
        <v>80</v>
      </c>
      <c r="F1579" t="s">
        <v>15</v>
      </c>
      <c r="G1579" t="s">
        <v>122</v>
      </c>
      <c r="H1579" t="s">
        <v>1277</v>
      </c>
      <c r="I1579" t="s">
        <v>53</v>
      </c>
      <c r="J1579" t="s">
        <v>1281</v>
      </c>
      <c r="K1579">
        <v>5</v>
      </c>
      <c r="L1579">
        <v>1</v>
      </c>
      <c r="M1579">
        <v>1</v>
      </c>
      <c r="N1579">
        <v>0</v>
      </c>
      <c r="O1579">
        <f>_xlfn.XLOOKUP(VALINA[[#This Row],[id]],prov_color!A:A,prov_color!C:C)</f>
        <v>77</v>
      </c>
      <c r="P1579" t="str">
        <f>_xlfn.XLOOKUP(VALINA[[#This Row],[id]],Table4[id],Table4[name])</f>
        <v>Surgut</v>
      </c>
      <c r="Q1579" t="str">
        <f>_xlfn.XLOOKUP(VALINA[[#This Row],[name]],Trans!A:A,Trans!B:B)</f>
        <v>Surgut</v>
      </c>
    </row>
    <row r="1580" spans="1:17" x14ac:dyDescent="0.25">
      <c r="A1580">
        <v>1579</v>
      </c>
      <c r="B1580" t="s">
        <v>653</v>
      </c>
      <c r="C1580" t="s">
        <v>701</v>
      </c>
      <c r="D1580" t="s">
        <v>812</v>
      </c>
      <c r="E1580" t="s">
        <v>80</v>
      </c>
      <c r="F1580" t="s">
        <v>15</v>
      </c>
      <c r="G1580" t="s">
        <v>122</v>
      </c>
      <c r="H1580" t="s">
        <v>1277</v>
      </c>
      <c r="I1580" t="s">
        <v>53</v>
      </c>
      <c r="J1580" t="s">
        <v>1282</v>
      </c>
      <c r="K1580">
        <v>5</v>
      </c>
      <c r="L1580">
        <v>1</v>
      </c>
      <c r="M1580">
        <v>1</v>
      </c>
      <c r="N1580">
        <v>0</v>
      </c>
      <c r="O1580">
        <f>_xlfn.XLOOKUP(VALINA[[#This Row],[id]],prov_color!A:A,prov_color!C:C)</f>
        <v>80</v>
      </c>
      <c r="P1580" t="str">
        <f>_xlfn.XLOOKUP(VALINA[[#This Row],[id]],Table4[id],Table4[name])</f>
        <v>Pimsk</v>
      </c>
      <c r="Q1580" t="str">
        <f>_xlfn.XLOOKUP(VALINA[[#This Row],[name]],Trans!A:A,Trans!B:B)</f>
        <v>Pimsk</v>
      </c>
    </row>
    <row r="1581" spans="1:17" x14ac:dyDescent="0.25">
      <c r="A1581">
        <v>1580</v>
      </c>
      <c r="B1581" t="s">
        <v>653</v>
      </c>
      <c r="C1581" t="s">
        <v>701</v>
      </c>
      <c r="D1581" t="s">
        <v>812</v>
      </c>
      <c r="E1581" t="s">
        <v>80</v>
      </c>
      <c r="F1581" t="s">
        <v>15</v>
      </c>
      <c r="G1581" t="s">
        <v>122</v>
      </c>
      <c r="H1581" t="s">
        <v>1277</v>
      </c>
      <c r="I1581" t="s">
        <v>18</v>
      </c>
      <c r="J1581" t="s">
        <v>1283</v>
      </c>
      <c r="K1581">
        <v>5</v>
      </c>
      <c r="L1581">
        <v>2</v>
      </c>
      <c r="M1581">
        <v>1</v>
      </c>
      <c r="N1581">
        <v>0</v>
      </c>
      <c r="O1581">
        <f>_xlfn.XLOOKUP(VALINA[[#This Row],[id]],prov_color!A:A,prov_color!C:C)</f>
        <v>66</v>
      </c>
      <c r="P1581" t="str">
        <f>_xlfn.XLOOKUP(VALINA[[#This Row],[id]],Table4[id],Table4[name])</f>
        <v>Igrim</v>
      </c>
      <c r="Q1581" t="str">
        <f>_xlfn.XLOOKUP(VALINA[[#This Row],[name]],Trans!A:A,Trans!B:B)</f>
        <v>Igrim</v>
      </c>
    </row>
    <row r="1582" spans="1:17" x14ac:dyDescent="0.25">
      <c r="A1582">
        <v>1581</v>
      </c>
      <c r="B1582" t="s">
        <v>653</v>
      </c>
      <c r="C1582" t="s">
        <v>701</v>
      </c>
      <c r="D1582" t="s">
        <v>812</v>
      </c>
      <c r="E1582" t="s">
        <v>80</v>
      </c>
      <c r="F1582" t="s">
        <v>15</v>
      </c>
      <c r="G1582" t="s">
        <v>122</v>
      </c>
      <c r="H1582" t="s">
        <v>1277</v>
      </c>
      <c r="I1582" t="s">
        <v>141</v>
      </c>
      <c r="J1582" t="s">
        <v>1284</v>
      </c>
      <c r="K1582">
        <v>5</v>
      </c>
      <c r="L1582">
        <v>1</v>
      </c>
      <c r="M1582">
        <v>1</v>
      </c>
      <c r="N1582">
        <v>0</v>
      </c>
      <c r="O1582">
        <f>_xlfn.XLOOKUP(VALINA[[#This Row],[id]],prov_color!A:A,prov_color!C:C)</f>
        <v>65</v>
      </c>
      <c r="P1582" t="str">
        <f>_xlfn.XLOOKUP(VALINA[[#This Row],[id]],Table4[id],Table4[name])</f>
        <v>Berezov</v>
      </c>
      <c r="Q1582" t="str">
        <f>_xlfn.XLOOKUP(VALINA[[#This Row],[name]],Trans!A:A,Trans!B:B)</f>
        <v>Berezov</v>
      </c>
    </row>
    <row r="1583" spans="1:17" x14ac:dyDescent="0.25">
      <c r="A1583">
        <v>1582</v>
      </c>
      <c r="B1583" t="s">
        <v>653</v>
      </c>
      <c r="C1583" t="s">
        <v>701</v>
      </c>
      <c r="D1583" t="s">
        <v>812</v>
      </c>
      <c r="E1583" t="s">
        <v>34</v>
      </c>
      <c r="F1583" t="s">
        <v>15</v>
      </c>
      <c r="G1583" t="s">
        <v>122</v>
      </c>
      <c r="H1583" t="s">
        <v>1277</v>
      </c>
      <c r="I1583" t="s">
        <v>20</v>
      </c>
      <c r="J1583" t="s">
        <v>1285</v>
      </c>
      <c r="K1583">
        <v>5</v>
      </c>
      <c r="L1583">
        <v>1</v>
      </c>
      <c r="M1583">
        <v>1</v>
      </c>
      <c r="N1583">
        <v>0</v>
      </c>
      <c r="O1583">
        <f>_xlfn.XLOOKUP(VALINA[[#This Row],[id]],prov_color!A:A,prov_color!C:C)</f>
        <v>52</v>
      </c>
      <c r="P1583" t="str">
        <f>_xlfn.XLOOKUP(VALINA[[#This Row],[id]],Table4[id],Table4[name])</f>
        <v>Kondinsk</v>
      </c>
      <c r="Q1583" t="str">
        <f>_xlfn.XLOOKUP(VALINA[[#This Row],[name]],Trans!A:A,Trans!B:B)</f>
        <v>Kondinsk</v>
      </c>
    </row>
    <row r="1584" spans="1:17" x14ac:dyDescent="0.25">
      <c r="A1584">
        <v>1583</v>
      </c>
      <c r="B1584" t="s">
        <v>653</v>
      </c>
      <c r="C1584" t="s">
        <v>701</v>
      </c>
      <c r="D1584" t="s">
        <v>812</v>
      </c>
      <c r="E1584" t="s">
        <v>80</v>
      </c>
      <c r="F1584" t="s">
        <v>15</v>
      </c>
      <c r="G1584" t="s">
        <v>122</v>
      </c>
      <c r="H1584" t="s">
        <v>1277</v>
      </c>
      <c r="I1584" t="s">
        <v>141</v>
      </c>
      <c r="J1584" t="s">
        <v>1286</v>
      </c>
      <c r="K1584">
        <v>5</v>
      </c>
      <c r="L1584">
        <v>1</v>
      </c>
      <c r="M1584">
        <v>1</v>
      </c>
      <c r="N1584">
        <v>0</v>
      </c>
      <c r="O1584">
        <f>_xlfn.XLOOKUP(VALINA[[#This Row],[id]],prov_color!A:A,prov_color!C:C)</f>
        <v>74</v>
      </c>
      <c r="P1584" t="str">
        <f>_xlfn.XLOOKUP(VALINA[[#This Row],[id]],Table4[id],Table4[name])</f>
        <v>Obdorsk</v>
      </c>
      <c r="Q1584" t="str">
        <f>_xlfn.XLOOKUP(VALINA[[#This Row],[name]],Trans!A:A,Trans!B:B)</f>
        <v>Obdorsk</v>
      </c>
    </row>
    <row r="1585" spans="1:17" x14ac:dyDescent="0.25">
      <c r="A1585">
        <v>1584</v>
      </c>
      <c r="B1585" t="s">
        <v>653</v>
      </c>
      <c r="C1585" t="s">
        <v>701</v>
      </c>
      <c r="D1585" t="s">
        <v>812</v>
      </c>
      <c r="E1585" t="s">
        <v>80</v>
      </c>
      <c r="F1585" t="s">
        <v>15</v>
      </c>
      <c r="G1585" t="s">
        <v>122</v>
      </c>
      <c r="H1585" t="s">
        <v>1277</v>
      </c>
      <c r="I1585" t="s">
        <v>20</v>
      </c>
      <c r="J1585" t="s">
        <v>1287</v>
      </c>
      <c r="K1585">
        <v>5</v>
      </c>
      <c r="L1585">
        <v>1</v>
      </c>
      <c r="M1585">
        <v>1</v>
      </c>
      <c r="N1585">
        <v>0</v>
      </c>
      <c r="O1585">
        <f>_xlfn.XLOOKUP(VALINA[[#This Row],[id]],prov_color!A:A,prov_color!C:C)</f>
        <v>60</v>
      </c>
      <c r="P1585" t="str">
        <f>_xlfn.XLOOKUP(VALINA[[#This Row],[id]],Table4[id],Table4[name])</f>
        <v>Saleharo</v>
      </c>
      <c r="Q1585" t="str">
        <f>_xlfn.XLOOKUP(VALINA[[#This Row],[name]],Trans!A:A,Trans!B:B)</f>
        <v>Saleharo</v>
      </c>
    </row>
    <row r="1586" spans="1:17" x14ac:dyDescent="0.25">
      <c r="A1586">
        <v>1585</v>
      </c>
      <c r="E1586" t="s">
        <v>1633</v>
      </c>
      <c r="J1586" t="s">
        <v>1943</v>
      </c>
      <c r="O1586">
        <f>_xlfn.XLOOKUP(VALINA[[#This Row],[id]],prov_color!A:A,prov_color!C:C)</f>
        <v>150</v>
      </c>
      <c r="P1586" t="str">
        <f>_xlfn.XLOOKUP(VALINA[[#This Row],[id]],Table4[id],Table4[name])</f>
        <v>Obskaja Guba</v>
      </c>
      <c r="Q1586" t="str">
        <f>_xlfn.XLOOKUP(VALINA[[#This Row],[name]],Trans!A:A,Trans!B:B)</f>
        <v>Obskaja Guba</v>
      </c>
    </row>
    <row r="1587" spans="1:17" x14ac:dyDescent="0.25">
      <c r="A1587">
        <v>1586</v>
      </c>
      <c r="B1587" t="s">
        <v>653</v>
      </c>
      <c r="C1587" t="s">
        <v>701</v>
      </c>
      <c r="D1587" t="s">
        <v>847</v>
      </c>
      <c r="E1587" t="s">
        <v>14</v>
      </c>
      <c r="F1587" t="s">
        <v>15</v>
      </c>
      <c r="G1587" t="s">
        <v>16</v>
      </c>
      <c r="H1587" t="s">
        <v>855</v>
      </c>
      <c r="I1587" t="s">
        <v>27</v>
      </c>
      <c r="J1587" t="s">
        <v>1288</v>
      </c>
      <c r="K1587">
        <v>7</v>
      </c>
      <c r="L1587">
        <v>1</v>
      </c>
      <c r="M1587">
        <v>1</v>
      </c>
      <c r="N1587">
        <v>0</v>
      </c>
      <c r="O1587">
        <f>_xlfn.XLOOKUP(VALINA[[#This Row],[id]],prov_color!A:A,prov_color!C:C)</f>
        <v>90</v>
      </c>
      <c r="P1587" t="str">
        <f>_xlfn.XLOOKUP(VALINA[[#This Row],[id]],Table4[id],Table4[name])</f>
        <v>Kamcatka</v>
      </c>
      <c r="Q1587" t="str">
        <f>_xlfn.XLOOKUP(VALINA[[#This Row],[name]],Trans!A:A,Trans!B:B)</f>
        <v>Kamcatka</v>
      </c>
    </row>
    <row r="1588" spans="1:17" x14ac:dyDescent="0.25">
      <c r="A1588">
        <v>1587</v>
      </c>
      <c r="B1588" t="s">
        <v>653</v>
      </c>
      <c r="C1588" t="s">
        <v>701</v>
      </c>
      <c r="D1588" t="s">
        <v>847</v>
      </c>
      <c r="E1588" t="s">
        <v>14</v>
      </c>
      <c r="F1588" t="s">
        <v>15</v>
      </c>
      <c r="G1588" t="s">
        <v>16</v>
      </c>
      <c r="H1588" t="s">
        <v>703</v>
      </c>
      <c r="I1588" t="s">
        <v>27</v>
      </c>
      <c r="J1588" t="s">
        <v>1289</v>
      </c>
      <c r="K1588">
        <v>7</v>
      </c>
      <c r="L1588">
        <v>1</v>
      </c>
      <c r="M1588">
        <v>1</v>
      </c>
      <c r="N1588">
        <v>0</v>
      </c>
      <c r="O1588">
        <f>_xlfn.XLOOKUP(VALINA[[#This Row],[id]],prov_color!A:A,prov_color!C:C)</f>
        <v>89</v>
      </c>
      <c r="P1588" t="str">
        <f>_xlfn.XLOOKUP(VALINA[[#This Row],[id]],Table4[id],Table4[name])</f>
        <v>Sredny Hrebet</v>
      </c>
      <c r="Q1588" t="str">
        <f>_xlfn.XLOOKUP(VALINA[[#This Row],[name]],Trans!A:A,Trans!B:B)</f>
        <v>Sredny Hrebet</v>
      </c>
    </row>
    <row r="1589" spans="1:17" x14ac:dyDescent="0.25">
      <c r="A1589">
        <v>1588</v>
      </c>
      <c r="B1589" t="s">
        <v>1016</v>
      </c>
      <c r="C1589" t="s">
        <v>1035</v>
      </c>
      <c r="D1589" t="s">
        <v>1042</v>
      </c>
      <c r="E1589" t="s">
        <v>14</v>
      </c>
      <c r="F1589" t="s">
        <v>650</v>
      </c>
      <c r="G1589" t="s">
        <v>35</v>
      </c>
      <c r="H1589" t="s">
        <v>1043</v>
      </c>
      <c r="I1589" t="s">
        <v>687</v>
      </c>
      <c r="J1589" t="s">
        <v>1290</v>
      </c>
      <c r="K1589">
        <v>5</v>
      </c>
      <c r="L1589">
        <v>4</v>
      </c>
      <c r="M1589">
        <v>6</v>
      </c>
      <c r="N1589">
        <v>0</v>
      </c>
      <c r="O1589">
        <f>_xlfn.XLOOKUP(VALINA[[#This Row],[id]],prov_color!A:A,prov_color!C:C)</f>
        <v>74</v>
      </c>
      <c r="P1589" t="str">
        <f>_xlfn.XLOOKUP(VALINA[[#This Row],[id]],Table4[id],Table4[name])</f>
        <v>Gonder</v>
      </c>
      <c r="Q1589" t="str">
        <f>_xlfn.XLOOKUP(VALINA[[#This Row],[name]],Trans!A:A,Trans!B:B)</f>
        <v>Gonder</v>
      </c>
    </row>
    <row r="1590" spans="1:17" x14ac:dyDescent="0.25">
      <c r="A1590">
        <v>1589</v>
      </c>
      <c r="B1590" t="s">
        <v>1016</v>
      </c>
      <c r="C1590" t="s">
        <v>1035</v>
      </c>
      <c r="D1590" t="s">
        <v>1042</v>
      </c>
      <c r="E1590" t="s">
        <v>14</v>
      </c>
      <c r="F1590" t="s">
        <v>650</v>
      </c>
      <c r="G1590" t="s">
        <v>35</v>
      </c>
      <c r="H1590" t="s">
        <v>1043</v>
      </c>
      <c r="I1590" t="s">
        <v>84</v>
      </c>
      <c r="J1590" t="s">
        <v>1291</v>
      </c>
      <c r="K1590">
        <v>5</v>
      </c>
      <c r="L1590">
        <v>3</v>
      </c>
      <c r="M1590">
        <v>6</v>
      </c>
      <c r="N1590">
        <v>0</v>
      </c>
      <c r="O1590">
        <f>_xlfn.XLOOKUP(VALINA[[#This Row],[id]],prov_color!A:A,prov_color!C:C)</f>
        <v>48</v>
      </c>
      <c r="P1590" t="str">
        <f>_xlfn.XLOOKUP(VALINA[[#This Row],[id]],Table4[id],Table4[name])</f>
        <v>Kefa</v>
      </c>
      <c r="Q1590" t="str">
        <f>_xlfn.XLOOKUP(VALINA[[#This Row],[name]],Trans!A:A,Trans!B:B)</f>
        <v>Kefa</v>
      </c>
    </row>
    <row r="1591" spans="1:17" x14ac:dyDescent="0.25">
      <c r="A1591">
        <v>1590</v>
      </c>
      <c r="B1591" t="s">
        <v>1016</v>
      </c>
      <c r="C1591" t="s">
        <v>1035</v>
      </c>
      <c r="D1591" t="s">
        <v>1042</v>
      </c>
      <c r="E1591" t="s">
        <v>14</v>
      </c>
      <c r="F1591" t="s">
        <v>650</v>
      </c>
      <c r="G1591" t="s">
        <v>47</v>
      </c>
      <c r="H1591" t="s">
        <v>1043</v>
      </c>
      <c r="I1591" t="s">
        <v>43</v>
      </c>
      <c r="J1591" t="s">
        <v>1292</v>
      </c>
      <c r="K1591">
        <v>5</v>
      </c>
      <c r="L1591">
        <v>2</v>
      </c>
      <c r="M1591">
        <v>2</v>
      </c>
      <c r="N1591">
        <v>0</v>
      </c>
      <c r="O1591">
        <f>_xlfn.XLOOKUP(VALINA[[#This Row],[id]],prov_color!A:A,prov_color!C:C)</f>
        <v>42</v>
      </c>
      <c r="P1591" t="str">
        <f>_xlfn.XLOOKUP(VALINA[[#This Row],[id]],Table4[id],Table4[name])</f>
        <v>Bale</v>
      </c>
      <c r="Q1591" t="str">
        <f>_xlfn.XLOOKUP(VALINA[[#This Row],[name]],Trans!A:A,Trans!B:B)</f>
        <v>Bale</v>
      </c>
    </row>
    <row r="1592" spans="1:17" x14ac:dyDescent="0.25">
      <c r="A1592">
        <v>1591</v>
      </c>
      <c r="B1592" t="s">
        <v>653</v>
      </c>
      <c r="C1592" t="s">
        <v>672</v>
      </c>
      <c r="D1592" t="s">
        <v>1221</v>
      </c>
      <c r="E1592" t="s">
        <v>14</v>
      </c>
      <c r="F1592" t="s">
        <v>609</v>
      </c>
      <c r="G1592" t="s">
        <v>276</v>
      </c>
      <c r="H1592" t="s">
        <v>719</v>
      </c>
      <c r="I1592" t="s">
        <v>41</v>
      </c>
      <c r="J1592" t="s">
        <v>1293</v>
      </c>
      <c r="K1592">
        <v>5</v>
      </c>
      <c r="L1592">
        <v>2</v>
      </c>
      <c r="M1592">
        <v>5</v>
      </c>
      <c r="N1592">
        <v>0</v>
      </c>
      <c r="O1592">
        <f>_xlfn.XLOOKUP(VALINA[[#This Row],[id]],prov_color!A:A,prov_color!C:C)</f>
        <v>82</v>
      </c>
      <c r="P1592" t="str">
        <f>_xlfn.XLOOKUP(VALINA[[#This Row],[id]],Table4[id],Table4[name])</f>
        <v>Surkhandarya</v>
      </c>
      <c r="Q1592" t="str">
        <f>_xlfn.XLOOKUP(VALINA[[#This Row],[name]],Trans!A:A,Trans!B:B)</f>
        <v>Surkhandarya</v>
      </c>
    </row>
    <row r="1593" spans="1:17" x14ac:dyDescent="0.25">
      <c r="A1593">
        <v>1592</v>
      </c>
      <c r="B1593" t="s">
        <v>653</v>
      </c>
      <c r="C1593" t="s">
        <v>672</v>
      </c>
      <c r="D1593" t="s">
        <v>711</v>
      </c>
      <c r="E1593" t="s">
        <v>34</v>
      </c>
      <c r="F1593" t="s">
        <v>609</v>
      </c>
      <c r="G1593" t="s">
        <v>35</v>
      </c>
      <c r="H1593" t="s">
        <v>719</v>
      </c>
      <c r="I1593" t="s">
        <v>685</v>
      </c>
      <c r="J1593" t="s">
        <v>1294</v>
      </c>
      <c r="K1593">
        <v>5</v>
      </c>
      <c r="L1593">
        <v>7</v>
      </c>
      <c r="M1593">
        <v>8</v>
      </c>
      <c r="N1593">
        <v>0</v>
      </c>
      <c r="O1593">
        <f>_xlfn.XLOOKUP(VALINA[[#This Row],[id]],prov_color!A:A,prov_color!C:C)</f>
        <v>65</v>
      </c>
      <c r="P1593" t="str">
        <f>_xlfn.XLOOKUP(VALINA[[#This Row],[id]],Table4[id],Table4[name])</f>
        <v>Samarkand</v>
      </c>
      <c r="Q1593" t="str">
        <f>_xlfn.XLOOKUP(VALINA[[#This Row],[name]],Trans!A:A,Trans!B:B)</f>
        <v>Samarkand</v>
      </c>
    </row>
    <row r="1594" spans="1:17" x14ac:dyDescent="0.25">
      <c r="A1594">
        <v>1593</v>
      </c>
      <c r="B1594" t="s">
        <v>653</v>
      </c>
      <c r="C1594" t="s">
        <v>1681</v>
      </c>
      <c r="D1594" t="s">
        <v>1641</v>
      </c>
      <c r="E1594" t="s">
        <v>1316</v>
      </c>
      <c r="J1594" t="s">
        <v>1479</v>
      </c>
      <c r="N1594">
        <v>0</v>
      </c>
      <c r="O1594">
        <f>_xlfn.XLOOKUP(VALINA[[#This Row],[id]],prov_color!A:A,prov_color!C:C)</f>
        <v>26</v>
      </c>
      <c r="P1594" t="str">
        <f>_xlfn.XLOOKUP(VALINA[[#This Row],[id]],Table4[id],Table4[name])</f>
        <v>Aral Sea</v>
      </c>
      <c r="Q1594" t="str">
        <f>_xlfn.XLOOKUP(VALINA[[#This Row],[name]],Trans!A:A,Trans!B:B)</f>
        <v>Aral Sea</v>
      </c>
    </row>
    <row r="1595" spans="1:17" x14ac:dyDescent="0.25">
      <c r="A1595">
        <v>1594</v>
      </c>
      <c r="B1595" t="s">
        <v>653</v>
      </c>
      <c r="C1595" t="s">
        <v>672</v>
      </c>
      <c r="D1595" t="s">
        <v>711</v>
      </c>
      <c r="E1595" t="s">
        <v>52</v>
      </c>
      <c r="F1595" t="s">
        <v>609</v>
      </c>
      <c r="G1595" t="s">
        <v>35</v>
      </c>
      <c r="H1595" t="s">
        <v>712</v>
      </c>
      <c r="I1595" t="s">
        <v>41</v>
      </c>
      <c r="J1595" t="s">
        <v>1295</v>
      </c>
      <c r="K1595">
        <v>5</v>
      </c>
      <c r="L1595">
        <v>4</v>
      </c>
      <c r="M1595">
        <v>6</v>
      </c>
      <c r="N1595">
        <v>0</v>
      </c>
      <c r="O1595">
        <f>_xlfn.XLOOKUP(VALINA[[#This Row],[id]],prov_color!A:A,prov_color!C:C)</f>
        <v>76</v>
      </c>
      <c r="P1595" t="str">
        <f>_xlfn.XLOOKUP(VALINA[[#This Row],[id]],Table4[id],Table4[name])</f>
        <v>Uzbek</v>
      </c>
      <c r="Q1595" t="str">
        <f>_xlfn.XLOOKUP(VALINA[[#This Row],[name]],Trans!A:A,Trans!B:B)</f>
        <v>Uzbek</v>
      </c>
    </row>
    <row r="1596" spans="1:17" x14ac:dyDescent="0.25">
      <c r="A1596">
        <v>1595</v>
      </c>
      <c r="B1596" t="s">
        <v>1016</v>
      </c>
      <c r="C1596" t="s">
        <v>1093</v>
      </c>
      <c r="D1596" t="s">
        <v>1121</v>
      </c>
      <c r="E1596" t="s">
        <v>14</v>
      </c>
      <c r="F1596" t="s">
        <v>609</v>
      </c>
      <c r="G1596" t="s">
        <v>35</v>
      </c>
      <c r="H1596" t="s">
        <v>616</v>
      </c>
      <c r="I1596" t="s">
        <v>212</v>
      </c>
      <c r="J1596" t="s">
        <v>1296</v>
      </c>
      <c r="K1596">
        <v>7</v>
      </c>
      <c r="L1596">
        <v>1</v>
      </c>
      <c r="M1596">
        <v>1</v>
      </c>
      <c r="N1596">
        <v>0</v>
      </c>
      <c r="O1596">
        <f>_xlfn.XLOOKUP(VALINA[[#This Row],[id]],prov_color!A:A,prov_color!C:C)</f>
        <v>60</v>
      </c>
      <c r="P1596" t="str">
        <f>_xlfn.XLOOKUP(VALINA[[#This Row],[id]],Table4[id],Table4[name])</f>
        <v>Anti Atlas</v>
      </c>
      <c r="Q1596" t="str">
        <f>_xlfn.XLOOKUP(VALINA[[#This Row],[name]],Trans!A:A,Trans!B:B)</f>
        <v>Anti Atlas</v>
      </c>
    </row>
    <row r="1597" spans="1:17" x14ac:dyDescent="0.25">
      <c r="A1597">
        <v>1596</v>
      </c>
      <c r="B1597" t="s">
        <v>1016</v>
      </c>
      <c r="C1597" t="s">
        <v>1093</v>
      </c>
      <c r="D1597" t="s">
        <v>1121</v>
      </c>
      <c r="E1597" t="s">
        <v>52</v>
      </c>
      <c r="F1597" t="s">
        <v>609</v>
      </c>
      <c r="G1597" t="s">
        <v>47</v>
      </c>
      <c r="H1597" t="s">
        <v>616</v>
      </c>
      <c r="I1597" t="s">
        <v>53</v>
      </c>
      <c r="J1597" t="s">
        <v>1297</v>
      </c>
      <c r="K1597">
        <v>7</v>
      </c>
      <c r="L1597">
        <v>1</v>
      </c>
      <c r="M1597">
        <v>1</v>
      </c>
      <c r="N1597">
        <v>0</v>
      </c>
      <c r="O1597">
        <f>_xlfn.XLOOKUP(VALINA[[#This Row],[id]],prov_color!A:A,prov_color!C:C)</f>
        <v>61</v>
      </c>
      <c r="P1597" t="str">
        <f>_xlfn.XLOOKUP(VALINA[[#This Row],[id]],Table4[id],Table4[name])</f>
        <v>Mdennan</v>
      </c>
      <c r="Q1597" t="str">
        <f>_xlfn.XLOOKUP(VALINA[[#This Row],[name]],Trans!A:A,Trans!B:B)</f>
        <v>Mdennah</v>
      </c>
    </row>
    <row r="1598" spans="1:17" x14ac:dyDescent="0.25">
      <c r="A1598">
        <v>1597</v>
      </c>
      <c r="B1598" t="s">
        <v>1016</v>
      </c>
      <c r="C1598" t="s">
        <v>1093</v>
      </c>
      <c r="D1598" t="s">
        <v>1121</v>
      </c>
      <c r="E1598" t="s">
        <v>52</v>
      </c>
      <c r="F1598" t="s">
        <v>609</v>
      </c>
      <c r="G1598" t="s">
        <v>47</v>
      </c>
      <c r="H1598" t="s">
        <v>616</v>
      </c>
      <c r="I1598" t="s">
        <v>53</v>
      </c>
      <c r="J1598" t="s">
        <v>1298</v>
      </c>
      <c r="K1598">
        <v>7</v>
      </c>
      <c r="L1598">
        <v>1</v>
      </c>
      <c r="M1598">
        <v>1</v>
      </c>
      <c r="N1598">
        <v>0</v>
      </c>
      <c r="O1598">
        <f>_xlfn.XLOOKUP(VALINA[[#This Row],[id]],prov_color!A:A,prov_color!C:C)</f>
        <v>61</v>
      </c>
      <c r="P1598" t="str">
        <f>_xlfn.XLOOKUP(VALINA[[#This Row],[id]],Table4[id],Table4[name])</f>
        <v>Azaouad</v>
      </c>
      <c r="Q1598" t="str">
        <f>_xlfn.XLOOKUP(VALINA[[#This Row],[name]],Trans!A:A,Trans!B:B)</f>
        <v>Azaouad</v>
      </c>
    </row>
    <row r="1599" spans="1:17" x14ac:dyDescent="0.25">
      <c r="A1599">
        <v>1598</v>
      </c>
      <c r="B1599" t="s">
        <v>653</v>
      </c>
      <c r="C1599" t="s">
        <v>672</v>
      </c>
      <c r="D1599" t="s">
        <v>711</v>
      </c>
      <c r="E1599" t="s">
        <v>52</v>
      </c>
      <c r="F1599" t="s">
        <v>609</v>
      </c>
      <c r="G1599" t="s">
        <v>35</v>
      </c>
      <c r="H1599" t="s">
        <v>719</v>
      </c>
      <c r="I1599" t="s">
        <v>41</v>
      </c>
      <c r="J1599" t="s">
        <v>1299</v>
      </c>
      <c r="K1599">
        <v>7</v>
      </c>
      <c r="L1599">
        <v>2</v>
      </c>
      <c r="M1599">
        <v>3</v>
      </c>
      <c r="N1599">
        <v>0</v>
      </c>
      <c r="O1599">
        <f>_xlfn.XLOOKUP(VALINA[[#This Row],[id]],prov_color!A:A,prov_color!C:C)</f>
        <v>64</v>
      </c>
      <c r="P1599" t="str">
        <f>_xlfn.XLOOKUP(VALINA[[#This Row],[id]],Table4[id],Table4[name])</f>
        <v>Tadjikistan</v>
      </c>
      <c r="Q1599" t="str">
        <f>_xlfn.XLOOKUP(VALINA[[#This Row],[name]],Trans!A:A,Trans!B:B)</f>
        <v>Tadjikistan</v>
      </c>
    </row>
    <row r="1600" spans="1:17" x14ac:dyDescent="0.25">
      <c r="A1600">
        <v>1599</v>
      </c>
      <c r="B1600" t="s">
        <v>653</v>
      </c>
      <c r="C1600" t="s">
        <v>672</v>
      </c>
      <c r="D1600" t="s">
        <v>711</v>
      </c>
      <c r="E1600" t="s">
        <v>52</v>
      </c>
      <c r="F1600" t="s">
        <v>609</v>
      </c>
      <c r="G1600" t="s">
        <v>35</v>
      </c>
      <c r="H1600" t="s">
        <v>712</v>
      </c>
      <c r="I1600" t="s">
        <v>41</v>
      </c>
      <c r="J1600" t="s">
        <v>1300</v>
      </c>
      <c r="K1600">
        <v>7</v>
      </c>
      <c r="L1600">
        <v>2</v>
      </c>
      <c r="M1600">
        <v>2</v>
      </c>
      <c r="N1600">
        <v>0</v>
      </c>
      <c r="O1600">
        <f>_xlfn.XLOOKUP(VALINA[[#This Row],[id]],prov_color!A:A,prov_color!C:C)</f>
        <v>66</v>
      </c>
      <c r="P1600" t="str">
        <f>_xlfn.XLOOKUP(VALINA[[#This Row],[id]],Table4[id],Table4[name])</f>
        <v>Kirgisistan</v>
      </c>
      <c r="Q1600" t="str">
        <f>_xlfn.XLOOKUP(VALINA[[#This Row],[name]],Trans!A:A,Trans!B:B)</f>
        <v>Kirgisistan</v>
      </c>
    </row>
    <row r="1601" spans="1:17" x14ac:dyDescent="0.25">
      <c r="A1601">
        <v>1600</v>
      </c>
      <c r="B1601" t="s">
        <v>653</v>
      </c>
      <c r="C1601" t="s">
        <v>672</v>
      </c>
      <c r="D1601" t="s">
        <v>1301</v>
      </c>
      <c r="E1601" t="s">
        <v>52</v>
      </c>
      <c r="F1601" t="s">
        <v>609</v>
      </c>
      <c r="G1601" t="s">
        <v>35</v>
      </c>
      <c r="H1601" t="s">
        <v>1302</v>
      </c>
      <c r="I1601" t="s">
        <v>41</v>
      </c>
      <c r="J1601" t="s">
        <v>1303</v>
      </c>
      <c r="K1601">
        <v>7</v>
      </c>
      <c r="L1601">
        <v>2</v>
      </c>
      <c r="M1601">
        <v>2</v>
      </c>
      <c r="N1601">
        <v>0</v>
      </c>
      <c r="O1601">
        <f>_xlfn.XLOOKUP(VALINA[[#This Row],[id]],prov_color!A:A,prov_color!C:C)</f>
        <v>93</v>
      </c>
      <c r="P1601" t="str">
        <f>_xlfn.XLOOKUP(VALINA[[#This Row],[id]],Table4[id],Table4[name])</f>
        <v>Tian Shan</v>
      </c>
      <c r="Q1601" t="str">
        <f>_xlfn.XLOOKUP(VALINA[[#This Row],[name]],Trans!A:A,Trans!B:B)</f>
        <v>Tian Shan</v>
      </c>
    </row>
    <row r="1602" spans="1:17" x14ac:dyDescent="0.25">
      <c r="A1602">
        <v>1601</v>
      </c>
      <c r="B1602" t="s">
        <v>653</v>
      </c>
      <c r="C1602" t="s">
        <v>672</v>
      </c>
      <c r="D1602" t="s">
        <v>1301</v>
      </c>
      <c r="E1602" t="s">
        <v>52</v>
      </c>
      <c r="F1602" t="s">
        <v>609</v>
      </c>
      <c r="G1602" t="s">
        <v>35</v>
      </c>
      <c r="H1602" t="s">
        <v>1302</v>
      </c>
      <c r="I1602" t="s">
        <v>41</v>
      </c>
      <c r="J1602" t="s">
        <v>1304</v>
      </c>
      <c r="K1602">
        <v>7</v>
      </c>
      <c r="L1602">
        <v>4</v>
      </c>
      <c r="M1602">
        <v>2</v>
      </c>
      <c r="N1602">
        <v>0</v>
      </c>
      <c r="O1602">
        <f>_xlfn.XLOOKUP(VALINA[[#This Row],[id]],prov_color!A:A,prov_color!C:C)</f>
        <v>92</v>
      </c>
      <c r="P1602" t="str">
        <f>_xlfn.XLOOKUP(VALINA[[#This Row],[id]],Table4[id],Table4[name])</f>
        <v>Dsungaria</v>
      </c>
      <c r="Q1602" t="str">
        <f>_xlfn.XLOOKUP(VALINA[[#This Row],[name]],Trans!A:A,Trans!B:B)</f>
        <v>Dsungaria</v>
      </c>
    </row>
    <row r="1603" spans="1:17" x14ac:dyDescent="0.25">
      <c r="A1603">
        <v>1602</v>
      </c>
      <c r="B1603" t="s">
        <v>653</v>
      </c>
      <c r="C1603" t="s">
        <v>672</v>
      </c>
      <c r="D1603" t="s">
        <v>1301</v>
      </c>
      <c r="E1603" t="s">
        <v>52</v>
      </c>
      <c r="F1603" t="s">
        <v>609</v>
      </c>
      <c r="G1603" t="s">
        <v>35</v>
      </c>
      <c r="H1603" t="s">
        <v>1302</v>
      </c>
      <c r="I1603" t="s">
        <v>27</v>
      </c>
      <c r="J1603" t="s">
        <v>1305</v>
      </c>
      <c r="K1603">
        <v>7</v>
      </c>
      <c r="L1603">
        <v>3</v>
      </c>
      <c r="M1603">
        <v>3</v>
      </c>
      <c r="N1603">
        <v>0</v>
      </c>
      <c r="O1603">
        <f>_xlfn.XLOOKUP(VALINA[[#This Row],[id]],prov_color!A:A,prov_color!C:C)</f>
        <v>68</v>
      </c>
      <c r="P1603" t="str">
        <f>_xlfn.XLOOKUP(VALINA[[#This Row],[id]],Table4[id],Table4[name])</f>
        <v>Bogda Shan</v>
      </c>
      <c r="Q1603" t="str">
        <f>_xlfn.XLOOKUP(VALINA[[#This Row],[name]],Trans!A:A,Trans!B:B)</f>
        <v>Bogda Shan</v>
      </c>
    </row>
    <row r="1604" spans="1:17" x14ac:dyDescent="0.25">
      <c r="A1604">
        <v>1603</v>
      </c>
      <c r="B1604" t="s">
        <v>653</v>
      </c>
      <c r="C1604" t="s">
        <v>672</v>
      </c>
      <c r="D1604" t="s">
        <v>1301</v>
      </c>
      <c r="E1604" t="s">
        <v>52</v>
      </c>
      <c r="F1604" t="s">
        <v>609</v>
      </c>
      <c r="G1604" t="s">
        <v>35</v>
      </c>
      <c r="H1604" t="s">
        <v>1302</v>
      </c>
      <c r="I1604" t="s">
        <v>41</v>
      </c>
      <c r="J1604" t="s">
        <v>1306</v>
      </c>
      <c r="K1604">
        <v>7</v>
      </c>
      <c r="L1604">
        <v>3</v>
      </c>
      <c r="M1604">
        <v>4</v>
      </c>
      <c r="N1604">
        <v>0</v>
      </c>
      <c r="O1604">
        <f>_xlfn.XLOOKUP(VALINA[[#This Row],[id]],prov_color!A:A,prov_color!C:C)</f>
        <v>72</v>
      </c>
      <c r="P1604" t="str">
        <f>_xlfn.XLOOKUP(VALINA[[#This Row],[id]],Table4[id],Table4[name])</f>
        <v>Chagatai</v>
      </c>
      <c r="Q1604" t="str">
        <f>_xlfn.XLOOKUP(VALINA[[#This Row],[name]],Trans!A:A,Trans!B:B)</f>
        <v>Chagatai</v>
      </c>
    </row>
    <row r="1605" spans="1:17" x14ac:dyDescent="0.25">
      <c r="A1605">
        <v>1604</v>
      </c>
      <c r="B1605" t="s">
        <v>653</v>
      </c>
      <c r="C1605" t="s">
        <v>672</v>
      </c>
      <c r="D1605" t="s">
        <v>1301</v>
      </c>
      <c r="E1605" t="s">
        <v>52</v>
      </c>
      <c r="F1605" t="s">
        <v>609</v>
      </c>
      <c r="G1605" t="s">
        <v>35</v>
      </c>
      <c r="H1605" t="s">
        <v>1302</v>
      </c>
      <c r="I1605" t="s">
        <v>43</v>
      </c>
      <c r="J1605" t="s">
        <v>1307</v>
      </c>
      <c r="K1605">
        <v>7</v>
      </c>
      <c r="L1605">
        <v>3</v>
      </c>
      <c r="M1605">
        <v>3</v>
      </c>
      <c r="N1605">
        <v>0</v>
      </c>
      <c r="O1605">
        <f>_xlfn.XLOOKUP(VALINA[[#This Row],[id]],prov_color!A:A,prov_color!C:C)</f>
        <v>91</v>
      </c>
      <c r="P1605" t="str">
        <f>_xlfn.XLOOKUP(VALINA[[#This Row],[id]],Table4[id],Table4[name])</f>
        <v>Urumqi</v>
      </c>
      <c r="Q1605" t="str">
        <f>_xlfn.XLOOKUP(VALINA[[#This Row],[name]],Trans!A:A,Trans!B:B)</f>
        <v>Urumqi</v>
      </c>
    </row>
    <row r="1606" spans="1:17" x14ac:dyDescent="0.25">
      <c r="A1606">
        <v>1605</v>
      </c>
      <c r="B1606" t="s">
        <v>653</v>
      </c>
      <c r="C1606" t="s">
        <v>672</v>
      </c>
      <c r="D1606" t="s">
        <v>1301</v>
      </c>
      <c r="E1606" t="s">
        <v>52</v>
      </c>
      <c r="F1606" t="s">
        <v>609</v>
      </c>
      <c r="G1606" t="s">
        <v>35</v>
      </c>
      <c r="H1606" t="s">
        <v>1302</v>
      </c>
      <c r="I1606" t="s">
        <v>43</v>
      </c>
      <c r="J1606" t="s">
        <v>1308</v>
      </c>
      <c r="K1606">
        <v>7</v>
      </c>
      <c r="L1606">
        <v>3</v>
      </c>
      <c r="M1606">
        <v>1</v>
      </c>
      <c r="N1606">
        <v>0</v>
      </c>
      <c r="O1606">
        <f>_xlfn.XLOOKUP(VALINA[[#This Row],[id]],prov_color!A:A,prov_color!C:C)</f>
        <v>109</v>
      </c>
      <c r="P1606" t="str">
        <f>_xlfn.XLOOKUP(VALINA[[#This Row],[id]],Table4[id],Table4[name])</f>
        <v>Qaidam Pendi</v>
      </c>
      <c r="Q1606" t="str">
        <f>_xlfn.XLOOKUP(VALINA[[#This Row],[name]],Trans!A:A,Trans!B:B)</f>
        <v>Qaidam Pendi</v>
      </c>
    </row>
    <row r="1607" spans="1:17" x14ac:dyDescent="0.25">
      <c r="A1607">
        <v>1606</v>
      </c>
      <c r="B1607" t="s">
        <v>653</v>
      </c>
      <c r="C1607" t="s">
        <v>672</v>
      </c>
      <c r="D1607" t="s">
        <v>1301</v>
      </c>
      <c r="E1607" t="s">
        <v>52</v>
      </c>
      <c r="F1607" t="s">
        <v>609</v>
      </c>
      <c r="G1607" t="s">
        <v>35</v>
      </c>
      <c r="H1607" t="s">
        <v>1302</v>
      </c>
      <c r="I1607" t="s">
        <v>43</v>
      </c>
      <c r="J1607" t="s">
        <v>1309</v>
      </c>
      <c r="K1607">
        <v>7</v>
      </c>
      <c r="L1607">
        <v>3</v>
      </c>
      <c r="M1607">
        <v>1</v>
      </c>
      <c r="N1607">
        <v>0</v>
      </c>
      <c r="O1607">
        <f>_xlfn.XLOOKUP(VALINA[[#This Row],[id]],prov_color!A:A,prov_color!C:C)</f>
        <v>96</v>
      </c>
      <c r="P1607" t="str">
        <f>_xlfn.XLOOKUP(VALINA[[#This Row],[id]],Table4[id],Table4[name])</f>
        <v>Sichuan</v>
      </c>
      <c r="Q1607" t="str">
        <f>_xlfn.XLOOKUP(VALINA[[#This Row],[name]],Trans!A:A,Trans!B:B)</f>
        <v>Sichuan</v>
      </c>
    </row>
    <row r="1608" spans="1:17" x14ac:dyDescent="0.25">
      <c r="A1608">
        <v>1607</v>
      </c>
      <c r="B1608" t="s">
        <v>653</v>
      </c>
      <c r="C1608" t="s">
        <v>672</v>
      </c>
      <c r="D1608" t="s">
        <v>1301</v>
      </c>
      <c r="E1608" t="s">
        <v>52</v>
      </c>
      <c r="F1608" t="s">
        <v>609</v>
      </c>
      <c r="G1608" t="s">
        <v>35</v>
      </c>
      <c r="H1608" t="s">
        <v>1302</v>
      </c>
      <c r="I1608" t="s">
        <v>43</v>
      </c>
      <c r="J1608" t="s">
        <v>1310</v>
      </c>
      <c r="K1608">
        <v>7</v>
      </c>
      <c r="L1608">
        <v>2</v>
      </c>
      <c r="M1608">
        <v>1</v>
      </c>
      <c r="N1608">
        <v>0</v>
      </c>
      <c r="O1608">
        <f>_xlfn.XLOOKUP(VALINA[[#This Row],[id]],prov_color!A:A,prov_color!C:C)</f>
        <v>145</v>
      </c>
      <c r="P1608" t="str">
        <f>_xlfn.XLOOKUP(VALINA[[#This Row],[id]],Table4[id],Table4[name])</f>
        <v>Qinghai</v>
      </c>
      <c r="Q1608" t="str">
        <f>_xlfn.XLOOKUP(VALINA[[#This Row],[name]],Trans!A:A,Trans!B:B)</f>
        <v>Qinghai</v>
      </c>
    </row>
    <row r="1609" spans="1:17" x14ac:dyDescent="0.25">
      <c r="A1609">
        <v>1608</v>
      </c>
      <c r="B1609" t="s">
        <v>653</v>
      </c>
      <c r="C1609" t="s">
        <v>672</v>
      </c>
      <c r="D1609" t="s">
        <v>1301</v>
      </c>
      <c r="E1609" t="s">
        <v>52</v>
      </c>
      <c r="F1609" t="s">
        <v>609</v>
      </c>
      <c r="G1609" t="s">
        <v>35</v>
      </c>
      <c r="H1609" t="s">
        <v>1302</v>
      </c>
      <c r="I1609" t="s">
        <v>43</v>
      </c>
      <c r="J1609" t="s">
        <v>1311</v>
      </c>
      <c r="K1609">
        <v>7</v>
      </c>
      <c r="L1609">
        <v>3</v>
      </c>
      <c r="M1609">
        <v>1</v>
      </c>
      <c r="N1609">
        <v>0</v>
      </c>
      <c r="O1609">
        <f>_xlfn.XLOOKUP(VALINA[[#This Row],[id]],prov_color!A:A,prov_color!C:C)</f>
        <v>84</v>
      </c>
      <c r="P1609" t="str">
        <f>_xlfn.XLOOKUP(VALINA[[#This Row],[id]],Table4[id],Table4[name])</f>
        <v>Qilian Pendi</v>
      </c>
      <c r="Q1609" t="str">
        <f>_xlfn.XLOOKUP(VALINA[[#This Row],[name]],Trans!A:A,Trans!B:B)</f>
        <v>Qilian Pendi</v>
      </c>
    </row>
    <row r="1610" spans="1:17" x14ac:dyDescent="0.25">
      <c r="A1610">
        <v>1609</v>
      </c>
      <c r="B1610" t="s">
        <v>653</v>
      </c>
      <c r="C1610" t="s">
        <v>654</v>
      </c>
      <c r="D1610" t="s">
        <v>658</v>
      </c>
      <c r="E1610" t="s">
        <v>14</v>
      </c>
      <c r="F1610" t="s">
        <v>609</v>
      </c>
      <c r="G1610" t="s">
        <v>26</v>
      </c>
      <c r="H1610" t="s">
        <v>648</v>
      </c>
      <c r="I1610" t="s">
        <v>37</v>
      </c>
      <c r="J1610" t="s">
        <v>1312</v>
      </c>
      <c r="K1610">
        <v>0</v>
      </c>
      <c r="L1610">
        <v>4</v>
      </c>
      <c r="M1610">
        <v>3</v>
      </c>
      <c r="N1610">
        <v>0</v>
      </c>
      <c r="O1610">
        <f>_xlfn.XLOOKUP(VALINA[[#This Row],[id]],prov_color!A:A,prov_color!C:C)</f>
        <v>25</v>
      </c>
      <c r="P1610" t="str">
        <f>_xlfn.XLOOKUP(VALINA[[#This Row],[id]],Table4[id],Table4[name])</f>
        <v>Kastamonu</v>
      </c>
      <c r="Q1610" t="str">
        <f>_xlfn.XLOOKUP(VALINA[[#This Row],[name]],Trans!A:A,Trans!B:B)</f>
        <v>Kastamonu</v>
      </c>
    </row>
    <row r="1611" spans="1:17" x14ac:dyDescent="0.25">
      <c r="A1611">
        <v>1610</v>
      </c>
      <c r="B1611" t="s">
        <v>653</v>
      </c>
      <c r="C1611" t="s">
        <v>654</v>
      </c>
      <c r="D1611" t="s">
        <v>658</v>
      </c>
      <c r="E1611" t="s">
        <v>14</v>
      </c>
      <c r="F1611" t="s">
        <v>609</v>
      </c>
      <c r="G1611" t="s">
        <v>26</v>
      </c>
      <c r="H1611" t="s">
        <v>648</v>
      </c>
      <c r="I1611" t="s">
        <v>27</v>
      </c>
      <c r="J1611" t="s">
        <v>1313</v>
      </c>
      <c r="K1611">
        <v>0</v>
      </c>
      <c r="L1611">
        <v>6</v>
      </c>
      <c r="M1611">
        <v>3</v>
      </c>
      <c r="N1611">
        <v>0</v>
      </c>
      <c r="O1611">
        <f>_xlfn.XLOOKUP(VALINA[[#This Row],[id]],prov_color!A:A,prov_color!C:C)</f>
        <v>22</v>
      </c>
      <c r="P1611" t="str">
        <f>_xlfn.XLOOKUP(VALINA[[#This Row],[id]],Table4[id],Table4[name])</f>
        <v>Antalya</v>
      </c>
      <c r="Q1611" t="str">
        <f>_xlfn.XLOOKUP(VALINA[[#This Row],[name]],Trans!A:A,Trans!B:B)</f>
        <v>Antalya</v>
      </c>
    </row>
    <row r="1612" spans="1:17" x14ac:dyDescent="0.25">
      <c r="A1612">
        <v>1611</v>
      </c>
      <c r="B1612" t="s">
        <v>653</v>
      </c>
      <c r="C1612" t="s">
        <v>654</v>
      </c>
      <c r="D1612" t="s">
        <v>658</v>
      </c>
      <c r="E1612" t="s">
        <v>14</v>
      </c>
      <c r="F1612" t="s">
        <v>609</v>
      </c>
      <c r="G1612" t="s">
        <v>26</v>
      </c>
      <c r="H1612" t="s">
        <v>648</v>
      </c>
      <c r="I1612" t="s">
        <v>41</v>
      </c>
      <c r="J1612" t="s">
        <v>1314</v>
      </c>
      <c r="K1612">
        <v>0</v>
      </c>
      <c r="L1612">
        <v>5</v>
      </c>
      <c r="M1612">
        <v>3</v>
      </c>
      <c r="N1612">
        <v>0</v>
      </c>
      <c r="O1612">
        <f>_xlfn.XLOOKUP(VALINA[[#This Row],[id]],prov_color!A:A,prov_color!C:C)</f>
        <v>20</v>
      </c>
      <c r="P1612" t="str">
        <f>_xlfn.XLOOKUP(VALINA[[#This Row],[id]],Table4[id],Table4[name])</f>
        <v>Taurus</v>
      </c>
      <c r="Q1612" t="str">
        <f>_xlfn.XLOOKUP(VALINA[[#This Row],[name]],Trans!A:A,Trans!B:B)</f>
        <v>Taurus</v>
      </c>
    </row>
    <row r="1613" spans="1:17" x14ac:dyDescent="0.25">
      <c r="A1613">
        <v>1612</v>
      </c>
      <c r="B1613" t="s">
        <v>346</v>
      </c>
      <c r="C1613" t="s">
        <v>447</v>
      </c>
      <c r="D1613" t="s">
        <v>553</v>
      </c>
      <c r="E1613" t="s">
        <v>14</v>
      </c>
      <c r="F1613" t="s">
        <v>349</v>
      </c>
      <c r="G1613" t="s">
        <v>26</v>
      </c>
      <c r="H1613" t="s">
        <v>554</v>
      </c>
      <c r="I1613" t="s">
        <v>141</v>
      </c>
      <c r="J1613" t="s">
        <v>1315</v>
      </c>
      <c r="K1613">
        <v>0</v>
      </c>
      <c r="L1613">
        <v>7</v>
      </c>
      <c r="M1613">
        <v>3</v>
      </c>
      <c r="N1613">
        <v>0</v>
      </c>
      <c r="O1613">
        <f>_xlfn.XLOOKUP(VALINA[[#This Row],[id]],prov_color!A:A,prov_color!C:C)</f>
        <v>24</v>
      </c>
      <c r="P1613" t="str">
        <f>_xlfn.XLOOKUP(VALINA[[#This Row],[id]],Table4[id],Table4[name])</f>
        <v>Schwyz</v>
      </c>
      <c r="Q1613" t="str">
        <f>_xlfn.XLOOKUP(VALINA[[#This Row],[name]],Trans!A:A,Trans!B:B)</f>
        <v>Schwyz</v>
      </c>
    </row>
    <row r="1614" spans="1:17" x14ac:dyDescent="0.25">
      <c r="A1614">
        <v>1613</v>
      </c>
      <c r="B1614" t="s">
        <v>346</v>
      </c>
      <c r="C1614" t="s">
        <v>1660</v>
      </c>
      <c r="D1614" t="s">
        <v>1641</v>
      </c>
      <c r="E1614" t="s">
        <v>1316</v>
      </c>
      <c r="J1614" t="s">
        <v>1944</v>
      </c>
      <c r="N1614">
        <v>0</v>
      </c>
      <c r="O1614">
        <f>_xlfn.XLOOKUP(VALINA[[#This Row],[id]],prov_color!A:A,prov_color!C:C)</f>
        <v>36</v>
      </c>
      <c r="P1614" t="str">
        <f>_xlfn.XLOOKUP(VALINA[[#This Row],[id]],Table4[id],Table4[name])</f>
        <v>Coast of Rhodes</v>
      </c>
      <c r="Q1614" t="str">
        <f>_xlfn.XLOOKUP(VALINA[[#This Row],[name]],Trans!A:A,Trans!B:B)</f>
        <v>Coast of Rhodes</v>
      </c>
    </row>
    <row r="1615" spans="1:17" x14ac:dyDescent="0.25">
      <c r="A1615">
        <v>1614</v>
      </c>
      <c r="B1615" t="s">
        <v>346</v>
      </c>
      <c r="C1615" t="s">
        <v>392</v>
      </c>
      <c r="D1615" t="s">
        <v>658</v>
      </c>
      <c r="E1615" t="s">
        <v>14</v>
      </c>
      <c r="G1615" t="s">
        <v>16</v>
      </c>
      <c r="I1615" t="s">
        <v>1152</v>
      </c>
      <c r="K1615">
        <v>0</v>
      </c>
      <c r="L1615">
        <v>0</v>
      </c>
      <c r="M1615">
        <v>0</v>
      </c>
      <c r="N1615">
        <v>0</v>
      </c>
      <c r="O1615">
        <f>_xlfn.XLOOKUP(VALINA[[#This Row],[id]],prov_color!A:A,prov_color!C:C)</f>
        <v>0</v>
      </c>
      <c r="P1615" t="e">
        <f>_xlfn.XLOOKUP(VALINA[[#This Row],[id]],Table4[id],Table4[name])</f>
        <v>#N/A</v>
      </c>
      <c r="Q1615" t="e">
        <f>_xlfn.XLOOKUP(VALINA[[#This Row],[name]],Trans!A:A,Trans!B:B)</f>
        <v>#N/A</v>
      </c>
    </row>
  </sheetData>
  <conditionalFormatting sqref="J1:J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0B07-D62E-4E27-B2C4-7D3F488A709D}">
  <dimension ref="A1:C2432"/>
  <sheetViews>
    <sheetView topLeftCell="A268" workbookViewId="0">
      <selection activeCell="A289" sqref="A289"/>
    </sheetView>
  </sheetViews>
  <sheetFormatPr defaultRowHeight="15" x14ac:dyDescent="0.25"/>
  <cols>
    <col min="1" max="1" width="16.28515625" customWidth="1"/>
    <col min="2" max="2" width="37" customWidth="1"/>
  </cols>
  <sheetData>
    <row r="1" spans="1:3" x14ac:dyDescent="0.25">
      <c r="A1" t="s">
        <v>5970</v>
      </c>
      <c r="B1" t="s">
        <v>5969</v>
      </c>
    </row>
    <row r="2" spans="1:3" x14ac:dyDescent="0.25">
      <c r="A2" t="s">
        <v>193</v>
      </c>
      <c r="B2" t="s">
        <v>193</v>
      </c>
      <c r="C2" t="s">
        <v>5969</v>
      </c>
    </row>
    <row r="3" spans="1:3" x14ac:dyDescent="0.25">
      <c r="A3" t="s">
        <v>1570</v>
      </c>
      <c r="B3" t="s">
        <v>1570</v>
      </c>
      <c r="C3" t="s">
        <v>5969</v>
      </c>
    </row>
    <row r="4" spans="1:3" x14ac:dyDescent="0.25">
      <c r="A4" t="s">
        <v>1106</v>
      </c>
      <c r="B4" t="s">
        <v>1106</v>
      </c>
      <c r="C4" t="s">
        <v>5969</v>
      </c>
    </row>
    <row r="5" spans="1:3" x14ac:dyDescent="0.25">
      <c r="A5" t="s">
        <v>667</v>
      </c>
      <c r="B5" t="s">
        <v>667</v>
      </c>
      <c r="C5" t="s">
        <v>5969</v>
      </c>
    </row>
    <row r="6" spans="1:3" x14ac:dyDescent="0.25">
      <c r="A6" t="s">
        <v>689</v>
      </c>
      <c r="B6" t="s">
        <v>689</v>
      </c>
      <c r="C6" t="s">
        <v>5969</v>
      </c>
    </row>
    <row r="7" spans="1:3" x14ac:dyDescent="0.25">
      <c r="A7" t="s">
        <v>176</v>
      </c>
      <c r="B7" t="s">
        <v>176</v>
      </c>
      <c r="C7" t="s">
        <v>5969</v>
      </c>
    </row>
    <row r="8" spans="1:3" x14ac:dyDescent="0.25">
      <c r="A8" t="s">
        <v>1462</v>
      </c>
      <c r="B8" t="s">
        <v>1462</v>
      </c>
      <c r="C8" t="s">
        <v>5969</v>
      </c>
    </row>
    <row r="9" spans="1:3" x14ac:dyDescent="0.25">
      <c r="A9" t="s">
        <v>1788</v>
      </c>
      <c r="B9" t="s">
        <v>1788</v>
      </c>
      <c r="C9" t="s">
        <v>5969</v>
      </c>
    </row>
    <row r="10" spans="1:3" x14ac:dyDescent="0.25">
      <c r="A10" t="s">
        <v>1049</v>
      </c>
      <c r="B10" t="s">
        <v>1049</v>
      </c>
      <c r="C10" t="s">
        <v>5969</v>
      </c>
    </row>
    <row r="11" spans="1:3" x14ac:dyDescent="0.25">
      <c r="A11" t="s">
        <v>731</v>
      </c>
      <c r="B11" t="s">
        <v>1713</v>
      </c>
      <c r="C11" t="s">
        <v>5969</v>
      </c>
    </row>
    <row r="12" spans="1:3" x14ac:dyDescent="0.25">
      <c r="A12" t="s">
        <v>335</v>
      </c>
      <c r="B12" t="s">
        <v>335</v>
      </c>
      <c r="C12" t="s">
        <v>5969</v>
      </c>
    </row>
    <row r="13" spans="1:3" x14ac:dyDescent="0.25">
      <c r="A13" t="s">
        <v>277</v>
      </c>
      <c r="B13" t="s">
        <v>277</v>
      </c>
      <c r="C13" t="s">
        <v>5969</v>
      </c>
    </row>
    <row r="14" spans="1:3" x14ac:dyDescent="0.25">
      <c r="A14" t="s">
        <v>936</v>
      </c>
      <c r="B14" t="s">
        <v>936</v>
      </c>
      <c r="C14" t="s">
        <v>5969</v>
      </c>
    </row>
    <row r="15" spans="1:3" x14ac:dyDescent="0.25">
      <c r="A15" t="s">
        <v>1344</v>
      </c>
      <c r="B15" t="s">
        <v>1344</v>
      </c>
      <c r="C15" t="s">
        <v>5969</v>
      </c>
    </row>
    <row r="16" spans="1:3" x14ac:dyDescent="0.25">
      <c r="A16" t="s">
        <v>1024</v>
      </c>
      <c r="B16" t="s">
        <v>5972</v>
      </c>
      <c r="C16" t="s">
        <v>5969</v>
      </c>
    </row>
    <row r="17" spans="1:3" x14ac:dyDescent="0.25">
      <c r="A17" t="s">
        <v>696</v>
      </c>
      <c r="B17" t="s">
        <v>696</v>
      </c>
      <c r="C17" t="s">
        <v>5969</v>
      </c>
    </row>
    <row r="18" spans="1:3" x14ac:dyDescent="0.25">
      <c r="A18" t="s">
        <v>118</v>
      </c>
      <c r="B18" t="s">
        <v>118</v>
      </c>
      <c r="C18" t="s">
        <v>5969</v>
      </c>
    </row>
    <row r="19" spans="1:3" x14ac:dyDescent="0.25">
      <c r="A19" t="s">
        <v>1941</v>
      </c>
      <c r="B19" t="s">
        <v>1941</v>
      </c>
      <c r="C19" t="s">
        <v>5969</v>
      </c>
    </row>
    <row r="20" spans="1:3" x14ac:dyDescent="0.25">
      <c r="A20" t="s">
        <v>313</v>
      </c>
      <c r="B20" t="s">
        <v>313</v>
      </c>
      <c r="C20" t="s">
        <v>5969</v>
      </c>
    </row>
    <row r="21" spans="1:3" x14ac:dyDescent="0.25">
      <c r="A21" t="s">
        <v>1753</v>
      </c>
      <c r="B21" t="s">
        <v>1753</v>
      </c>
      <c r="C21" t="s">
        <v>5969</v>
      </c>
    </row>
    <row r="22" spans="1:3" x14ac:dyDescent="0.25">
      <c r="A22" t="s">
        <v>521</v>
      </c>
      <c r="B22" t="s">
        <v>521</v>
      </c>
      <c r="C22" t="s">
        <v>5969</v>
      </c>
    </row>
    <row r="23" spans="1:3" x14ac:dyDescent="0.25">
      <c r="A23" t="s">
        <v>670</v>
      </c>
      <c r="B23" t="s">
        <v>670</v>
      </c>
      <c r="C23" t="s">
        <v>5969</v>
      </c>
    </row>
    <row r="24" spans="1:3" x14ac:dyDescent="0.25">
      <c r="A24" t="s">
        <v>289</v>
      </c>
      <c r="B24" t="s">
        <v>289</v>
      </c>
      <c r="C24" t="s">
        <v>5969</v>
      </c>
    </row>
    <row r="25" spans="1:3" x14ac:dyDescent="0.25">
      <c r="A25" t="s">
        <v>1605</v>
      </c>
      <c r="B25" t="s">
        <v>1605</v>
      </c>
      <c r="C25" t="s">
        <v>5969</v>
      </c>
    </row>
    <row r="26" spans="1:3" x14ac:dyDescent="0.25">
      <c r="A26" t="s">
        <v>1736</v>
      </c>
      <c r="B26" t="s">
        <v>1736</v>
      </c>
      <c r="C26" t="s">
        <v>5969</v>
      </c>
    </row>
    <row r="27" spans="1:3" x14ac:dyDescent="0.25">
      <c r="A27" t="s">
        <v>1032</v>
      </c>
      <c r="B27" t="s">
        <v>1032</v>
      </c>
      <c r="C27" t="s">
        <v>5969</v>
      </c>
    </row>
    <row r="28" spans="1:3" x14ac:dyDescent="0.25">
      <c r="A28" t="s">
        <v>710</v>
      </c>
      <c r="B28" t="s">
        <v>710</v>
      </c>
      <c r="C28" t="s">
        <v>5969</v>
      </c>
    </row>
    <row r="29" spans="1:3" x14ac:dyDescent="0.25">
      <c r="A29" t="s">
        <v>614</v>
      </c>
      <c r="B29" t="s">
        <v>614</v>
      </c>
      <c r="C29" t="s">
        <v>5969</v>
      </c>
    </row>
    <row r="30" spans="1:3" x14ac:dyDescent="0.25">
      <c r="A30" t="s">
        <v>128</v>
      </c>
      <c r="B30" t="s">
        <v>128</v>
      </c>
      <c r="C30" t="s">
        <v>5969</v>
      </c>
    </row>
    <row r="31" spans="1:3" x14ac:dyDescent="0.25">
      <c r="A31" t="s">
        <v>537</v>
      </c>
      <c r="B31" t="s">
        <v>537</v>
      </c>
      <c r="C31" t="s">
        <v>5969</v>
      </c>
    </row>
    <row r="32" spans="1:3" x14ac:dyDescent="0.25">
      <c r="A32" t="s">
        <v>809</v>
      </c>
      <c r="B32" t="s">
        <v>809</v>
      </c>
      <c r="C32" t="s">
        <v>5969</v>
      </c>
    </row>
    <row r="33" spans="1:3" x14ac:dyDescent="0.25">
      <c r="A33" t="s">
        <v>55</v>
      </c>
      <c r="B33" t="s">
        <v>55</v>
      </c>
      <c r="C33" t="s">
        <v>5969</v>
      </c>
    </row>
    <row r="34" spans="1:3" x14ac:dyDescent="0.25">
      <c r="A34" t="s">
        <v>1365</v>
      </c>
      <c r="B34" t="s">
        <v>1365</v>
      </c>
      <c r="C34" t="s">
        <v>5969</v>
      </c>
    </row>
    <row r="35" spans="1:3" x14ac:dyDescent="0.25">
      <c r="A35" t="s">
        <v>284</v>
      </c>
      <c r="B35" t="s">
        <v>284</v>
      </c>
      <c r="C35" t="s">
        <v>5969</v>
      </c>
    </row>
    <row r="36" spans="1:3" x14ac:dyDescent="0.25">
      <c r="A36" t="s">
        <v>1906</v>
      </c>
      <c r="B36" t="s">
        <v>1906</v>
      </c>
      <c r="C36" t="s">
        <v>5969</v>
      </c>
    </row>
    <row r="37" spans="1:3" x14ac:dyDescent="0.25">
      <c r="A37" t="s">
        <v>1129</v>
      </c>
      <c r="B37" t="s">
        <v>1129</v>
      </c>
      <c r="C37" t="s">
        <v>5969</v>
      </c>
    </row>
    <row r="38" spans="1:3" x14ac:dyDescent="0.25">
      <c r="A38" t="s">
        <v>854</v>
      </c>
      <c r="B38" t="s">
        <v>854</v>
      </c>
      <c r="C38" t="s">
        <v>5969</v>
      </c>
    </row>
    <row r="39" spans="1:3" x14ac:dyDescent="0.25">
      <c r="A39" t="s">
        <v>861</v>
      </c>
      <c r="B39" t="s">
        <v>861</v>
      </c>
      <c r="C39" t="s">
        <v>5969</v>
      </c>
    </row>
    <row r="40" spans="1:3" x14ac:dyDescent="0.25">
      <c r="A40" t="s">
        <v>1367</v>
      </c>
      <c r="B40" t="s">
        <v>1367</v>
      </c>
      <c r="C40" t="s">
        <v>5969</v>
      </c>
    </row>
    <row r="41" spans="1:3" x14ac:dyDescent="0.25">
      <c r="A41" t="s">
        <v>1923</v>
      </c>
      <c r="B41" t="s">
        <v>1923</v>
      </c>
      <c r="C41" t="s">
        <v>5969</v>
      </c>
    </row>
    <row r="42" spans="1:3" x14ac:dyDescent="0.25">
      <c r="A42" t="s">
        <v>658</v>
      </c>
      <c r="B42" t="s">
        <v>658</v>
      </c>
      <c r="C42" t="s">
        <v>5969</v>
      </c>
    </row>
    <row r="43" spans="1:3" x14ac:dyDescent="0.25">
      <c r="A43" t="s">
        <v>615</v>
      </c>
      <c r="B43" t="s">
        <v>615</v>
      </c>
      <c r="C43" t="s">
        <v>5969</v>
      </c>
    </row>
    <row r="44" spans="1:3" x14ac:dyDescent="0.25">
      <c r="A44" t="s">
        <v>1421</v>
      </c>
      <c r="B44" t="s">
        <v>1421</v>
      </c>
      <c r="C44" t="s">
        <v>5969</v>
      </c>
    </row>
    <row r="45" spans="1:3" x14ac:dyDescent="0.25">
      <c r="A45" t="s">
        <v>815</v>
      </c>
      <c r="B45" t="s">
        <v>815</v>
      </c>
      <c r="C45" t="s">
        <v>5969</v>
      </c>
    </row>
    <row r="46" spans="1:3" x14ac:dyDescent="0.25">
      <c r="A46" t="s">
        <v>371</v>
      </c>
      <c r="B46" t="s">
        <v>371</v>
      </c>
      <c r="C46" t="s">
        <v>5969</v>
      </c>
    </row>
    <row r="47" spans="1:3" x14ac:dyDescent="0.25">
      <c r="A47" t="s">
        <v>661</v>
      </c>
      <c r="B47" t="s">
        <v>661</v>
      </c>
      <c r="C47" t="s">
        <v>5969</v>
      </c>
    </row>
    <row r="48" spans="1:3" x14ac:dyDescent="0.25">
      <c r="A48" t="s">
        <v>487</v>
      </c>
      <c r="B48" t="s">
        <v>487</v>
      </c>
      <c r="C48" t="s">
        <v>5969</v>
      </c>
    </row>
    <row r="49" spans="1:3" x14ac:dyDescent="0.25">
      <c r="A49" t="s">
        <v>894</v>
      </c>
      <c r="B49" t="s">
        <v>894</v>
      </c>
      <c r="C49" t="s">
        <v>5969</v>
      </c>
    </row>
    <row r="50" spans="1:3" x14ac:dyDescent="0.25">
      <c r="A50" t="s">
        <v>504</v>
      </c>
      <c r="B50" t="s">
        <v>504</v>
      </c>
      <c r="C50" t="s">
        <v>5969</v>
      </c>
    </row>
    <row r="51" spans="1:3" x14ac:dyDescent="0.25">
      <c r="A51" t="s">
        <v>1313</v>
      </c>
      <c r="B51" t="s">
        <v>1313</v>
      </c>
      <c r="C51" t="s">
        <v>5969</v>
      </c>
    </row>
    <row r="52" spans="1:3" x14ac:dyDescent="0.25">
      <c r="A52" t="s">
        <v>1296</v>
      </c>
      <c r="B52" t="s">
        <v>1296</v>
      </c>
      <c r="C52" t="s">
        <v>5969</v>
      </c>
    </row>
    <row r="53" spans="1:3" x14ac:dyDescent="0.25">
      <c r="A53" t="s">
        <v>205</v>
      </c>
      <c r="B53" t="s">
        <v>205</v>
      </c>
      <c r="C53" t="s">
        <v>5969</v>
      </c>
    </row>
    <row r="54" spans="1:3" x14ac:dyDescent="0.25">
      <c r="A54" t="s">
        <v>238</v>
      </c>
      <c r="B54" t="s">
        <v>238</v>
      </c>
      <c r="C54" t="s">
        <v>5969</v>
      </c>
    </row>
    <row r="55" spans="1:3" x14ac:dyDescent="0.25">
      <c r="A55" t="s">
        <v>1130</v>
      </c>
      <c r="B55" t="s">
        <v>1130</v>
      </c>
      <c r="C55" t="s">
        <v>5969</v>
      </c>
    </row>
    <row r="56" spans="1:3" x14ac:dyDescent="0.25">
      <c r="A56" t="s">
        <v>134</v>
      </c>
      <c r="B56" t="s">
        <v>134</v>
      </c>
      <c r="C56" t="s">
        <v>5969</v>
      </c>
    </row>
    <row r="57" spans="1:3" x14ac:dyDescent="0.25">
      <c r="A57" t="s">
        <v>561</v>
      </c>
      <c r="B57" t="s">
        <v>561</v>
      </c>
      <c r="C57" t="s">
        <v>5969</v>
      </c>
    </row>
    <row r="58" spans="1:3" x14ac:dyDescent="0.25">
      <c r="A58" t="s">
        <v>248</v>
      </c>
      <c r="B58" t="s">
        <v>248</v>
      </c>
      <c r="C58" t="s">
        <v>5969</v>
      </c>
    </row>
    <row r="59" spans="1:3" x14ac:dyDescent="0.25">
      <c r="A59" t="s">
        <v>683</v>
      </c>
      <c r="B59" t="s">
        <v>683</v>
      </c>
      <c r="C59" t="s">
        <v>5969</v>
      </c>
    </row>
    <row r="60" spans="1:3" x14ac:dyDescent="0.25">
      <c r="A60" t="s">
        <v>1850</v>
      </c>
      <c r="B60" t="s">
        <v>1412</v>
      </c>
      <c r="C60" t="s">
        <v>5969</v>
      </c>
    </row>
    <row r="61" spans="1:3" x14ac:dyDescent="0.25">
      <c r="A61" t="s">
        <v>600</v>
      </c>
      <c r="B61" t="s">
        <v>600</v>
      </c>
      <c r="C61" t="s">
        <v>5969</v>
      </c>
    </row>
    <row r="62" spans="1:3" x14ac:dyDescent="0.25">
      <c r="A62" t="s">
        <v>1479</v>
      </c>
      <c r="B62" t="s">
        <v>1479</v>
      </c>
      <c r="C62" t="s">
        <v>5969</v>
      </c>
    </row>
    <row r="63" spans="1:3" x14ac:dyDescent="0.25">
      <c r="A63" t="s">
        <v>713</v>
      </c>
      <c r="B63" t="s">
        <v>713</v>
      </c>
      <c r="C63" t="s">
        <v>5969</v>
      </c>
    </row>
    <row r="64" spans="1:3" x14ac:dyDescent="0.25">
      <c r="A64" t="s">
        <v>320</v>
      </c>
      <c r="B64" t="s">
        <v>320</v>
      </c>
      <c r="C64" t="s">
        <v>5969</v>
      </c>
    </row>
    <row r="65" spans="1:3" x14ac:dyDescent="0.25">
      <c r="A65" t="s">
        <v>267</v>
      </c>
      <c r="B65" t="s">
        <v>267</v>
      </c>
      <c r="C65" t="s">
        <v>5969</v>
      </c>
    </row>
    <row r="66" spans="1:3" x14ac:dyDescent="0.25">
      <c r="A66" t="s">
        <v>1564</v>
      </c>
      <c r="B66" t="s">
        <v>1564</v>
      </c>
      <c r="C66" t="s">
        <v>5969</v>
      </c>
    </row>
    <row r="67" spans="1:3" x14ac:dyDescent="0.25">
      <c r="A67" t="s">
        <v>1438</v>
      </c>
      <c r="B67" t="s">
        <v>1438</v>
      </c>
      <c r="C67" t="s">
        <v>5969</v>
      </c>
    </row>
    <row r="68" spans="1:3" x14ac:dyDescent="0.25">
      <c r="A68" t="s">
        <v>269</v>
      </c>
      <c r="B68" t="s">
        <v>269</v>
      </c>
      <c r="C68" t="s">
        <v>5969</v>
      </c>
    </row>
    <row r="69" spans="1:3" x14ac:dyDescent="0.25">
      <c r="A69" t="s">
        <v>1563</v>
      </c>
      <c r="B69" t="s">
        <v>1563</v>
      </c>
      <c r="C69" t="s">
        <v>5969</v>
      </c>
    </row>
    <row r="70" spans="1:3" x14ac:dyDescent="0.25">
      <c r="A70" t="s">
        <v>60</v>
      </c>
      <c r="B70" t="s">
        <v>60</v>
      </c>
      <c r="C70" t="s">
        <v>5969</v>
      </c>
    </row>
    <row r="71" spans="1:3" x14ac:dyDescent="0.25">
      <c r="A71" t="s">
        <v>112</v>
      </c>
      <c r="B71" t="s">
        <v>112</v>
      </c>
      <c r="C71" t="s">
        <v>5969</v>
      </c>
    </row>
    <row r="72" spans="1:3" x14ac:dyDescent="0.25">
      <c r="A72" t="s">
        <v>405</v>
      </c>
      <c r="B72" t="s">
        <v>405</v>
      </c>
      <c r="C72" t="s">
        <v>5969</v>
      </c>
    </row>
    <row r="73" spans="1:3" x14ac:dyDescent="0.25">
      <c r="A73" t="s">
        <v>652</v>
      </c>
      <c r="B73" t="s">
        <v>652</v>
      </c>
      <c r="C73" t="s">
        <v>5969</v>
      </c>
    </row>
    <row r="74" spans="1:3" x14ac:dyDescent="0.25">
      <c r="A74" t="s">
        <v>581</v>
      </c>
      <c r="B74" t="s">
        <v>581</v>
      </c>
      <c r="C74" t="s">
        <v>5969</v>
      </c>
    </row>
    <row r="75" spans="1:3" x14ac:dyDescent="0.25">
      <c r="A75" t="s">
        <v>1213</v>
      </c>
      <c r="B75" t="s">
        <v>1213</v>
      </c>
      <c r="C75" t="s">
        <v>5969</v>
      </c>
    </row>
    <row r="76" spans="1:3" x14ac:dyDescent="0.25">
      <c r="A76" t="s">
        <v>327</v>
      </c>
      <c r="B76" t="s">
        <v>327</v>
      </c>
      <c r="C76" t="s">
        <v>5969</v>
      </c>
    </row>
    <row r="77" spans="1:3" x14ac:dyDescent="0.25">
      <c r="A77" t="s">
        <v>544</v>
      </c>
      <c r="B77" t="s">
        <v>544</v>
      </c>
      <c r="C77" t="s">
        <v>5969</v>
      </c>
    </row>
    <row r="78" spans="1:3" x14ac:dyDescent="0.25">
      <c r="A78" t="s">
        <v>1208</v>
      </c>
      <c r="B78" t="s">
        <v>1208</v>
      </c>
      <c r="C78" t="s">
        <v>5969</v>
      </c>
    </row>
    <row r="79" spans="1:3" x14ac:dyDescent="0.25">
      <c r="A79" t="s">
        <v>1805</v>
      </c>
      <c r="B79" t="s">
        <v>1805</v>
      </c>
      <c r="C79" t="s">
        <v>5969</v>
      </c>
    </row>
    <row r="80" spans="1:3" x14ac:dyDescent="0.25">
      <c r="A80" t="s">
        <v>921</v>
      </c>
      <c r="B80" t="s">
        <v>921</v>
      </c>
      <c r="C80" t="s">
        <v>5969</v>
      </c>
    </row>
    <row r="81" spans="1:3" x14ac:dyDescent="0.25">
      <c r="A81" t="s">
        <v>632</v>
      </c>
      <c r="B81" t="s">
        <v>632</v>
      </c>
      <c r="C81" t="s">
        <v>5969</v>
      </c>
    </row>
    <row r="82" spans="1:3" x14ac:dyDescent="0.25">
      <c r="A82" t="s">
        <v>602</v>
      </c>
      <c r="B82" t="s">
        <v>602</v>
      </c>
      <c r="C82" t="s">
        <v>5969</v>
      </c>
    </row>
    <row r="83" spans="1:3" x14ac:dyDescent="0.25">
      <c r="A83" t="s">
        <v>272</v>
      </c>
      <c r="B83" t="s">
        <v>272</v>
      </c>
      <c r="C83" t="s">
        <v>5969</v>
      </c>
    </row>
    <row r="84" spans="1:3" x14ac:dyDescent="0.25">
      <c r="A84" t="s">
        <v>1562</v>
      </c>
      <c r="B84" t="s">
        <v>1562</v>
      </c>
      <c r="C84" t="s">
        <v>5969</v>
      </c>
    </row>
    <row r="85" spans="1:3" x14ac:dyDescent="0.25">
      <c r="A85" t="s">
        <v>1177</v>
      </c>
      <c r="B85" t="s">
        <v>1177</v>
      </c>
      <c r="C85" t="s">
        <v>5969</v>
      </c>
    </row>
    <row r="86" spans="1:3" x14ac:dyDescent="0.25">
      <c r="A86" t="s">
        <v>1877</v>
      </c>
      <c r="B86" t="s">
        <v>1877</v>
      </c>
      <c r="C86" t="s">
        <v>5969</v>
      </c>
    </row>
    <row r="87" spans="1:3" x14ac:dyDescent="0.25">
      <c r="A87" t="s">
        <v>218</v>
      </c>
      <c r="B87" t="s">
        <v>218</v>
      </c>
      <c r="C87" t="s">
        <v>5969</v>
      </c>
    </row>
    <row r="88" spans="1:3" x14ac:dyDescent="0.25">
      <c r="A88" t="s">
        <v>1022</v>
      </c>
      <c r="B88" t="s">
        <v>1022</v>
      </c>
      <c r="C88" t="s">
        <v>5969</v>
      </c>
    </row>
    <row r="89" spans="1:3" x14ac:dyDescent="0.25">
      <c r="A89" t="s">
        <v>78</v>
      </c>
      <c r="B89" t="s">
        <v>78</v>
      </c>
      <c r="C89" t="s">
        <v>5969</v>
      </c>
    </row>
    <row r="90" spans="1:3" x14ac:dyDescent="0.25">
      <c r="A90" t="s">
        <v>215</v>
      </c>
      <c r="B90" t="s">
        <v>215</v>
      </c>
      <c r="C90" t="s">
        <v>5969</v>
      </c>
    </row>
    <row r="91" spans="1:3" x14ac:dyDescent="0.25">
      <c r="A91" t="s">
        <v>1023</v>
      </c>
      <c r="B91" t="s">
        <v>1023</v>
      </c>
      <c r="C91" t="s">
        <v>5969</v>
      </c>
    </row>
    <row r="92" spans="1:3" x14ac:dyDescent="0.25">
      <c r="A92" t="s">
        <v>1386</v>
      </c>
      <c r="B92" t="s">
        <v>1386</v>
      </c>
      <c r="C92" t="s">
        <v>5969</v>
      </c>
    </row>
    <row r="93" spans="1:3" x14ac:dyDescent="0.25">
      <c r="A93" t="s">
        <v>507</v>
      </c>
      <c r="B93" t="s">
        <v>507</v>
      </c>
      <c r="C93" t="s">
        <v>5969</v>
      </c>
    </row>
    <row r="94" spans="1:3" x14ac:dyDescent="0.25">
      <c r="A94" t="s">
        <v>587</v>
      </c>
      <c r="B94" t="s">
        <v>587</v>
      </c>
      <c r="C94" t="s">
        <v>5969</v>
      </c>
    </row>
    <row r="95" spans="1:3" x14ac:dyDescent="0.25">
      <c r="A95" t="s">
        <v>753</v>
      </c>
      <c r="B95" t="s">
        <v>753</v>
      </c>
      <c r="C95" t="s">
        <v>5969</v>
      </c>
    </row>
    <row r="96" spans="1:3" x14ac:dyDescent="0.25">
      <c r="A96" t="s">
        <v>1181</v>
      </c>
      <c r="B96" t="s">
        <v>1181</v>
      </c>
      <c r="C96" t="s">
        <v>5969</v>
      </c>
    </row>
    <row r="97" spans="1:3" x14ac:dyDescent="0.25">
      <c r="A97" t="s">
        <v>263</v>
      </c>
      <c r="B97" t="s">
        <v>263</v>
      </c>
      <c r="C97" t="s">
        <v>5969</v>
      </c>
    </row>
    <row r="98" spans="1:3" x14ac:dyDescent="0.25">
      <c r="A98" t="s">
        <v>1298</v>
      </c>
      <c r="B98" t="s">
        <v>1298</v>
      </c>
      <c r="C98" t="s">
        <v>5969</v>
      </c>
    </row>
    <row r="99" spans="1:3" x14ac:dyDescent="0.25">
      <c r="A99" t="s">
        <v>674</v>
      </c>
      <c r="B99" t="s">
        <v>674</v>
      </c>
      <c r="C99" t="s">
        <v>5969</v>
      </c>
    </row>
    <row r="100" spans="1:3" x14ac:dyDescent="0.25">
      <c r="A100" t="s">
        <v>642</v>
      </c>
      <c r="B100" t="s">
        <v>5973</v>
      </c>
      <c r="C100" t="s">
        <v>5969</v>
      </c>
    </row>
    <row r="101" spans="1:3" x14ac:dyDescent="0.25">
      <c r="A101" t="s">
        <v>258</v>
      </c>
      <c r="B101" t="s">
        <v>258</v>
      </c>
      <c r="C101" t="s">
        <v>5969</v>
      </c>
    </row>
    <row r="102" spans="1:3" x14ac:dyDescent="0.25">
      <c r="A102" t="s">
        <v>1796</v>
      </c>
      <c r="B102" t="s">
        <v>1512</v>
      </c>
      <c r="C102" t="s">
        <v>5969</v>
      </c>
    </row>
    <row r="103" spans="1:3" x14ac:dyDescent="0.25">
      <c r="A103" t="s">
        <v>535</v>
      </c>
      <c r="B103" t="s">
        <v>535</v>
      </c>
      <c r="C103" t="s">
        <v>5969</v>
      </c>
    </row>
    <row r="104" spans="1:3" x14ac:dyDescent="0.25">
      <c r="A104" t="s">
        <v>1250</v>
      </c>
      <c r="B104" t="s">
        <v>1250</v>
      </c>
      <c r="C104" t="s">
        <v>5969</v>
      </c>
    </row>
    <row r="105" spans="1:3" x14ac:dyDescent="0.25">
      <c r="A105" t="s">
        <v>1271</v>
      </c>
      <c r="B105" t="s">
        <v>1271</v>
      </c>
      <c r="C105" t="s">
        <v>5969</v>
      </c>
    </row>
    <row r="106" spans="1:3" x14ac:dyDescent="0.25">
      <c r="A106" t="s">
        <v>1556</v>
      </c>
      <c r="B106" t="s">
        <v>1556</v>
      </c>
      <c r="C106" t="s">
        <v>5969</v>
      </c>
    </row>
    <row r="107" spans="1:3" x14ac:dyDescent="0.25">
      <c r="A107" t="s">
        <v>700</v>
      </c>
      <c r="B107" t="s">
        <v>700</v>
      </c>
      <c r="C107" t="s">
        <v>5969</v>
      </c>
    </row>
    <row r="108" spans="1:3" x14ac:dyDescent="0.25">
      <c r="A108" t="s">
        <v>882</v>
      </c>
      <c r="B108" t="s">
        <v>882</v>
      </c>
      <c r="C108" t="s">
        <v>5969</v>
      </c>
    </row>
    <row r="109" spans="1:3" x14ac:dyDescent="0.25">
      <c r="A109" t="s">
        <v>50</v>
      </c>
      <c r="B109" t="s">
        <v>50</v>
      </c>
      <c r="C109" t="s">
        <v>5969</v>
      </c>
    </row>
    <row r="110" spans="1:3" x14ac:dyDescent="0.25">
      <c r="A110" t="s">
        <v>1383</v>
      </c>
      <c r="B110" t="s">
        <v>1383</v>
      </c>
      <c r="C110" t="s">
        <v>5969</v>
      </c>
    </row>
    <row r="111" spans="1:3" x14ac:dyDescent="0.25">
      <c r="A111" t="s">
        <v>842</v>
      </c>
      <c r="B111" t="s">
        <v>842</v>
      </c>
      <c r="C111" t="s">
        <v>5969</v>
      </c>
    </row>
    <row r="112" spans="1:3" x14ac:dyDescent="0.25">
      <c r="A112" t="s">
        <v>817</v>
      </c>
      <c r="B112" t="s">
        <v>817</v>
      </c>
      <c r="C112" t="s">
        <v>5969</v>
      </c>
    </row>
    <row r="113" spans="1:3" x14ac:dyDescent="0.25">
      <c r="A113" t="s">
        <v>1292</v>
      </c>
      <c r="B113" t="s">
        <v>1292</v>
      </c>
      <c r="C113" t="s">
        <v>5969</v>
      </c>
    </row>
    <row r="114" spans="1:3" x14ac:dyDescent="0.25">
      <c r="A114" t="s">
        <v>975</v>
      </c>
      <c r="B114" t="s">
        <v>975</v>
      </c>
      <c r="C114" t="s">
        <v>5969</v>
      </c>
    </row>
    <row r="115" spans="1:3" x14ac:dyDescent="0.25">
      <c r="A115" t="s">
        <v>1752</v>
      </c>
      <c r="B115" t="s">
        <v>1752</v>
      </c>
      <c r="C115" t="s">
        <v>5969</v>
      </c>
    </row>
    <row r="116" spans="1:3" x14ac:dyDescent="0.25">
      <c r="A116" t="s">
        <v>738</v>
      </c>
      <c r="B116" t="s">
        <v>738</v>
      </c>
      <c r="C116" t="s">
        <v>5969</v>
      </c>
    </row>
    <row r="117" spans="1:3" x14ac:dyDescent="0.25">
      <c r="A117" t="s">
        <v>1186</v>
      </c>
      <c r="B117" t="s">
        <v>1186</v>
      </c>
      <c r="C117" t="s">
        <v>5969</v>
      </c>
    </row>
    <row r="118" spans="1:3" x14ac:dyDescent="0.25">
      <c r="A118" t="s">
        <v>510</v>
      </c>
      <c r="B118" t="s">
        <v>510</v>
      </c>
      <c r="C118" t="s">
        <v>5969</v>
      </c>
    </row>
    <row r="119" spans="1:3" x14ac:dyDescent="0.25">
      <c r="A119" t="s">
        <v>966</v>
      </c>
      <c r="B119" t="s">
        <v>966</v>
      </c>
      <c r="C119" t="s">
        <v>5969</v>
      </c>
    </row>
    <row r="120" spans="1:3" x14ac:dyDescent="0.25">
      <c r="A120" t="s">
        <v>972</v>
      </c>
      <c r="B120" t="s">
        <v>972</v>
      </c>
      <c r="C120" t="s">
        <v>5969</v>
      </c>
    </row>
    <row r="121" spans="1:3" x14ac:dyDescent="0.25">
      <c r="A121" t="s">
        <v>788</v>
      </c>
      <c r="B121" t="s">
        <v>788</v>
      </c>
      <c r="C121" t="s">
        <v>5969</v>
      </c>
    </row>
    <row r="122" spans="1:3" x14ac:dyDescent="0.25">
      <c r="A122" t="s">
        <v>920</v>
      </c>
      <c r="B122" t="s">
        <v>920</v>
      </c>
      <c r="C122" t="s">
        <v>5969</v>
      </c>
    </row>
    <row r="123" spans="1:3" x14ac:dyDescent="0.25">
      <c r="A123" t="s">
        <v>192</v>
      </c>
      <c r="B123" t="s">
        <v>192</v>
      </c>
      <c r="C123" t="s">
        <v>5969</v>
      </c>
    </row>
    <row r="124" spans="1:3" x14ac:dyDescent="0.25">
      <c r="A124" t="s">
        <v>1484</v>
      </c>
      <c r="B124" t="s">
        <v>1484</v>
      </c>
      <c r="C124" t="s">
        <v>5969</v>
      </c>
    </row>
    <row r="125" spans="1:3" x14ac:dyDescent="0.25">
      <c r="A125" t="s">
        <v>811</v>
      </c>
      <c r="B125" t="s">
        <v>811</v>
      </c>
      <c r="C125" t="s">
        <v>5969</v>
      </c>
    </row>
    <row r="126" spans="1:3" x14ac:dyDescent="0.25">
      <c r="A126" t="s">
        <v>232</v>
      </c>
      <c r="B126" t="s">
        <v>232</v>
      </c>
      <c r="C126" t="s">
        <v>5969</v>
      </c>
    </row>
    <row r="127" spans="1:3" x14ac:dyDescent="0.25">
      <c r="A127" t="s">
        <v>243</v>
      </c>
      <c r="B127" t="s">
        <v>243</v>
      </c>
      <c r="C127" t="s">
        <v>5969</v>
      </c>
    </row>
    <row r="128" spans="1:3" x14ac:dyDescent="0.25">
      <c r="A128" t="s">
        <v>1470</v>
      </c>
      <c r="B128" t="s">
        <v>1470</v>
      </c>
      <c r="C128" t="s">
        <v>5969</v>
      </c>
    </row>
    <row r="129" spans="1:3" x14ac:dyDescent="0.25">
      <c r="A129" t="s">
        <v>191</v>
      </c>
      <c r="B129" t="s">
        <v>191</v>
      </c>
      <c r="C129" t="s">
        <v>5969</v>
      </c>
    </row>
    <row r="130" spans="1:3" x14ac:dyDescent="0.25">
      <c r="A130" t="s">
        <v>699</v>
      </c>
      <c r="B130" t="s">
        <v>699</v>
      </c>
      <c r="C130" t="s">
        <v>5969</v>
      </c>
    </row>
    <row r="131" spans="1:3" x14ac:dyDescent="0.25">
      <c r="A131" t="s">
        <v>1845</v>
      </c>
      <c r="B131" t="s">
        <v>1845</v>
      </c>
      <c r="C131" t="s">
        <v>5969</v>
      </c>
    </row>
    <row r="132" spans="1:3" x14ac:dyDescent="0.25">
      <c r="A132" t="s">
        <v>783</v>
      </c>
      <c r="B132" t="s">
        <v>783</v>
      </c>
      <c r="C132" t="s">
        <v>5969</v>
      </c>
    </row>
    <row r="133" spans="1:3" x14ac:dyDescent="0.25">
      <c r="A133" t="s">
        <v>1038</v>
      </c>
      <c r="B133" t="s">
        <v>1038</v>
      </c>
      <c r="C133" t="s">
        <v>5969</v>
      </c>
    </row>
    <row r="134" spans="1:3" x14ac:dyDescent="0.25">
      <c r="A134" t="s">
        <v>1368</v>
      </c>
      <c r="B134" t="s">
        <v>1368</v>
      </c>
      <c r="C134" t="s">
        <v>5969</v>
      </c>
    </row>
    <row r="135" spans="1:3" x14ac:dyDescent="0.25">
      <c r="A135" t="s">
        <v>1448</v>
      </c>
      <c r="B135" t="s">
        <v>1448</v>
      </c>
      <c r="C135" t="s">
        <v>5969</v>
      </c>
    </row>
    <row r="136" spans="1:3" x14ac:dyDescent="0.25">
      <c r="A136" t="s">
        <v>1582</v>
      </c>
      <c r="B136" t="s">
        <v>1582</v>
      </c>
      <c r="C136" t="s">
        <v>5969</v>
      </c>
    </row>
    <row r="137" spans="1:3" x14ac:dyDescent="0.25">
      <c r="A137" t="s">
        <v>1548</v>
      </c>
      <c r="B137" t="s">
        <v>1548</v>
      </c>
      <c r="C137" t="s">
        <v>5969</v>
      </c>
    </row>
    <row r="138" spans="1:3" x14ac:dyDescent="0.25">
      <c r="A138" t="s">
        <v>1424</v>
      </c>
      <c r="B138" t="s">
        <v>1424</v>
      </c>
      <c r="C138" t="s">
        <v>5969</v>
      </c>
    </row>
    <row r="139" spans="1:3" x14ac:dyDescent="0.25">
      <c r="A139" t="s">
        <v>1478</v>
      </c>
      <c r="B139" t="s">
        <v>1478</v>
      </c>
      <c r="C139" t="s">
        <v>5969</v>
      </c>
    </row>
    <row r="140" spans="1:3" x14ac:dyDescent="0.25">
      <c r="A140" t="s">
        <v>1569</v>
      </c>
      <c r="B140" t="s">
        <v>1569</v>
      </c>
      <c r="C140" t="s">
        <v>5969</v>
      </c>
    </row>
    <row r="141" spans="1:3" x14ac:dyDescent="0.25">
      <c r="A141" t="s">
        <v>1749</v>
      </c>
      <c r="B141" t="s">
        <v>1749</v>
      </c>
      <c r="C141" t="s">
        <v>5969</v>
      </c>
    </row>
    <row r="142" spans="1:3" x14ac:dyDescent="0.25">
      <c r="A142" t="s">
        <v>1372</v>
      </c>
      <c r="B142" t="s">
        <v>1372</v>
      </c>
      <c r="C142" t="s">
        <v>5969</v>
      </c>
    </row>
    <row r="143" spans="1:3" x14ac:dyDescent="0.25">
      <c r="A143" t="s">
        <v>1369</v>
      </c>
      <c r="B143" t="s">
        <v>1369</v>
      </c>
      <c r="C143" t="s">
        <v>5969</v>
      </c>
    </row>
    <row r="144" spans="1:3" x14ac:dyDescent="0.25">
      <c r="A144" t="s">
        <v>1456</v>
      </c>
      <c r="B144" t="s">
        <v>1456</v>
      </c>
      <c r="C144" t="s">
        <v>5969</v>
      </c>
    </row>
    <row r="145" spans="1:3" x14ac:dyDescent="0.25">
      <c r="A145" t="s">
        <v>1606</v>
      </c>
      <c r="B145" t="s">
        <v>1606</v>
      </c>
      <c r="C145" t="s">
        <v>5969</v>
      </c>
    </row>
    <row r="146" spans="1:3" x14ac:dyDescent="0.25">
      <c r="A146" t="s">
        <v>1741</v>
      </c>
      <c r="B146" t="s">
        <v>1741</v>
      </c>
      <c r="C146" t="s">
        <v>5969</v>
      </c>
    </row>
    <row r="147" spans="1:3" x14ac:dyDescent="0.25">
      <c r="A147" t="s">
        <v>505</v>
      </c>
      <c r="B147" t="s">
        <v>505</v>
      </c>
      <c r="C147" t="s">
        <v>5969</v>
      </c>
    </row>
    <row r="148" spans="1:3" x14ac:dyDescent="0.25">
      <c r="A148" t="s">
        <v>104</v>
      </c>
      <c r="B148" t="s">
        <v>104</v>
      </c>
      <c r="C148" t="s">
        <v>5969</v>
      </c>
    </row>
    <row r="149" spans="1:3" x14ac:dyDescent="0.25">
      <c r="A149" t="s">
        <v>1631</v>
      </c>
      <c r="B149" t="s">
        <v>1631</v>
      </c>
      <c r="C149" t="s">
        <v>5969</v>
      </c>
    </row>
    <row r="150" spans="1:3" x14ac:dyDescent="0.25">
      <c r="A150" t="s">
        <v>1194</v>
      </c>
      <c r="B150" t="s">
        <v>1194</v>
      </c>
      <c r="C150" t="s">
        <v>5969</v>
      </c>
    </row>
    <row r="151" spans="1:3" x14ac:dyDescent="0.25">
      <c r="A151" t="s">
        <v>423</v>
      </c>
      <c r="B151" t="s">
        <v>423</v>
      </c>
      <c r="C151" t="s">
        <v>5969</v>
      </c>
    </row>
    <row r="152" spans="1:3" x14ac:dyDescent="0.25">
      <c r="A152" t="s">
        <v>625</v>
      </c>
      <c r="B152" t="s">
        <v>625</v>
      </c>
      <c r="C152" t="s">
        <v>5969</v>
      </c>
    </row>
    <row r="153" spans="1:3" x14ac:dyDescent="0.25">
      <c r="A153" t="s">
        <v>1535</v>
      </c>
      <c r="B153" t="s">
        <v>1535</v>
      </c>
      <c r="C153" t="s">
        <v>5969</v>
      </c>
    </row>
    <row r="154" spans="1:3" x14ac:dyDescent="0.25">
      <c r="A154" t="s">
        <v>206</v>
      </c>
      <c r="B154" t="s">
        <v>206</v>
      </c>
      <c r="C154" t="s">
        <v>5969</v>
      </c>
    </row>
    <row r="155" spans="1:3" x14ac:dyDescent="0.25">
      <c r="A155" t="s">
        <v>1284</v>
      </c>
      <c r="B155" t="s">
        <v>1284</v>
      </c>
      <c r="C155" t="s">
        <v>5969</v>
      </c>
    </row>
    <row r="156" spans="1:3" x14ac:dyDescent="0.25">
      <c r="A156" t="s">
        <v>385</v>
      </c>
      <c r="B156" t="s">
        <v>385</v>
      </c>
      <c r="C156" t="s">
        <v>5969</v>
      </c>
    </row>
    <row r="157" spans="1:3" x14ac:dyDescent="0.25">
      <c r="A157" t="s">
        <v>386</v>
      </c>
      <c r="B157" t="s">
        <v>386</v>
      </c>
      <c r="C157" t="s">
        <v>5969</v>
      </c>
    </row>
    <row r="158" spans="1:3" x14ac:dyDescent="0.25">
      <c r="A158" t="s">
        <v>780</v>
      </c>
      <c r="B158" t="s">
        <v>780</v>
      </c>
      <c r="C158" t="s">
        <v>5969</v>
      </c>
    </row>
    <row r="159" spans="1:3" x14ac:dyDescent="0.25">
      <c r="A159" t="s">
        <v>1735</v>
      </c>
      <c r="B159" t="s">
        <v>1735</v>
      </c>
      <c r="C159" t="s">
        <v>5969</v>
      </c>
    </row>
    <row r="160" spans="1:3" x14ac:dyDescent="0.25">
      <c r="A160" t="s">
        <v>1270</v>
      </c>
      <c r="B160" t="s">
        <v>1270</v>
      </c>
      <c r="C160" t="s">
        <v>5969</v>
      </c>
    </row>
    <row r="161" spans="1:3" x14ac:dyDescent="0.25">
      <c r="A161" t="s">
        <v>1762</v>
      </c>
      <c r="B161" t="s">
        <v>1762</v>
      </c>
      <c r="C161" t="s">
        <v>5969</v>
      </c>
    </row>
    <row r="162" spans="1:3" x14ac:dyDescent="0.25">
      <c r="A162" t="s">
        <v>555</v>
      </c>
      <c r="B162" t="s">
        <v>555</v>
      </c>
      <c r="C162" t="s">
        <v>5969</v>
      </c>
    </row>
    <row r="163" spans="1:3" x14ac:dyDescent="0.25">
      <c r="A163" t="s">
        <v>578</v>
      </c>
      <c r="B163" t="s">
        <v>578</v>
      </c>
      <c r="C163" t="s">
        <v>5969</v>
      </c>
    </row>
    <row r="164" spans="1:3" x14ac:dyDescent="0.25">
      <c r="A164" t="s">
        <v>1829</v>
      </c>
      <c r="B164" t="s">
        <v>1829</v>
      </c>
      <c r="C164" t="s">
        <v>5969</v>
      </c>
    </row>
    <row r="165" spans="1:3" x14ac:dyDescent="0.25">
      <c r="A165" t="s">
        <v>777</v>
      </c>
      <c r="B165" t="s">
        <v>777</v>
      </c>
      <c r="C165" t="s">
        <v>5969</v>
      </c>
    </row>
    <row r="166" spans="1:3" x14ac:dyDescent="0.25">
      <c r="A166" t="s">
        <v>1218</v>
      </c>
      <c r="B166" t="s">
        <v>1218</v>
      </c>
      <c r="C166" t="s">
        <v>5969</v>
      </c>
    </row>
    <row r="167" spans="1:3" x14ac:dyDescent="0.25">
      <c r="A167" t="s">
        <v>105</v>
      </c>
      <c r="B167" t="s">
        <v>105</v>
      </c>
      <c r="C167" t="s">
        <v>5969</v>
      </c>
    </row>
    <row r="168" spans="1:3" x14ac:dyDescent="0.25">
      <c r="A168" t="s">
        <v>1227</v>
      </c>
      <c r="B168" t="s">
        <v>1227</v>
      </c>
      <c r="C168" t="s">
        <v>5969</v>
      </c>
    </row>
    <row r="169" spans="1:3" x14ac:dyDescent="0.25">
      <c r="A169" t="s">
        <v>867</v>
      </c>
      <c r="B169" t="s">
        <v>867</v>
      </c>
      <c r="C169" t="s">
        <v>5969</v>
      </c>
    </row>
    <row r="170" spans="1:3" x14ac:dyDescent="0.25">
      <c r="A170" t="s">
        <v>1041</v>
      </c>
      <c r="B170" t="s">
        <v>1041</v>
      </c>
      <c r="C170" t="s">
        <v>5969</v>
      </c>
    </row>
    <row r="171" spans="1:3" x14ac:dyDescent="0.25">
      <c r="A171" t="s">
        <v>1305</v>
      </c>
      <c r="B171" t="s">
        <v>1305</v>
      </c>
      <c r="C171" t="s">
        <v>5969</v>
      </c>
    </row>
    <row r="172" spans="1:3" x14ac:dyDescent="0.25">
      <c r="A172" t="s">
        <v>856</v>
      </c>
      <c r="B172" t="s">
        <v>856</v>
      </c>
      <c r="C172" t="s">
        <v>5969</v>
      </c>
    </row>
    <row r="173" spans="1:3" x14ac:dyDescent="0.25">
      <c r="A173" t="s">
        <v>253</v>
      </c>
      <c r="B173" t="s">
        <v>253</v>
      </c>
      <c r="C173" t="s">
        <v>5969</v>
      </c>
    </row>
    <row r="174" spans="1:3" x14ac:dyDescent="0.25">
      <c r="A174" t="s">
        <v>626</v>
      </c>
      <c r="B174" t="s">
        <v>626</v>
      </c>
      <c r="C174" t="s">
        <v>5969</v>
      </c>
    </row>
    <row r="175" spans="1:3" x14ac:dyDescent="0.25">
      <c r="A175" t="s">
        <v>483</v>
      </c>
      <c r="B175" t="s">
        <v>483</v>
      </c>
      <c r="C175" t="s">
        <v>5969</v>
      </c>
    </row>
    <row r="176" spans="1:3" x14ac:dyDescent="0.25">
      <c r="A176" t="s">
        <v>757</v>
      </c>
      <c r="B176" t="s">
        <v>757</v>
      </c>
      <c r="C176" t="s">
        <v>5969</v>
      </c>
    </row>
    <row r="177" spans="1:3" x14ac:dyDescent="0.25">
      <c r="A177" t="s">
        <v>524</v>
      </c>
      <c r="B177" t="s">
        <v>524</v>
      </c>
      <c r="C177" t="s">
        <v>5969</v>
      </c>
    </row>
    <row r="178" spans="1:3" x14ac:dyDescent="0.25">
      <c r="A178" t="s">
        <v>1132</v>
      </c>
      <c r="B178" t="s">
        <v>1132</v>
      </c>
      <c r="C178" t="s">
        <v>5969</v>
      </c>
    </row>
    <row r="179" spans="1:3" x14ac:dyDescent="0.25">
      <c r="A179" t="s">
        <v>863</v>
      </c>
      <c r="B179" t="s">
        <v>863</v>
      </c>
      <c r="C179" t="s">
        <v>5969</v>
      </c>
    </row>
    <row r="180" spans="1:3" x14ac:dyDescent="0.25">
      <c r="A180" t="s">
        <v>577</v>
      </c>
      <c r="B180" t="s">
        <v>577</v>
      </c>
      <c r="C180" t="s">
        <v>5969</v>
      </c>
    </row>
    <row r="181" spans="1:3" x14ac:dyDescent="0.25">
      <c r="A181" t="s">
        <v>718</v>
      </c>
      <c r="B181" t="s">
        <v>718</v>
      </c>
      <c r="C181" t="s">
        <v>5969</v>
      </c>
    </row>
    <row r="182" spans="1:3" x14ac:dyDescent="0.25">
      <c r="A182" t="s">
        <v>543</v>
      </c>
      <c r="B182" t="s">
        <v>543</v>
      </c>
      <c r="C182" t="s">
        <v>5969</v>
      </c>
    </row>
    <row r="183" spans="1:3" x14ac:dyDescent="0.25">
      <c r="A183" t="s">
        <v>460</v>
      </c>
      <c r="B183" t="s">
        <v>460</v>
      </c>
      <c r="C183" t="s">
        <v>5969</v>
      </c>
    </row>
    <row r="184" spans="1:3" x14ac:dyDescent="0.25">
      <c r="A184" t="s">
        <v>819</v>
      </c>
      <c r="B184" t="s">
        <v>819</v>
      </c>
      <c r="C184" t="s">
        <v>5969</v>
      </c>
    </row>
    <row r="185" spans="1:3" x14ac:dyDescent="0.25">
      <c r="A185" t="s">
        <v>490</v>
      </c>
      <c r="B185" t="s">
        <v>490</v>
      </c>
      <c r="C185" t="s">
        <v>5969</v>
      </c>
    </row>
    <row r="186" spans="1:3" x14ac:dyDescent="0.25">
      <c r="A186" t="s">
        <v>582</v>
      </c>
      <c r="B186" t="s">
        <v>582</v>
      </c>
      <c r="C186" t="s">
        <v>5969</v>
      </c>
    </row>
    <row r="187" spans="1:3" x14ac:dyDescent="0.25">
      <c r="A187" t="s">
        <v>370</v>
      </c>
      <c r="B187" t="s">
        <v>370</v>
      </c>
      <c r="C187" t="s">
        <v>5969</v>
      </c>
    </row>
    <row r="188" spans="1:3" x14ac:dyDescent="0.25">
      <c r="A188" t="s">
        <v>963</v>
      </c>
      <c r="B188" t="s">
        <v>963</v>
      </c>
      <c r="C188" t="s">
        <v>5969</v>
      </c>
    </row>
    <row r="189" spans="1:3" x14ac:dyDescent="0.25">
      <c r="A189" t="s">
        <v>472</v>
      </c>
      <c r="B189" t="s">
        <v>472</v>
      </c>
      <c r="C189" t="s">
        <v>5969</v>
      </c>
    </row>
    <row r="190" spans="1:3" x14ac:dyDescent="0.25">
      <c r="A190" t="s">
        <v>1230</v>
      </c>
      <c r="B190" t="s">
        <v>1230</v>
      </c>
      <c r="C190" t="s">
        <v>5969</v>
      </c>
    </row>
    <row r="191" spans="1:3" x14ac:dyDescent="0.25">
      <c r="A191" t="s">
        <v>512</v>
      </c>
      <c r="B191" t="s">
        <v>512</v>
      </c>
      <c r="C191" t="s">
        <v>5969</v>
      </c>
    </row>
    <row r="192" spans="1:3" x14ac:dyDescent="0.25">
      <c r="A192" t="s">
        <v>754</v>
      </c>
      <c r="B192" t="s">
        <v>754</v>
      </c>
      <c r="C192" t="s">
        <v>5969</v>
      </c>
    </row>
    <row r="193" spans="1:3" x14ac:dyDescent="0.25">
      <c r="A193" t="s">
        <v>1639</v>
      </c>
      <c r="B193" t="s">
        <v>1639</v>
      </c>
      <c r="C193" t="s">
        <v>5969</v>
      </c>
    </row>
    <row r="194" spans="1:3" x14ac:dyDescent="0.25">
      <c r="A194" t="s">
        <v>831</v>
      </c>
      <c r="B194" t="s">
        <v>831</v>
      </c>
      <c r="C194" t="s">
        <v>5969</v>
      </c>
    </row>
    <row r="195" spans="1:3" x14ac:dyDescent="0.25">
      <c r="A195" t="s">
        <v>988</v>
      </c>
      <c r="B195" t="s">
        <v>988</v>
      </c>
      <c r="C195" t="s">
        <v>5969</v>
      </c>
    </row>
    <row r="196" spans="1:3" x14ac:dyDescent="0.25">
      <c r="A196" t="s">
        <v>1081</v>
      </c>
      <c r="B196" t="s">
        <v>1081</v>
      </c>
      <c r="C196" t="s">
        <v>5969</v>
      </c>
    </row>
    <row r="197" spans="1:3" x14ac:dyDescent="0.25">
      <c r="A197" t="s">
        <v>1096</v>
      </c>
      <c r="B197" t="s">
        <v>1096</v>
      </c>
      <c r="C197" t="s">
        <v>5969</v>
      </c>
    </row>
    <row r="198" spans="1:3" x14ac:dyDescent="0.25">
      <c r="A198" t="s">
        <v>261</v>
      </c>
      <c r="B198" t="s">
        <v>261</v>
      </c>
      <c r="C198" t="s">
        <v>5969</v>
      </c>
    </row>
    <row r="199" spans="1:3" x14ac:dyDescent="0.25">
      <c r="A199" t="s">
        <v>547</v>
      </c>
      <c r="B199" t="s">
        <v>547</v>
      </c>
      <c r="C199" t="s">
        <v>5969</v>
      </c>
    </row>
    <row r="200" spans="1:3" x14ac:dyDescent="0.25">
      <c r="A200" t="s">
        <v>257</v>
      </c>
      <c r="B200" t="s">
        <v>257</v>
      </c>
      <c r="C200" t="s">
        <v>5969</v>
      </c>
    </row>
    <row r="201" spans="1:3" x14ac:dyDescent="0.25">
      <c r="A201" t="s">
        <v>1758</v>
      </c>
      <c r="B201" t="s">
        <v>1758</v>
      </c>
      <c r="C201" t="s">
        <v>5969</v>
      </c>
    </row>
    <row r="202" spans="1:3" x14ac:dyDescent="0.25">
      <c r="A202" t="s">
        <v>1352</v>
      </c>
      <c r="B202" t="s">
        <v>1352</v>
      </c>
      <c r="C202" t="s">
        <v>5969</v>
      </c>
    </row>
    <row r="203" spans="1:3" x14ac:dyDescent="0.25">
      <c r="A203" t="s">
        <v>917</v>
      </c>
      <c r="B203" t="s">
        <v>917</v>
      </c>
      <c r="C203" t="s">
        <v>5969</v>
      </c>
    </row>
    <row r="204" spans="1:3" x14ac:dyDescent="0.25">
      <c r="A204" t="s">
        <v>86</v>
      </c>
      <c r="B204" t="s">
        <v>86</v>
      </c>
      <c r="C204" t="s">
        <v>5969</v>
      </c>
    </row>
    <row r="205" spans="1:3" x14ac:dyDescent="0.25">
      <c r="A205" t="s">
        <v>1491</v>
      </c>
      <c r="B205" t="s">
        <v>1491</v>
      </c>
      <c r="C205" t="s">
        <v>5969</v>
      </c>
    </row>
    <row r="206" spans="1:3" x14ac:dyDescent="0.25">
      <c r="A206" t="s">
        <v>322</v>
      </c>
      <c r="B206" t="s">
        <v>322</v>
      </c>
      <c r="C206" t="s">
        <v>5969</v>
      </c>
    </row>
    <row r="207" spans="1:3" x14ac:dyDescent="0.25">
      <c r="A207" t="s">
        <v>207</v>
      </c>
      <c r="B207" t="s">
        <v>207</v>
      </c>
      <c r="C207" t="s">
        <v>5969</v>
      </c>
    </row>
    <row r="208" spans="1:3" x14ac:dyDescent="0.25">
      <c r="A208" t="s">
        <v>601</v>
      </c>
      <c r="B208" t="s">
        <v>601</v>
      </c>
      <c r="C208" t="s">
        <v>5969</v>
      </c>
    </row>
    <row r="209" spans="1:3" x14ac:dyDescent="0.25">
      <c r="A209" t="s">
        <v>1476</v>
      </c>
      <c r="B209" t="s">
        <v>1476</v>
      </c>
      <c r="C209" t="s">
        <v>5969</v>
      </c>
    </row>
    <row r="210" spans="1:3" x14ac:dyDescent="0.25">
      <c r="A210" t="s">
        <v>294</v>
      </c>
      <c r="B210" t="s">
        <v>294</v>
      </c>
      <c r="C210" t="s">
        <v>5969</v>
      </c>
    </row>
    <row r="211" spans="1:3" x14ac:dyDescent="0.25">
      <c r="A211" t="s">
        <v>56</v>
      </c>
      <c r="B211" t="s">
        <v>56</v>
      </c>
      <c r="C211" t="s">
        <v>5969</v>
      </c>
    </row>
    <row r="212" spans="1:3" x14ac:dyDescent="0.25">
      <c r="A212" t="s">
        <v>1460</v>
      </c>
      <c r="B212" t="s">
        <v>1460</v>
      </c>
      <c r="C212" t="s">
        <v>5969</v>
      </c>
    </row>
    <row r="213" spans="1:3" x14ac:dyDescent="0.25">
      <c r="A213" t="s">
        <v>1760</v>
      </c>
      <c r="B213" t="s">
        <v>1760</v>
      </c>
      <c r="C213" t="s">
        <v>5969</v>
      </c>
    </row>
    <row r="214" spans="1:3" x14ac:dyDescent="0.25">
      <c r="A214" t="s">
        <v>1604</v>
      </c>
      <c r="B214" t="s">
        <v>1604</v>
      </c>
      <c r="C214" t="s">
        <v>5969</v>
      </c>
    </row>
    <row r="215" spans="1:3" x14ac:dyDescent="0.25">
      <c r="A215" t="s">
        <v>1529</v>
      </c>
      <c r="B215" t="s">
        <v>1529</v>
      </c>
      <c r="C215" t="s">
        <v>5969</v>
      </c>
    </row>
    <row r="216" spans="1:3" x14ac:dyDescent="0.25">
      <c r="A216" t="s">
        <v>1585</v>
      </c>
      <c r="B216" t="s">
        <v>1585</v>
      </c>
      <c r="C216" t="s">
        <v>5969</v>
      </c>
    </row>
    <row r="217" spans="1:3" x14ac:dyDescent="0.25">
      <c r="A217" t="s">
        <v>1406</v>
      </c>
      <c r="B217" t="s">
        <v>1406</v>
      </c>
      <c r="C217" t="s">
        <v>5969</v>
      </c>
    </row>
    <row r="218" spans="1:3" x14ac:dyDescent="0.25">
      <c r="A218" t="s">
        <v>1402</v>
      </c>
      <c r="B218" t="s">
        <v>1402</v>
      </c>
      <c r="C218" t="s">
        <v>5969</v>
      </c>
    </row>
    <row r="219" spans="1:3" x14ac:dyDescent="0.25">
      <c r="A219" t="s">
        <v>1503</v>
      </c>
      <c r="B219" t="s">
        <v>1503</v>
      </c>
      <c r="C219" t="s">
        <v>5969</v>
      </c>
    </row>
    <row r="220" spans="1:3" x14ac:dyDescent="0.25">
      <c r="A220" t="s">
        <v>1373</v>
      </c>
      <c r="B220" t="s">
        <v>1373</v>
      </c>
      <c r="C220" t="s">
        <v>5969</v>
      </c>
    </row>
    <row r="221" spans="1:3" x14ac:dyDescent="0.25">
      <c r="A221" t="s">
        <v>1842</v>
      </c>
      <c r="B221" t="s">
        <v>1842</v>
      </c>
      <c r="C221" t="s">
        <v>5969</v>
      </c>
    </row>
    <row r="222" spans="1:3" x14ac:dyDescent="0.25">
      <c r="A222" t="s">
        <v>1590</v>
      </c>
      <c r="B222" t="s">
        <v>1590</v>
      </c>
      <c r="C222" t="s">
        <v>5969</v>
      </c>
    </row>
    <row r="223" spans="1:3" x14ac:dyDescent="0.25">
      <c r="A223" t="s">
        <v>1146</v>
      </c>
      <c r="B223" t="s">
        <v>1146</v>
      </c>
      <c r="C223" t="s">
        <v>5969</v>
      </c>
    </row>
    <row r="224" spans="1:3" x14ac:dyDescent="0.25">
      <c r="A224" t="s">
        <v>1428</v>
      </c>
      <c r="B224" t="s">
        <v>1428</v>
      </c>
      <c r="C224" t="s">
        <v>5969</v>
      </c>
    </row>
    <row r="225" spans="1:3" x14ac:dyDescent="0.25">
      <c r="A225" t="s">
        <v>1409</v>
      </c>
      <c r="B225" t="s">
        <v>1409</v>
      </c>
      <c r="C225" t="s">
        <v>5969</v>
      </c>
    </row>
    <row r="226" spans="1:3" x14ac:dyDescent="0.25">
      <c r="A226" t="s">
        <v>301</v>
      </c>
      <c r="B226" t="s">
        <v>301</v>
      </c>
      <c r="C226" t="s">
        <v>5969</v>
      </c>
    </row>
    <row r="227" spans="1:3" x14ac:dyDescent="0.25">
      <c r="A227" t="s">
        <v>1541</v>
      </c>
      <c r="B227" t="s">
        <v>1541</v>
      </c>
      <c r="C227" t="s">
        <v>5969</v>
      </c>
    </row>
    <row r="228" spans="1:3" x14ac:dyDescent="0.25">
      <c r="A228" t="s">
        <v>278</v>
      </c>
      <c r="B228" t="s">
        <v>278</v>
      </c>
      <c r="C228" t="s">
        <v>5969</v>
      </c>
    </row>
    <row r="229" spans="1:3" x14ac:dyDescent="0.25">
      <c r="A229" t="s">
        <v>129</v>
      </c>
      <c r="B229" t="s">
        <v>129</v>
      </c>
      <c r="C229" t="s">
        <v>5969</v>
      </c>
    </row>
    <row r="230" spans="1:3" x14ac:dyDescent="0.25">
      <c r="A230" t="s">
        <v>1810</v>
      </c>
      <c r="B230" t="s">
        <v>5974</v>
      </c>
      <c r="C230" t="s">
        <v>5969</v>
      </c>
    </row>
    <row r="231" spans="1:3" x14ac:dyDescent="0.25">
      <c r="A231" t="s">
        <v>468</v>
      </c>
      <c r="B231" t="s">
        <v>468</v>
      </c>
      <c r="C231" t="s">
        <v>5969</v>
      </c>
    </row>
    <row r="232" spans="1:3" x14ac:dyDescent="0.25">
      <c r="A232" t="s">
        <v>251</v>
      </c>
      <c r="B232" t="s">
        <v>251</v>
      </c>
      <c r="C232" t="s">
        <v>5969</v>
      </c>
    </row>
    <row r="233" spans="1:3" x14ac:dyDescent="0.25">
      <c r="A233" t="s">
        <v>1116</v>
      </c>
      <c r="B233" t="s">
        <v>1116</v>
      </c>
      <c r="C233" t="s">
        <v>5969</v>
      </c>
    </row>
    <row r="234" spans="1:3" x14ac:dyDescent="0.25">
      <c r="A234" t="s">
        <v>607</v>
      </c>
      <c r="B234" t="s">
        <v>607</v>
      </c>
      <c r="C234" t="s">
        <v>5969</v>
      </c>
    </row>
    <row r="235" spans="1:3" x14ac:dyDescent="0.25">
      <c r="A235" t="s">
        <v>599</v>
      </c>
      <c r="B235" t="s">
        <v>599</v>
      </c>
      <c r="C235" t="s">
        <v>5969</v>
      </c>
    </row>
    <row r="236" spans="1:3" x14ac:dyDescent="0.25">
      <c r="A236" t="s">
        <v>1031</v>
      </c>
      <c r="B236" t="s">
        <v>1031</v>
      </c>
      <c r="C236" t="s">
        <v>5969</v>
      </c>
    </row>
    <row r="237" spans="1:3" x14ac:dyDescent="0.25">
      <c r="A237" t="s">
        <v>133</v>
      </c>
      <c r="B237" t="s">
        <v>133</v>
      </c>
      <c r="C237" t="s">
        <v>5969</v>
      </c>
    </row>
    <row r="238" spans="1:3" x14ac:dyDescent="0.25">
      <c r="A238" t="s">
        <v>163</v>
      </c>
      <c r="B238" t="s">
        <v>163</v>
      </c>
      <c r="C238" t="s">
        <v>5969</v>
      </c>
    </row>
    <row r="239" spans="1:3" x14ac:dyDescent="0.25">
      <c r="A239" t="s">
        <v>549</v>
      </c>
      <c r="B239" t="s">
        <v>549</v>
      </c>
      <c r="C239" t="s">
        <v>5969</v>
      </c>
    </row>
    <row r="240" spans="1:3" x14ac:dyDescent="0.25">
      <c r="A240" t="s">
        <v>1743</v>
      </c>
      <c r="B240" t="s">
        <v>1743</v>
      </c>
      <c r="C240" t="s">
        <v>5969</v>
      </c>
    </row>
    <row r="241" spans="1:3" x14ac:dyDescent="0.25">
      <c r="A241" t="s">
        <v>1433</v>
      </c>
      <c r="B241" t="s">
        <v>1433</v>
      </c>
      <c r="C241" t="s">
        <v>5969</v>
      </c>
    </row>
    <row r="242" spans="1:3" x14ac:dyDescent="0.25">
      <c r="A242" t="s">
        <v>1807</v>
      </c>
      <c r="B242" t="s">
        <v>1807</v>
      </c>
      <c r="C242" t="s">
        <v>5969</v>
      </c>
    </row>
    <row r="243" spans="1:3" x14ac:dyDescent="0.25">
      <c r="A243" t="s">
        <v>1790</v>
      </c>
      <c r="B243" t="s">
        <v>1790</v>
      </c>
      <c r="C243" t="s">
        <v>5969</v>
      </c>
    </row>
    <row r="244" spans="1:3" x14ac:dyDescent="0.25">
      <c r="A244" t="s">
        <v>989</v>
      </c>
      <c r="B244" t="s">
        <v>989</v>
      </c>
      <c r="C244" t="s">
        <v>5969</v>
      </c>
    </row>
    <row r="245" spans="1:3" x14ac:dyDescent="0.25">
      <c r="A245" t="s">
        <v>1630</v>
      </c>
      <c r="B245" t="s">
        <v>1630</v>
      </c>
      <c r="C245" t="s">
        <v>5969</v>
      </c>
    </row>
    <row r="246" spans="1:3" x14ac:dyDescent="0.25">
      <c r="A246" t="s">
        <v>1594</v>
      </c>
      <c r="B246" t="s">
        <v>1594</v>
      </c>
      <c r="C246" t="s">
        <v>5969</v>
      </c>
    </row>
    <row r="247" spans="1:3" x14ac:dyDescent="0.25">
      <c r="A247" t="s">
        <v>1306</v>
      </c>
      <c r="B247" t="s">
        <v>1306</v>
      </c>
      <c r="C247" t="s">
        <v>5969</v>
      </c>
    </row>
    <row r="248" spans="1:3" x14ac:dyDescent="0.25">
      <c r="A248" t="s">
        <v>541</v>
      </c>
      <c r="B248" t="s">
        <v>541</v>
      </c>
      <c r="C248" t="s">
        <v>5969</v>
      </c>
    </row>
    <row r="249" spans="1:3" x14ac:dyDescent="0.25">
      <c r="A249" t="s">
        <v>1216</v>
      </c>
      <c r="B249" t="s">
        <v>1216</v>
      </c>
      <c r="C249" t="s">
        <v>5969</v>
      </c>
    </row>
    <row r="250" spans="1:3" x14ac:dyDescent="0.25">
      <c r="A250" t="s">
        <v>1865</v>
      </c>
      <c r="B250" t="s">
        <v>1865</v>
      </c>
      <c r="C250" t="s">
        <v>5969</v>
      </c>
    </row>
    <row r="251" spans="1:3" x14ac:dyDescent="0.25">
      <c r="A251" t="s">
        <v>828</v>
      </c>
      <c r="B251" t="s">
        <v>828</v>
      </c>
      <c r="C251" t="s">
        <v>5969</v>
      </c>
    </row>
    <row r="252" spans="1:3" x14ac:dyDescent="0.25">
      <c r="A252" t="s">
        <v>1946</v>
      </c>
      <c r="B252" t="s">
        <v>1747</v>
      </c>
      <c r="C252" t="s">
        <v>5969</v>
      </c>
    </row>
    <row r="253" spans="1:3" x14ac:dyDescent="0.25">
      <c r="A253" t="s">
        <v>849</v>
      </c>
      <c r="B253" t="s">
        <v>849</v>
      </c>
      <c r="C253" t="s">
        <v>5969</v>
      </c>
    </row>
    <row r="254" spans="1:3" x14ac:dyDescent="0.25">
      <c r="A254" t="s">
        <v>437</v>
      </c>
      <c r="B254" t="s">
        <v>437</v>
      </c>
      <c r="C254" t="s">
        <v>5969</v>
      </c>
    </row>
    <row r="255" spans="1:3" x14ac:dyDescent="0.25">
      <c r="A255" t="s">
        <v>138</v>
      </c>
      <c r="B255" t="s">
        <v>138</v>
      </c>
      <c r="C255" t="s">
        <v>5969</v>
      </c>
    </row>
    <row r="256" spans="1:3" x14ac:dyDescent="0.25">
      <c r="A256" t="s">
        <v>1203</v>
      </c>
      <c r="B256" t="s">
        <v>1203</v>
      </c>
      <c r="C256" t="s">
        <v>5969</v>
      </c>
    </row>
    <row r="257" spans="1:3" x14ac:dyDescent="0.25">
      <c r="A257" t="s">
        <v>62</v>
      </c>
      <c r="B257" t="s">
        <v>62</v>
      </c>
      <c r="C257" t="s">
        <v>5969</v>
      </c>
    </row>
    <row r="258" spans="1:3" x14ac:dyDescent="0.25">
      <c r="A258" t="s">
        <v>839</v>
      </c>
      <c r="B258" t="s">
        <v>839</v>
      </c>
      <c r="C258" t="s">
        <v>5969</v>
      </c>
    </row>
    <row r="259" spans="1:3" x14ac:dyDescent="0.25">
      <c r="A259" t="s">
        <v>219</v>
      </c>
      <c r="B259" t="s">
        <v>219</v>
      </c>
      <c r="C259" t="s">
        <v>5969</v>
      </c>
    </row>
    <row r="260" spans="1:3" x14ac:dyDescent="0.25">
      <c r="A260" t="s">
        <v>923</v>
      </c>
      <c r="B260" t="s">
        <v>923</v>
      </c>
      <c r="C260" t="s">
        <v>5969</v>
      </c>
    </row>
    <row r="261" spans="1:3" x14ac:dyDescent="0.25">
      <c r="A261" t="s">
        <v>214</v>
      </c>
      <c r="B261" t="s">
        <v>214</v>
      </c>
      <c r="C261" t="s">
        <v>5969</v>
      </c>
    </row>
    <row r="262" spans="1:3" x14ac:dyDescent="0.25">
      <c r="A262" t="s">
        <v>1854</v>
      </c>
      <c r="B262" t="s">
        <v>1854</v>
      </c>
      <c r="C262" t="s">
        <v>5969</v>
      </c>
    </row>
    <row r="263" spans="1:3" x14ac:dyDescent="0.25">
      <c r="A263" t="s">
        <v>340</v>
      </c>
      <c r="B263" t="s">
        <v>340</v>
      </c>
      <c r="C263" t="s">
        <v>5969</v>
      </c>
    </row>
    <row r="264" spans="1:3" x14ac:dyDescent="0.25">
      <c r="A264" t="s">
        <v>1078</v>
      </c>
      <c r="B264" t="s">
        <v>1078</v>
      </c>
      <c r="C264" t="s">
        <v>5969</v>
      </c>
    </row>
    <row r="265" spans="1:3" x14ac:dyDescent="0.25">
      <c r="A265" t="s">
        <v>66</v>
      </c>
      <c r="B265" t="s">
        <v>66</v>
      </c>
      <c r="C265" t="s">
        <v>5969</v>
      </c>
    </row>
    <row r="266" spans="1:3" x14ac:dyDescent="0.25">
      <c r="A266" t="s">
        <v>1350</v>
      </c>
      <c r="B266" t="s">
        <v>1350</v>
      </c>
      <c r="C266" t="s">
        <v>5969</v>
      </c>
    </row>
    <row r="267" spans="1:3" x14ac:dyDescent="0.25">
      <c r="A267" t="s">
        <v>1818</v>
      </c>
      <c r="B267" t="s">
        <v>1818</v>
      </c>
      <c r="C267" t="s">
        <v>5969</v>
      </c>
    </row>
    <row r="268" spans="1:3" x14ac:dyDescent="0.25">
      <c r="A268" t="s">
        <v>1353</v>
      </c>
      <c r="B268" t="s">
        <v>1353</v>
      </c>
      <c r="C268" t="s">
        <v>5969</v>
      </c>
    </row>
    <row r="269" spans="1:3" x14ac:dyDescent="0.25">
      <c r="A269" t="s">
        <v>1550</v>
      </c>
      <c r="B269" t="s">
        <v>1550</v>
      </c>
      <c r="C269" t="s">
        <v>5969</v>
      </c>
    </row>
    <row r="270" spans="1:3" x14ac:dyDescent="0.25">
      <c r="A270" t="s">
        <v>1766</v>
      </c>
      <c r="B270" t="s">
        <v>1766</v>
      </c>
      <c r="C270" t="s">
        <v>5969</v>
      </c>
    </row>
    <row r="271" spans="1:3" x14ac:dyDescent="0.25">
      <c r="A271" t="s">
        <v>1392</v>
      </c>
      <c r="B271" t="s">
        <v>1392</v>
      </c>
      <c r="C271" t="s">
        <v>5969</v>
      </c>
    </row>
    <row r="272" spans="1:3" x14ac:dyDescent="0.25">
      <c r="A272" t="s">
        <v>1573</v>
      </c>
      <c r="B272" t="s">
        <v>1573</v>
      </c>
      <c r="C272" t="s">
        <v>5969</v>
      </c>
    </row>
    <row r="273" spans="1:3" x14ac:dyDescent="0.25">
      <c r="A273" t="s">
        <v>1497</v>
      </c>
      <c r="B273" t="s">
        <v>1497</v>
      </c>
      <c r="C273" t="s">
        <v>5969</v>
      </c>
    </row>
    <row r="274" spans="1:3" x14ac:dyDescent="0.25">
      <c r="A274" t="s">
        <v>1761</v>
      </c>
      <c r="B274" t="s">
        <v>1761</v>
      </c>
      <c r="C274" t="s">
        <v>5969</v>
      </c>
    </row>
    <row r="275" spans="1:3" x14ac:dyDescent="0.25">
      <c r="A275" t="s">
        <v>1561</v>
      </c>
      <c r="B275" t="s">
        <v>1561</v>
      </c>
      <c r="C275" t="s">
        <v>5969</v>
      </c>
    </row>
    <row r="276" spans="1:3" x14ac:dyDescent="0.25">
      <c r="A276" t="s">
        <v>1504</v>
      </c>
      <c r="B276" t="s">
        <v>1504</v>
      </c>
      <c r="C276" t="s">
        <v>5969</v>
      </c>
    </row>
    <row r="277" spans="1:3" x14ac:dyDescent="0.25">
      <c r="A277" t="s">
        <v>1576</v>
      </c>
      <c r="B277" t="s">
        <v>1576</v>
      </c>
      <c r="C277" t="s">
        <v>5969</v>
      </c>
    </row>
    <row r="278" spans="1:3" x14ac:dyDescent="0.25">
      <c r="A278" t="s">
        <v>1341</v>
      </c>
      <c r="B278" t="s">
        <v>1341</v>
      </c>
      <c r="C278" t="s">
        <v>5969</v>
      </c>
    </row>
    <row r="279" spans="1:3" x14ac:dyDescent="0.25">
      <c r="A279" t="s">
        <v>1567</v>
      </c>
      <c r="B279" t="s">
        <v>1567</v>
      </c>
      <c r="C279" t="s">
        <v>5969</v>
      </c>
    </row>
    <row r="280" spans="1:3" x14ac:dyDescent="0.25">
      <c r="A280" t="s">
        <v>1493</v>
      </c>
      <c r="B280" t="s">
        <v>1493</v>
      </c>
      <c r="C280" t="s">
        <v>5969</v>
      </c>
    </row>
    <row r="281" spans="1:3" x14ac:dyDescent="0.25">
      <c r="A281" t="s">
        <v>1429</v>
      </c>
      <c r="B281" t="s">
        <v>1429</v>
      </c>
      <c r="C281" t="s">
        <v>5969</v>
      </c>
    </row>
    <row r="282" spans="1:3" x14ac:dyDescent="0.25">
      <c r="A282" t="s">
        <v>1519</v>
      </c>
      <c r="B282" t="s">
        <v>1519</v>
      </c>
      <c r="C282" t="s">
        <v>5969</v>
      </c>
    </row>
    <row r="283" spans="1:3" x14ac:dyDescent="0.25">
      <c r="A283" t="s">
        <v>1328</v>
      </c>
      <c r="B283" t="s">
        <v>1328</v>
      </c>
      <c r="C283" t="s">
        <v>5969</v>
      </c>
    </row>
    <row r="284" spans="1:3" x14ac:dyDescent="0.25">
      <c r="A284" t="s">
        <v>1487</v>
      </c>
      <c r="B284" t="s">
        <v>1487</v>
      </c>
      <c r="C284" t="s">
        <v>5969</v>
      </c>
    </row>
    <row r="285" spans="1:3" x14ac:dyDescent="0.25">
      <c r="A285" t="s">
        <v>1396</v>
      </c>
      <c r="B285" t="s">
        <v>1396</v>
      </c>
      <c r="C285" t="s">
        <v>5969</v>
      </c>
    </row>
    <row r="286" spans="1:3" x14ac:dyDescent="0.25">
      <c r="A286" t="s">
        <v>1371</v>
      </c>
      <c r="B286" t="s">
        <v>1371</v>
      </c>
      <c r="C286" t="s">
        <v>5969</v>
      </c>
    </row>
    <row r="287" spans="1:3" x14ac:dyDescent="0.25">
      <c r="A287" t="s">
        <v>1377</v>
      </c>
      <c r="B287" t="s">
        <v>1377</v>
      </c>
      <c r="C287" t="s">
        <v>5969</v>
      </c>
    </row>
    <row r="288" spans="1:3" x14ac:dyDescent="0.25">
      <c r="A288" t="s">
        <v>1521</v>
      </c>
      <c r="B288" t="s">
        <v>1521</v>
      </c>
      <c r="C288" t="s">
        <v>5969</v>
      </c>
    </row>
    <row r="289" spans="1:3" x14ac:dyDescent="0.25">
      <c r="A289" t="s">
        <v>1798</v>
      </c>
      <c r="B289" t="s">
        <v>1518</v>
      </c>
      <c r="C289" t="s">
        <v>5969</v>
      </c>
    </row>
    <row r="290" spans="1:3" x14ac:dyDescent="0.25">
      <c r="A290" t="s">
        <v>1490</v>
      </c>
      <c r="B290" t="s">
        <v>1490</v>
      </c>
      <c r="C290" t="s">
        <v>5969</v>
      </c>
    </row>
    <row r="291" spans="1:3" x14ac:dyDescent="0.25">
      <c r="A291" t="s">
        <v>1501</v>
      </c>
      <c r="B291" t="s">
        <v>1501</v>
      </c>
      <c r="C291" t="s">
        <v>5969</v>
      </c>
    </row>
    <row r="292" spans="1:3" x14ac:dyDescent="0.25">
      <c r="A292" t="s">
        <v>1506</v>
      </c>
      <c r="B292" t="s">
        <v>1506</v>
      </c>
      <c r="C292" t="s">
        <v>5969</v>
      </c>
    </row>
    <row r="293" spans="1:3" x14ac:dyDescent="0.25">
      <c r="A293" t="s">
        <v>1401</v>
      </c>
      <c r="B293" t="s">
        <v>1401</v>
      </c>
      <c r="C293" t="s">
        <v>5969</v>
      </c>
    </row>
    <row r="294" spans="1:3" x14ac:dyDescent="0.25">
      <c r="A294" t="s">
        <v>1828</v>
      </c>
      <c r="B294" t="s">
        <v>1828</v>
      </c>
      <c r="C294" t="s">
        <v>5969</v>
      </c>
    </row>
    <row r="295" spans="1:3" x14ac:dyDescent="0.25">
      <c r="A295" t="s">
        <v>1575</v>
      </c>
      <c r="B295" t="s">
        <v>1575</v>
      </c>
      <c r="C295" t="s">
        <v>5969</v>
      </c>
    </row>
    <row r="296" spans="1:3" x14ac:dyDescent="0.25">
      <c r="A296" t="s">
        <v>1342</v>
      </c>
      <c r="B296" t="s">
        <v>1342</v>
      </c>
      <c r="C296" t="s">
        <v>5969</v>
      </c>
    </row>
    <row r="297" spans="1:3" x14ac:dyDescent="0.25">
      <c r="A297" t="s">
        <v>1449</v>
      </c>
      <c r="B297" t="s">
        <v>1449</v>
      </c>
      <c r="C297" t="s">
        <v>5969</v>
      </c>
    </row>
    <row r="298" spans="1:3" x14ac:dyDescent="0.25">
      <c r="A298" t="s">
        <v>1557</v>
      </c>
      <c r="B298" t="s">
        <v>1557</v>
      </c>
      <c r="C298" t="s">
        <v>5969</v>
      </c>
    </row>
    <row r="299" spans="1:3" x14ac:dyDescent="0.25">
      <c r="A299" t="s">
        <v>1510</v>
      </c>
      <c r="B299" t="s">
        <v>1510</v>
      </c>
      <c r="C299" t="s">
        <v>5969</v>
      </c>
    </row>
    <row r="300" spans="1:3" x14ac:dyDescent="0.25">
      <c r="A300" t="s">
        <v>1552</v>
      </c>
      <c r="B300" t="s">
        <v>1552</v>
      </c>
      <c r="C300" t="s">
        <v>5969</v>
      </c>
    </row>
    <row r="301" spans="1:3" x14ac:dyDescent="0.25">
      <c r="A301" t="s">
        <v>1565</v>
      </c>
      <c r="B301" t="s">
        <v>1565</v>
      </c>
      <c r="C301" t="s">
        <v>5969</v>
      </c>
    </row>
    <row r="302" spans="1:3" x14ac:dyDescent="0.25">
      <c r="A302" t="s">
        <v>1551</v>
      </c>
      <c r="B302" t="s">
        <v>1551</v>
      </c>
      <c r="C302" t="s">
        <v>5969</v>
      </c>
    </row>
    <row r="303" spans="1:3" x14ac:dyDescent="0.25">
      <c r="A303" t="s">
        <v>1944</v>
      </c>
      <c r="B303" t="s">
        <v>1944</v>
      </c>
      <c r="C303" t="s">
        <v>5969</v>
      </c>
    </row>
    <row r="304" spans="1:3" x14ac:dyDescent="0.25">
      <c r="A304" t="s">
        <v>1374</v>
      </c>
      <c r="B304" t="s">
        <v>1374</v>
      </c>
      <c r="C304" t="s">
        <v>5969</v>
      </c>
    </row>
    <row r="305" spans="1:3" x14ac:dyDescent="0.25">
      <c r="A305" t="s">
        <v>1394</v>
      </c>
      <c r="B305" t="s">
        <v>1394</v>
      </c>
      <c r="C305" t="s">
        <v>5969</v>
      </c>
    </row>
    <row r="306" spans="1:3" x14ac:dyDescent="0.25">
      <c r="A306" t="s">
        <v>1349</v>
      </c>
      <c r="B306" t="s">
        <v>1349</v>
      </c>
      <c r="C306" t="s">
        <v>5969</v>
      </c>
    </row>
    <row r="307" spans="1:3" x14ac:dyDescent="0.25">
      <c r="A307" t="s">
        <v>1824</v>
      </c>
      <c r="B307" t="s">
        <v>1824</v>
      </c>
      <c r="C307" t="s">
        <v>5969</v>
      </c>
    </row>
    <row r="308" spans="1:3" x14ac:dyDescent="0.25">
      <c r="A308" t="s">
        <v>1589</v>
      </c>
      <c r="B308" t="s">
        <v>1589</v>
      </c>
      <c r="C308" t="s">
        <v>5969</v>
      </c>
    </row>
    <row r="309" spans="1:3" x14ac:dyDescent="0.25">
      <c r="A309" t="s">
        <v>1505</v>
      </c>
      <c r="B309" t="s">
        <v>1505</v>
      </c>
      <c r="C309" t="s">
        <v>5969</v>
      </c>
    </row>
    <row r="310" spans="1:3" x14ac:dyDescent="0.25">
      <c r="A310" t="s">
        <v>1340</v>
      </c>
      <c r="B310" t="s">
        <v>1340</v>
      </c>
      <c r="C310" t="s">
        <v>5969</v>
      </c>
    </row>
    <row r="311" spans="1:3" x14ac:dyDescent="0.25">
      <c r="A311" t="s">
        <v>795</v>
      </c>
      <c r="B311" t="s">
        <v>795</v>
      </c>
      <c r="C311" t="s">
        <v>5969</v>
      </c>
    </row>
    <row r="312" spans="1:3" x14ac:dyDescent="0.25">
      <c r="A312" t="s">
        <v>800</v>
      </c>
      <c r="B312" t="s">
        <v>800</v>
      </c>
      <c r="C312" t="s">
        <v>5969</v>
      </c>
    </row>
    <row r="313" spans="1:3" x14ac:dyDescent="0.25">
      <c r="A313" t="s">
        <v>1173</v>
      </c>
      <c r="B313" t="s">
        <v>1173</v>
      </c>
      <c r="C313" t="s">
        <v>5969</v>
      </c>
    </row>
    <row r="314" spans="1:3" x14ac:dyDescent="0.25">
      <c r="A314" t="s">
        <v>1860</v>
      </c>
      <c r="B314" t="s">
        <v>1860</v>
      </c>
      <c r="C314" t="s">
        <v>5969</v>
      </c>
    </row>
    <row r="315" spans="1:3" x14ac:dyDescent="0.25">
      <c r="A315" t="s">
        <v>31</v>
      </c>
      <c r="B315" t="s">
        <v>31</v>
      </c>
      <c r="C315" t="s">
        <v>5969</v>
      </c>
    </row>
    <row r="316" spans="1:3" x14ac:dyDescent="0.25">
      <c r="A316" t="s">
        <v>1858</v>
      </c>
      <c r="B316" t="s">
        <v>1858</v>
      </c>
      <c r="C316" t="s">
        <v>5969</v>
      </c>
    </row>
    <row r="317" spans="1:3" x14ac:dyDescent="0.25">
      <c r="A317" t="s">
        <v>1339</v>
      </c>
      <c r="B317" t="s">
        <v>1339</v>
      </c>
      <c r="C317" t="s">
        <v>5969</v>
      </c>
    </row>
    <row r="318" spans="1:3" x14ac:dyDescent="0.25">
      <c r="A318" t="s">
        <v>98</v>
      </c>
      <c r="B318" t="s">
        <v>98</v>
      </c>
      <c r="C318" t="s">
        <v>5969</v>
      </c>
    </row>
    <row r="319" spans="1:3" x14ac:dyDescent="0.25">
      <c r="A319" t="s">
        <v>1094</v>
      </c>
      <c r="B319" t="s">
        <v>1094</v>
      </c>
      <c r="C319" t="s">
        <v>5969</v>
      </c>
    </row>
    <row r="320" spans="1:3" x14ac:dyDescent="0.25">
      <c r="A320" t="s">
        <v>1886</v>
      </c>
      <c r="B320" t="s">
        <v>1886</v>
      </c>
      <c r="C320" t="s">
        <v>5969</v>
      </c>
    </row>
    <row r="321" spans="1:3" x14ac:dyDescent="0.25">
      <c r="A321" t="s">
        <v>351</v>
      </c>
      <c r="B321" t="s">
        <v>351</v>
      </c>
      <c r="C321" t="s">
        <v>5969</v>
      </c>
    </row>
    <row r="322" spans="1:3" x14ac:dyDescent="0.25">
      <c r="A322" t="s">
        <v>179</v>
      </c>
      <c r="B322" t="s">
        <v>179</v>
      </c>
      <c r="C322" t="s">
        <v>5969</v>
      </c>
    </row>
    <row r="323" spans="1:3" x14ac:dyDescent="0.25">
      <c r="A323" t="s">
        <v>1871</v>
      </c>
      <c r="B323" t="s">
        <v>1871</v>
      </c>
      <c r="C323" t="s">
        <v>5969</v>
      </c>
    </row>
    <row r="324" spans="1:3" x14ac:dyDescent="0.25">
      <c r="A324" t="s">
        <v>1603</v>
      </c>
      <c r="B324" t="s">
        <v>1603</v>
      </c>
      <c r="C324" t="s">
        <v>5969</v>
      </c>
    </row>
    <row r="325" spans="1:3" x14ac:dyDescent="0.25">
      <c r="A325" t="s">
        <v>336</v>
      </c>
      <c r="B325" t="s">
        <v>336</v>
      </c>
      <c r="C325" t="s">
        <v>5969</v>
      </c>
    </row>
    <row r="326" spans="1:3" x14ac:dyDescent="0.25">
      <c r="A326" t="s">
        <v>273</v>
      </c>
      <c r="B326" t="s">
        <v>273</v>
      </c>
      <c r="C326" t="s">
        <v>5969</v>
      </c>
    </row>
    <row r="327" spans="1:3" x14ac:dyDescent="0.25">
      <c r="A327" t="s">
        <v>1601</v>
      </c>
      <c r="B327" t="s">
        <v>1601</v>
      </c>
      <c r="C327" t="s">
        <v>5969</v>
      </c>
    </row>
    <row r="328" spans="1:3" x14ac:dyDescent="0.25">
      <c r="A328" t="s">
        <v>1149</v>
      </c>
      <c r="B328" t="s">
        <v>1149</v>
      </c>
      <c r="C328" t="s">
        <v>5969</v>
      </c>
    </row>
    <row r="329" spans="1:3" x14ac:dyDescent="0.25">
      <c r="A329" t="s">
        <v>374</v>
      </c>
      <c r="B329" t="s">
        <v>374</v>
      </c>
      <c r="C329" t="s">
        <v>5969</v>
      </c>
    </row>
    <row r="330" spans="1:3" x14ac:dyDescent="0.25">
      <c r="A330" t="s">
        <v>333</v>
      </c>
      <c r="B330" t="s">
        <v>333</v>
      </c>
      <c r="C330" t="s">
        <v>5969</v>
      </c>
    </row>
    <row r="331" spans="1:3" x14ac:dyDescent="0.25">
      <c r="A331" t="s">
        <v>565</v>
      </c>
      <c r="B331" t="s">
        <v>565</v>
      </c>
      <c r="C331" t="s">
        <v>5969</v>
      </c>
    </row>
    <row r="332" spans="1:3" x14ac:dyDescent="0.25">
      <c r="A332" t="s">
        <v>83</v>
      </c>
      <c r="B332" t="s">
        <v>83</v>
      </c>
      <c r="C332" t="s">
        <v>5969</v>
      </c>
    </row>
    <row r="333" spans="1:3" x14ac:dyDescent="0.25">
      <c r="A333" t="s">
        <v>1765</v>
      </c>
      <c r="B333" t="s">
        <v>1765</v>
      </c>
      <c r="C333" t="s">
        <v>5969</v>
      </c>
    </row>
    <row r="334" spans="1:3" x14ac:dyDescent="0.25">
      <c r="A334" t="s">
        <v>1783</v>
      </c>
      <c r="B334" t="s">
        <v>1783</v>
      </c>
      <c r="C334" t="s">
        <v>5969</v>
      </c>
    </row>
    <row r="335" spans="1:3" x14ac:dyDescent="0.25">
      <c r="A335" t="s">
        <v>1446</v>
      </c>
      <c r="B335" t="s">
        <v>1446</v>
      </c>
      <c r="C335" t="s">
        <v>5969</v>
      </c>
    </row>
    <row r="336" spans="1:3" x14ac:dyDescent="0.25">
      <c r="A336" t="s">
        <v>664</v>
      </c>
      <c r="B336" t="s">
        <v>664</v>
      </c>
      <c r="C336" t="s">
        <v>5969</v>
      </c>
    </row>
    <row r="337" spans="1:3" x14ac:dyDescent="0.25">
      <c r="A337" t="s">
        <v>638</v>
      </c>
      <c r="B337" t="s">
        <v>638</v>
      </c>
      <c r="C337" t="s">
        <v>5969</v>
      </c>
    </row>
    <row r="338" spans="1:3" x14ac:dyDescent="0.25">
      <c r="A338" t="s">
        <v>526</v>
      </c>
      <c r="B338" t="s">
        <v>526</v>
      </c>
      <c r="C338" t="s">
        <v>5969</v>
      </c>
    </row>
    <row r="339" spans="1:3" x14ac:dyDescent="0.25">
      <c r="A339" t="s">
        <v>254</v>
      </c>
      <c r="B339" t="s">
        <v>254</v>
      </c>
      <c r="C339" t="s">
        <v>5969</v>
      </c>
    </row>
    <row r="340" spans="1:3" x14ac:dyDescent="0.25">
      <c r="A340" t="s">
        <v>246</v>
      </c>
      <c r="B340" t="s">
        <v>246</v>
      </c>
      <c r="C340" t="s">
        <v>5969</v>
      </c>
    </row>
    <row r="341" spans="1:3" x14ac:dyDescent="0.25">
      <c r="A341" t="s">
        <v>1089</v>
      </c>
      <c r="B341" t="s">
        <v>1089</v>
      </c>
      <c r="C341" t="s">
        <v>5969</v>
      </c>
    </row>
    <row r="342" spans="1:3" x14ac:dyDescent="0.25">
      <c r="A342" t="s">
        <v>321</v>
      </c>
      <c r="B342" t="s">
        <v>321</v>
      </c>
      <c r="C342" t="s">
        <v>5969</v>
      </c>
    </row>
    <row r="343" spans="1:3" x14ac:dyDescent="0.25">
      <c r="A343" t="s">
        <v>280</v>
      </c>
      <c r="B343" t="s">
        <v>280</v>
      </c>
      <c r="C343" t="s">
        <v>5969</v>
      </c>
    </row>
    <row r="344" spans="1:3" x14ac:dyDescent="0.25">
      <c r="A344" t="s">
        <v>265</v>
      </c>
      <c r="B344" t="s">
        <v>265</v>
      </c>
      <c r="C344" t="s">
        <v>5969</v>
      </c>
    </row>
    <row r="345" spans="1:3" x14ac:dyDescent="0.25">
      <c r="A345" t="s">
        <v>668</v>
      </c>
      <c r="B345" t="s">
        <v>668</v>
      </c>
      <c r="C345" t="s">
        <v>5969</v>
      </c>
    </row>
    <row r="346" spans="1:3" x14ac:dyDescent="0.25">
      <c r="A346" t="s">
        <v>1028</v>
      </c>
      <c r="B346" t="s">
        <v>1028</v>
      </c>
      <c r="C346" t="s">
        <v>5969</v>
      </c>
    </row>
    <row r="347" spans="1:3" x14ac:dyDescent="0.25">
      <c r="A347" t="s">
        <v>911</v>
      </c>
      <c r="B347" t="s">
        <v>911</v>
      </c>
      <c r="C347" t="s">
        <v>5969</v>
      </c>
    </row>
    <row r="348" spans="1:3" x14ac:dyDescent="0.25">
      <c r="A348" t="s">
        <v>910</v>
      </c>
      <c r="B348" t="s">
        <v>910</v>
      </c>
      <c r="C348" t="s">
        <v>5969</v>
      </c>
    </row>
    <row r="349" spans="1:3" x14ac:dyDescent="0.25">
      <c r="A349" t="s">
        <v>649</v>
      </c>
      <c r="B349" t="s">
        <v>649</v>
      </c>
      <c r="C349" t="s">
        <v>5969</v>
      </c>
    </row>
    <row r="350" spans="1:3" x14ac:dyDescent="0.25">
      <c r="A350" t="s">
        <v>1119</v>
      </c>
      <c r="B350" t="s">
        <v>1119</v>
      </c>
      <c r="C350" t="s">
        <v>5969</v>
      </c>
    </row>
    <row r="351" spans="1:3" x14ac:dyDescent="0.25">
      <c r="A351" t="s">
        <v>525</v>
      </c>
      <c r="B351" t="s">
        <v>525</v>
      </c>
      <c r="C351" t="s">
        <v>5969</v>
      </c>
    </row>
    <row r="352" spans="1:3" x14ac:dyDescent="0.25">
      <c r="A352" t="s">
        <v>1085</v>
      </c>
      <c r="B352" t="s">
        <v>1085</v>
      </c>
      <c r="C352" t="s">
        <v>5969</v>
      </c>
    </row>
    <row r="353" spans="1:3" x14ac:dyDescent="0.25">
      <c r="A353" t="s">
        <v>698</v>
      </c>
      <c r="B353" t="s">
        <v>698</v>
      </c>
      <c r="C353" t="s">
        <v>5969</v>
      </c>
    </row>
    <row r="354" spans="1:3" x14ac:dyDescent="0.25">
      <c r="A354" t="s">
        <v>1243</v>
      </c>
      <c r="B354" t="s">
        <v>1243</v>
      </c>
      <c r="C354" t="s">
        <v>5969</v>
      </c>
    </row>
    <row r="355" spans="1:3" x14ac:dyDescent="0.25">
      <c r="A355" t="s">
        <v>1870</v>
      </c>
      <c r="B355" t="s">
        <v>1870</v>
      </c>
      <c r="C355" t="s">
        <v>5969</v>
      </c>
    </row>
    <row r="356" spans="1:3" x14ac:dyDescent="0.25">
      <c r="A356" t="s">
        <v>446</v>
      </c>
      <c r="B356" t="s">
        <v>446</v>
      </c>
      <c r="C356" t="s">
        <v>5969</v>
      </c>
    </row>
    <row r="357" spans="1:3" x14ac:dyDescent="0.25">
      <c r="A357" t="s">
        <v>1628</v>
      </c>
      <c r="B357" t="s">
        <v>1628</v>
      </c>
      <c r="C357" t="s">
        <v>5969</v>
      </c>
    </row>
    <row r="358" spans="1:3" x14ac:dyDescent="0.25">
      <c r="A358" t="s">
        <v>1931</v>
      </c>
      <c r="B358" t="s">
        <v>1931</v>
      </c>
      <c r="C358" t="s">
        <v>5969</v>
      </c>
    </row>
    <row r="359" spans="1:3" x14ac:dyDescent="0.25">
      <c r="A359" t="s">
        <v>161</v>
      </c>
      <c r="B359" t="s">
        <v>161</v>
      </c>
      <c r="C359" t="s">
        <v>5969</v>
      </c>
    </row>
    <row r="360" spans="1:3" x14ac:dyDescent="0.25">
      <c r="A360" t="s">
        <v>751</v>
      </c>
      <c r="B360" t="s">
        <v>751</v>
      </c>
      <c r="C360" t="s">
        <v>5969</v>
      </c>
    </row>
    <row r="361" spans="1:3" x14ac:dyDescent="0.25">
      <c r="A361" t="s">
        <v>1033</v>
      </c>
      <c r="B361" t="s">
        <v>1033</v>
      </c>
      <c r="C361" t="s">
        <v>5969</v>
      </c>
    </row>
    <row r="362" spans="1:3" x14ac:dyDescent="0.25">
      <c r="A362" t="s">
        <v>810</v>
      </c>
      <c r="B362" t="s">
        <v>810</v>
      </c>
      <c r="C362" t="s">
        <v>5969</v>
      </c>
    </row>
    <row r="363" spans="1:3" x14ac:dyDescent="0.25">
      <c r="A363" t="s">
        <v>1276</v>
      </c>
      <c r="B363" t="s">
        <v>1276</v>
      </c>
      <c r="C363" t="s">
        <v>5969</v>
      </c>
    </row>
    <row r="364" spans="1:3" x14ac:dyDescent="0.25">
      <c r="A364" t="s">
        <v>157</v>
      </c>
      <c r="B364" t="s">
        <v>157</v>
      </c>
      <c r="C364" t="s">
        <v>5969</v>
      </c>
    </row>
    <row r="365" spans="1:3" x14ac:dyDescent="0.25">
      <c r="A365" t="s">
        <v>314</v>
      </c>
      <c r="B365" t="s">
        <v>314</v>
      </c>
      <c r="C365" t="s">
        <v>5969</v>
      </c>
    </row>
    <row r="366" spans="1:3" x14ac:dyDescent="0.25">
      <c r="A366" t="s">
        <v>1822</v>
      </c>
      <c r="B366" t="s">
        <v>1822</v>
      </c>
      <c r="C366" t="s">
        <v>5969</v>
      </c>
    </row>
    <row r="367" spans="1:3" x14ac:dyDescent="0.25">
      <c r="A367" t="s">
        <v>1588</v>
      </c>
      <c r="B367" t="s">
        <v>1588</v>
      </c>
      <c r="C367" t="s">
        <v>5969</v>
      </c>
    </row>
    <row r="368" spans="1:3" x14ac:dyDescent="0.25">
      <c r="A368" t="s">
        <v>838</v>
      </c>
      <c r="B368" t="s">
        <v>838</v>
      </c>
      <c r="C368" t="s">
        <v>5969</v>
      </c>
    </row>
    <row r="369" spans="1:3" x14ac:dyDescent="0.25">
      <c r="A369" t="s">
        <v>843</v>
      </c>
      <c r="B369" t="s">
        <v>843</v>
      </c>
      <c r="C369" t="s">
        <v>5969</v>
      </c>
    </row>
    <row r="370" spans="1:3" x14ac:dyDescent="0.25">
      <c r="A370" t="s">
        <v>1909</v>
      </c>
      <c r="B370" t="s">
        <v>1909</v>
      </c>
      <c r="C370" t="s">
        <v>5969</v>
      </c>
    </row>
    <row r="371" spans="1:3" x14ac:dyDescent="0.25">
      <c r="A371" t="s">
        <v>1907</v>
      </c>
      <c r="B371" t="s">
        <v>1907</v>
      </c>
      <c r="C371" t="s">
        <v>5969</v>
      </c>
    </row>
    <row r="372" spans="1:3" x14ac:dyDescent="0.25">
      <c r="A372" t="s">
        <v>474</v>
      </c>
      <c r="B372" t="s">
        <v>474</v>
      </c>
      <c r="C372" t="s">
        <v>5969</v>
      </c>
    </row>
    <row r="373" spans="1:3" x14ac:dyDescent="0.25">
      <c r="A373" t="s">
        <v>692</v>
      </c>
      <c r="B373" t="s">
        <v>692</v>
      </c>
      <c r="C373" t="s">
        <v>5969</v>
      </c>
    </row>
    <row r="374" spans="1:3" x14ac:dyDescent="0.25">
      <c r="A374" t="s">
        <v>1769</v>
      </c>
      <c r="B374" t="s">
        <v>1769</v>
      </c>
      <c r="C374" t="s">
        <v>5969</v>
      </c>
    </row>
    <row r="375" spans="1:3" x14ac:dyDescent="0.25">
      <c r="A375" t="s">
        <v>239</v>
      </c>
      <c r="B375" t="s">
        <v>239</v>
      </c>
      <c r="C375" t="s">
        <v>5969</v>
      </c>
    </row>
    <row r="376" spans="1:3" x14ac:dyDescent="0.25">
      <c r="A376" t="s">
        <v>1483</v>
      </c>
      <c r="B376" t="s">
        <v>1483</v>
      </c>
      <c r="C376" t="s">
        <v>5969</v>
      </c>
    </row>
    <row r="377" spans="1:3" x14ac:dyDescent="0.25">
      <c r="A377" t="s">
        <v>1914</v>
      </c>
      <c r="B377" t="s">
        <v>1914</v>
      </c>
      <c r="C377" t="s">
        <v>5969</v>
      </c>
    </row>
    <row r="378" spans="1:3" x14ac:dyDescent="0.25">
      <c r="A378" t="s">
        <v>635</v>
      </c>
      <c r="B378" t="s">
        <v>635</v>
      </c>
      <c r="C378" t="s">
        <v>5969</v>
      </c>
    </row>
    <row r="379" spans="1:3" x14ac:dyDescent="0.25">
      <c r="A379" t="s">
        <v>1102</v>
      </c>
      <c r="B379" t="s">
        <v>1102</v>
      </c>
      <c r="C379" t="s">
        <v>5969</v>
      </c>
    </row>
    <row r="380" spans="1:3" x14ac:dyDescent="0.25">
      <c r="A380" t="s">
        <v>1304</v>
      </c>
      <c r="B380" t="s">
        <v>1304</v>
      </c>
      <c r="C380" t="s">
        <v>5969</v>
      </c>
    </row>
    <row r="381" spans="1:3" x14ac:dyDescent="0.25">
      <c r="A381" t="s">
        <v>153</v>
      </c>
      <c r="B381" t="s">
        <v>153</v>
      </c>
      <c r="C381" t="s">
        <v>5969</v>
      </c>
    </row>
    <row r="382" spans="1:3" x14ac:dyDescent="0.25">
      <c r="A382" t="s">
        <v>1908</v>
      </c>
      <c r="B382" t="s">
        <v>1908</v>
      </c>
      <c r="C382" t="s">
        <v>5969</v>
      </c>
    </row>
    <row r="383" spans="1:3" x14ac:dyDescent="0.25">
      <c r="A383" t="s">
        <v>1849</v>
      </c>
      <c r="B383" t="s">
        <v>1849</v>
      </c>
      <c r="C383" t="s">
        <v>5969</v>
      </c>
    </row>
    <row r="384" spans="1:3" x14ac:dyDescent="0.25">
      <c r="A384" t="s">
        <v>1799</v>
      </c>
      <c r="B384" t="s">
        <v>1799</v>
      </c>
      <c r="C384" t="s">
        <v>5969</v>
      </c>
    </row>
    <row r="385" spans="1:3" x14ac:dyDescent="0.25">
      <c r="A385" t="s">
        <v>1407</v>
      </c>
      <c r="B385" t="s">
        <v>1407</v>
      </c>
      <c r="C385" t="s">
        <v>5969</v>
      </c>
    </row>
    <row r="386" spans="1:3" x14ac:dyDescent="0.25">
      <c r="A386" t="s">
        <v>1442</v>
      </c>
      <c r="B386" t="s">
        <v>1442</v>
      </c>
      <c r="C386" t="s">
        <v>5969</v>
      </c>
    </row>
    <row r="387" spans="1:3" x14ac:dyDescent="0.25">
      <c r="A387" t="s">
        <v>1802</v>
      </c>
      <c r="B387" t="s">
        <v>1802</v>
      </c>
      <c r="C387" t="s">
        <v>5969</v>
      </c>
    </row>
    <row r="388" spans="1:3" x14ac:dyDescent="0.25">
      <c r="A388" t="s">
        <v>1785</v>
      </c>
      <c r="B388" t="s">
        <v>1785</v>
      </c>
      <c r="C388" t="s">
        <v>5969</v>
      </c>
    </row>
    <row r="389" spans="1:3" x14ac:dyDescent="0.25">
      <c r="A389" t="s">
        <v>1893</v>
      </c>
      <c r="B389" t="s">
        <v>1893</v>
      </c>
      <c r="C389" t="s">
        <v>5969</v>
      </c>
    </row>
    <row r="390" spans="1:3" x14ac:dyDescent="0.25">
      <c r="A390" t="s">
        <v>1029</v>
      </c>
      <c r="B390" t="s">
        <v>1029</v>
      </c>
      <c r="C390" t="s">
        <v>5969</v>
      </c>
    </row>
    <row r="391" spans="1:3" x14ac:dyDescent="0.25">
      <c r="A391" t="s">
        <v>1237</v>
      </c>
      <c r="B391" t="s">
        <v>1237</v>
      </c>
      <c r="C391" t="s">
        <v>5969</v>
      </c>
    </row>
    <row r="392" spans="1:3" x14ac:dyDescent="0.25">
      <c r="A392" t="s">
        <v>864</v>
      </c>
      <c r="B392" t="s">
        <v>864</v>
      </c>
      <c r="C392" t="s">
        <v>5969</v>
      </c>
    </row>
    <row r="393" spans="1:3" x14ac:dyDescent="0.25">
      <c r="A393" t="s">
        <v>65</v>
      </c>
      <c r="B393" t="s">
        <v>65</v>
      </c>
      <c r="C393" t="s">
        <v>5969</v>
      </c>
    </row>
    <row r="394" spans="1:3" x14ac:dyDescent="0.25">
      <c r="A394" t="s">
        <v>1903</v>
      </c>
      <c r="B394" t="s">
        <v>1903</v>
      </c>
      <c r="C394" t="s">
        <v>5969</v>
      </c>
    </row>
    <row r="395" spans="1:3" x14ac:dyDescent="0.25">
      <c r="A395" t="s">
        <v>724</v>
      </c>
      <c r="B395" t="s">
        <v>724</v>
      </c>
      <c r="C395" t="s">
        <v>5969</v>
      </c>
    </row>
    <row r="396" spans="1:3" x14ac:dyDescent="0.25">
      <c r="A396" t="s">
        <v>717</v>
      </c>
      <c r="B396" t="s">
        <v>717</v>
      </c>
      <c r="C396" t="s">
        <v>5969</v>
      </c>
    </row>
    <row r="397" spans="1:3" x14ac:dyDescent="0.25">
      <c r="A397" t="s">
        <v>569</v>
      </c>
      <c r="B397" t="s">
        <v>569</v>
      </c>
      <c r="C397" t="s">
        <v>5969</v>
      </c>
    </row>
    <row r="398" spans="1:3" x14ac:dyDescent="0.25">
      <c r="A398" t="s">
        <v>58</v>
      </c>
      <c r="B398" t="s">
        <v>58</v>
      </c>
      <c r="C398" t="s">
        <v>5969</v>
      </c>
    </row>
    <row r="399" spans="1:3" x14ac:dyDescent="0.25">
      <c r="A399" t="s">
        <v>844</v>
      </c>
      <c r="B399" t="s">
        <v>844</v>
      </c>
      <c r="C399" t="s">
        <v>5969</v>
      </c>
    </row>
    <row r="400" spans="1:3" x14ac:dyDescent="0.25">
      <c r="A400" t="s">
        <v>49</v>
      </c>
      <c r="B400" t="s">
        <v>49</v>
      </c>
      <c r="C400" t="s">
        <v>5969</v>
      </c>
    </row>
    <row r="401" spans="1:3" x14ac:dyDescent="0.25">
      <c r="A401" t="s">
        <v>143</v>
      </c>
      <c r="B401" t="s">
        <v>143</v>
      </c>
      <c r="C401" t="s">
        <v>5969</v>
      </c>
    </row>
    <row r="402" spans="1:3" x14ac:dyDescent="0.25">
      <c r="A402" t="s">
        <v>484</v>
      </c>
      <c r="B402" t="s">
        <v>484</v>
      </c>
      <c r="C402" t="s">
        <v>5969</v>
      </c>
    </row>
    <row r="403" spans="1:3" x14ac:dyDescent="0.25">
      <c r="A403" t="s">
        <v>220</v>
      </c>
      <c r="B403" t="s">
        <v>220</v>
      </c>
      <c r="C403" t="s">
        <v>5969</v>
      </c>
    </row>
    <row r="404" spans="1:3" x14ac:dyDescent="0.25">
      <c r="A404" t="s">
        <v>413</v>
      </c>
      <c r="B404" t="s">
        <v>413</v>
      </c>
      <c r="C404" t="s">
        <v>5969</v>
      </c>
    </row>
    <row r="405" spans="1:3" x14ac:dyDescent="0.25">
      <c r="A405" t="s">
        <v>612</v>
      </c>
      <c r="B405" t="s">
        <v>612</v>
      </c>
      <c r="C405" t="s">
        <v>5969</v>
      </c>
    </row>
    <row r="406" spans="1:3" x14ac:dyDescent="0.25">
      <c r="A406" t="s">
        <v>110</v>
      </c>
      <c r="B406" t="s">
        <v>110</v>
      </c>
      <c r="C406" t="s">
        <v>5969</v>
      </c>
    </row>
    <row r="407" spans="1:3" x14ac:dyDescent="0.25">
      <c r="A407" t="s">
        <v>943</v>
      </c>
      <c r="B407" t="s">
        <v>943</v>
      </c>
      <c r="C407" t="s">
        <v>5969</v>
      </c>
    </row>
    <row r="408" spans="1:3" x14ac:dyDescent="0.25">
      <c r="A408" t="s">
        <v>1482</v>
      </c>
      <c r="B408" t="s">
        <v>1482</v>
      </c>
      <c r="C408" t="s">
        <v>5969</v>
      </c>
    </row>
    <row r="409" spans="1:3" x14ac:dyDescent="0.25">
      <c r="A409" t="s">
        <v>1584</v>
      </c>
      <c r="B409" t="s">
        <v>1584</v>
      </c>
      <c r="C409" t="s">
        <v>5969</v>
      </c>
    </row>
    <row r="410" spans="1:3" x14ac:dyDescent="0.25">
      <c r="A410" t="s">
        <v>733</v>
      </c>
      <c r="B410" t="s">
        <v>733</v>
      </c>
      <c r="C410" t="s">
        <v>5969</v>
      </c>
    </row>
    <row r="411" spans="1:3" x14ac:dyDescent="0.25">
      <c r="A411" t="s">
        <v>1144</v>
      </c>
      <c r="B411" t="s">
        <v>1144</v>
      </c>
      <c r="C411" t="s">
        <v>5969</v>
      </c>
    </row>
    <row r="412" spans="1:3" x14ac:dyDescent="0.25">
      <c r="A412" t="s">
        <v>1020</v>
      </c>
      <c r="B412" t="s">
        <v>1020</v>
      </c>
      <c r="C412" t="s">
        <v>5969</v>
      </c>
    </row>
    <row r="413" spans="1:3" x14ac:dyDescent="0.25">
      <c r="A413" t="s">
        <v>1811</v>
      </c>
      <c r="B413" t="s">
        <v>1811</v>
      </c>
      <c r="C413" t="s">
        <v>5969</v>
      </c>
    </row>
    <row r="414" spans="1:3" x14ac:dyDescent="0.25">
      <c r="A414" t="s">
        <v>1475</v>
      </c>
      <c r="B414" t="s">
        <v>1475</v>
      </c>
      <c r="C414" t="s">
        <v>5969</v>
      </c>
    </row>
    <row r="415" spans="1:3" x14ac:dyDescent="0.25">
      <c r="A415" t="s">
        <v>396</v>
      </c>
      <c r="B415" t="s">
        <v>396</v>
      </c>
      <c r="C415" t="s">
        <v>5969</v>
      </c>
    </row>
    <row r="416" spans="1:3" x14ac:dyDescent="0.25">
      <c r="A416" t="s">
        <v>391</v>
      </c>
      <c r="B416" t="s">
        <v>391</v>
      </c>
      <c r="C416" t="s">
        <v>5969</v>
      </c>
    </row>
    <row r="417" spans="1:3" x14ac:dyDescent="0.25">
      <c r="A417" t="s">
        <v>568</v>
      </c>
      <c r="B417" t="s">
        <v>568</v>
      </c>
      <c r="C417" t="s">
        <v>5969</v>
      </c>
    </row>
    <row r="418" spans="1:3" x14ac:dyDescent="0.25">
      <c r="A418" t="s">
        <v>1767</v>
      </c>
      <c r="B418" t="s">
        <v>1767</v>
      </c>
      <c r="C418" t="s">
        <v>5969</v>
      </c>
    </row>
    <row r="419" spans="1:3" x14ac:dyDescent="0.25">
      <c r="A419" t="s">
        <v>545</v>
      </c>
      <c r="B419" t="s">
        <v>545</v>
      </c>
      <c r="C419" t="s">
        <v>5969</v>
      </c>
    </row>
    <row r="420" spans="1:3" x14ac:dyDescent="0.25">
      <c r="A420" t="s">
        <v>984</v>
      </c>
      <c r="B420" t="s">
        <v>984</v>
      </c>
      <c r="C420" t="s">
        <v>5969</v>
      </c>
    </row>
    <row r="421" spans="1:3" x14ac:dyDescent="0.25">
      <c r="A421" t="s">
        <v>1536</v>
      </c>
      <c r="B421" t="s">
        <v>1536</v>
      </c>
      <c r="C421" t="s">
        <v>5969</v>
      </c>
    </row>
    <row r="422" spans="1:3" x14ac:dyDescent="0.25">
      <c r="A422" t="s">
        <v>146</v>
      </c>
      <c r="B422" t="s">
        <v>146</v>
      </c>
      <c r="C422" t="s">
        <v>5969</v>
      </c>
    </row>
    <row r="423" spans="1:3" x14ac:dyDescent="0.25">
      <c r="A423" t="s">
        <v>1945</v>
      </c>
      <c r="B423" t="s">
        <v>1702</v>
      </c>
      <c r="C423" t="s">
        <v>5969</v>
      </c>
    </row>
    <row r="424" spans="1:3" x14ac:dyDescent="0.25">
      <c r="A424" t="s">
        <v>1934</v>
      </c>
      <c r="B424" t="s">
        <v>1934</v>
      </c>
      <c r="C424" t="s">
        <v>5969</v>
      </c>
    </row>
    <row r="425" spans="1:3" x14ac:dyDescent="0.25">
      <c r="A425" t="s">
        <v>494</v>
      </c>
      <c r="B425" t="s">
        <v>494</v>
      </c>
      <c r="C425" t="s">
        <v>5969</v>
      </c>
    </row>
    <row r="426" spans="1:3" x14ac:dyDescent="0.25">
      <c r="A426" t="s">
        <v>897</v>
      </c>
      <c r="B426" t="s">
        <v>897</v>
      </c>
      <c r="C426" t="s">
        <v>5969</v>
      </c>
    </row>
    <row r="427" spans="1:3" x14ac:dyDescent="0.25">
      <c r="A427" t="s">
        <v>1209</v>
      </c>
      <c r="B427" t="s">
        <v>1209</v>
      </c>
      <c r="C427" t="s">
        <v>5969</v>
      </c>
    </row>
    <row r="428" spans="1:3" x14ac:dyDescent="0.25">
      <c r="A428" t="s">
        <v>1950</v>
      </c>
      <c r="B428" t="s">
        <v>1950</v>
      </c>
      <c r="C428" t="s">
        <v>5969</v>
      </c>
    </row>
    <row r="429" spans="1:3" x14ac:dyDescent="0.25">
      <c r="A429" t="s">
        <v>603</v>
      </c>
      <c r="B429" t="s">
        <v>603</v>
      </c>
      <c r="C429" t="s">
        <v>5969</v>
      </c>
    </row>
    <row r="430" spans="1:3" x14ac:dyDescent="0.25">
      <c r="A430" t="s">
        <v>442</v>
      </c>
      <c r="B430" t="s">
        <v>442</v>
      </c>
      <c r="C430" t="s">
        <v>5969</v>
      </c>
    </row>
    <row r="431" spans="1:3" x14ac:dyDescent="0.25">
      <c r="A431" t="s">
        <v>1118</v>
      </c>
      <c r="B431" t="s">
        <v>1118</v>
      </c>
      <c r="C431" t="s">
        <v>5969</v>
      </c>
    </row>
    <row r="432" spans="1:3" x14ac:dyDescent="0.25">
      <c r="A432" t="s">
        <v>199</v>
      </c>
      <c r="B432" t="s">
        <v>199</v>
      </c>
      <c r="C432" t="s">
        <v>5969</v>
      </c>
    </row>
    <row r="433" spans="1:3" x14ac:dyDescent="0.25">
      <c r="A433" t="s">
        <v>1241</v>
      </c>
      <c r="B433" t="s">
        <v>1241</v>
      </c>
      <c r="C433" t="s">
        <v>5969</v>
      </c>
    </row>
    <row r="434" spans="1:3" x14ac:dyDescent="0.25">
      <c r="A434" t="s">
        <v>774</v>
      </c>
      <c r="B434" t="s">
        <v>774</v>
      </c>
      <c r="C434" t="s">
        <v>5969</v>
      </c>
    </row>
    <row r="435" spans="1:3" x14ac:dyDescent="0.25">
      <c r="A435" t="s">
        <v>1343</v>
      </c>
      <c r="B435" t="s">
        <v>1343</v>
      </c>
      <c r="C435" t="s">
        <v>5969</v>
      </c>
    </row>
    <row r="436" spans="1:3" x14ac:dyDescent="0.25">
      <c r="A436" t="s">
        <v>1868</v>
      </c>
      <c r="B436" t="s">
        <v>1868</v>
      </c>
      <c r="C436" t="s">
        <v>5969</v>
      </c>
    </row>
    <row r="437" spans="1:3" x14ac:dyDescent="0.25">
      <c r="A437" t="s">
        <v>1192</v>
      </c>
      <c r="B437" t="s">
        <v>1192</v>
      </c>
      <c r="C437" t="s">
        <v>5969</v>
      </c>
    </row>
    <row r="438" spans="1:3" x14ac:dyDescent="0.25">
      <c r="A438" t="s">
        <v>1894</v>
      </c>
      <c r="B438" t="s">
        <v>1894</v>
      </c>
      <c r="C438" t="s">
        <v>5969</v>
      </c>
    </row>
    <row r="439" spans="1:3" x14ac:dyDescent="0.25">
      <c r="A439" t="s">
        <v>591</v>
      </c>
      <c r="B439" t="s">
        <v>591</v>
      </c>
      <c r="C439" t="s">
        <v>5969</v>
      </c>
    </row>
    <row r="440" spans="1:3" x14ac:dyDescent="0.25">
      <c r="A440" t="s">
        <v>1613</v>
      </c>
      <c r="B440" t="s">
        <v>1613</v>
      </c>
      <c r="C440" t="s">
        <v>5969</v>
      </c>
    </row>
    <row r="441" spans="1:3" x14ac:dyDescent="0.25">
      <c r="A441" t="s">
        <v>1636</v>
      </c>
      <c r="B441" t="s">
        <v>1636</v>
      </c>
      <c r="C441" t="s">
        <v>5969</v>
      </c>
    </row>
    <row r="442" spans="1:3" x14ac:dyDescent="0.25">
      <c r="A442" t="s">
        <v>495</v>
      </c>
      <c r="B442" t="s">
        <v>495</v>
      </c>
      <c r="C442" t="s">
        <v>5969</v>
      </c>
    </row>
    <row r="443" spans="1:3" x14ac:dyDescent="0.25">
      <c r="A443" t="s">
        <v>116</v>
      </c>
      <c r="B443" t="s">
        <v>116</v>
      </c>
      <c r="C443" t="s">
        <v>5969</v>
      </c>
    </row>
    <row r="444" spans="1:3" x14ac:dyDescent="0.25">
      <c r="A444" t="s">
        <v>1327</v>
      </c>
      <c r="B444" t="s">
        <v>1327</v>
      </c>
      <c r="C444" t="s">
        <v>5969</v>
      </c>
    </row>
    <row r="445" spans="1:3" x14ac:dyDescent="0.25">
      <c r="A445" t="s">
        <v>596</v>
      </c>
      <c r="B445" t="s">
        <v>596</v>
      </c>
      <c r="C445" t="s">
        <v>5969</v>
      </c>
    </row>
    <row r="446" spans="1:3" x14ac:dyDescent="0.25">
      <c r="A446" t="s">
        <v>618</v>
      </c>
      <c r="B446" t="s">
        <v>618</v>
      </c>
      <c r="C446" t="s">
        <v>5969</v>
      </c>
    </row>
    <row r="447" spans="1:3" x14ac:dyDescent="0.25">
      <c r="A447" t="s">
        <v>1958</v>
      </c>
      <c r="B447" t="s">
        <v>1958</v>
      </c>
      <c r="C447" t="s">
        <v>5969</v>
      </c>
    </row>
    <row r="448" spans="1:3" x14ac:dyDescent="0.25">
      <c r="A448" t="s">
        <v>1834</v>
      </c>
      <c r="B448" t="s">
        <v>1834</v>
      </c>
      <c r="C448" t="s">
        <v>5969</v>
      </c>
    </row>
    <row r="449" spans="1:3" x14ac:dyDescent="0.25">
      <c r="A449" t="s">
        <v>759</v>
      </c>
      <c r="B449" t="s">
        <v>759</v>
      </c>
      <c r="C449" t="s">
        <v>5969</v>
      </c>
    </row>
    <row r="450" spans="1:3" x14ac:dyDescent="0.25">
      <c r="A450" t="s">
        <v>300</v>
      </c>
      <c r="B450" t="s">
        <v>300</v>
      </c>
      <c r="C450" t="s">
        <v>5969</v>
      </c>
    </row>
    <row r="451" spans="1:3" x14ac:dyDescent="0.25">
      <c r="A451" t="s">
        <v>1494</v>
      </c>
      <c r="B451" t="s">
        <v>1494</v>
      </c>
      <c r="C451" t="s">
        <v>5969</v>
      </c>
    </row>
    <row r="452" spans="1:3" x14ac:dyDescent="0.25">
      <c r="A452" t="s">
        <v>1290</v>
      </c>
      <c r="B452" t="s">
        <v>1290</v>
      </c>
      <c r="C452" t="s">
        <v>5969</v>
      </c>
    </row>
    <row r="453" spans="1:3" x14ac:dyDescent="0.25">
      <c r="A453" t="s">
        <v>764</v>
      </c>
      <c r="B453" t="s">
        <v>764</v>
      </c>
      <c r="C453" t="s">
        <v>5969</v>
      </c>
    </row>
    <row r="454" spans="1:3" x14ac:dyDescent="0.25">
      <c r="A454" t="s">
        <v>1806</v>
      </c>
      <c r="B454" t="s">
        <v>1806</v>
      </c>
      <c r="C454" t="s">
        <v>5969</v>
      </c>
    </row>
    <row r="455" spans="1:3" x14ac:dyDescent="0.25">
      <c r="A455" t="s">
        <v>455</v>
      </c>
      <c r="B455" t="s">
        <v>455</v>
      </c>
      <c r="C455" t="s">
        <v>5969</v>
      </c>
    </row>
    <row r="456" spans="1:3" x14ac:dyDescent="0.25">
      <c r="A456" t="s">
        <v>617</v>
      </c>
      <c r="B456" t="s">
        <v>617</v>
      </c>
      <c r="C456" t="s">
        <v>5969</v>
      </c>
    </row>
    <row r="457" spans="1:3" x14ac:dyDescent="0.25">
      <c r="A457" t="s">
        <v>1403</v>
      </c>
      <c r="B457" t="s">
        <v>1403</v>
      </c>
      <c r="C457" t="s">
        <v>5969</v>
      </c>
    </row>
    <row r="458" spans="1:3" x14ac:dyDescent="0.25">
      <c r="A458" t="s">
        <v>1410</v>
      </c>
      <c r="B458" t="s">
        <v>1410</v>
      </c>
      <c r="C458" t="s">
        <v>5969</v>
      </c>
    </row>
    <row r="459" spans="1:3" x14ac:dyDescent="0.25">
      <c r="A459" t="s">
        <v>1883</v>
      </c>
      <c r="B459" t="s">
        <v>1883</v>
      </c>
      <c r="C459" t="s">
        <v>5969</v>
      </c>
    </row>
    <row r="460" spans="1:3" x14ac:dyDescent="0.25">
      <c r="A460" t="s">
        <v>1939</v>
      </c>
      <c r="B460" t="s">
        <v>1939</v>
      </c>
      <c r="C460" t="s">
        <v>5969</v>
      </c>
    </row>
    <row r="461" spans="1:3" x14ac:dyDescent="0.25">
      <c r="A461" t="s">
        <v>1856</v>
      </c>
      <c r="B461" t="s">
        <v>1540</v>
      </c>
      <c r="C461" t="s">
        <v>5969</v>
      </c>
    </row>
    <row r="462" spans="1:3" x14ac:dyDescent="0.25">
      <c r="A462" t="s">
        <v>1434</v>
      </c>
      <c r="B462" t="s">
        <v>1434</v>
      </c>
      <c r="C462" t="s">
        <v>5969</v>
      </c>
    </row>
    <row r="463" spans="1:3" x14ac:dyDescent="0.25">
      <c r="A463" t="s">
        <v>240</v>
      </c>
      <c r="B463" t="s">
        <v>240</v>
      </c>
      <c r="C463" t="s">
        <v>5969</v>
      </c>
    </row>
    <row r="464" spans="1:3" x14ac:dyDescent="0.25">
      <c r="A464" t="s">
        <v>901</v>
      </c>
      <c r="B464" t="s">
        <v>901</v>
      </c>
      <c r="C464" t="s">
        <v>5969</v>
      </c>
    </row>
    <row r="465" spans="1:3" x14ac:dyDescent="0.25">
      <c r="A465" t="s">
        <v>903</v>
      </c>
      <c r="B465" t="s">
        <v>903</v>
      </c>
      <c r="C465" t="s">
        <v>5969</v>
      </c>
    </row>
    <row r="466" spans="1:3" x14ac:dyDescent="0.25">
      <c r="A466" t="s">
        <v>900</v>
      </c>
      <c r="B466" t="s">
        <v>900</v>
      </c>
      <c r="C466" t="s">
        <v>5969</v>
      </c>
    </row>
    <row r="467" spans="1:3" x14ac:dyDescent="0.25">
      <c r="A467" t="s">
        <v>227</v>
      </c>
      <c r="B467" t="s">
        <v>227</v>
      </c>
      <c r="C467" t="s">
        <v>5969</v>
      </c>
    </row>
    <row r="468" spans="1:3" x14ac:dyDescent="0.25">
      <c r="A468" t="s">
        <v>85</v>
      </c>
      <c r="B468" t="s">
        <v>85</v>
      </c>
      <c r="C468" t="s">
        <v>5969</v>
      </c>
    </row>
    <row r="469" spans="1:3" x14ac:dyDescent="0.25">
      <c r="A469" t="s">
        <v>259</v>
      </c>
      <c r="B469" t="s">
        <v>259</v>
      </c>
      <c r="C469" t="s">
        <v>5969</v>
      </c>
    </row>
    <row r="470" spans="1:3" x14ac:dyDescent="0.25">
      <c r="A470" t="s">
        <v>1114</v>
      </c>
      <c r="B470" t="s">
        <v>1114</v>
      </c>
      <c r="C470" t="s">
        <v>5969</v>
      </c>
    </row>
    <row r="471" spans="1:3" x14ac:dyDescent="0.25">
      <c r="A471" t="s">
        <v>1257</v>
      </c>
      <c r="B471" t="s">
        <v>1257</v>
      </c>
      <c r="C471" t="s">
        <v>5969</v>
      </c>
    </row>
    <row r="472" spans="1:3" x14ac:dyDescent="0.25">
      <c r="A472" t="s">
        <v>745</v>
      </c>
      <c r="B472" t="s">
        <v>745</v>
      </c>
      <c r="C472" t="s">
        <v>5969</v>
      </c>
    </row>
    <row r="473" spans="1:3" x14ac:dyDescent="0.25">
      <c r="A473" t="s">
        <v>1577</v>
      </c>
      <c r="B473" t="s">
        <v>1577</v>
      </c>
      <c r="C473" t="s">
        <v>5969</v>
      </c>
    </row>
    <row r="474" spans="1:3" x14ac:dyDescent="0.25">
      <c r="A474" t="s">
        <v>1471</v>
      </c>
      <c r="B474" t="s">
        <v>1471</v>
      </c>
      <c r="C474" t="s">
        <v>5969</v>
      </c>
    </row>
    <row r="475" spans="1:3" x14ac:dyDescent="0.25">
      <c r="A475" t="s">
        <v>1422</v>
      </c>
      <c r="B475" t="s">
        <v>1422</v>
      </c>
      <c r="C475" t="s">
        <v>5969</v>
      </c>
    </row>
    <row r="476" spans="1:3" x14ac:dyDescent="0.25">
      <c r="A476" t="s">
        <v>1324</v>
      </c>
      <c r="B476" t="s">
        <v>1324</v>
      </c>
      <c r="C476" t="s">
        <v>5969</v>
      </c>
    </row>
    <row r="477" spans="1:3" x14ac:dyDescent="0.25">
      <c r="A477" t="s">
        <v>1473</v>
      </c>
      <c r="B477" t="s">
        <v>1473</v>
      </c>
      <c r="C477" t="s">
        <v>5969</v>
      </c>
    </row>
    <row r="478" spans="1:3" x14ac:dyDescent="0.25">
      <c r="A478" t="s">
        <v>1459</v>
      </c>
      <c r="B478" t="s">
        <v>1459</v>
      </c>
      <c r="C478" t="s">
        <v>5969</v>
      </c>
    </row>
    <row r="479" spans="1:3" x14ac:dyDescent="0.25">
      <c r="A479" t="s">
        <v>1851</v>
      </c>
      <c r="B479" t="s">
        <v>1851</v>
      </c>
      <c r="C479" t="s">
        <v>5969</v>
      </c>
    </row>
    <row r="480" spans="1:3" x14ac:dyDescent="0.25">
      <c r="A480" t="s">
        <v>1499</v>
      </c>
      <c r="B480" t="s">
        <v>1499</v>
      </c>
      <c r="C480" t="s">
        <v>5969</v>
      </c>
    </row>
    <row r="481" spans="1:3" x14ac:dyDescent="0.25">
      <c r="A481" t="s">
        <v>1784</v>
      </c>
      <c r="B481" t="s">
        <v>1784</v>
      </c>
      <c r="C481" t="s">
        <v>5969</v>
      </c>
    </row>
    <row r="482" spans="1:3" x14ac:dyDescent="0.25">
      <c r="A482" t="s">
        <v>1538</v>
      </c>
      <c r="B482" t="s">
        <v>1538</v>
      </c>
      <c r="C482" t="s">
        <v>5969</v>
      </c>
    </row>
    <row r="483" spans="1:3" x14ac:dyDescent="0.25">
      <c r="A483" t="s">
        <v>1320</v>
      </c>
      <c r="B483" t="s">
        <v>1320</v>
      </c>
      <c r="C483" t="s">
        <v>5969</v>
      </c>
    </row>
    <row r="484" spans="1:3" x14ac:dyDescent="0.25">
      <c r="A484" t="s">
        <v>1566</v>
      </c>
      <c r="B484" t="s">
        <v>1566</v>
      </c>
      <c r="C484" t="s">
        <v>5969</v>
      </c>
    </row>
    <row r="485" spans="1:3" x14ac:dyDescent="0.25">
      <c r="A485" t="s">
        <v>1439</v>
      </c>
      <c r="B485" t="s">
        <v>1439</v>
      </c>
      <c r="C485" t="s">
        <v>5969</v>
      </c>
    </row>
    <row r="486" spans="1:3" x14ac:dyDescent="0.25">
      <c r="A486" t="s">
        <v>1516</v>
      </c>
      <c r="B486" t="s">
        <v>1516</v>
      </c>
      <c r="C486" t="s">
        <v>5969</v>
      </c>
    </row>
    <row r="487" spans="1:3" x14ac:dyDescent="0.25">
      <c r="A487" t="s">
        <v>1739</v>
      </c>
      <c r="B487" t="s">
        <v>1370</v>
      </c>
      <c r="C487" t="s">
        <v>5969</v>
      </c>
    </row>
    <row r="488" spans="1:3" x14ac:dyDescent="0.25">
      <c r="A488" t="s">
        <v>1378</v>
      </c>
      <c r="B488" t="s">
        <v>1378</v>
      </c>
      <c r="C488" t="s">
        <v>5969</v>
      </c>
    </row>
    <row r="489" spans="1:3" x14ac:dyDescent="0.25">
      <c r="A489" t="s">
        <v>1467</v>
      </c>
      <c r="B489" t="s">
        <v>1467</v>
      </c>
      <c r="C489" t="s">
        <v>5969</v>
      </c>
    </row>
    <row r="490" spans="1:3" x14ac:dyDescent="0.25">
      <c r="A490" t="s">
        <v>1468</v>
      </c>
      <c r="B490" t="s">
        <v>1468</v>
      </c>
      <c r="C490" t="s">
        <v>5969</v>
      </c>
    </row>
    <row r="491" spans="1:3" x14ac:dyDescent="0.25">
      <c r="A491" t="s">
        <v>1534</v>
      </c>
      <c r="B491" t="s">
        <v>1534</v>
      </c>
      <c r="C491" t="s">
        <v>5969</v>
      </c>
    </row>
    <row r="492" spans="1:3" x14ac:dyDescent="0.25">
      <c r="A492" t="s">
        <v>1496</v>
      </c>
      <c r="B492" t="s">
        <v>1496</v>
      </c>
      <c r="C492" t="s">
        <v>5969</v>
      </c>
    </row>
    <row r="493" spans="1:3" x14ac:dyDescent="0.25">
      <c r="A493" t="s">
        <v>1443</v>
      </c>
      <c r="B493" t="s">
        <v>1443</v>
      </c>
      <c r="C493" t="s">
        <v>5969</v>
      </c>
    </row>
    <row r="494" spans="1:3" x14ac:dyDescent="0.25">
      <c r="A494" t="s">
        <v>1568</v>
      </c>
      <c r="B494" t="s">
        <v>1568</v>
      </c>
      <c r="C494" t="s">
        <v>5969</v>
      </c>
    </row>
    <row r="495" spans="1:3" x14ac:dyDescent="0.25">
      <c r="A495" t="s">
        <v>1319</v>
      </c>
      <c r="B495" t="s">
        <v>1319</v>
      </c>
      <c r="C495" t="s">
        <v>5969</v>
      </c>
    </row>
    <row r="496" spans="1:3" x14ac:dyDescent="0.25">
      <c r="A496" t="s">
        <v>1527</v>
      </c>
      <c r="B496" t="s">
        <v>1527</v>
      </c>
      <c r="C496" t="s">
        <v>5969</v>
      </c>
    </row>
    <row r="497" spans="1:3" x14ac:dyDescent="0.25">
      <c r="A497" t="s">
        <v>1351</v>
      </c>
      <c r="B497" t="s">
        <v>1351</v>
      </c>
      <c r="C497" t="s">
        <v>5969</v>
      </c>
    </row>
    <row r="498" spans="1:3" x14ac:dyDescent="0.25">
      <c r="A498" t="s">
        <v>1453</v>
      </c>
      <c r="B498" t="s">
        <v>1453</v>
      </c>
      <c r="C498" t="s">
        <v>5969</v>
      </c>
    </row>
    <row r="499" spans="1:3" x14ac:dyDescent="0.25">
      <c r="A499" t="s">
        <v>1451</v>
      </c>
      <c r="B499" t="s">
        <v>1451</v>
      </c>
      <c r="C499" t="s">
        <v>5969</v>
      </c>
    </row>
    <row r="500" spans="1:3" x14ac:dyDescent="0.25">
      <c r="A500" t="s">
        <v>1465</v>
      </c>
      <c r="B500" t="s">
        <v>1465</v>
      </c>
      <c r="C500" t="s">
        <v>5969</v>
      </c>
    </row>
    <row r="501" spans="1:3" x14ac:dyDescent="0.25">
      <c r="A501" t="s">
        <v>1549</v>
      </c>
      <c r="B501" t="s">
        <v>1549</v>
      </c>
      <c r="C501" t="s">
        <v>5969</v>
      </c>
    </row>
    <row r="502" spans="1:3" x14ac:dyDescent="0.25">
      <c r="A502" t="s">
        <v>1447</v>
      </c>
      <c r="B502" t="s">
        <v>1447</v>
      </c>
      <c r="C502" t="s">
        <v>5969</v>
      </c>
    </row>
    <row r="503" spans="1:3" x14ac:dyDescent="0.25">
      <c r="A503" t="s">
        <v>1354</v>
      </c>
      <c r="B503" t="s">
        <v>1354</v>
      </c>
      <c r="C503" t="s">
        <v>5969</v>
      </c>
    </row>
    <row r="504" spans="1:3" x14ac:dyDescent="0.25">
      <c r="A504" t="s">
        <v>1323</v>
      </c>
      <c r="B504" t="s">
        <v>1323</v>
      </c>
      <c r="C504" t="s">
        <v>5969</v>
      </c>
    </row>
    <row r="505" spans="1:3" x14ac:dyDescent="0.25">
      <c r="A505" t="s">
        <v>1469</v>
      </c>
      <c r="B505" t="s">
        <v>1469</v>
      </c>
      <c r="C505" t="s">
        <v>5969</v>
      </c>
    </row>
    <row r="506" spans="1:3" x14ac:dyDescent="0.25">
      <c r="A506" t="s">
        <v>1444</v>
      </c>
      <c r="B506" t="s">
        <v>1444</v>
      </c>
      <c r="C506" t="s">
        <v>5969</v>
      </c>
    </row>
    <row r="507" spans="1:3" x14ac:dyDescent="0.25">
      <c r="A507" t="s">
        <v>1461</v>
      </c>
      <c r="B507" t="s">
        <v>1461</v>
      </c>
      <c r="C507" t="s">
        <v>5969</v>
      </c>
    </row>
    <row r="508" spans="1:3" x14ac:dyDescent="0.25">
      <c r="A508" t="s">
        <v>1586</v>
      </c>
      <c r="B508" t="s">
        <v>1586</v>
      </c>
      <c r="C508" t="s">
        <v>5969</v>
      </c>
    </row>
    <row r="509" spans="1:3" x14ac:dyDescent="0.25">
      <c r="A509" t="s">
        <v>281</v>
      </c>
      <c r="B509" t="s">
        <v>281</v>
      </c>
      <c r="C509" t="s">
        <v>5969</v>
      </c>
    </row>
    <row r="510" spans="1:3" x14ac:dyDescent="0.25">
      <c r="A510" t="s">
        <v>1547</v>
      </c>
      <c r="B510" t="s">
        <v>1547</v>
      </c>
      <c r="C510" t="s">
        <v>5969</v>
      </c>
    </row>
    <row r="511" spans="1:3" x14ac:dyDescent="0.25">
      <c r="A511" t="s">
        <v>590</v>
      </c>
      <c r="B511" t="s">
        <v>590</v>
      </c>
      <c r="C511" t="s">
        <v>5969</v>
      </c>
    </row>
    <row r="512" spans="1:3" x14ac:dyDescent="0.25">
      <c r="A512" t="s">
        <v>691</v>
      </c>
      <c r="B512" t="s">
        <v>691</v>
      </c>
      <c r="C512" t="s">
        <v>5969</v>
      </c>
    </row>
    <row r="513" spans="1:3" x14ac:dyDescent="0.25">
      <c r="A513" t="s">
        <v>902</v>
      </c>
      <c r="B513" t="s">
        <v>902</v>
      </c>
      <c r="C513" t="s">
        <v>5969</v>
      </c>
    </row>
    <row r="514" spans="1:3" x14ac:dyDescent="0.25">
      <c r="A514" t="s">
        <v>730</v>
      </c>
      <c r="B514" t="s">
        <v>730</v>
      </c>
      <c r="C514" t="s">
        <v>5969</v>
      </c>
    </row>
    <row r="515" spans="1:3" x14ac:dyDescent="0.25">
      <c r="A515" t="s">
        <v>458</v>
      </c>
      <c r="B515" t="s">
        <v>458</v>
      </c>
      <c r="C515" t="s">
        <v>5969</v>
      </c>
    </row>
    <row r="516" spans="1:3" x14ac:dyDescent="0.25">
      <c r="A516" t="s">
        <v>907</v>
      </c>
      <c r="B516" t="s">
        <v>907</v>
      </c>
      <c r="C516" t="s">
        <v>5969</v>
      </c>
    </row>
    <row r="517" spans="1:3" x14ac:dyDescent="0.25">
      <c r="A517" t="s">
        <v>1214</v>
      </c>
      <c r="B517" t="s">
        <v>1214</v>
      </c>
      <c r="C517" t="s">
        <v>5969</v>
      </c>
    </row>
    <row r="518" spans="1:3" x14ac:dyDescent="0.25">
      <c r="A518" t="s">
        <v>225</v>
      </c>
      <c r="B518" t="s">
        <v>225</v>
      </c>
      <c r="C518" t="s">
        <v>5969</v>
      </c>
    </row>
    <row r="519" spans="1:3" x14ac:dyDescent="0.25">
      <c r="A519" t="s">
        <v>1949</v>
      </c>
      <c r="B519" t="s">
        <v>1949</v>
      </c>
      <c r="C519" t="s">
        <v>5969</v>
      </c>
    </row>
    <row r="520" spans="1:3" x14ac:dyDescent="0.25">
      <c r="A520" t="s">
        <v>889</v>
      </c>
      <c r="B520" t="s">
        <v>889</v>
      </c>
      <c r="C520" t="s">
        <v>5969</v>
      </c>
    </row>
    <row r="521" spans="1:3" x14ac:dyDescent="0.25">
      <c r="A521" t="s">
        <v>1335</v>
      </c>
      <c r="B521" t="s">
        <v>1335</v>
      </c>
      <c r="C521" t="s">
        <v>5969</v>
      </c>
    </row>
    <row r="522" spans="1:3" x14ac:dyDescent="0.25">
      <c r="A522" t="s">
        <v>870</v>
      </c>
      <c r="B522" t="s">
        <v>870</v>
      </c>
      <c r="C522" t="s">
        <v>5969</v>
      </c>
    </row>
    <row r="523" spans="1:3" x14ac:dyDescent="0.25">
      <c r="A523" t="s">
        <v>518</v>
      </c>
      <c r="B523" t="s">
        <v>518</v>
      </c>
      <c r="C523" t="s">
        <v>5969</v>
      </c>
    </row>
    <row r="524" spans="1:3" x14ac:dyDescent="0.25">
      <c r="A524" t="s">
        <v>1266</v>
      </c>
      <c r="B524" t="s">
        <v>1266</v>
      </c>
      <c r="C524" t="s">
        <v>5969</v>
      </c>
    </row>
    <row r="525" spans="1:3" x14ac:dyDescent="0.25">
      <c r="A525" t="s">
        <v>888</v>
      </c>
      <c r="B525" t="s">
        <v>888</v>
      </c>
      <c r="C525" t="s">
        <v>5969</v>
      </c>
    </row>
    <row r="526" spans="1:3" x14ac:dyDescent="0.25">
      <c r="A526" t="s">
        <v>1229</v>
      </c>
      <c r="B526" t="s">
        <v>1229</v>
      </c>
      <c r="C526" t="s">
        <v>5969</v>
      </c>
    </row>
    <row r="527" spans="1:3" x14ac:dyDescent="0.25">
      <c r="A527" t="s">
        <v>488</v>
      </c>
      <c r="B527" t="s">
        <v>488</v>
      </c>
      <c r="C527" t="s">
        <v>5969</v>
      </c>
    </row>
    <row r="528" spans="1:3" x14ac:dyDescent="0.25">
      <c r="A528" t="s">
        <v>145</v>
      </c>
      <c r="B528" t="s">
        <v>145</v>
      </c>
      <c r="C528" t="s">
        <v>5969</v>
      </c>
    </row>
    <row r="529" spans="1:3" x14ac:dyDescent="0.25">
      <c r="A529" t="s">
        <v>449</v>
      </c>
      <c r="B529" t="s">
        <v>449</v>
      </c>
      <c r="C529" t="s">
        <v>5969</v>
      </c>
    </row>
    <row r="530" spans="1:3" x14ac:dyDescent="0.25">
      <c r="A530" t="s">
        <v>1635</v>
      </c>
      <c r="B530" t="s">
        <v>1635</v>
      </c>
      <c r="C530" t="s">
        <v>5969</v>
      </c>
    </row>
    <row r="531" spans="1:3" x14ac:dyDescent="0.25">
      <c r="A531" t="s">
        <v>185</v>
      </c>
      <c r="B531" t="s">
        <v>185</v>
      </c>
      <c r="C531" t="s">
        <v>5969</v>
      </c>
    </row>
    <row r="532" spans="1:3" x14ac:dyDescent="0.25">
      <c r="A532" t="s">
        <v>1263</v>
      </c>
      <c r="B532" t="s">
        <v>1263</v>
      </c>
      <c r="C532" t="s">
        <v>5969</v>
      </c>
    </row>
    <row r="533" spans="1:3" x14ac:dyDescent="0.25">
      <c r="A533" t="s">
        <v>496</v>
      </c>
      <c r="B533" t="s">
        <v>496</v>
      </c>
      <c r="C533" t="s">
        <v>5969</v>
      </c>
    </row>
    <row r="534" spans="1:3" x14ac:dyDescent="0.25">
      <c r="A534" t="s">
        <v>453</v>
      </c>
      <c r="B534" t="s">
        <v>453</v>
      </c>
      <c r="C534" t="s">
        <v>5969</v>
      </c>
    </row>
    <row r="535" spans="1:3" x14ac:dyDescent="0.25">
      <c r="A535" t="s">
        <v>89</v>
      </c>
      <c r="B535" t="s">
        <v>89</v>
      </c>
      <c r="C535" t="s">
        <v>5969</v>
      </c>
    </row>
    <row r="536" spans="1:3" x14ac:dyDescent="0.25">
      <c r="A536" t="s">
        <v>734</v>
      </c>
      <c r="B536" t="s">
        <v>734</v>
      </c>
      <c r="C536" t="s">
        <v>5969</v>
      </c>
    </row>
    <row r="537" spans="1:3" x14ac:dyDescent="0.25">
      <c r="A537" t="s">
        <v>1511</v>
      </c>
      <c r="B537" t="s">
        <v>1511</v>
      </c>
      <c r="C537" t="s">
        <v>5969</v>
      </c>
    </row>
    <row r="538" spans="1:3" x14ac:dyDescent="0.25">
      <c r="A538" t="s">
        <v>1925</v>
      </c>
      <c r="B538" t="s">
        <v>5975</v>
      </c>
      <c r="C538" t="s">
        <v>5969</v>
      </c>
    </row>
    <row r="539" spans="1:3" x14ac:dyDescent="0.25">
      <c r="A539" t="s">
        <v>775</v>
      </c>
      <c r="B539" t="s">
        <v>775</v>
      </c>
      <c r="C539" t="s">
        <v>5969</v>
      </c>
    </row>
    <row r="540" spans="1:3" x14ac:dyDescent="0.25">
      <c r="A540" t="s">
        <v>262</v>
      </c>
      <c r="B540" t="s">
        <v>262</v>
      </c>
      <c r="C540" t="s">
        <v>5969</v>
      </c>
    </row>
    <row r="541" spans="1:3" x14ac:dyDescent="0.25">
      <c r="A541" t="s">
        <v>1267</v>
      </c>
      <c r="B541" t="s">
        <v>1267</v>
      </c>
      <c r="C541" t="s">
        <v>5969</v>
      </c>
    </row>
    <row r="542" spans="1:3" x14ac:dyDescent="0.25">
      <c r="A542" t="s">
        <v>210</v>
      </c>
      <c r="B542" t="s">
        <v>210</v>
      </c>
      <c r="C542" t="s">
        <v>5969</v>
      </c>
    </row>
    <row r="543" spans="1:3" x14ac:dyDescent="0.25">
      <c r="A543" t="s">
        <v>1922</v>
      </c>
      <c r="B543" t="s">
        <v>1922</v>
      </c>
      <c r="C543" t="s">
        <v>5969</v>
      </c>
    </row>
    <row r="544" spans="1:3" x14ac:dyDescent="0.25">
      <c r="A544" t="s">
        <v>1581</v>
      </c>
      <c r="B544" t="s">
        <v>1581</v>
      </c>
      <c r="C544" t="s">
        <v>5969</v>
      </c>
    </row>
    <row r="545" spans="1:3" x14ac:dyDescent="0.25">
      <c r="A545" t="s">
        <v>1268</v>
      </c>
      <c r="B545" t="s">
        <v>1268</v>
      </c>
      <c r="C545" t="s">
        <v>5969</v>
      </c>
    </row>
    <row r="546" spans="1:3" x14ac:dyDescent="0.25">
      <c r="A546" t="s">
        <v>174</v>
      </c>
      <c r="B546" t="s">
        <v>174</v>
      </c>
      <c r="C546" t="s">
        <v>5969</v>
      </c>
    </row>
    <row r="547" spans="1:3" x14ac:dyDescent="0.25">
      <c r="A547" t="s">
        <v>760</v>
      </c>
      <c r="B547" t="s">
        <v>760</v>
      </c>
      <c r="C547" t="s">
        <v>5969</v>
      </c>
    </row>
    <row r="548" spans="1:3" x14ac:dyDescent="0.25">
      <c r="A548" t="s">
        <v>1163</v>
      </c>
      <c r="B548" t="s">
        <v>1163</v>
      </c>
      <c r="C548" t="s">
        <v>5969</v>
      </c>
    </row>
    <row r="549" spans="1:3" x14ac:dyDescent="0.25">
      <c r="A549" t="s">
        <v>1737</v>
      </c>
      <c r="B549" t="s">
        <v>1737</v>
      </c>
      <c r="C549" t="s">
        <v>5969</v>
      </c>
    </row>
    <row r="550" spans="1:3" x14ac:dyDescent="0.25">
      <c r="A550" t="s">
        <v>802</v>
      </c>
      <c r="B550" t="s">
        <v>802</v>
      </c>
      <c r="C550" t="s">
        <v>5969</v>
      </c>
    </row>
    <row r="551" spans="1:3" x14ac:dyDescent="0.25">
      <c r="A551" t="s">
        <v>1919</v>
      </c>
      <c r="B551" t="s">
        <v>1919</v>
      </c>
      <c r="C551" t="s">
        <v>5969</v>
      </c>
    </row>
    <row r="552" spans="1:3" x14ac:dyDescent="0.25">
      <c r="A552" t="s">
        <v>1283</v>
      </c>
      <c r="B552" t="s">
        <v>1283</v>
      </c>
      <c r="C552" t="s">
        <v>5969</v>
      </c>
    </row>
    <row r="553" spans="1:3" x14ac:dyDescent="0.25">
      <c r="A553" t="s">
        <v>310</v>
      </c>
      <c r="B553" t="s">
        <v>310</v>
      </c>
      <c r="C553" t="s">
        <v>5969</v>
      </c>
    </row>
    <row r="554" spans="1:3" x14ac:dyDescent="0.25">
      <c r="A554" t="s">
        <v>550</v>
      </c>
      <c r="B554" t="s">
        <v>550</v>
      </c>
      <c r="C554" t="s">
        <v>5969</v>
      </c>
    </row>
    <row r="555" spans="1:3" x14ac:dyDescent="0.25">
      <c r="A555" t="s">
        <v>124</v>
      </c>
      <c r="B555" t="s">
        <v>124</v>
      </c>
      <c r="C555" t="s">
        <v>5969</v>
      </c>
    </row>
    <row r="556" spans="1:3" x14ac:dyDescent="0.25">
      <c r="A556" t="s">
        <v>1940</v>
      </c>
      <c r="B556" t="s">
        <v>1940</v>
      </c>
      <c r="C556" t="s">
        <v>5969</v>
      </c>
    </row>
    <row r="557" spans="1:3" x14ac:dyDescent="0.25">
      <c r="A557" t="s">
        <v>743</v>
      </c>
      <c r="B557" t="s">
        <v>743</v>
      </c>
      <c r="C557" t="s">
        <v>5969</v>
      </c>
    </row>
    <row r="558" spans="1:3" x14ac:dyDescent="0.25">
      <c r="A558" t="s">
        <v>1921</v>
      </c>
      <c r="B558" t="s">
        <v>1921</v>
      </c>
      <c r="C558" t="s">
        <v>5969</v>
      </c>
    </row>
    <row r="559" spans="1:3" x14ac:dyDescent="0.25">
      <c r="A559" t="s">
        <v>412</v>
      </c>
      <c r="B559" t="s">
        <v>412</v>
      </c>
      <c r="C559" t="s">
        <v>5969</v>
      </c>
    </row>
    <row r="560" spans="1:3" x14ac:dyDescent="0.25">
      <c r="A560" t="s">
        <v>1072</v>
      </c>
      <c r="B560" t="s">
        <v>1072</v>
      </c>
      <c r="C560" t="s">
        <v>5969</v>
      </c>
    </row>
    <row r="561" spans="1:3" x14ac:dyDescent="0.25">
      <c r="A561" t="s">
        <v>1170</v>
      </c>
      <c r="B561" t="s">
        <v>1170</v>
      </c>
      <c r="C561" t="s">
        <v>5969</v>
      </c>
    </row>
    <row r="562" spans="1:3" x14ac:dyDescent="0.25">
      <c r="A562" t="s">
        <v>663</v>
      </c>
      <c r="B562" t="s">
        <v>663</v>
      </c>
      <c r="C562" t="s">
        <v>5969</v>
      </c>
    </row>
    <row r="563" spans="1:3" x14ac:dyDescent="0.25">
      <c r="A563" t="s">
        <v>1464</v>
      </c>
      <c r="B563" t="s">
        <v>1464</v>
      </c>
      <c r="C563" t="s">
        <v>5969</v>
      </c>
    </row>
    <row r="564" spans="1:3" x14ac:dyDescent="0.25">
      <c r="A564" t="s">
        <v>149</v>
      </c>
      <c r="B564" t="s">
        <v>149</v>
      </c>
      <c r="C564" t="s">
        <v>5969</v>
      </c>
    </row>
    <row r="565" spans="1:3" x14ac:dyDescent="0.25">
      <c r="A565" t="s">
        <v>676</v>
      </c>
      <c r="B565" t="s">
        <v>676</v>
      </c>
      <c r="C565" t="s">
        <v>5969</v>
      </c>
    </row>
    <row r="566" spans="1:3" x14ac:dyDescent="0.25">
      <c r="A566" t="s">
        <v>709</v>
      </c>
      <c r="B566" t="s">
        <v>709</v>
      </c>
      <c r="C566" t="s">
        <v>5969</v>
      </c>
    </row>
    <row r="567" spans="1:3" x14ac:dyDescent="0.25">
      <c r="A567" t="s">
        <v>1334</v>
      </c>
      <c r="B567" t="s">
        <v>1334</v>
      </c>
      <c r="C567" t="s">
        <v>5969</v>
      </c>
    </row>
    <row r="568" spans="1:3" x14ac:dyDescent="0.25">
      <c r="A568" t="s">
        <v>827</v>
      </c>
      <c r="B568" t="s">
        <v>827</v>
      </c>
      <c r="C568" t="s">
        <v>5969</v>
      </c>
    </row>
    <row r="569" spans="1:3" x14ac:dyDescent="0.25">
      <c r="A569" t="s">
        <v>158</v>
      </c>
      <c r="B569" t="s">
        <v>158</v>
      </c>
      <c r="C569" t="s">
        <v>5969</v>
      </c>
    </row>
    <row r="570" spans="1:3" x14ac:dyDescent="0.25">
      <c r="A570" t="s">
        <v>927</v>
      </c>
      <c r="B570" t="s">
        <v>927</v>
      </c>
      <c r="C570" t="s">
        <v>5969</v>
      </c>
    </row>
    <row r="571" spans="1:3" x14ac:dyDescent="0.25">
      <c r="A571" t="s">
        <v>1800</v>
      </c>
      <c r="B571" t="s">
        <v>1345</v>
      </c>
      <c r="C571" t="s">
        <v>5969</v>
      </c>
    </row>
    <row r="572" spans="1:3" x14ac:dyDescent="0.25">
      <c r="A572" t="s">
        <v>807</v>
      </c>
      <c r="B572" t="s">
        <v>807</v>
      </c>
      <c r="C572" t="s">
        <v>5969</v>
      </c>
    </row>
    <row r="573" spans="1:3" x14ac:dyDescent="0.25">
      <c r="A573" t="s">
        <v>1918</v>
      </c>
      <c r="B573" t="s">
        <v>1918</v>
      </c>
      <c r="C573" t="s">
        <v>5969</v>
      </c>
    </row>
    <row r="574" spans="1:3" x14ac:dyDescent="0.25">
      <c r="A574" t="s">
        <v>732</v>
      </c>
      <c r="B574" t="s">
        <v>732</v>
      </c>
      <c r="C574" t="s">
        <v>5969</v>
      </c>
    </row>
    <row r="575" spans="1:3" x14ac:dyDescent="0.25">
      <c r="A575" t="s">
        <v>197</v>
      </c>
      <c r="B575" t="s">
        <v>197</v>
      </c>
      <c r="C575" t="s">
        <v>5969</v>
      </c>
    </row>
    <row r="576" spans="1:3" x14ac:dyDescent="0.25">
      <c r="A576" t="s">
        <v>1048</v>
      </c>
      <c r="B576" t="s">
        <v>1048</v>
      </c>
      <c r="C576" t="s">
        <v>5969</v>
      </c>
    </row>
    <row r="577" spans="1:3" x14ac:dyDescent="0.25">
      <c r="A577" t="s">
        <v>94</v>
      </c>
      <c r="B577" t="s">
        <v>94</v>
      </c>
      <c r="C577" t="s">
        <v>5969</v>
      </c>
    </row>
    <row r="578" spans="1:3" x14ac:dyDescent="0.25">
      <c r="A578" t="s">
        <v>530</v>
      </c>
      <c r="B578" t="s">
        <v>530</v>
      </c>
      <c r="C578" t="s">
        <v>5969</v>
      </c>
    </row>
    <row r="579" spans="1:3" x14ac:dyDescent="0.25">
      <c r="A579" t="s">
        <v>317</v>
      </c>
      <c r="B579" t="s">
        <v>317</v>
      </c>
      <c r="C579" t="s">
        <v>5969</v>
      </c>
    </row>
    <row r="580" spans="1:3" x14ac:dyDescent="0.25">
      <c r="A580" t="s">
        <v>1107</v>
      </c>
      <c r="B580" t="s">
        <v>1107</v>
      </c>
      <c r="C580" t="s">
        <v>5969</v>
      </c>
    </row>
    <row r="581" spans="1:3" x14ac:dyDescent="0.25">
      <c r="A581" t="s">
        <v>1495</v>
      </c>
      <c r="B581" t="s">
        <v>1495</v>
      </c>
      <c r="C581" t="s">
        <v>5969</v>
      </c>
    </row>
    <row r="582" spans="1:3" x14ac:dyDescent="0.25">
      <c r="A582" t="s">
        <v>1596</v>
      </c>
      <c r="B582" t="s">
        <v>1596</v>
      </c>
      <c r="C582" t="s">
        <v>5969</v>
      </c>
    </row>
    <row r="583" spans="1:3" x14ac:dyDescent="0.25">
      <c r="A583" t="s">
        <v>801</v>
      </c>
      <c r="B583" t="s">
        <v>801</v>
      </c>
      <c r="C583" t="s">
        <v>5969</v>
      </c>
    </row>
    <row r="584" spans="1:3" x14ac:dyDescent="0.25">
      <c r="A584" t="s">
        <v>971</v>
      </c>
      <c r="B584" t="s">
        <v>971</v>
      </c>
      <c r="C584" t="s">
        <v>5969</v>
      </c>
    </row>
    <row r="585" spans="1:3" x14ac:dyDescent="0.25">
      <c r="A585" t="s">
        <v>69</v>
      </c>
      <c r="B585" t="s">
        <v>69</v>
      </c>
      <c r="C585" t="s">
        <v>5969</v>
      </c>
    </row>
    <row r="586" spans="1:3" x14ac:dyDescent="0.25">
      <c r="A586" t="s">
        <v>1273</v>
      </c>
      <c r="B586" t="s">
        <v>1273</v>
      </c>
      <c r="C586" t="s">
        <v>5969</v>
      </c>
    </row>
    <row r="587" spans="1:3" x14ac:dyDescent="0.25">
      <c r="A587" t="s">
        <v>228</v>
      </c>
      <c r="B587" t="s">
        <v>228</v>
      </c>
      <c r="C587" t="s">
        <v>5969</v>
      </c>
    </row>
    <row r="588" spans="1:3" x14ac:dyDescent="0.25">
      <c r="A588" t="s">
        <v>1780</v>
      </c>
      <c r="B588" t="s">
        <v>1539</v>
      </c>
      <c r="C588" t="s">
        <v>5969</v>
      </c>
    </row>
    <row r="589" spans="1:3" x14ac:dyDescent="0.25">
      <c r="A589" t="s">
        <v>939</v>
      </c>
      <c r="B589" t="s">
        <v>939</v>
      </c>
      <c r="C589" t="s">
        <v>5969</v>
      </c>
    </row>
    <row r="590" spans="1:3" x14ac:dyDescent="0.25">
      <c r="A590" t="s">
        <v>1867</v>
      </c>
      <c r="B590" t="s">
        <v>1867</v>
      </c>
      <c r="C590" t="s">
        <v>5969</v>
      </c>
    </row>
    <row r="591" spans="1:3" x14ac:dyDescent="0.25">
      <c r="A591" t="s">
        <v>1627</v>
      </c>
      <c r="B591" t="s">
        <v>1627</v>
      </c>
      <c r="C591" t="s">
        <v>5969</v>
      </c>
    </row>
    <row r="592" spans="1:3" x14ac:dyDescent="0.25">
      <c r="A592" t="s">
        <v>1486</v>
      </c>
      <c r="B592" t="s">
        <v>1486</v>
      </c>
      <c r="C592" t="s">
        <v>5969</v>
      </c>
    </row>
    <row r="593" spans="1:3" x14ac:dyDescent="0.25">
      <c r="A593" t="s">
        <v>293</v>
      </c>
      <c r="B593" t="s">
        <v>293</v>
      </c>
      <c r="C593" t="s">
        <v>5969</v>
      </c>
    </row>
    <row r="594" spans="1:3" x14ac:dyDescent="0.25">
      <c r="A594" t="s">
        <v>1387</v>
      </c>
      <c r="B594" t="s">
        <v>1387</v>
      </c>
      <c r="C594" t="s">
        <v>5969</v>
      </c>
    </row>
    <row r="595" spans="1:3" x14ac:dyDescent="0.25">
      <c r="A595" t="s">
        <v>440</v>
      </c>
      <c r="B595" t="s">
        <v>440</v>
      </c>
      <c r="C595" t="s">
        <v>5969</v>
      </c>
    </row>
    <row r="596" spans="1:3" x14ac:dyDescent="0.25">
      <c r="A596" t="s">
        <v>883</v>
      </c>
      <c r="B596" t="s">
        <v>883</v>
      </c>
      <c r="C596" t="s">
        <v>5969</v>
      </c>
    </row>
    <row r="597" spans="1:3" x14ac:dyDescent="0.25">
      <c r="A597" t="s">
        <v>1638</v>
      </c>
      <c r="B597" t="s">
        <v>1638</v>
      </c>
      <c r="C597" t="s">
        <v>5969</v>
      </c>
    </row>
    <row r="598" spans="1:3" x14ac:dyDescent="0.25">
      <c r="A598" t="s">
        <v>893</v>
      </c>
      <c r="B598" t="s">
        <v>893</v>
      </c>
      <c r="C598" t="s">
        <v>5969</v>
      </c>
    </row>
    <row r="599" spans="1:3" x14ac:dyDescent="0.25">
      <c r="A599" t="s">
        <v>881</v>
      </c>
      <c r="B599" t="s">
        <v>881</v>
      </c>
      <c r="C599" t="s">
        <v>5969</v>
      </c>
    </row>
    <row r="600" spans="1:3" x14ac:dyDescent="0.25">
      <c r="A600" t="s">
        <v>891</v>
      </c>
      <c r="B600" t="s">
        <v>891</v>
      </c>
      <c r="C600" t="s">
        <v>5969</v>
      </c>
    </row>
    <row r="601" spans="1:3" x14ac:dyDescent="0.25">
      <c r="A601" t="s">
        <v>934</v>
      </c>
      <c r="B601" t="s">
        <v>934</v>
      </c>
      <c r="C601" t="s">
        <v>5969</v>
      </c>
    </row>
    <row r="602" spans="1:3" x14ac:dyDescent="0.25">
      <c r="A602" t="s">
        <v>682</v>
      </c>
      <c r="B602" t="s">
        <v>682</v>
      </c>
      <c r="C602" t="s">
        <v>5969</v>
      </c>
    </row>
    <row r="603" spans="1:3" x14ac:dyDescent="0.25">
      <c r="A603" t="s">
        <v>1916</v>
      </c>
      <c r="B603" t="s">
        <v>1916</v>
      </c>
      <c r="C603" t="s">
        <v>5969</v>
      </c>
    </row>
    <row r="604" spans="1:3" x14ac:dyDescent="0.25">
      <c r="A604" t="s">
        <v>1803</v>
      </c>
      <c r="B604" t="s">
        <v>1803</v>
      </c>
      <c r="C604" t="s">
        <v>5969</v>
      </c>
    </row>
    <row r="605" spans="1:3" x14ac:dyDescent="0.25">
      <c r="A605" t="s">
        <v>680</v>
      </c>
      <c r="B605" t="s">
        <v>680</v>
      </c>
      <c r="C605" t="s">
        <v>5969</v>
      </c>
    </row>
    <row r="606" spans="1:3" x14ac:dyDescent="0.25">
      <c r="A606" t="s">
        <v>332</v>
      </c>
      <c r="B606" t="s">
        <v>332</v>
      </c>
      <c r="C606" t="s">
        <v>5969</v>
      </c>
    </row>
    <row r="607" spans="1:3" x14ac:dyDescent="0.25">
      <c r="A607" t="s">
        <v>456</v>
      </c>
      <c r="B607" t="s">
        <v>5976</v>
      </c>
      <c r="C607" t="s">
        <v>5969</v>
      </c>
    </row>
    <row r="608" spans="1:3" x14ac:dyDescent="0.25">
      <c r="A608" t="s">
        <v>1225</v>
      </c>
      <c r="B608" t="s">
        <v>1225</v>
      </c>
      <c r="C608" t="s">
        <v>5969</v>
      </c>
    </row>
    <row r="609" spans="1:3" x14ac:dyDescent="0.25">
      <c r="A609" t="s">
        <v>1025</v>
      </c>
      <c r="B609" t="s">
        <v>1025</v>
      </c>
      <c r="C609" t="s">
        <v>5969</v>
      </c>
    </row>
    <row r="610" spans="1:3" x14ac:dyDescent="0.25">
      <c r="A610" t="s">
        <v>1247</v>
      </c>
      <c r="B610" t="s">
        <v>1247</v>
      </c>
      <c r="C610" t="s">
        <v>5969</v>
      </c>
    </row>
    <row r="611" spans="1:3" x14ac:dyDescent="0.25">
      <c r="A611" t="s">
        <v>639</v>
      </c>
      <c r="B611" t="s">
        <v>639</v>
      </c>
      <c r="C611" t="s">
        <v>5969</v>
      </c>
    </row>
    <row r="612" spans="1:3" x14ac:dyDescent="0.25">
      <c r="A612" t="s">
        <v>1930</v>
      </c>
      <c r="B612" t="s">
        <v>1930</v>
      </c>
      <c r="C612" t="s">
        <v>5969</v>
      </c>
    </row>
    <row r="613" spans="1:3" x14ac:dyDescent="0.25">
      <c r="A613" t="s">
        <v>833</v>
      </c>
      <c r="B613" t="s">
        <v>833</v>
      </c>
      <c r="C613" t="s">
        <v>5969</v>
      </c>
    </row>
    <row r="614" spans="1:3" x14ac:dyDescent="0.25">
      <c r="A614" t="s">
        <v>836</v>
      </c>
      <c r="B614" t="s">
        <v>836</v>
      </c>
      <c r="C614" t="s">
        <v>5969</v>
      </c>
    </row>
    <row r="615" spans="1:3" x14ac:dyDescent="0.25">
      <c r="A615" t="s">
        <v>739</v>
      </c>
      <c r="B615" t="s">
        <v>739</v>
      </c>
      <c r="C615" t="s">
        <v>5969</v>
      </c>
    </row>
    <row r="616" spans="1:3" x14ac:dyDescent="0.25">
      <c r="A616" t="s">
        <v>995</v>
      </c>
      <c r="B616" t="s">
        <v>995</v>
      </c>
      <c r="C616" t="s">
        <v>5969</v>
      </c>
    </row>
    <row r="617" spans="1:3" x14ac:dyDescent="0.25">
      <c r="A617" t="s">
        <v>968</v>
      </c>
      <c r="B617" t="s">
        <v>968</v>
      </c>
      <c r="C617" t="s">
        <v>5969</v>
      </c>
    </row>
    <row r="618" spans="1:3" x14ac:dyDescent="0.25">
      <c r="A618" t="s">
        <v>1318</v>
      </c>
      <c r="B618" t="s">
        <v>1318</v>
      </c>
      <c r="C618" t="s">
        <v>5969</v>
      </c>
    </row>
    <row r="619" spans="1:3" x14ac:dyDescent="0.25">
      <c r="A619" t="s">
        <v>643</v>
      </c>
      <c r="B619" t="s">
        <v>643</v>
      </c>
      <c r="C619" t="s">
        <v>5969</v>
      </c>
    </row>
    <row r="620" spans="1:3" x14ac:dyDescent="0.25">
      <c r="A620" t="s">
        <v>1288</v>
      </c>
      <c r="B620" t="s">
        <v>1288</v>
      </c>
      <c r="C620" t="s">
        <v>5969</v>
      </c>
    </row>
    <row r="621" spans="1:3" x14ac:dyDescent="0.25">
      <c r="A621" t="s">
        <v>850</v>
      </c>
      <c r="B621" t="s">
        <v>850</v>
      </c>
      <c r="C621" t="s">
        <v>5969</v>
      </c>
    </row>
    <row r="622" spans="1:3" x14ac:dyDescent="0.25">
      <c r="A622" t="s">
        <v>1404</v>
      </c>
      <c r="B622" t="s">
        <v>1404</v>
      </c>
      <c r="C622" t="s">
        <v>5969</v>
      </c>
    </row>
    <row r="623" spans="1:3" x14ac:dyDescent="0.25">
      <c r="A623" t="s">
        <v>1197</v>
      </c>
      <c r="B623" t="s">
        <v>1197</v>
      </c>
      <c r="C623" t="s">
        <v>5969</v>
      </c>
    </row>
    <row r="624" spans="1:3" x14ac:dyDescent="0.25">
      <c r="A624" t="s">
        <v>948</v>
      </c>
      <c r="B624" t="s">
        <v>948</v>
      </c>
      <c r="C624" t="s">
        <v>5969</v>
      </c>
    </row>
    <row r="625" spans="1:3" x14ac:dyDescent="0.25">
      <c r="A625" t="s">
        <v>947</v>
      </c>
      <c r="B625" t="s">
        <v>947</v>
      </c>
      <c r="C625" t="s">
        <v>5969</v>
      </c>
    </row>
    <row r="626" spans="1:3" x14ac:dyDescent="0.25">
      <c r="A626" t="s">
        <v>722</v>
      </c>
      <c r="B626" t="s">
        <v>722</v>
      </c>
      <c r="C626" t="s">
        <v>5969</v>
      </c>
    </row>
    <row r="627" spans="1:3" x14ac:dyDescent="0.25">
      <c r="A627" t="s">
        <v>720</v>
      </c>
      <c r="B627" t="s">
        <v>720</v>
      </c>
      <c r="C627" t="s">
        <v>5969</v>
      </c>
    </row>
    <row r="628" spans="1:3" x14ac:dyDescent="0.25">
      <c r="A628" t="s">
        <v>804</v>
      </c>
      <c r="B628" t="s">
        <v>804</v>
      </c>
      <c r="C628" t="s">
        <v>5969</v>
      </c>
    </row>
    <row r="629" spans="1:3" x14ac:dyDescent="0.25">
      <c r="A629" t="s">
        <v>1167</v>
      </c>
      <c r="B629" t="s">
        <v>1167</v>
      </c>
      <c r="C629" t="s">
        <v>5969</v>
      </c>
    </row>
    <row r="630" spans="1:3" x14ac:dyDescent="0.25">
      <c r="A630" t="s">
        <v>1395</v>
      </c>
      <c r="B630" t="s">
        <v>1395</v>
      </c>
      <c r="C630" t="s">
        <v>5969</v>
      </c>
    </row>
    <row r="631" spans="1:3" x14ac:dyDescent="0.25">
      <c r="A631" t="s">
        <v>1079</v>
      </c>
      <c r="B631" t="s">
        <v>1079</v>
      </c>
      <c r="C631" t="s">
        <v>5969</v>
      </c>
    </row>
    <row r="632" spans="1:3" x14ac:dyDescent="0.25">
      <c r="A632" t="s">
        <v>1233</v>
      </c>
      <c r="B632" t="s">
        <v>1233</v>
      </c>
      <c r="C632" t="s">
        <v>5969</v>
      </c>
    </row>
    <row r="633" spans="1:3" x14ac:dyDescent="0.25">
      <c r="A633" t="s">
        <v>1312</v>
      </c>
      <c r="B633" t="s">
        <v>1312</v>
      </c>
      <c r="C633" t="s">
        <v>5969</v>
      </c>
    </row>
    <row r="634" spans="1:3" x14ac:dyDescent="0.25">
      <c r="A634" t="s">
        <v>1138</v>
      </c>
      <c r="B634" t="s">
        <v>1138</v>
      </c>
      <c r="C634" t="s">
        <v>5969</v>
      </c>
    </row>
    <row r="635" spans="1:3" x14ac:dyDescent="0.25">
      <c r="A635" t="s">
        <v>621</v>
      </c>
      <c r="B635" t="s">
        <v>621</v>
      </c>
      <c r="C635" t="s">
        <v>5969</v>
      </c>
    </row>
    <row r="636" spans="1:3" x14ac:dyDescent="0.25">
      <c r="A636" t="s">
        <v>1291</v>
      </c>
      <c r="B636" t="s">
        <v>1291</v>
      </c>
      <c r="C636" t="s">
        <v>5969</v>
      </c>
    </row>
    <row r="637" spans="1:3" x14ac:dyDescent="0.25">
      <c r="A637" t="s">
        <v>1872</v>
      </c>
      <c r="B637" t="s">
        <v>1872</v>
      </c>
      <c r="C637" t="s">
        <v>5969</v>
      </c>
    </row>
    <row r="638" spans="1:3" x14ac:dyDescent="0.25">
      <c r="A638" t="s">
        <v>372</v>
      </c>
      <c r="B638" t="s">
        <v>372</v>
      </c>
      <c r="C638" t="s">
        <v>5969</v>
      </c>
    </row>
    <row r="639" spans="1:3" x14ac:dyDescent="0.25">
      <c r="A639" t="s">
        <v>136</v>
      </c>
      <c r="B639" t="s">
        <v>136</v>
      </c>
      <c r="C639" t="s">
        <v>5969</v>
      </c>
    </row>
    <row r="640" spans="1:3" x14ac:dyDescent="0.25">
      <c r="A640" t="s">
        <v>1058</v>
      </c>
      <c r="B640" t="s">
        <v>1058</v>
      </c>
      <c r="C640" t="s">
        <v>5969</v>
      </c>
    </row>
    <row r="641" spans="1:3" x14ac:dyDescent="0.25">
      <c r="A641" t="s">
        <v>790</v>
      </c>
      <c r="B641" t="s">
        <v>790</v>
      </c>
      <c r="C641" t="s">
        <v>5969</v>
      </c>
    </row>
    <row r="642" spans="1:3" x14ac:dyDescent="0.25">
      <c r="A642" t="s">
        <v>640</v>
      </c>
      <c r="B642" t="s">
        <v>640</v>
      </c>
      <c r="C642" t="s">
        <v>5969</v>
      </c>
    </row>
    <row r="643" spans="1:3" x14ac:dyDescent="0.25">
      <c r="A643" t="s">
        <v>1045</v>
      </c>
      <c r="B643" t="s">
        <v>1045</v>
      </c>
      <c r="C643" t="s">
        <v>5969</v>
      </c>
    </row>
    <row r="644" spans="1:3" x14ac:dyDescent="0.25">
      <c r="A644" t="s">
        <v>726</v>
      </c>
      <c r="B644" t="s">
        <v>726</v>
      </c>
      <c r="C644" t="s">
        <v>5969</v>
      </c>
    </row>
    <row r="645" spans="1:3" x14ac:dyDescent="0.25">
      <c r="A645" t="s">
        <v>400</v>
      </c>
      <c r="B645" t="s">
        <v>400</v>
      </c>
      <c r="C645" t="s">
        <v>5969</v>
      </c>
    </row>
    <row r="646" spans="1:3" x14ac:dyDescent="0.25">
      <c r="A646" t="s">
        <v>762</v>
      </c>
      <c r="B646" t="s">
        <v>762</v>
      </c>
      <c r="C646" t="s">
        <v>5969</v>
      </c>
    </row>
    <row r="647" spans="1:3" x14ac:dyDescent="0.25">
      <c r="A647" t="s">
        <v>1231</v>
      </c>
      <c r="B647" t="s">
        <v>1231</v>
      </c>
      <c r="C647" t="s">
        <v>5969</v>
      </c>
    </row>
    <row r="648" spans="1:3" x14ac:dyDescent="0.25">
      <c r="A648" t="s">
        <v>916</v>
      </c>
      <c r="B648" t="s">
        <v>916</v>
      </c>
      <c r="C648" t="s">
        <v>5969</v>
      </c>
    </row>
    <row r="649" spans="1:3" x14ac:dyDescent="0.25">
      <c r="A649" t="s">
        <v>1228</v>
      </c>
      <c r="B649" t="s">
        <v>1228</v>
      </c>
      <c r="C649" t="s">
        <v>5969</v>
      </c>
    </row>
    <row r="650" spans="1:3" x14ac:dyDescent="0.25">
      <c r="A650" t="s">
        <v>1165</v>
      </c>
      <c r="B650" t="s">
        <v>1165</v>
      </c>
      <c r="C650" t="s">
        <v>5969</v>
      </c>
    </row>
    <row r="651" spans="1:3" x14ac:dyDescent="0.25">
      <c r="A651" t="s">
        <v>721</v>
      </c>
      <c r="B651" t="s">
        <v>721</v>
      </c>
      <c r="C651" t="s">
        <v>5969</v>
      </c>
    </row>
    <row r="652" spans="1:3" x14ac:dyDescent="0.25">
      <c r="A652" t="s">
        <v>1398</v>
      </c>
      <c r="B652" t="s">
        <v>1398</v>
      </c>
      <c r="C652" t="s">
        <v>5969</v>
      </c>
    </row>
    <row r="653" spans="1:3" x14ac:dyDescent="0.25">
      <c r="A653" t="s">
        <v>1300</v>
      </c>
      <c r="B653" t="s">
        <v>1300</v>
      </c>
      <c r="C653" t="s">
        <v>5969</v>
      </c>
    </row>
    <row r="654" spans="1:3" x14ac:dyDescent="0.25">
      <c r="A654" t="s">
        <v>675</v>
      </c>
      <c r="B654" t="s">
        <v>675</v>
      </c>
      <c r="C654" t="s">
        <v>5969</v>
      </c>
    </row>
    <row r="655" spans="1:3" x14ac:dyDescent="0.25">
      <c r="A655" t="s">
        <v>21</v>
      </c>
      <c r="B655" t="s">
        <v>21</v>
      </c>
      <c r="C655" t="s">
        <v>5969</v>
      </c>
    </row>
    <row r="656" spans="1:3" x14ac:dyDescent="0.25">
      <c r="A656" t="s">
        <v>1911</v>
      </c>
      <c r="B656" t="s">
        <v>1911</v>
      </c>
      <c r="C656" t="s">
        <v>5969</v>
      </c>
    </row>
    <row r="657" spans="1:3" x14ac:dyDescent="0.25">
      <c r="A657" t="s">
        <v>499</v>
      </c>
      <c r="B657" t="s">
        <v>499</v>
      </c>
      <c r="C657" t="s">
        <v>5969</v>
      </c>
    </row>
    <row r="658" spans="1:3" x14ac:dyDescent="0.25">
      <c r="A658" t="s">
        <v>771</v>
      </c>
      <c r="B658" t="s">
        <v>771</v>
      </c>
      <c r="C658" t="s">
        <v>5969</v>
      </c>
    </row>
    <row r="659" spans="1:3" x14ac:dyDescent="0.25">
      <c r="A659" t="s">
        <v>395</v>
      </c>
      <c r="B659" t="s">
        <v>395</v>
      </c>
      <c r="C659" t="s">
        <v>5969</v>
      </c>
    </row>
    <row r="660" spans="1:3" x14ac:dyDescent="0.25">
      <c r="A660" t="s">
        <v>1411</v>
      </c>
      <c r="B660" t="s">
        <v>1411</v>
      </c>
      <c r="C660" t="s">
        <v>5969</v>
      </c>
    </row>
    <row r="661" spans="1:3" x14ac:dyDescent="0.25">
      <c r="A661" t="s">
        <v>1624</v>
      </c>
      <c r="B661" t="s">
        <v>1624</v>
      </c>
      <c r="C661" t="s">
        <v>5969</v>
      </c>
    </row>
    <row r="662" spans="1:3" x14ac:dyDescent="0.25">
      <c r="A662" t="s">
        <v>848</v>
      </c>
      <c r="B662" t="s">
        <v>848</v>
      </c>
      <c r="C662" t="s">
        <v>5969</v>
      </c>
    </row>
    <row r="663" spans="1:3" x14ac:dyDescent="0.25">
      <c r="A663" t="s">
        <v>1740</v>
      </c>
      <c r="B663" t="s">
        <v>1740</v>
      </c>
      <c r="C663" t="s">
        <v>5969</v>
      </c>
    </row>
    <row r="664" spans="1:3" x14ac:dyDescent="0.25">
      <c r="A664" t="s">
        <v>1285</v>
      </c>
      <c r="B664" t="s">
        <v>1285</v>
      </c>
      <c r="C664" t="s">
        <v>5969</v>
      </c>
    </row>
    <row r="665" spans="1:3" x14ac:dyDescent="0.25">
      <c r="A665" t="s">
        <v>666</v>
      </c>
      <c r="B665" t="s">
        <v>666</v>
      </c>
      <c r="C665" t="s">
        <v>5969</v>
      </c>
    </row>
    <row r="666" spans="1:3" x14ac:dyDescent="0.25">
      <c r="A666" t="s">
        <v>1770</v>
      </c>
      <c r="B666" t="s">
        <v>1770</v>
      </c>
      <c r="C666" t="s">
        <v>5969</v>
      </c>
    </row>
    <row r="667" spans="1:3" x14ac:dyDescent="0.25">
      <c r="A667" t="s">
        <v>851</v>
      </c>
      <c r="B667" t="s">
        <v>851</v>
      </c>
      <c r="C667" t="s">
        <v>5969</v>
      </c>
    </row>
    <row r="668" spans="1:3" x14ac:dyDescent="0.25">
      <c r="A668" t="s">
        <v>523</v>
      </c>
      <c r="B668" t="s">
        <v>523</v>
      </c>
      <c r="C668" t="s">
        <v>5969</v>
      </c>
    </row>
    <row r="669" spans="1:3" x14ac:dyDescent="0.25">
      <c r="A669" t="s">
        <v>645</v>
      </c>
      <c r="B669" t="s">
        <v>645</v>
      </c>
      <c r="C669" t="s">
        <v>5969</v>
      </c>
    </row>
    <row r="670" spans="1:3" x14ac:dyDescent="0.25">
      <c r="A670" t="s">
        <v>899</v>
      </c>
      <c r="B670" t="s">
        <v>899</v>
      </c>
      <c r="C670" t="s">
        <v>5969</v>
      </c>
    </row>
    <row r="671" spans="1:3" x14ac:dyDescent="0.25">
      <c r="A671" t="s">
        <v>527</v>
      </c>
      <c r="B671" t="s">
        <v>527</v>
      </c>
      <c r="C671" t="s">
        <v>5969</v>
      </c>
    </row>
    <row r="672" spans="1:3" x14ac:dyDescent="0.25">
      <c r="A672" t="s">
        <v>443</v>
      </c>
      <c r="B672" t="s">
        <v>443</v>
      </c>
      <c r="C672" t="s">
        <v>5969</v>
      </c>
    </row>
    <row r="673" spans="1:3" x14ac:dyDescent="0.25">
      <c r="A673" t="s">
        <v>816</v>
      </c>
      <c r="B673" t="s">
        <v>816</v>
      </c>
      <c r="C673" t="s">
        <v>5969</v>
      </c>
    </row>
    <row r="674" spans="1:3" x14ac:dyDescent="0.25">
      <c r="A674" t="s">
        <v>637</v>
      </c>
      <c r="B674" t="s">
        <v>637</v>
      </c>
      <c r="C674" t="s">
        <v>5969</v>
      </c>
    </row>
    <row r="675" spans="1:3" x14ac:dyDescent="0.25">
      <c r="A675" t="s">
        <v>1101</v>
      </c>
      <c r="B675" t="s">
        <v>1101</v>
      </c>
      <c r="C675" t="s">
        <v>5969</v>
      </c>
    </row>
    <row r="676" spans="1:3" x14ac:dyDescent="0.25">
      <c r="A676" t="s">
        <v>1242</v>
      </c>
      <c r="B676" t="s">
        <v>1242</v>
      </c>
      <c r="C676" t="s">
        <v>5969</v>
      </c>
    </row>
    <row r="677" spans="1:3" x14ac:dyDescent="0.25">
      <c r="A677" t="s">
        <v>657</v>
      </c>
      <c r="B677" t="s">
        <v>657</v>
      </c>
      <c r="C677" t="s">
        <v>5969</v>
      </c>
    </row>
    <row r="678" spans="1:3" x14ac:dyDescent="0.25">
      <c r="A678" t="s">
        <v>704</v>
      </c>
      <c r="B678" t="s">
        <v>704</v>
      </c>
      <c r="C678" t="s">
        <v>5969</v>
      </c>
    </row>
    <row r="679" spans="1:3" x14ac:dyDescent="0.25">
      <c r="A679" t="s">
        <v>422</v>
      </c>
      <c r="B679" t="s">
        <v>422</v>
      </c>
      <c r="C679" t="s">
        <v>5969</v>
      </c>
    </row>
    <row r="680" spans="1:3" x14ac:dyDescent="0.25">
      <c r="A680" t="s">
        <v>425</v>
      </c>
      <c r="B680" t="s">
        <v>425</v>
      </c>
      <c r="C680" t="s">
        <v>5969</v>
      </c>
    </row>
    <row r="681" spans="1:3" x14ac:dyDescent="0.25">
      <c r="A681" t="s">
        <v>1226</v>
      </c>
      <c r="B681" t="s">
        <v>1226</v>
      </c>
      <c r="C681" t="s">
        <v>5969</v>
      </c>
    </row>
    <row r="682" spans="1:3" x14ac:dyDescent="0.25">
      <c r="A682" t="s">
        <v>705</v>
      </c>
      <c r="B682" t="s">
        <v>705</v>
      </c>
      <c r="C682" t="s">
        <v>5969</v>
      </c>
    </row>
    <row r="683" spans="1:3" x14ac:dyDescent="0.25">
      <c r="A683" t="s">
        <v>1621</v>
      </c>
      <c r="B683" t="s">
        <v>1621</v>
      </c>
      <c r="C683" t="s">
        <v>5969</v>
      </c>
    </row>
    <row r="684" spans="1:3" x14ac:dyDescent="0.25">
      <c r="A684" t="s">
        <v>746</v>
      </c>
      <c r="B684" t="s">
        <v>746</v>
      </c>
      <c r="C684" t="s">
        <v>5969</v>
      </c>
    </row>
    <row r="685" spans="1:3" x14ac:dyDescent="0.25">
      <c r="A685" t="s">
        <v>928</v>
      </c>
      <c r="B685" t="s">
        <v>928</v>
      </c>
      <c r="C685" t="s">
        <v>5969</v>
      </c>
    </row>
    <row r="686" spans="1:3" x14ac:dyDescent="0.25">
      <c r="A686" t="s">
        <v>879</v>
      </c>
      <c r="B686" t="s">
        <v>879</v>
      </c>
      <c r="C686" t="s">
        <v>5969</v>
      </c>
    </row>
    <row r="687" spans="1:3" x14ac:dyDescent="0.25">
      <c r="A687" t="s">
        <v>950</v>
      </c>
      <c r="B687" t="s">
        <v>950</v>
      </c>
      <c r="C687" t="s">
        <v>5969</v>
      </c>
    </row>
    <row r="688" spans="1:3" x14ac:dyDescent="0.25">
      <c r="A688" t="s">
        <v>1232</v>
      </c>
      <c r="B688" t="s">
        <v>1232</v>
      </c>
      <c r="C688" t="s">
        <v>5969</v>
      </c>
    </row>
    <row r="689" spans="1:3" x14ac:dyDescent="0.25">
      <c r="A689" t="s">
        <v>1520</v>
      </c>
      <c r="B689" t="s">
        <v>1520</v>
      </c>
      <c r="C689" t="s">
        <v>5969</v>
      </c>
    </row>
    <row r="690" spans="1:3" x14ac:dyDescent="0.25">
      <c r="A690" t="s">
        <v>1920</v>
      </c>
      <c r="B690" t="s">
        <v>1920</v>
      </c>
      <c r="C690" t="s">
        <v>5969</v>
      </c>
    </row>
    <row r="691" spans="1:3" x14ac:dyDescent="0.25">
      <c r="A691" t="s">
        <v>1876</v>
      </c>
      <c r="B691" t="s">
        <v>1876</v>
      </c>
      <c r="C691" t="s">
        <v>5969</v>
      </c>
    </row>
    <row r="692" spans="1:3" x14ac:dyDescent="0.25">
      <c r="A692" t="s">
        <v>1523</v>
      </c>
      <c r="B692" t="s">
        <v>1523</v>
      </c>
      <c r="C692" t="s">
        <v>5969</v>
      </c>
    </row>
    <row r="693" spans="1:3" x14ac:dyDescent="0.25">
      <c r="A693" t="s">
        <v>1937</v>
      </c>
      <c r="B693" t="s">
        <v>1937</v>
      </c>
      <c r="C693" t="s">
        <v>5969</v>
      </c>
    </row>
    <row r="694" spans="1:3" x14ac:dyDescent="0.25">
      <c r="A694" t="s">
        <v>1321</v>
      </c>
      <c r="B694" t="s">
        <v>1321</v>
      </c>
      <c r="C694" t="s">
        <v>5969</v>
      </c>
    </row>
    <row r="695" spans="1:3" x14ac:dyDescent="0.25">
      <c r="A695" t="s">
        <v>1524</v>
      </c>
      <c r="B695" t="s">
        <v>5977</v>
      </c>
      <c r="C695" t="s">
        <v>5969</v>
      </c>
    </row>
    <row r="696" spans="1:3" x14ac:dyDescent="0.25">
      <c r="A696" t="s">
        <v>1522</v>
      </c>
      <c r="B696" t="s">
        <v>1522</v>
      </c>
      <c r="C696" t="s">
        <v>5969</v>
      </c>
    </row>
    <row r="697" spans="1:3" x14ac:dyDescent="0.25">
      <c r="A697" t="s">
        <v>1932</v>
      </c>
      <c r="B697" t="s">
        <v>1932</v>
      </c>
      <c r="C697" t="s">
        <v>5969</v>
      </c>
    </row>
    <row r="698" spans="1:3" x14ac:dyDescent="0.25">
      <c r="A698" t="s">
        <v>1526</v>
      </c>
      <c r="B698" t="s">
        <v>1526</v>
      </c>
      <c r="C698" t="s">
        <v>5969</v>
      </c>
    </row>
    <row r="699" spans="1:3" x14ac:dyDescent="0.25">
      <c r="A699" t="s">
        <v>1450</v>
      </c>
      <c r="B699" t="s">
        <v>1450</v>
      </c>
      <c r="C699" t="s">
        <v>5969</v>
      </c>
    </row>
    <row r="700" spans="1:3" x14ac:dyDescent="0.25">
      <c r="A700" t="s">
        <v>1935</v>
      </c>
      <c r="B700" t="s">
        <v>1935</v>
      </c>
      <c r="C700" t="s">
        <v>5969</v>
      </c>
    </row>
    <row r="701" spans="1:3" x14ac:dyDescent="0.25">
      <c r="A701" t="s">
        <v>1936</v>
      </c>
      <c r="B701" t="s">
        <v>1936</v>
      </c>
      <c r="C701" t="s">
        <v>5969</v>
      </c>
    </row>
    <row r="702" spans="1:3" x14ac:dyDescent="0.25">
      <c r="A702" t="s">
        <v>1251</v>
      </c>
      <c r="B702" t="s">
        <v>1251</v>
      </c>
      <c r="C702" t="s">
        <v>5969</v>
      </c>
    </row>
    <row r="703" spans="1:3" x14ac:dyDescent="0.25">
      <c r="A703" t="s">
        <v>366</v>
      </c>
      <c r="B703" t="s">
        <v>366</v>
      </c>
      <c r="C703" t="s">
        <v>5969</v>
      </c>
    </row>
    <row r="704" spans="1:3" x14ac:dyDescent="0.25">
      <c r="A704" t="s">
        <v>1333</v>
      </c>
      <c r="B704" t="s">
        <v>1333</v>
      </c>
      <c r="C704" t="s">
        <v>5969</v>
      </c>
    </row>
    <row r="705" spans="1:3" x14ac:dyDescent="0.25">
      <c r="A705" t="s">
        <v>589</v>
      </c>
      <c r="B705" t="s">
        <v>589</v>
      </c>
      <c r="C705" t="s">
        <v>5969</v>
      </c>
    </row>
    <row r="706" spans="1:3" x14ac:dyDescent="0.25">
      <c r="A706" t="s">
        <v>1260</v>
      </c>
      <c r="B706" t="s">
        <v>1260</v>
      </c>
      <c r="C706" t="s">
        <v>5969</v>
      </c>
    </row>
    <row r="707" spans="1:3" x14ac:dyDescent="0.25">
      <c r="A707" t="s">
        <v>1255</v>
      </c>
      <c r="B707" t="s">
        <v>1255</v>
      </c>
      <c r="C707" t="s">
        <v>5969</v>
      </c>
    </row>
    <row r="708" spans="1:3" x14ac:dyDescent="0.25">
      <c r="A708" t="s">
        <v>919</v>
      </c>
      <c r="B708" t="s">
        <v>919</v>
      </c>
      <c r="C708" t="s">
        <v>5969</v>
      </c>
    </row>
    <row r="709" spans="1:3" x14ac:dyDescent="0.25">
      <c r="A709" t="s">
        <v>390</v>
      </c>
      <c r="B709" t="s">
        <v>390</v>
      </c>
      <c r="C709" t="s">
        <v>5969</v>
      </c>
    </row>
    <row r="710" spans="1:3" x14ac:dyDescent="0.25">
      <c r="A710" t="s">
        <v>188</v>
      </c>
      <c r="B710" t="s">
        <v>188</v>
      </c>
      <c r="C710" t="s">
        <v>5969</v>
      </c>
    </row>
    <row r="711" spans="1:3" x14ac:dyDescent="0.25">
      <c r="A711" t="s">
        <v>678</v>
      </c>
      <c r="B711" t="s">
        <v>678</v>
      </c>
      <c r="C711" t="s">
        <v>5969</v>
      </c>
    </row>
    <row r="712" spans="1:3" x14ac:dyDescent="0.25">
      <c r="A712" t="s">
        <v>1546</v>
      </c>
      <c r="B712" t="s">
        <v>1546</v>
      </c>
      <c r="C712" t="s">
        <v>5969</v>
      </c>
    </row>
    <row r="713" spans="1:3" x14ac:dyDescent="0.25">
      <c r="A713" t="s">
        <v>355</v>
      </c>
      <c r="B713" t="s">
        <v>355</v>
      </c>
      <c r="C713" t="s">
        <v>5969</v>
      </c>
    </row>
    <row r="714" spans="1:3" x14ac:dyDescent="0.25">
      <c r="A714" t="s">
        <v>606</v>
      </c>
      <c r="B714" t="s">
        <v>606</v>
      </c>
      <c r="C714" t="s">
        <v>5969</v>
      </c>
    </row>
    <row r="715" spans="1:3" x14ac:dyDescent="0.25">
      <c r="A715" t="s">
        <v>1112</v>
      </c>
      <c r="B715" t="s">
        <v>1112</v>
      </c>
      <c r="C715" t="s">
        <v>5969</v>
      </c>
    </row>
    <row r="716" spans="1:3" x14ac:dyDescent="0.25">
      <c r="A716" t="s">
        <v>230</v>
      </c>
      <c r="B716" t="s">
        <v>230</v>
      </c>
      <c r="C716" t="s">
        <v>5969</v>
      </c>
    </row>
    <row r="717" spans="1:3" x14ac:dyDescent="0.25">
      <c r="A717" t="s">
        <v>1857</v>
      </c>
      <c r="B717" t="s">
        <v>1543</v>
      </c>
      <c r="C717" t="s">
        <v>5969</v>
      </c>
    </row>
    <row r="718" spans="1:3" x14ac:dyDescent="0.25">
      <c r="A718" t="s">
        <v>1244</v>
      </c>
      <c r="B718" t="s">
        <v>1244</v>
      </c>
      <c r="C718" t="s">
        <v>5969</v>
      </c>
    </row>
    <row r="719" spans="1:3" x14ac:dyDescent="0.25">
      <c r="A719" t="s">
        <v>887</v>
      </c>
      <c r="B719" t="s">
        <v>887</v>
      </c>
      <c r="C719" t="s">
        <v>5969</v>
      </c>
    </row>
    <row r="720" spans="1:3" x14ac:dyDescent="0.25">
      <c r="A720" t="s">
        <v>884</v>
      </c>
      <c r="B720" t="s">
        <v>884</v>
      </c>
      <c r="C720" t="s">
        <v>5969</v>
      </c>
    </row>
    <row r="721" spans="1:3" x14ac:dyDescent="0.25">
      <c r="A721" t="s">
        <v>570</v>
      </c>
      <c r="B721" t="s">
        <v>570</v>
      </c>
      <c r="C721" t="s">
        <v>5969</v>
      </c>
    </row>
    <row r="722" spans="1:3" x14ac:dyDescent="0.25">
      <c r="A722" t="s">
        <v>1458</v>
      </c>
      <c r="B722" t="s">
        <v>1458</v>
      </c>
      <c r="C722" t="s">
        <v>5969</v>
      </c>
    </row>
    <row r="723" spans="1:3" x14ac:dyDescent="0.25">
      <c r="A723" t="s">
        <v>264</v>
      </c>
      <c r="B723" t="s">
        <v>264</v>
      </c>
      <c r="C723" t="s">
        <v>5969</v>
      </c>
    </row>
    <row r="724" spans="1:3" x14ac:dyDescent="0.25">
      <c r="A724" t="s">
        <v>586</v>
      </c>
      <c r="B724" t="s">
        <v>586</v>
      </c>
      <c r="C724" t="s">
        <v>5969</v>
      </c>
    </row>
    <row r="725" spans="1:3" x14ac:dyDescent="0.25">
      <c r="A725" t="s">
        <v>1884</v>
      </c>
      <c r="B725" t="s">
        <v>1884</v>
      </c>
      <c r="C725" t="s">
        <v>5969</v>
      </c>
    </row>
    <row r="726" spans="1:3" x14ac:dyDescent="0.25">
      <c r="A726" t="s">
        <v>369</v>
      </c>
      <c r="B726" t="s">
        <v>369</v>
      </c>
      <c r="C726" t="s">
        <v>5969</v>
      </c>
    </row>
    <row r="727" spans="1:3" x14ac:dyDescent="0.25">
      <c r="A727" t="s">
        <v>1063</v>
      </c>
      <c r="B727" t="s">
        <v>1063</v>
      </c>
      <c r="C727" t="s">
        <v>5969</v>
      </c>
    </row>
    <row r="728" spans="1:3" x14ac:dyDescent="0.25">
      <c r="A728" t="s">
        <v>428</v>
      </c>
      <c r="B728" t="s">
        <v>428</v>
      </c>
      <c r="C728" t="s">
        <v>5969</v>
      </c>
    </row>
    <row r="729" spans="1:3" x14ac:dyDescent="0.25">
      <c r="A729" t="s">
        <v>420</v>
      </c>
      <c r="B729" t="s">
        <v>420</v>
      </c>
      <c r="C729" t="s">
        <v>5969</v>
      </c>
    </row>
    <row r="730" spans="1:3" x14ac:dyDescent="0.25">
      <c r="A730" t="s">
        <v>1174</v>
      </c>
      <c r="B730" t="s">
        <v>1174</v>
      </c>
      <c r="C730" t="s">
        <v>5969</v>
      </c>
    </row>
    <row r="731" spans="1:3" x14ac:dyDescent="0.25">
      <c r="A731" t="s">
        <v>1090</v>
      </c>
      <c r="B731" t="s">
        <v>1090</v>
      </c>
      <c r="C731" t="s">
        <v>5969</v>
      </c>
    </row>
    <row r="732" spans="1:3" x14ac:dyDescent="0.25">
      <c r="A732" t="s">
        <v>1896</v>
      </c>
      <c r="B732" t="s">
        <v>1896</v>
      </c>
      <c r="C732" t="s">
        <v>5969</v>
      </c>
    </row>
    <row r="733" spans="1:3" x14ac:dyDescent="0.25">
      <c r="A733" t="s">
        <v>556</v>
      </c>
      <c r="B733" t="s">
        <v>556</v>
      </c>
      <c r="C733" t="s">
        <v>5969</v>
      </c>
    </row>
    <row r="734" spans="1:3" x14ac:dyDescent="0.25">
      <c r="A734" t="s">
        <v>539</v>
      </c>
      <c r="B734" t="s">
        <v>539</v>
      </c>
      <c r="C734" t="s">
        <v>5969</v>
      </c>
    </row>
    <row r="735" spans="1:3" x14ac:dyDescent="0.25">
      <c r="A735" t="s">
        <v>361</v>
      </c>
      <c r="B735" t="s">
        <v>361</v>
      </c>
      <c r="C735" t="s">
        <v>5969</v>
      </c>
    </row>
    <row r="736" spans="1:3" x14ac:dyDescent="0.25">
      <c r="A736" t="s">
        <v>1120</v>
      </c>
      <c r="B736" t="s">
        <v>1120</v>
      </c>
      <c r="C736" t="s">
        <v>5969</v>
      </c>
    </row>
    <row r="737" spans="1:3" x14ac:dyDescent="0.25">
      <c r="A737" t="s">
        <v>1832</v>
      </c>
      <c r="B737" t="s">
        <v>1832</v>
      </c>
      <c r="C737" t="s">
        <v>5969</v>
      </c>
    </row>
    <row r="738" spans="1:3" x14ac:dyDescent="0.25">
      <c r="A738" t="s">
        <v>1091</v>
      </c>
      <c r="B738" t="s">
        <v>1091</v>
      </c>
      <c r="C738" t="s">
        <v>5969</v>
      </c>
    </row>
    <row r="739" spans="1:3" x14ac:dyDescent="0.25">
      <c r="A739" t="s">
        <v>634</v>
      </c>
      <c r="B739" t="s">
        <v>634</v>
      </c>
      <c r="C739" t="s">
        <v>5969</v>
      </c>
    </row>
    <row r="740" spans="1:3" x14ac:dyDescent="0.25">
      <c r="A740" t="s">
        <v>1474</v>
      </c>
      <c r="B740" t="s">
        <v>1474</v>
      </c>
      <c r="C740" t="s">
        <v>5969</v>
      </c>
    </row>
    <row r="741" spans="1:3" x14ac:dyDescent="0.25">
      <c r="A741" t="s">
        <v>727</v>
      </c>
      <c r="B741" t="s">
        <v>727</v>
      </c>
      <c r="C741" t="s">
        <v>5969</v>
      </c>
    </row>
    <row r="742" spans="1:3" x14ac:dyDescent="0.25">
      <c r="A742" t="s">
        <v>542</v>
      </c>
      <c r="B742" t="s">
        <v>542</v>
      </c>
      <c r="C742" t="s">
        <v>5969</v>
      </c>
    </row>
    <row r="743" spans="1:3" x14ac:dyDescent="0.25">
      <c r="A743" t="s">
        <v>956</v>
      </c>
      <c r="B743" t="s">
        <v>956</v>
      </c>
      <c r="C743" t="s">
        <v>5969</v>
      </c>
    </row>
    <row r="744" spans="1:3" x14ac:dyDescent="0.25">
      <c r="A744" t="s">
        <v>576</v>
      </c>
      <c r="B744" t="s">
        <v>576</v>
      </c>
      <c r="C744" t="s">
        <v>5969</v>
      </c>
    </row>
    <row r="745" spans="1:3" x14ac:dyDescent="0.25">
      <c r="A745" t="s">
        <v>1899</v>
      </c>
      <c r="B745" t="s">
        <v>1899</v>
      </c>
      <c r="C745" t="s">
        <v>5969</v>
      </c>
    </row>
    <row r="746" spans="1:3" x14ac:dyDescent="0.25">
      <c r="A746" t="s">
        <v>292</v>
      </c>
      <c r="B746" t="s">
        <v>292</v>
      </c>
      <c r="C746" t="s">
        <v>5969</v>
      </c>
    </row>
    <row r="747" spans="1:3" x14ac:dyDescent="0.25">
      <c r="A747" t="s">
        <v>515</v>
      </c>
      <c r="B747" t="s">
        <v>515</v>
      </c>
      <c r="C747" t="s">
        <v>5969</v>
      </c>
    </row>
    <row r="748" spans="1:3" x14ac:dyDescent="0.25">
      <c r="A748" t="s">
        <v>1015</v>
      </c>
      <c r="B748" t="s">
        <v>1015</v>
      </c>
      <c r="C748" t="s">
        <v>5969</v>
      </c>
    </row>
    <row r="749" spans="1:3" x14ac:dyDescent="0.25">
      <c r="A749" t="s">
        <v>792</v>
      </c>
      <c r="B749" t="s">
        <v>792</v>
      </c>
      <c r="C749" t="s">
        <v>5969</v>
      </c>
    </row>
    <row r="750" spans="1:3" x14ac:dyDescent="0.25">
      <c r="A750" t="s">
        <v>797</v>
      </c>
      <c r="B750" t="s">
        <v>797</v>
      </c>
      <c r="C750" t="s">
        <v>5969</v>
      </c>
    </row>
    <row r="751" spans="1:3" x14ac:dyDescent="0.25">
      <c r="A751" t="s">
        <v>846</v>
      </c>
      <c r="B751" t="s">
        <v>846</v>
      </c>
      <c r="C751" t="s">
        <v>5969</v>
      </c>
    </row>
    <row r="752" spans="1:3" x14ac:dyDescent="0.25">
      <c r="A752" t="s">
        <v>342</v>
      </c>
      <c r="B752" t="s">
        <v>342</v>
      </c>
      <c r="C752" t="s">
        <v>5969</v>
      </c>
    </row>
    <row r="753" spans="1:3" x14ac:dyDescent="0.25">
      <c r="A753" t="s">
        <v>459</v>
      </c>
      <c r="B753" t="s">
        <v>459</v>
      </c>
      <c r="C753" t="s">
        <v>5969</v>
      </c>
    </row>
    <row r="754" spans="1:3" x14ac:dyDescent="0.25">
      <c r="A754" t="s">
        <v>1559</v>
      </c>
      <c r="B754" t="s">
        <v>1559</v>
      </c>
      <c r="C754" t="s">
        <v>5969</v>
      </c>
    </row>
    <row r="755" spans="1:3" x14ac:dyDescent="0.25">
      <c r="A755" t="s">
        <v>480</v>
      </c>
      <c r="B755" t="s">
        <v>480</v>
      </c>
      <c r="C755" t="s">
        <v>5969</v>
      </c>
    </row>
    <row r="756" spans="1:3" x14ac:dyDescent="0.25">
      <c r="A756" t="s">
        <v>1929</v>
      </c>
      <c r="B756" t="s">
        <v>1929</v>
      </c>
      <c r="C756" t="s">
        <v>5969</v>
      </c>
    </row>
    <row r="757" spans="1:3" x14ac:dyDescent="0.25">
      <c r="A757" t="s">
        <v>761</v>
      </c>
      <c r="B757" t="s">
        <v>761</v>
      </c>
      <c r="C757" t="s">
        <v>5969</v>
      </c>
    </row>
    <row r="758" spans="1:3" x14ac:dyDescent="0.25">
      <c r="A758" t="s">
        <v>1135</v>
      </c>
      <c r="B758" t="s">
        <v>1135</v>
      </c>
      <c r="C758" t="s">
        <v>5969</v>
      </c>
    </row>
    <row r="759" spans="1:3" x14ac:dyDescent="0.25">
      <c r="A759" t="s">
        <v>177</v>
      </c>
      <c r="B759" t="s">
        <v>177</v>
      </c>
      <c r="C759" t="s">
        <v>5969</v>
      </c>
    </row>
    <row r="760" spans="1:3" x14ac:dyDescent="0.25">
      <c r="A760" t="s">
        <v>502</v>
      </c>
      <c r="B760" t="s">
        <v>502</v>
      </c>
      <c r="C760" t="s">
        <v>5969</v>
      </c>
    </row>
    <row r="761" spans="1:3" x14ac:dyDescent="0.25">
      <c r="A761" t="s">
        <v>980</v>
      </c>
      <c r="B761" t="s">
        <v>980</v>
      </c>
      <c r="C761" t="s">
        <v>5969</v>
      </c>
    </row>
    <row r="762" spans="1:3" x14ac:dyDescent="0.25">
      <c r="A762" t="s">
        <v>933</v>
      </c>
      <c r="B762" t="s">
        <v>933</v>
      </c>
      <c r="C762" t="s">
        <v>5969</v>
      </c>
    </row>
    <row r="763" spans="1:3" x14ac:dyDescent="0.25">
      <c r="A763" t="s">
        <v>1634</v>
      </c>
      <c r="B763" t="s">
        <v>1634</v>
      </c>
      <c r="C763" t="s">
        <v>5969</v>
      </c>
    </row>
    <row r="764" spans="1:3" x14ac:dyDescent="0.25">
      <c r="A764" t="s">
        <v>1809</v>
      </c>
      <c r="B764" t="s">
        <v>1809</v>
      </c>
      <c r="C764" t="s">
        <v>5969</v>
      </c>
    </row>
    <row r="765" spans="1:3" x14ac:dyDescent="0.25">
      <c r="A765" t="s">
        <v>1057</v>
      </c>
      <c r="B765" t="s">
        <v>1057</v>
      </c>
      <c r="C765" t="s">
        <v>5969</v>
      </c>
    </row>
    <row r="766" spans="1:3" x14ac:dyDescent="0.25">
      <c r="A766" t="s">
        <v>1148</v>
      </c>
      <c r="B766" t="s">
        <v>1148</v>
      </c>
      <c r="C766" t="s">
        <v>5969</v>
      </c>
    </row>
    <row r="767" spans="1:3" x14ac:dyDescent="0.25">
      <c r="A767" t="s">
        <v>1454</v>
      </c>
      <c r="B767" t="s">
        <v>1454</v>
      </c>
      <c r="C767" t="s">
        <v>5969</v>
      </c>
    </row>
    <row r="768" spans="1:3" x14ac:dyDescent="0.25">
      <c r="A768" t="s">
        <v>755</v>
      </c>
      <c r="B768" t="s">
        <v>755</v>
      </c>
      <c r="C768" t="s">
        <v>5969</v>
      </c>
    </row>
    <row r="769" spans="1:3" x14ac:dyDescent="0.25">
      <c r="A769" t="s">
        <v>978</v>
      </c>
      <c r="B769" t="s">
        <v>978</v>
      </c>
      <c r="C769" t="s">
        <v>5969</v>
      </c>
    </row>
    <row r="770" spans="1:3" x14ac:dyDescent="0.25">
      <c r="A770" t="s">
        <v>287</v>
      </c>
      <c r="B770" t="s">
        <v>287</v>
      </c>
      <c r="C770" t="s">
        <v>5969</v>
      </c>
    </row>
    <row r="771" spans="1:3" x14ac:dyDescent="0.25">
      <c r="A771" t="s">
        <v>1248</v>
      </c>
      <c r="B771" t="s">
        <v>1248</v>
      </c>
      <c r="C771" t="s">
        <v>5969</v>
      </c>
    </row>
    <row r="772" spans="1:3" x14ac:dyDescent="0.25">
      <c r="A772" t="s">
        <v>789</v>
      </c>
      <c r="B772" t="s">
        <v>789</v>
      </c>
      <c r="C772" t="s">
        <v>5969</v>
      </c>
    </row>
    <row r="773" spans="1:3" x14ac:dyDescent="0.25">
      <c r="A773" t="s">
        <v>162</v>
      </c>
      <c r="B773" t="s">
        <v>162</v>
      </c>
      <c r="C773" t="s">
        <v>5969</v>
      </c>
    </row>
    <row r="774" spans="1:3" x14ac:dyDescent="0.25">
      <c r="A774" t="s">
        <v>203</v>
      </c>
      <c r="B774" t="s">
        <v>203</v>
      </c>
      <c r="C774" t="s">
        <v>5969</v>
      </c>
    </row>
    <row r="775" spans="1:3" x14ac:dyDescent="0.25">
      <c r="A775" t="s">
        <v>1853</v>
      </c>
      <c r="B775" t="s">
        <v>1853</v>
      </c>
      <c r="C775" t="s">
        <v>5969</v>
      </c>
    </row>
    <row r="776" spans="1:3" x14ac:dyDescent="0.25">
      <c r="A776" t="s">
        <v>1279</v>
      </c>
      <c r="B776" t="s">
        <v>1279</v>
      </c>
      <c r="C776" t="s">
        <v>5969</v>
      </c>
    </row>
    <row r="777" spans="1:3" x14ac:dyDescent="0.25">
      <c r="A777" t="s">
        <v>557</v>
      </c>
      <c r="B777" t="s">
        <v>557</v>
      </c>
      <c r="C777" t="s">
        <v>5969</v>
      </c>
    </row>
    <row r="778" spans="1:3" x14ac:dyDescent="0.25">
      <c r="A778" t="s">
        <v>1178</v>
      </c>
      <c r="B778" t="s">
        <v>1178</v>
      </c>
      <c r="C778" t="s">
        <v>5969</v>
      </c>
    </row>
    <row r="779" spans="1:3" x14ac:dyDescent="0.25">
      <c r="A779" t="s">
        <v>1000</v>
      </c>
      <c r="B779" t="s">
        <v>1000</v>
      </c>
      <c r="C779" t="s">
        <v>5969</v>
      </c>
    </row>
    <row r="780" spans="1:3" x14ac:dyDescent="0.25">
      <c r="A780" t="s">
        <v>1571</v>
      </c>
      <c r="B780" t="s">
        <v>1571</v>
      </c>
      <c r="C780" t="s">
        <v>5969</v>
      </c>
    </row>
    <row r="781" spans="1:3" x14ac:dyDescent="0.25">
      <c r="A781" t="s">
        <v>250</v>
      </c>
      <c r="B781" t="s">
        <v>250</v>
      </c>
      <c r="C781" t="s">
        <v>5969</v>
      </c>
    </row>
    <row r="782" spans="1:3" x14ac:dyDescent="0.25">
      <c r="A782" t="s">
        <v>304</v>
      </c>
      <c r="B782" t="s">
        <v>304</v>
      </c>
      <c r="C782" t="s">
        <v>5969</v>
      </c>
    </row>
    <row r="783" spans="1:3" x14ac:dyDescent="0.25">
      <c r="A783" t="s">
        <v>308</v>
      </c>
      <c r="B783" t="s">
        <v>308</v>
      </c>
      <c r="C783" t="s">
        <v>5969</v>
      </c>
    </row>
    <row r="784" spans="1:3" x14ac:dyDescent="0.25">
      <c r="A784" t="s">
        <v>559</v>
      </c>
      <c r="B784" t="s">
        <v>559</v>
      </c>
      <c r="C784" t="s">
        <v>5969</v>
      </c>
    </row>
    <row r="785" spans="1:3" x14ac:dyDescent="0.25">
      <c r="A785" t="s">
        <v>1599</v>
      </c>
      <c r="B785" t="s">
        <v>1599</v>
      </c>
      <c r="C785" t="s">
        <v>5969</v>
      </c>
    </row>
    <row r="786" spans="1:3" x14ac:dyDescent="0.25">
      <c r="A786" t="s">
        <v>1955</v>
      </c>
      <c r="B786" t="s">
        <v>1810</v>
      </c>
      <c r="C786" t="s">
        <v>5969</v>
      </c>
    </row>
    <row r="787" spans="1:3" x14ac:dyDescent="0.25">
      <c r="A787" t="s">
        <v>283</v>
      </c>
      <c r="B787" t="s">
        <v>283</v>
      </c>
      <c r="C787" t="s">
        <v>5969</v>
      </c>
    </row>
    <row r="788" spans="1:3" x14ac:dyDescent="0.25">
      <c r="A788" t="s">
        <v>1879</v>
      </c>
      <c r="B788" t="s">
        <v>1879</v>
      </c>
      <c r="C788" t="s">
        <v>5969</v>
      </c>
    </row>
    <row r="789" spans="1:3" x14ac:dyDescent="0.25">
      <c r="A789" t="s">
        <v>479</v>
      </c>
      <c r="B789" t="s">
        <v>479</v>
      </c>
      <c r="C789" t="s">
        <v>5969</v>
      </c>
    </row>
    <row r="790" spans="1:3" x14ac:dyDescent="0.25">
      <c r="A790" t="s">
        <v>1957</v>
      </c>
      <c r="B790" t="s">
        <v>1957</v>
      </c>
      <c r="C790" t="s">
        <v>5969</v>
      </c>
    </row>
    <row r="791" spans="1:3" x14ac:dyDescent="0.25">
      <c r="A791" t="s">
        <v>241</v>
      </c>
      <c r="B791" t="s">
        <v>241</v>
      </c>
      <c r="C791" t="s">
        <v>5969</v>
      </c>
    </row>
    <row r="792" spans="1:3" x14ac:dyDescent="0.25">
      <c r="A792" t="s">
        <v>695</v>
      </c>
      <c r="B792" t="s">
        <v>695</v>
      </c>
      <c r="C792" t="s">
        <v>5969</v>
      </c>
    </row>
    <row r="793" spans="1:3" x14ac:dyDescent="0.25">
      <c r="A793" t="s">
        <v>1517</v>
      </c>
      <c r="B793" t="s">
        <v>1517</v>
      </c>
      <c r="C793" t="s">
        <v>5969</v>
      </c>
    </row>
    <row r="794" spans="1:3" x14ac:dyDescent="0.25">
      <c r="A794" t="s">
        <v>694</v>
      </c>
      <c r="B794" t="s">
        <v>694</v>
      </c>
      <c r="C794" t="s">
        <v>5969</v>
      </c>
    </row>
    <row r="795" spans="1:3" x14ac:dyDescent="0.25">
      <c r="A795" t="s">
        <v>180</v>
      </c>
      <c r="B795" t="s">
        <v>180</v>
      </c>
      <c r="C795" t="s">
        <v>5969</v>
      </c>
    </row>
    <row r="796" spans="1:3" x14ac:dyDescent="0.25">
      <c r="A796" t="s">
        <v>1528</v>
      </c>
      <c r="B796" t="s">
        <v>1528</v>
      </c>
      <c r="C796" t="s">
        <v>5969</v>
      </c>
    </row>
    <row r="797" spans="1:3" x14ac:dyDescent="0.25">
      <c r="A797" t="s">
        <v>1044</v>
      </c>
      <c r="B797" t="s">
        <v>1044</v>
      </c>
      <c r="C797" t="s">
        <v>5969</v>
      </c>
    </row>
    <row r="798" spans="1:3" x14ac:dyDescent="0.25">
      <c r="A798" t="s">
        <v>99</v>
      </c>
      <c r="B798" t="s">
        <v>99</v>
      </c>
      <c r="C798" t="s">
        <v>5969</v>
      </c>
    </row>
    <row r="799" spans="1:3" x14ac:dyDescent="0.25">
      <c r="A799" t="s">
        <v>1862</v>
      </c>
      <c r="B799" t="s">
        <v>1862</v>
      </c>
      <c r="C799" t="s">
        <v>5969</v>
      </c>
    </row>
    <row r="800" spans="1:3" x14ac:dyDescent="0.25">
      <c r="A800" t="s">
        <v>299</v>
      </c>
      <c r="B800" t="s">
        <v>299</v>
      </c>
      <c r="C800" t="s">
        <v>5969</v>
      </c>
    </row>
    <row r="801" spans="1:3" x14ac:dyDescent="0.25">
      <c r="A801" t="s">
        <v>1492</v>
      </c>
      <c r="B801" t="s">
        <v>1492</v>
      </c>
      <c r="C801" t="s">
        <v>5969</v>
      </c>
    </row>
    <row r="802" spans="1:3" x14ac:dyDescent="0.25">
      <c r="A802" t="s">
        <v>1133</v>
      </c>
      <c r="B802" t="s">
        <v>1133</v>
      </c>
      <c r="C802" t="s">
        <v>5969</v>
      </c>
    </row>
    <row r="803" spans="1:3" x14ac:dyDescent="0.25">
      <c r="A803" t="s">
        <v>1097</v>
      </c>
      <c r="B803" t="s">
        <v>1097</v>
      </c>
      <c r="C803" t="s">
        <v>5969</v>
      </c>
    </row>
    <row r="804" spans="1:3" x14ac:dyDescent="0.25">
      <c r="A804" t="s">
        <v>63</v>
      </c>
      <c r="B804" t="s">
        <v>63</v>
      </c>
      <c r="C804" t="s">
        <v>5969</v>
      </c>
    </row>
    <row r="805" spans="1:3" x14ac:dyDescent="0.25">
      <c r="A805" t="s">
        <v>1572</v>
      </c>
      <c r="B805" t="s">
        <v>1572</v>
      </c>
      <c r="C805" t="s">
        <v>5969</v>
      </c>
    </row>
    <row r="806" spans="1:3" x14ac:dyDescent="0.25">
      <c r="A806" t="s">
        <v>432</v>
      </c>
      <c r="B806" t="s">
        <v>1697</v>
      </c>
      <c r="C806" t="s">
        <v>5969</v>
      </c>
    </row>
    <row r="807" spans="1:3" x14ac:dyDescent="0.25">
      <c r="A807" t="s">
        <v>1297</v>
      </c>
      <c r="B807" t="s">
        <v>5978</v>
      </c>
      <c r="C807" t="s">
        <v>5969</v>
      </c>
    </row>
    <row r="808" spans="1:3" x14ac:dyDescent="0.25">
      <c r="A808" t="s">
        <v>354</v>
      </c>
      <c r="B808" t="s">
        <v>354</v>
      </c>
      <c r="C808" t="s">
        <v>5969</v>
      </c>
    </row>
    <row r="809" spans="1:3" x14ac:dyDescent="0.25">
      <c r="A809" t="s">
        <v>725</v>
      </c>
      <c r="B809" t="s">
        <v>725</v>
      </c>
      <c r="C809" t="s">
        <v>5969</v>
      </c>
    </row>
    <row r="810" spans="1:3" x14ac:dyDescent="0.25">
      <c r="A810" t="s">
        <v>452</v>
      </c>
      <c r="B810" t="s">
        <v>452</v>
      </c>
      <c r="C810" t="s">
        <v>5969</v>
      </c>
    </row>
    <row r="811" spans="1:3" x14ac:dyDescent="0.25">
      <c r="A811" t="s">
        <v>686</v>
      </c>
      <c r="B811" t="s">
        <v>686</v>
      </c>
      <c r="C811" t="s">
        <v>5969</v>
      </c>
    </row>
    <row r="812" spans="1:3" x14ac:dyDescent="0.25">
      <c r="A812" t="s">
        <v>184</v>
      </c>
      <c r="B812" t="s">
        <v>184</v>
      </c>
      <c r="C812" t="s">
        <v>5969</v>
      </c>
    </row>
    <row r="813" spans="1:3" x14ac:dyDescent="0.25">
      <c r="A813" t="s">
        <v>688</v>
      </c>
      <c r="B813" t="s">
        <v>688</v>
      </c>
      <c r="C813" t="s">
        <v>5969</v>
      </c>
    </row>
    <row r="814" spans="1:3" x14ac:dyDescent="0.25">
      <c r="A814" t="s">
        <v>1253</v>
      </c>
      <c r="B814" t="s">
        <v>1253</v>
      </c>
      <c r="C814" t="s">
        <v>5969</v>
      </c>
    </row>
    <row r="815" spans="1:3" x14ac:dyDescent="0.25">
      <c r="A815" t="s">
        <v>913</v>
      </c>
      <c r="B815" t="s">
        <v>913</v>
      </c>
      <c r="C815" t="s">
        <v>5969</v>
      </c>
    </row>
    <row r="816" spans="1:3" x14ac:dyDescent="0.25">
      <c r="A816" t="s">
        <v>1933</v>
      </c>
      <c r="B816" t="s">
        <v>1933</v>
      </c>
      <c r="C816" t="s">
        <v>5969</v>
      </c>
    </row>
    <row r="817" spans="1:3" x14ac:dyDescent="0.25">
      <c r="A817" t="s">
        <v>737</v>
      </c>
      <c r="B817" t="s">
        <v>737</v>
      </c>
      <c r="C817" t="s">
        <v>5969</v>
      </c>
    </row>
    <row r="818" spans="1:3" x14ac:dyDescent="0.25">
      <c r="A818" t="s">
        <v>1676</v>
      </c>
      <c r="B818" t="s">
        <v>1676</v>
      </c>
      <c r="C818" t="s">
        <v>5969</v>
      </c>
    </row>
    <row r="819" spans="1:3" x14ac:dyDescent="0.25">
      <c r="A819" t="s">
        <v>1831</v>
      </c>
      <c r="B819" t="s">
        <v>1831</v>
      </c>
      <c r="C819" t="s">
        <v>5969</v>
      </c>
    </row>
    <row r="820" spans="1:3" x14ac:dyDescent="0.25">
      <c r="A820" t="s">
        <v>429</v>
      </c>
      <c r="B820" t="s">
        <v>429</v>
      </c>
      <c r="C820" t="s">
        <v>5969</v>
      </c>
    </row>
    <row r="821" spans="1:3" x14ac:dyDescent="0.25">
      <c r="A821" t="s">
        <v>1346</v>
      </c>
      <c r="B821" t="s">
        <v>1346</v>
      </c>
      <c r="C821" t="s">
        <v>5969</v>
      </c>
    </row>
    <row r="822" spans="1:3" x14ac:dyDescent="0.25">
      <c r="A822" t="s">
        <v>152</v>
      </c>
      <c r="B822" t="s">
        <v>152</v>
      </c>
      <c r="C822" t="s">
        <v>5969</v>
      </c>
    </row>
    <row r="823" spans="1:3" x14ac:dyDescent="0.25">
      <c r="A823" t="s">
        <v>562</v>
      </c>
      <c r="B823" t="s">
        <v>562</v>
      </c>
      <c r="C823" t="s">
        <v>5969</v>
      </c>
    </row>
    <row r="824" spans="1:3" x14ac:dyDescent="0.25">
      <c r="A824" t="s">
        <v>126</v>
      </c>
      <c r="B824" t="s">
        <v>126</v>
      </c>
      <c r="C824" t="s">
        <v>5969</v>
      </c>
    </row>
    <row r="825" spans="1:3" x14ac:dyDescent="0.25">
      <c r="A825" t="s">
        <v>156</v>
      </c>
      <c r="B825" t="s">
        <v>156</v>
      </c>
      <c r="C825" t="s">
        <v>5969</v>
      </c>
    </row>
    <row r="826" spans="1:3" x14ac:dyDescent="0.25">
      <c r="A826" t="s">
        <v>71</v>
      </c>
      <c r="B826" t="s">
        <v>71</v>
      </c>
      <c r="C826" t="s">
        <v>5969</v>
      </c>
    </row>
    <row r="827" spans="1:3" x14ac:dyDescent="0.25">
      <c r="A827" t="s">
        <v>194</v>
      </c>
      <c r="B827" t="s">
        <v>194</v>
      </c>
      <c r="C827" t="s">
        <v>5969</v>
      </c>
    </row>
    <row r="828" spans="1:3" x14ac:dyDescent="0.25">
      <c r="A828" t="s">
        <v>1956</v>
      </c>
      <c r="B828" t="s">
        <v>1956</v>
      </c>
      <c r="C828" t="s">
        <v>5969</v>
      </c>
    </row>
    <row r="829" spans="1:3" x14ac:dyDescent="0.25">
      <c r="A829" t="s">
        <v>368</v>
      </c>
      <c r="B829" t="s">
        <v>368</v>
      </c>
      <c r="C829" t="s">
        <v>5969</v>
      </c>
    </row>
    <row r="830" spans="1:3" x14ac:dyDescent="0.25">
      <c r="A830" t="s">
        <v>1776</v>
      </c>
      <c r="B830" t="s">
        <v>1776</v>
      </c>
      <c r="C830" t="s">
        <v>5969</v>
      </c>
    </row>
    <row r="831" spans="1:3" x14ac:dyDescent="0.25">
      <c r="A831" t="s">
        <v>1419</v>
      </c>
      <c r="B831" t="s">
        <v>1419</v>
      </c>
      <c r="C831" t="s">
        <v>5969</v>
      </c>
    </row>
    <row r="832" spans="1:3" x14ac:dyDescent="0.25">
      <c r="A832" t="s">
        <v>148</v>
      </c>
      <c r="B832" t="s">
        <v>148</v>
      </c>
      <c r="C832" t="s">
        <v>5969</v>
      </c>
    </row>
    <row r="833" spans="1:3" x14ac:dyDescent="0.25">
      <c r="A833" t="s">
        <v>315</v>
      </c>
      <c r="B833" t="s">
        <v>315</v>
      </c>
      <c r="C833" t="s">
        <v>5969</v>
      </c>
    </row>
    <row r="834" spans="1:3" x14ac:dyDescent="0.25">
      <c r="A834" t="s">
        <v>959</v>
      </c>
      <c r="B834" t="s">
        <v>959</v>
      </c>
      <c r="C834" t="s">
        <v>5969</v>
      </c>
    </row>
    <row r="835" spans="1:3" x14ac:dyDescent="0.25">
      <c r="A835" t="s">
        <v>957</v>
      </c>
      <c r="B835" t="s">
        <v>957</v>
      </c>
      <c r="C835" t="s">
        <v>5969</v>
      </c>
    </row>
    <row r="836" spans="1:3" x14ac:dyDescent="0.25">
      <c r="A836" t="s">
        <v>150</v>
      </c>
      <c r="B836" t="s">
        <v>150</v>
      </c>
      <c r="C836" t="s">
        <v>5969</v>
      </c>
    </row>
    <row r="837" spans="1:3" x14ac:dyDescent="0.25">
      <c r="A837" t="s">
        <v>213</v>
      </c>
      <c r="B837" t="s">
        <v>213</v>
      </c>
      <c r="C837" t="s">
        <v>5969</v>
      </c>
    </row>
    <row r="838" spans="1:3" x14ac:dyDescent="0.25">
      <c r="A838" t="s">
        <v>291</v>
      </c>
      <c r="B838" t="s">
        <v>291</v>
      </c>
      <c r="C838" t="s">
        <v>5969</v>
      </c>
    </row>
    <row r="839" spans="1:3" x14ac:dyDescent="0.25">
      <c r="A839" t="s">
        <v>120</v>
      </c>
      <c r="B839" t="s">
        <v>120</v>
      </c>
      <c r="C839" t="s">
        <v>5969</v>
      </c>
    </row>
    <row r="840" spans="1:3" x14ac:dyDescent="0.25">
      <c r="A840" t="s">
        <v>1928</v>
      </c>
      <c r="B840" t="s">
        <v>1928</v>
      </c>
      <c r="C840" t="s">
        <v>5969</v>
      </c>
    </row>
    <row r="841" spans="1:3" x14ac:dyDescent="0.25">
      <c r="A841" t="s">
        <v>1759</v>
      </c>
      <c r="B841" t="s">
        <v>1759</v>
      </c>
      <c r="C841" t="s">
        <v>5969</v>
      </c>
    </row>
    <row r="842" spans="1:3" x14ac:dyDescent="0.25">
      <c r="A842" t="s">
        <v>123</v>
      </c>
      <c r="B842" t="s">
        <v>123</v>
      </c>
      <c r="C842" t="s">
        <v>5969</v>
      </c>
    </row>
    <row r="843" spans="1:3" x14ac:dyDescent="0.25">
      <c r="A843" t="s">
        <v>1172</v>
      </c>
      <c r="B843" t="s">
        <v>1172</v>
      </c>
      <c r="C843" t="s">
        <v>5969</v>
      </c>
    </row>
    <row r="844" spans="1:3" x14ac:dyDescent="0.25">
      <c r="A844" t="s">
        <v>106</v>
      </c>
      <c r="B844" t="s">
        <v>106</v>
      </c>
      <c r="C844" t="s">
        <v>5969</v>
      </c>
    </row>
    <row r="845" spans="1:3" x14ac:dyDescent="0.25">
      <c r="A845" t="s">
        <v>1531</v>
      </c>
      <c r="B845" t="s">
        <v>1531</v>
      </c>
      <c r="C845" t="s">
        <v>5969</v>
      </c>
    </row>
    <row r="846" spans="1:3" x14ac:dyDescent="0.25">
      <c r="A846" t="s">
        <v>1054</v>
      </c>
      <c r="B846" t="s">
        <v>1054</v>
      </c>
      <c r="C846" t="s">
        <v>5969</v>
      </c>
    </row>
    <row r="847" spans="1:3" x14ac:dyDescent="0.25">
      <c r="A847" t="s">
        <v>837</v>
      </c>
      <c r="B847" t="s">
        <v>837</v>
      </c>
      <c r="C847" t="s">
        <v>5969</v>
      </c>
    </row>
    <row r="848" spans="1:3" x14ac:dyDescent="0.25">
      <c r="A848" t="s">
        <v>165</v>
      </c>
      <c r="B848" t="s">
        <v>165</v>
      </c>
      <c r="C848" t="s">
        <v>5969</v>
      </c>
    </row>
    <row r="849" spans="1:3" x14ac:dyDescent="0.25">
      <c r="A849" t="s">
        <v>471</v>
      </c>
      <c r="B849" t="s">
        <v>471</v>
      </c>
      <c r="C849" t="s">
        <v>5969</v>
      </c>
    </row>
    <row r="850" spans="1:3" x14ac:dyDescent="0.25">
      <c r="A850" t="s">
        <v>1059</v>
      </c>
      <c r="B850" t="s">
        <v>1059</v>
      </c>
      <c r="C850" t="s">
        <v>5969</v>
      </c>
    </row>
    <row r="851" spans="1:3" x14ac:dyDescent="0.25">
      <c r="A851" t="s">
        <v>1637</v>
      </c>
      <c r="B851" t="s">
        <v>1637</v>
      </c>
      <c r="C851" t="s">
        <v>5969</v>
      </c>
    </row>
    <row r="852" spans="1:3" x14ac:dyDescent="0.25">
      <c r="A852" t="s">
        <v>39</v>
      </c>
      <c r="B852" t="s">
        <v>39</v>
      </c>
      <c r="C852" t="s">
        <v>5969</v>
      </c>
    </row>
    <row r="853" spans="1:3" x14ac:dyDescent="0.25">
      <c r="A853" t="s">
        <v>268</v>
      </c>
      <c r="B853" t="s">
        <v>268</v>
      </c>
      <c r="C853" t="s">
        <v>5969</v>
      </c>
    </row>
    <row r="854" spans="1:3" x14ac:dyDescent="0.25">
      <c r="A854" t="s">
        <v>466</v>
      </c>
      <c r="B854" t="s">
        <v>466</v>
      </c>
      <c r="C854" t="s">
        <v>5969</v>
      </c>
    </row>
    <row r="855" spans="1:3" x14ac:dyDescent="0.25">
      <c r="A855" t="s">
        <v>1330</v>
      </c>
      <c r="B855" t="s">
        <v>1330</v>
      </c>
      <c r="C855" t="s">
        <v>5969</v>
      </c>
    </row>
    <row r="856" spans="1:3" x14ac:dyDescent="0.25">
      <c r="A856" t="s">
        <v>583</v>
      </c>
      <c r="B856" t="s">
        <v>583</v>
      </c>
      <c r="C856" t="s">
        <v>5969</v>
      </c>
    </row>
    <row r="857" spans="1:3" x14ac:dyDescent="0.25">
      <c r="A857" t="s">
        <v>519</v>
      </c>
      <c r="B857" t="s">
        <v>519</v>
      </c>
      <c r="C857" t="s">
        <v>5969</v>
      </c>
    </row>
    <row r="858" spans="1:3" x14ac:dyDescent="0.25">
      <c r="A858" t="s">
        <v>1380</v>
      </c>
      <c r="B858" t="s">
        <v>1380</v>
      </c>
      <c r="C858" t="s">
        <v>5969</v>
      </c>
    </row>
    <row r="859" spans="1:3" x14ac:dyDescent="0.25">
      <c r="A859" t="s">
        <v>1207</v>
      </c>
      <c r="B859" t="s">
        <v>1207</v>
      </c>
      <c r="C859" t="s">
        <v>5969</v>
      </c>
    </row>
    <row r="860" spans="1:3" x14ac:dyDescent="0.25">
      <c r="A860" t="s">
        <v>226</v>
      </c>
      <c r="B860" t="s">
        <v>226</v>
      </c>
      <c r="C860" t="s">
        <v>5969</v>
      </c>
    </row>
    <row r="861" spans="1:3" x14ac:dyDescent="0.25">
      <c r="A861" t="s">
        <v>406</v>
      </c>
      <c r="B861" t="s">
        <v>5979</v>
      </c>
      <c r="C861" t="s">
        <v>5969</v>
      </c>
    </row>
    <row r="862" spans="1:3" x14ac:dyDescent="0.25">
      <c r="A862" t="s">
        <v>92</v>
      </c>
      <c r="B862" t="s">
        <v>92</v>
      </c>
      <c r="C862" t="s">
        <v>5969</v>
      </c>
    </row>
    <row r="863" spans="1:3" x14ac:dyDescent="0.25">
      <c r="A863" t="s">
        <v>1537</v>
      </c>
      <c r="B863" t="s">
        <v>1537</v>
      </c>
      <c r="C863" t="s">
        <v>5969</v>
      </c>
    </row>
    <row r="864" spans="1:3" x14ac:dyDescent="0.25">
      <c r="A864" t="s">
        <v>1189</v>
      </c>
      <c r="B864" t="s">
        <v>1189</v>
      </c>
      <c r="C864" t="s">
        <v>5969</v>
      </c>
    </row>
    <row r="865" spans="1:3" x14ac:dyDescent="0.25">
      <c r="A865" t="s">
        <v>1819</v>
      </c>
      <c r="B865" t="s">
        <v>1507</v>
      </c>
      <c r="C865" t="s">
        <v>5969</v>
      </c>
    </row>
    <row r="866" spans="1:3" x14ac:dyDescent="0.25">
      <c r="A866" t="s">
        <v>426</v>
      </c>
      <c r="B866" t="s">
        <v>426</v>
      </c>
      <c r="C866" t="s">
        <v>5969</v>
      </c>
    </row>
    <row r="867" spans="1:3" x14ac:dyDescent="0.25">
      <c r="A867" t="s">
        <v>1064</v>
      </c>
      <c r="B867" t="s">
        <v>1064</v>
      </c>
      <c r="C867" t="s">
        <v>5969</v>
      </c>
    </row>
    <row r="868" spans="1:3" x14ac:dyDescent="0.25">
      <c r="A868" t="s">
        <v>1053</v>
      </c>
      <c r="B868" t="s">
        <v>1053</v>
      </c>
      <c r="C868" t="s">
        <v>5969</v>
      </c>
    </row>
    <row r="869" spans="1:3" x14ac:dyDescent="0.25">
      <c r="A869" t="s">
        <v>1099</v>
      </c>
      <c r="B869" t="s">
        <v>1099</v>
      </c>
      <c r="C869" t="s">
        <v>5969</v>
      </c>
    </row>
    <row r="870" spans="1:3" x14ac:dyDescent="0.25">
      <c r="A870" t="s">
        <v>356</v>
      </c>
      <c r="B870" t="s">
        <v>356</v>
      </c>
      <c r="C870" t="s">
        <v>5969</v>
      </c>
    </row>
    <row r="871" spans="1:3" x14ac:dyDescent="0.25">
      <c r="A871" t="s">
        <v>1622</v>
      </c>
      <c r="B871" t="s">
        <v>1622</v>
      </c>
      <c r="C871" t="s">
        <v>5969</v>
      </c>
    </row>
    <row r="872" spans="1:3" x14ac:dyDescent="0.25">
      <c r="A872" t="s">
        <v>610</v>
      </c>
      <c r="B872" t="s">
        <v>610</v>
      </c>
      <c r="C872" t="s">
        <v>5969</v>
      </c>
    </row>
    <row r="873" spans="1:3" x14ac:dyDescent="0.25">
      <c r="A873" t="s">
        <v>1863</v>
      </c>
      <c r="B873" t="s">
        <v>1863</v>
      </c>
      <c r="C873" t="s">
        <v>5969</v>
      </c>
    </row>
    <row r="874" spans="1:3" x14ac:dyDescent="0.25">
      <c r="A874" t="s">
        <v>1001</v>
      </c>
      <c r="B874" t="s">
        <v>1001</v>
      </c>
      <c r="C874" t="s">
        <v>5969</v>
      </c>
    </row>
    <row r="875" spans="1:3" x14ac:dyDescent="0.25">
      <c r="A875" t="s">
        <v>786</v>
      </c>
      <c r="B875" t="s">
        <v>786</v>
      </c>
      <c r="C875" t="s">
        <v>5969</v>
      </c>
    </row>
    <row r="876" spans="1:3" x14ac:dyDescent="0.25">
      <c r="A876" t="s">
        <v>1164</v>
      </c>
      <c r="B876" t="s">
        <v>1164</v>
      </c>
      <c r="C876" t="s">
        <v>5969</v>
      </c>
    </row>
    <row r="877" spans="1:3" x14ac:dyDescent="0.25">
      <c r="A877" t="s">
        <v>208</v>
      </c>
      <c r="B877" t="s">
        <v>208</v>
      </c>
      <c r="C877" t="s">
        <v>5969</v>
      </c>
    </row>
    <row r="878" spans="1:3" x14ac:dyDescent="0.25">
      <c r="A878" t="s">
        <v>875</v>
      </c>
      <c r="B878" t="s">
        <v>875</v>
      </c>
      <c r="C878" t="s">
        <v>5969</v>
      </c>
    </row>
    <row r="879" spans="1:3" x14ac:dyDescent="0.25">
      <c r="A879" t="s">
        <v>1084</v>
      </c>
      <c r="B879" t="s">
        <v>1084</v>
      </c>
      <c r="C879" t="s">
        <v>5969</v>
      </c>
    </row>
    <row r="880" spans="1:3" x14ac:dyDescent="0.25">
      <c r="A880" t="s">
        <v>1069</v>
      </c>
      <c r="B880" t="s">
        <v>1069</v>
      </c>
      <c r="C880" t="s">
        <v>5969</v>
      </c>
    </row>
    <row r="881" spans="1:3" x14ac:dyDescent="0.25">
      <c r="A881" t="s">
        <v>28</v>
      </c>
      <c r="B881" t="s">
        <v>28</v>
      </c>
      <c r="C881" t="s">
        <v>5969</v>
      </c>
    </row>
    <row r="882" spans="1:3" x14ac:dyDescent="0.25">
      <c r="A882" t="s">
        <v>1269</v>
      </c>
      <c r="B882" t="s">
        <v>1269</v>
      </c>
      <c r="C882" t="s">
        <v>5969</v>
      </c>
    </row>
    <row r="883" spans="1:3" x14ac:dyDescent="0.25">
      <c r="A883" t="s">
        <v>1006</v>
      </c>
      <c r="B883" t="s">
        <v>1006</v>
      </c>
      <c r="C883" t="s">
        <v>5969</v>
      </c>
    </row>
    <row r="884" spans="1:3" x14ac:dyDescent="0.25">
      <c r="A884" t="s">
        <v>560</v>
      </c>
      <c r="B884" t="s">
        <v>560</v>
      </c>
      <c r="C884" t="s">
        <v>5969</v>
      </c>
    </row>
    <row r="885" spans="1:3" x14ac:dyDescent="0.25">
      <c r="A885" t="s">
        <v>389</v>
      </c>
      <c r="B885" t="s">
        <v>389</v>
      </c>
      <c r="C885" t="s">
        <v>5969</v>
      </c>
    </row>
    <row r="886" spans="1:3" x14ac:dyDescent="0.25">
      <c r="A886" t="s">
        <v>1074</v>
      </c>
      <c r="B886" t="s">
        <v>1074</v>
      </c>
      <c r="C886" t="s">
        <v>5969</v>
      </c>
    </row>
    <row r="887" spans="1:3" x14ac:dyDescent="0.25">
      <c r="A887" t="s">
        <v>1959</v>
      </c>
      <c r="B887" t="s">
        <v>1959</v>
      </c>
      <c r="C887" t="s">
        <v>5969</v>
      </c>
    </row>
    <row r="888" spans="1:3" x14ac:dyDescent="0.25">
      <c r="A888" t="s">
        <v>598</v>
      </c>
      <c r="B888" t="s">
        <v>598</v>
      </c>
      <c r="C888" t="s">
        <v>5969</v>
      </c>
    </row>
    <row r="889" spans="1:3" x14ac:dyDescent="0.25">
      <c r="A889" t="s">
        <v>1201</v>
      </c>
      <c r="B889" t="s">
        <v>1201</v>
      </c>
      <c r="C889" t="s">
        <v>5969</v>
      </c>
    </row>
    <row r="890" spans="1:3" x14ac:dyDescent="0.25">
      <c r="A890" t="s">
        <v>329</v>
      </c>
      <c r="B890" t="s">
        <v>329</v>
      </c>
      <c r="C890" t="s">
        <v>5969</v>
      </c>
    </row>
    <row r="891" spans="1:3" x14ac:dyDescent="0.25">
      <c r="A891" t="s">
        <v>1274</v>
      </c>
      <c r="B891" t="s">
        <v>1274</v>
      </c>
      <c r="C891" t="s">
        <v>5969</v>
      </c>
    </row>
    <row r="892" spans="1:3" x14ac:dyDescent="0.25">
      <c r="A892" t="s">
        <v>32</v>
      </c>
      <c r="B892" t="s">
        <v>32</v>
      </c>
      <c r="C892" t="s">
        <v>5969</v>
      </c>
    </row>
    <row r="893" spans="1:3" x14ac:dyDescent="0.25">
      <c r="A893" t="s">
        <v>873</v>
      </c>
      <c r="B893" t="s">
        <v>873</v>
      </c>
      <c r="C893" t="s">
        <v>5969</v>
      </c>
    </row>
    <row r="894" spans="1:3" x14ac:dyDescent="0.25">
      <c r="A894" t="s">
        <v>1206</v>
      </c>
      <c r="B894" t="s">
        <v>1206</v>
      </c>
      <c r="C894" t="s">
        <v>5969</v>
      </c>
    </row>
    <row r="895" spans="1:3" x14ac:dyDescent="0.25">
      <c r="A895" t="s">
        <v>1239</v>
      </c>
      <c r="B895" t="s">
        <v>1239</v>
      </c>
      <c r="C895" t="s">
        <v>5969</v>
      </c>
    </row>
    <row r="896" spans="1:3" x14ac:dyDescent="0.25">
      <c r="A896" t="s">
        <v>865</v>
      </c>
      <c r="B896" t="s">
        <v>865</v>
      </c>
      <c r="C896" t="s">
        <v>5969</v>
      </c>
    </row>
    <row r="897" spans="1:3" x14ac:dyDescent="0.25">
      <c r="A897" t="s">
        <v>1841</v>
      </c>
      <c r="B897" t="s">
        <v>1841</v>
      </c>
      <c r="C897" t="s">
        <v>5969</v>
      </c>
    </row>
    <row r="898" spans="1:3" x14ac:dyDescent="0.25">
      <c r="A898" t="s">
        <v>1836</v>
      </c>
      <c r="B898" t="s">
        <v>1836</v>
      </c>
      <c r="C898" t="s">
        <v>5969</v>
      </c>
    </row>
    <row r="899" spans="1:3" x14ac:dyDescent="0.25">
      <c r="A899" t="s">
        <v>1413</v>
      </c>
      <c r="B899" t="s">
        <v>1413</v>
      </c>
      <c r="C899" t="s">
        <v>5969</v>
      </c>
    </row>
    <row r="900" spans="1:3" x14ac:dyDescent="0.25">
      <c r="A900" t="s">
        <v>1431</v>
      </c>
      <c r="B900" t="s">
        <v>1431</v>
      </c>
      <c r="C900" t="s">
        <v>5969</v>
      </c>
    </row>
    <row r="901" spans="1:3" x14ac:dyDescent="0.25">
      <c r="A901" t="s">
        <v>1200</v>
      </c>
      <c r="B901" t="s">
        <v>1200</v>
      </c>
      <c r="C901" t="s">
        <v>5969</v>
      </c>
    </row>
    <row r="902" spans="1:3" x14ac:dyDescent="0.25">
      <c r="A902" t="s">
        <v>168</v>
      </c>
      <c r="B902" t="s">
        <v>168</v>
      </c>
      <c r="C902" t="s">
        <v>5969</v>
      </c>
    </row>
    <row r="903" spans="1:3" x14ac:dyDescent="0.25">
      <c r="A903" t="s">
        <v>1938</v>
      </c>
      <c r="B903" t="s">
        <v>1938</v>
      </c>
      <c r="C903" t="s">
        <v>5969</v>
      </c>
    </row>
    <row r="904" spans="1:3" x14ac:dyDescent="0.25">
      <c r="A904" t="s">
        <v>1188</v>
      </c>
      <c r="B904" t="s">
        <v>1188</v>
      </c>
      <c r="C904" t="s">
        <v>5969</v>
      </c>
    </row>
    <row r="905" spans="1:3" x14ac:dyDescent="0.25">
      <c r="A905" t="s">
        <v>1065</v>
      </c>
      <c r="B905" t="s">
        <v>1065</v>
      </c>
      <c r="C905" t="s">
        <v>5969</v>
      </c>
    </row>
    <row r="906" spans="1:3" x14ac:dyDescent="0.25">
      <c r="A906" t="s">
        <v>90</v>
      </c>
      <c r="B906" t="s">
        <v>90</v>
      </c>
      <c r="C906" t="s">
        <v>5969</v>
      </c>
    </row>
    <row r="907" spans="1:3" x14ac:dyDescent="0.25">
      <c r="A907" t="s">
        <v>1420</v>
      </c>
      <c r="B907" t="s">
        <v>1420</v>
      </c>
      <c r="C907" t="s">
        <v>5969</v>
      </c>
    </row>
    <row r="908" spans="1:3" x14ac:dyDescent="0.25">
      <c r="A908" t="s">
        <v>1889</v>
      </c>
      <c r="B908" t="s">
        <v>1889</v>
      </c>
      <c r="C908" t="s">
        <v>5969</v>
      </c>
    </row>
    <row r="909" spans="1:3" x14ac:dyDescent="0.25">
      <c r="A909" t="s">
        <v>1105</v>
      </c>
      <c r="B909" t="s">
        <v>1105</v>
      </c>
      <c r="C909" t="s">
        <v>5969</v>
      </c>
    </row>
    <row r="910" spans="1:3" x14ac:dyDescent="0.25">
      <c r="A910" t="s">
        <v>1034</v>
      </c>
      <c r="B910" t="s">
        <v>1034</v>
      </c>
      <c r="C910" t="s">
        <v>5969</v>
      </c>
    </row>
    <row r="911" spans="1:3" x14ac:dyDescent="0.25">
      <c r="A911" t="s">
        <v>1890</v>
      </c>
      <c r="B911" t="s">
        <v>1890</v>
      </c>
      <c r="C911" t="s">
        <v>5969</v>
      </c>
    </row>
    <row r="912" spans="1:3" x14ac:dyDescent="0.25">
      <c r="A912" t="s">
        <v>1262</v>
      </c>
      <c r="B912" t="s">
        <v>1262</v>
      </c>
      <c r="C912" t="s">
        <v>5969</v>
      </c>
    </row>
    <row r="913" spans="1:3" x14ac:dyDescent="0.25">
      <c r="A913" t="s">
        <v>171</v>
      </c>
      <c r="B913" t="s">
        <v>171</v>
      </c>
      <c r="C913" t="s">
        <v>5969</v>
      </c>
    </row>
    <row r="914" spans="1:3" x14ac:dyDescent="0.25">
      <c r="A914" t="s">
        <v>172</v>
      </c>
      <c r="B914" t="s">
        <v>172</v>
      </c>
      <c r="C914" t="s">
        <v>5969</v>
      </c>
    </row>
    <row r="915" spans="1:3" x14ac:dyDescent="0.25">
      <c r="A915" t="s">
        <v>319</v>
      </c>
      <c r="B915" t="s">
        <v>319</v>
      </c>
      <c r="C915" t="s">
        <v>5969</v>
      </c>
    </row>
    <row r="916" spans="1:3" x14ac:dyDescent="0.25">
      <c r="A916" t="s">
        <v>551</v>
      </c>
      <c r="B916" t="s">
        <v>551</v>
      </c>
      <c r="C916" t="s">
        <v>5969</v>
      </c>
    </row>
    <row r="917" spans="1:3" x14ac:dyDescent="0.25">
      <c r="A917" t="s">
        <v>408</v>
      </c>
      <c r="B917" t="s">
        <v>408</v>
      </c>
      <c r="C917" t="s">
        <v>5969</v>
      </c>
    </row>
    <row r="918" spans="1:3" x14ac:dyDescent="0.25">
      <c r="A918" t="s">
        <v>580</v>
      </c>
      <c r="B918" t="s">
        <v>580</v>
      </c>
      <c r="C918" t="s">
        <v>5969</v>
      </c>
    </row>
    <row r="919" spans="1:3" x14ac:dyDescent="0.25">
      <c r="A919" t="s">
        <v>866</v>
      </c>
      <c r="B919" t="s">
        <v>866</v>
      </c>
      <c r="C919" t="s">
        <v>5969</v>
      </c>
    </row>
    <row r="920" spans="1:3" x14ac:dyDescent="0.25">
      <c r="A920" t="s">
        <v>1480</v>
      </c>
      <c r="B920" t="s">
        <v>1480</v>
      </c>
      <c r="C920" t="s">
        <v>5969</v>
      </c>
    </row>
    <row r="921" spans="1:3" x14ac:dyDescent="0.25">
      <c r="A921" t="s">
        <v>1360</v>
      </c>
      <c r="B921" t="s">
        <v>1360</v>
      </c>
      <c r="C921" t="s">
        <v>5969</v>
      </c>
    </row>
    <row r="922" spans="1:3" x14ac:dyDescent="0.25">
      <c r="A922" t="s">
        <v>1597</v>
      </c>
      <c r="B922" t="s">
        <v>1597</v>
      </c>
      <c r="C922" t="s">
        <v>5969</v>
      </c>
    </row>
    <row r="923" spans="1:3" x14ac:dyDescent="0.25">
      <c r="A923" t="s">
        <v>1399</v>
      </c>
      <c r="B923" t="s">
        <v>1399</v>
      </c>
      <c r="C923" t="s">
        <v>5969</v>
      </c>
    </row>
    <row r="924" spans="1:3" x14ac:dyDescent="0.25">
      <c r="A924" t="s">
        <v>1778</v>
      </c>
      <c r="B924" t="s">
        <v>1778</v>
      </c>
      <c r="C924" t="s">
        <v>5969</v>
      </c>
    </row>
    <row r="925" spans="1:3" x14ac:dyDescent="0.25">
      <c r="A925" t="s">
        <v>1764</v>
      </c>
      <c r="B925" t="s">
        <v>1764</v>
      </c>
      <c r="C925" t="s">
        <v>5969</v>
      </c>
    </row>
    <row r="926" spans="1:3" x14ac:dyDescent="0.25">
      <c r="A926" t="s">
        <v>1423</v>
      </c>
      <c r="B926" t="s">
        <v>1423</v>
      </c>
      <c r="C926" t="s">
        <v>5969</v>
      </c>
    </row>
    <row r="927" spans="1:3" x14ac:dyDescent="0.25">
      <c r="A927" t="s">
        <v>1846</v>
      </c>
      <c r="B927" t="s">
        <v>1846</v>
      </c>
      <c r="C927" t="s">
        <v>5969</v>
      </c>
    </row>
    <row r="928" spans="1:3" x14ac:dyDescent="0.25">
      <c r="A928" t="s">
        <v>1773</v>
      </c>
      <c r="B928" t="s">
        <v>1773</v>
      </c>
      <c r="C928" t="s">
        <v>5969</v>
      </c>
    </row>
    <row r="929" spans="1:3" x14ac:dyDescent="0.25">
      <c r="A929" t="s">
        <v>1953</v>
      </c>
      <c r="B929" t="s">
        <v>5980</v>
      </c>
      <c r="C929" t="s">
        <v>5969</v>
      </c>
    </row>
    <row r="930" spans="1:3" x14ac:dyDescent="0.25">
      <c r="A930" t="s">
        <v>1746</v>
      </c>
      <c r="B930" t="s">
        <v>1746</v>
      </c>
      <c r="C930" t="s">
        <v>5969</v>
      </c>
    </row>
    <row r="931" spans="1:3" x14ac:dyDescent="0.25">
      <c r="A931" t="s">
        <v>364</v>
      </c>
      <c r="B931" t="s">
        <v>364</v>
      </c>
      <c r="C931" t="s">
        <v>5969</v>
      </c>
    </row>
    <row r="932" spans="1:3" x14ac:dyDescent="0.25">
      <c r="A932" t="s">
        <v>1745</v>
      </c>
      <c r="B932" t="s">
        <v>1745</v>
      </c>
      <c r="C932" t="s">
        <v>5969</v>
      </c>
    </row>
    <row r="933" spans="1:3" x14ac:dyDescent="0.25">
      <c r="A933" t="s">
        <v>1751</v>
      </c>
      <c r="B933" t="s">
        <v>1751</v>
      </c>
      <c r="C933" t="s">
        <v>5969</v>
      </c>
    </row>
    <row r="934" spans="1:3" x14ac:dyDescent="0.25">
      <c r="A934" t="s">
        <v>1123</v>
      </c>
      <c r="B934" t="s">
        <v>1123</v>
      </c>
      <c r="C934" t="s">
        <v>5969</v>
      </c>
    </row>
    <row r="935" spans="1:3" x14ac:dyDescent="0.25">
      <c r="A935" t="s">
        <v>1122</v>
      </c>
      <c r="B935" t="s">
        <v>1122</v>
      </c>
      <c r="C935" t="s">
        <v>5969</v>
      </c>
    </row>
    <row r="936" spans="1:3" x14ac:dyDescent="0.25">
      <c r="A936" t="s">
        <v>196</v>
      </c>
      <c r="B936" t="s">
        <v>196</v>
      </c>
      <c r="C936" t="s">
        <v>5969</v>
      </c>
    </row>
    <row r="937" spans="1:3" x14ac:dyDescent="0.25">
      <c r="A937" t="s">
        <v>410</v>
      </c>
      <c r="B937" t="s">
        <v>410</v>
      </c>
      <c r="C937" t="s">
        <v>5969</v>
      </c>
    </row>
    <row r="938" spans="1:3" x14ac:dyDescent="0.25">
      <c r="A938" t="s">
        <v>808</v>
      </c>
      <c r="B938" t="s">
        <v>808</v>
      </c>
      <c r="C938" t="s">
        <v>5969</v>
      </c>
    </row>
    <row r="939" spans="1:3" x14ac:dyDescent="0.25">
      <c r="A939" t="s">
        <v>1040</v>
      </c>
      <c r="B939" t="s">
        <v>1040</v>
      </c>
      <c r="C939" t="s">
        <v>5969</v>
      </c>
    </row>
    <row r="940" spans="1:3" x14ac:dyDescent="0.25">
      <c r="A940" t="s">
        <v>221</v>
      </c>
      <c r="B940" t="s">
        <v>221</v>
      </c>
      <c r="C940" t="s">
        <v>5969</v>
      </c>
    </row>
    <row r="941" spans="1:3" x14ac:dyDescent="0.25">
      <c r="A941" t="s">
        <v>1198</v>
      </c>
      <c r="B941" t="s">
        <v>1198</v>
      </c>
      <c r="C941" t="s">
        <v>5969</v>
      </c>
    </row>
    <row r="942" spans="1:3" x14ac:dyDescent="0.25">
      <c r="A942" t="s">
        <v>1234</v>
      </c>
      <c r="B942" t="s">
        <v>1234</v>
      </c>
      <c r="C942" t="s">
        <v>5969</v>
      </c>
    </row>
    <row r="943" spans="1:3" x14ac:dyDescent="0.25">
      <c r="A943" t="s">
        <v>671</v>
      </c>
      <c r="B943" t="s">
        <v>671</v>
      </c>
      <c r="C943" t="s">
        <v>5969</v>
      </c>
    </row>
    <row r="944" spans="1:3" x14ac:dyDescent="0.25">
      <c r="A944" t="s">
        <v>399</v>
      </c>
      <c r="B944" t="s">
        <v>399</v>
      </c>
      <c r="C944" t="s">
        <v>5969</v>
      </c>
    </row>
    <row r="945" spans="1:3" x14ac:dyDescent="0.25">
      <c r="A945" t="s">
        <v>1139</v>
      </c>
      <c r="B945" t="s">
        <v>1139</v>
      </c>
      <c r="C945" t="s">
        <v>5969</v>
      </c>
    </row>
    <row r="946" spans="1:3" x14ac:dyDescent="0.25">
      <c r="A946" t="s">
        <v>812</v>
      </c>
      <c r="B946" t="s">
        <v>812</v>
      </c>
      <c r="C946" t="s">
        <v>5969</v>
      </c>
    </row>
    <row r="947" spans="1:3" x14ac:dyDescent="0.25">
      <c r="A947" t="s">
        <v>1917</v>
      </c>
      <c r="B947" t="s">
        <v>1917</v>
      </c>
      <c r="C947" t="s">
        <v>5969</v>
      </c>
    </row>
    <row r="948" spans="1:3" x14ac:dyDescent="0.25">
      <c r="A948" t="s">
        <v>1286</v>
      </c>
      <c r="B948" t="s">
        <v>1286</v>
      </c>
      <c r="C948" t="s">
        <v>5969</v>
      </c>
    </row>
    <row r="949" spans="1:3" x14ac:dyDescent="0.25">
      <c r="A949" t="s">
        <v>1943</v>
      </c>
      <c r="B949" t="s">
        <v>1943</v>
      </c>
      <c r="C949" t="s">
        <v>5969</v>
      </c>
    </row>
    <row r="950" spans="1:3" x14ac:dyDescent="0.25">
      <c r="A950" t="s">
        <v>5981</v>
      </c>
      <c r="B950" t="s">
        <v>5981</v>
      </c>
      <c r="C950" t="s">
        <v>5969</v>
      </c>
    </row>
    <row r="951" spans="1:3" x14ac:dyDescent="0.25">
      <c r="A951" t="s">
        <v>508</v>
      </c>
      <c r="B951" t="s">
        <v>508</v>
      </c>
      <c r="C951" t="s">
        <v>5969</v>
      </c>
    </row>
    <row r="952" spans="1:3" x14ac:dyDescent="0.25">
      <c r="A952" t="s">
        <v>1904</v>
      </c>
      <c r="B952" t="s">
        <v>1904</v>
      </c>
      <c r="C952" t="s">
        <v>5969</v>
      </c>
    </row>
    <row r="953" spans="1:3" x14ac:dyDescent="0.25">
      <c r="A953" t="s">
        <v>779</v>
      </c>
      <c r="B953" t="s">
        <v>779</v>
      </c>
      <c r="C953" t="s">
        <v>5969</v>
      </c>
    </row>
    <row r="954" spans="1:3" x14ac:dyDescent="0.25">
      <c r="A954" t="s">
        <v>1052</v>
      </c>
      <c r="B954" t="s">
        <v>1052</v>
      </c>
      <c r="C954" t="s">
        <v>5969</v>
      </c>
    </row>
    <row r="955" spans="1:3" x14ac:dyDescent="0.25">
      <c r="A955" t="s">
        <v>822</v>
      </c>
      <c r="B955" t="s">
        <v>822</v>
      </c>
      <c r="C955" t="s">
        <v>5969</v>
      </c>
    </row>
    <row r="956" spans="1:3" x14ac:dyDescent="0.25">
      <c r="A956" t="s">
        <v>845</v>
      </c>
      <c r="B956" t="s">
        <v>845</v>
      </c>
      <c r="C956" t="s">
        <v>5969</v>
      </c>
    </row>
    <row r="957" spans="1:3" x14ac:dyDescent="0.25">
      <c r="A957" t="s">
        <v>1754</v>
      </c>
      <c r="B957" t="s">
        <v>1754</v>
      </c>
      <c r="C957" t="s">
        <v>5969</v>
      </c>
    </row>
    <row r="958" spans="1:3" x14ac:dyDescent="0.25">
      <c r="A958" t="s">
        <v>1175</v>
      </c>
      <c r="B958" t="s">
        <v>1175</v>
      </c>
      <c r="C958" t="s">
        <v>5969</v>
      </c>
    </row>
    <row r="959" spans="1:3" x14ac:dyDescent="0.25">
      <c r="A959" t="s">
        <v>489</v>
      </c>
      <c r="B959" t="s">
        <v>489</v>
      </c>
      <c r="C959" t="s">
        <v>5969</v>
      </c>
    </row>
    <row r="960" spans="1:3" x14ac:dyDescent="0.25">
      <c r="A960" t="s">
        <v>874</v>
      </c>
      <c r="B960" t="s">
        <v>874</v>
      </c>
      <c r="C960" t="s">
        <v>5969</v>
      </c>
    </row>
    <row r="961" spans="1:3" x14ac:dyDescent="0.25">
      <c r="A961" t="s">
        <v>401</v>
      </c>
      <c r="B961" t="s">
        <v>401</v>
      </c>
      <c r="C961" t="s">
        <v>5969</v>
      </c>
    </row>
    <row r="962" spans="1:3" x14ac:dyDescent="0.25">
      <c r="A962" t="s">
        <v>30</v>
      </c>
      <c r="B962" t="s">
        <v>30</v>
      </c>
      <c r="C962" t="s">
        <v>5969</v>
      </c>
    </row>
    <row r="963" spans="1:3" x14ac:dyDescent="0.25">
      <c r="A963" t="s">
        <v>1518</v>
      </c>
      <c r="B963" t="s">
        <v>1425</v>
      </c>
      <c r="C963" t="s">
        <v>5969</v>
      </c>
    </row>
    <row r="964" spans="1:3" x14ac:dyDescent="0.25">
      <c r="A964" t="s">
        <v>803</v>
      </c>
      <c r="B964" t="s">
        <v>803</v>
      </c>
      <c r="C964" t="s">
        <v>5969</v>
      </c>
    </row>
    <row r="965" spans="1:3" x14ac:dyDescent="0.25">
      <c r="A965" t="s">
        <v>166</v>
      </c>
      <c r="B965" t="s">
        <v>166</v>
      </c>
      <c r="C965" t="s">
        <v>5969</v>
      </c>
    </row>
    <row r="966" spans="1:3" x14ac:dyDescent="0.25">
      <c r="A966" t="s">
        <v>605</v>
      </c>
      <c r="B966" t="s">
        <v>605</v>
      </c>
      <c r="C966" t="s">
        <v>5969</v>
      </c>
    </row>
    <row r="967" spans="1:3" x14ac:dyDescent="0.25">
      <c r="A967" t="s">
        <v>1882</v>
      </c>
      <c r="B967" t="s">
        <v>1882</v>
      </c>
      <c r="C967" t="s">
        <v>5969</v>
      </c>
    </row>
    <row r="968" spans="1:3" x14ac:dyDescent="0.25">
      <c r="A968" t="s">
        <v>1021</v>
      </c>
      <c r="B968" t="s">
        <v>1021</v>
      </c>
      <c r="C968" t="s">
        <v>5969</v>
      </c>
    </row>
    <row r="969" spans="1:3" x14ac:dyDescent="0.25">
      <c r="A969" t="s">
        <v>25</v>
      </c>
      <c r="B969" t="s">
        <v>25</v>
      </c>
      <c r="C969" t="s">
        <v>5969</v>
      </c>
    </row>
    <row r="970" spans="1:3" x14ac:dyDescent="0.25">
      <c r="A970" t="s">
        <v>631</v>
      </c>
      <c r="B970" t="s">
        <v>631</v>
      </c>
      <c r="C970" t="s">
        <v>5969</v>
      </c>
    </row>
    <row r="971" spans="1:3" x14ac:dyDescent="0.25">
      <c r="A971" t="s">
        <v>1878</v>
      </c>
      <c r="B971" t="s">
        <v>1878</v>
      </c>
      <c r="C971" t="s">
        <v>5969</v>
      </c>
    </row>
    <row r="972" spans="1:3" x14ac:dyDescent="0.25">
      <c r="A972" t="s">
        <v>579</v>
      </c>
      <c r="B972" t="s">
        <v>1703</v>
      </c>
      <c r="C972" t="s">
        <v>5969</v>
      </c>
    </row>
    <row r="973" spans="1:3" x14ac:dyDescent="0.25">
      <c r="A973" t="s">
        <v>708</v>
      </c>
      <c r="B973" t="s">
        <v>708</v>
      </c>
      <c r="C973" t="s">
        <v>5969</v>
      </c>
    </row>
    <row r="974" spans="1:3" x14ac:dyDescent="0.25">
      <c r="A974" t="s">
        <v>173</v>
      </c>
      <c r="B974" t="s">
        <v>173</v>
      </c>
      <c r="C974" t="s">
        <v>5969</v>
      </c>
    </row>
    <row r="975" spans="1:3" x14ac:dyDescent="0.25">
      <c r="A975" t="s">
        <v>155</v>
      </c>
      <c r="B975" t="s">
        <v>155</v>
      </c>
      <c r="C975" t="s">
        <v>5969</v>
      </c>
    </row>
    <row r="976" spans="1:3" x14ac:dyDescent="0.25">
      <c r="A976" t="s">
        <v>1619</v>
      </c>
      <c r="B976" t="s">
        <v>1619</v>
      </c>
      <c r="C976" t="s">
        <v>5969</v>
      </c>
    </row>
    <row r="977" spans="1:3" x14ac:dyDescent="0.25">
      <c r="A977" t="s">
        <v>1617</v>
      </c>
      <c r="B977" t="s">
        <v>1617</v>
      </c>
      <c r="C977" t="s">
        <v>5969</v>
      </c>
    </row>
    <row r="978" spans="1:3" x14ac:dyDescent="0.25">
      <c r="A978" t="s">
        <v>482</v>
      </c>
      <c r="B978" t="s">
        <v>482</v>
      </c>
      <c r="C978" t="s">
        <v>5969</v>
      </c>
    </row>
    <row r="979" spans="1:3" x14ac:dyDescent="0.25">
      <c r="A979" t="s">
        <v>164</v>
      </c>
      <c r="B979" t="s">
        <v>164</v>
      </c>
      <c r="C979" t="s">
        <v>5969</v>
      </c>
    </row>
    <row r="980" spans="1:3" x14ac:dyDescent="0.25">
      <c r="A980" t="s">
        <v>186</v>
      </c>
      <c r="B980" t="s">
        <v>186</v>
      </c>
      <c r="C980" t="s">
        <v>5969</v>
      </c>
    </row>
    <row r="981" spans="1:3" x14ac:dyDescent="0.25">
      <c r="A981" t="s">
        <v>1888</v>
      </c>
      <c r="B981" t="s">
        <v>5982</v>
      </c>
      <c r="C981" t="s">
        <v>5969</v>
      </c>
    </row>
    <row r="982" spans="1:3" x14ac:dyDescent="0.25">
      <c r="A982" t="s">
        <v>1086</v>
      </c>
      <c r="B982" t="s">
        <v>1086</v>
      </c>
      <c r="C982" t="s">
        <v>5969</v>
      </c>
    </row>
    <row r="983" spans="1:3" x14ac:dyDescent="0.25">
      <c r="A983" t="s">
        <v>1196</v>
      </c>
      <c r="B983" t="s">
        <v>1196</v>
      </c>
      <c r="C983" t="s">
        <v>5969</v>
      </c>
    </row>
    <row r="984" spans="1:3" x14ac:dyDescent="0.25">
      <c r="A984" t="s">
        <v>784</v>
      </c>
      <c r="B984" t="s">
        <v>784</v>
      </c>
      <c r="C984" t="s">
        <v>5969</v>
      </c>
    </row>
    <row r="985" spans="1:3" x14ac:dyDescent="0.25">
      <c r="A985" t="s">
        <v>852</v>
      </c>
      <c r="B985" t="s">
        <v>852</v>
      </c>
      <c r="C985" t="s">
        <v>5969</v>
      </c>
    </row>
    <row r="986" spans="1:3" x14ac:dyDescent="0.25">
      <c r="A986" t="s">
        <v>1109</v>
      </c>
      <c r="B986" t="s">
        <v>1109</v>
      </c>
      <c r="C986" t="s">
        <v>5969</v>
      </c>
    </row>
    <row r="987" spans="1:3" x14ac:dyDescent="0.25">
      <c r="A987" t="s">
        <v>1600</v>
      </c>
      <c r="B987" t="s">
        <v>1600</v>
      </c>
      <c r="C987" t="s">
        <v>5969</v>
      </c>
    </row>
    <row r="988" spans="1:3" x14ac:dyDescent="0.25">
      <c r="A988" t="s">
        <v>960</v>
      </c>
      <c r="B988" t="s">
        <v>960</v>
      </c>
      <c r="C988" t="s">
        <v>5969</v>
      </c>
    </row>
    <row r="989" spans="1:3" x14ac:dyDescent="0.25">
      <c r="A989" t="s">
        <v>940</v>
      </c>
      <c r="B989" t="s">
        <v>940</v>
      </c>
      <c r="C989" t="s">
        <v>5969</v>
      </c>
    </row>
    <row r="990" spans="1:3" x14ac:dyDescent="0.25">
      <c r="A990" t="s">
        <v>1179</v>
      </c>
      <c r="B990" t="s">
        <v>1179</v>
      </c>
      <c r="C990" t="s">
        <v>5969</v>
      </c>
    </row>
    <row r="991" spans="1:3" x14ac:dyDescent="0.25">
      <c r="A991" t="s">
        <v>1180</v>
      </c>
      <c r="B991" t="s">
        <v>1180</v>
      </c>
      <c r="C991" t="s">
        <v>5969</v>
      </c>
    </row>
    <row r="992" spans="1:3" x14ac:dyDescent="0.25">
      <c r="A992" t="s">
        <v>1900</v>
      </c>
      <c r="B992" t="s">
        <v>1900</v>
      </c>
      <c r="C992" t="s">
        <v>5969</v>
      </c>
    </row>
    <row r="993" spans="1:3" x14ac:dyDescent="0.25">
      <c r="A993" t="s">
        <v>1217</v>
      </c>
      <c r="B993" t="s">
        <v>1217</v>
      </c>
      <c r="C993" t="s">
        <v>5969</v>
      </c>
    </row>
    <row r="994" spans="1:3" x14ac:dyDescent="0.25">
      <c r="A994" t="s">
        <v>1416</v>
      </c>
      <c r="B994" t="s">
        <v>1416</v>
      </c>
      <c r="C994" t="s">
        <v>5969</v>
      </c>
    </row>
    <row r="995" spans="1:3" x14ac:dyDescent="0.25">
      <c r="A995" t="s">
        <v>305</v>
      </c>
      <c r="B995" t="s">
        <v>305</v>
      </c>
      <c r="C995" t="s">
        <v>5969</v>
      </c>
    </row>
    <row r="996" spans="1:3" x14ac:dyDescent="0.25">
      <c r="A996" t="s">
        <v>1801</v>
      </c>
      <c r="B996" t="s">
        <v>1801</v>
      </c>
      <c r="C996" t="s">
        <v>5969</v>
      </c>
    </row>
    <row r="997" spans="1:3" x14ac:dyDescent="0.25">
      <c r="A997" t="s">
        <v>328</v>
      </c>
      <c r="B997" t="s">
        <v>328</v>
      </c>
      <c r="C997" t="s">
        <v>5969</v>
      </c>
    </row>
    <row r="998" spans="1:3" x14ac:dyDescent="0.25">
      <c r="A998" t="s">
        <v>1881</v>
      </c>
      <c r="B998" t="s">
        <v>1881</v>
      </c>
      <c r="C998" t="s">
        <v>5969</v>
      </c>
    </row>
    <row r="999" spans="1:3" x14ac:dyDescent="0.25">
      <c r="A999" t="s">
        <v>309</v>
      </c>
      <c r="B999" t="s">
        <v>309</v>
      </c>
      <c r="C999" t="s">
        <v>5969</v>
      </c>
    </row>
    <row r="1000" spans="1:3" x14ac:dyDescent="0.25">
      <c r="A1000" t="s">
        <v>290</v>
      </c>
      <c r="B1000" t="s">
        <v>290</v>
      </c>
      <c r="C1000" t="s">
        <v>5969</v>
      </c>
    </row>
    <row r="1001" spans="1:3" x14ac:dyDescent="0.25">
      <c r="A1001" t="s">
        <v>1558</v>
      </c>
      <c r="B1001" t="s">
        <v>1558</v>
      </c>
      <c r="C1001" t="s">
        <v>5969</v>
      </c>
    </row>
    <row r="1002" spans="1:3" x14ac:dyDescent="0.25">
      <c r="A1002" t="s">
        <v>1927</v>
      </c>
      <c r="B1002" t="s">
        <v>1927</v>
      </c>
      <c r="C1002" t="s">
        <v>5969</v>
      </c>
    </row>
    <row r="1003" spans="1:3" x14ac:dyDescent="0.25">
      <c r="A1003" t="s">
        <v>95</v>
      </c>
      <c r="B1003" t="s">
        <v>95</v>
      </c>
      <c r="C1003" t="s">
        <v>5969</v>
      </c>
    </row>
    <row r="1004" spans="1:3" x14ac:dyDescent="0.25">
      <c r="A1004" t="s">
        <v>182</v>
      </c>
      <c r="B1004" t="s">
        <v>182</v>
      </c>
      <c r="C1004" t="s">
        <v>5969</v>
      </c>
    </row>
    <row r="1005" spans="1:3" x14ac:dyDescent="0.25">
      <c r="A1005" t="s">
        <v>932</v>
      </c>
      <c r="B1005" t="s">
        <v>932</v>
      </c>
      <c r="C1005" t="s">
        <v>5969</v>
      </c>
    </row>
    <row r="1006" spans="1:3" x14ac:dyDescent="0.25">
      <c r="A1006" t="s">
        <v>311</v>
      </c>
      <c r="B1006" t="s">
        <v>311</v>
      </c>
      <c r="C1006" t="s">
        <v>5969</v>
      </c>
    </row>
    <row r="1007" spans="1:3" x14ac:dyDescent="0.25">
      <c r="A1007" t="s">
        <v>1514</v>
      </c>
      <c r="B1007" t="s">
        <v>1514</v>
      </c>
      <c r="C1007" t="s">
        <v>5969</v>
      </c>
    </row>
    <row r="1008" spans="1:3" x14ac:dyDescent="0.25">
      <c r="A1008" t="s">
        <v>509</v>
      </c>
      <c r="B1008" t="s">
        <v>509</v>
      </c>
      <c r="C1008" t="s">
        <v>5969</v>
      </c>
    </row>
    <row r="1009" spans="1:3" x14ac:dyDescent="0.25">
      <c r="A1009" t="s">
        <v>501</v>
      </c>
      <c r="B1009" t="s">
        <v>501</v>
      </c>
      <c r="C1009" t="s">
        <v>5969</v>
      </c>
    </row>
    <row r="1010" spans="1:3" x14ac:dyDescent="0.25">
      <c r="A1010" t="s">
        <v>1598</v>
      </c>
      <c r="B1010" t="s">
        <v>5967</v>
      </c>
      <c r="C1010" t="s">
        <v>5969</v>
      </c>
    </row>
    <row r="1011" spans="1:3" x14ac:dyDescent="0.25">
      <c r="A1011" t="s">
        <v>929</v>
      </c>
      <c r="B1011" t="s">
        <v>929</v>
      </c>
      <c r="C1011" t="s">
        <v>5969</v>
      </c>
    </row>
    <row r="1012" spans="1:3" x14ac:dyDescent="0.25">
      <c r="A1012" t="s">
        <v>548</v>
      </c>
      <c r="B1012" t="s">
        <v>548</v>
      </c>
      <c r="C1012" t="s">
        <v>5969</v>
      </c>
    </row>
    <row r="1013" spans="1:3" x14ac:dyDescent="0.25">
      <c r="A1013" t="s">
        <v>571</v>
      </c>
      <c r="B1013" t="s">
        <v>571</v>
      </c>
      <c r="C1013" t="s">
        <v>5969</v>
      </c>
    </row>
    <row r="1014" spans="1:3" x14ac:dyDescent="0.25">
      <c r="A1014" t="s">
        <v>1282</v>
      </c>
      <c r="B1014" t="s">
        <v>1282</v>
      </c>
      <c r="C1014" t="s">
        <v>5969</v>
      </c>
    </row>
    <row r="1015" spans="1:3" x14ac:dyDescent="0.25">
      <c r="A1015" t="s">
        <v>61</v>
      </c>
      <c r="B1015" t="s">
        <v>61</v>
      </c>
      <c r="C1015" t="s">
        <v>5969</v>
      </c>
    </row>
    <row r="1016" spans="1:3" x14ac:dyDescent="0.25">
      <c r="A1016" t="s">
        <v>200</v>
      </c>
      <c r="B1016" t="s">
        <v>200</v>
      </c>
      <c r="C1016" t="s">
        <v>5969</v>
      </c>
    </row>
    <row r="1017" spans="1:3" x14ac:dyDescent="0.25">
      <c r="A1017" t="s">
        <v>1961</v>
      </c>
      <c r="B1017" t="s">
        <v>1961</v>
      </c>
      <c r="C1017" t="s">
        <v>5969</v>
      </c>
    </row>
    <row r="1018" spans="1:3" x14ac:dyDescent="0.25">
      <c r="A1018" t="s">
        <v>433</v>
      </c>
      <c r="B1018" t="s">
        <v>433</v>
      </c>
      <c r="C1018" t="s">
        <v>5969</v>
      </c>
    </row>
    <row r="1019" spans="1:3" x14ac:dyDescent="0.25">
      <c r="A1019" t="s">
        <v>441</v>
      </c>
      <c r="B1019" t="s">
        <v>441</v>
      </c>
      <c r="C1019" t="s">
        <v>5969</v>
      </c>
    </row>
    <row r="1020" spans="1:3" x14ac:dyDescent="0.25">
      <c r="A1020" t="s">
        <v>585</v>
      </c>
      <c r="B1020" t="s">
        <v>585</v>
      </c>
      <c r="C1020" t="s">
        <v>5969</v>
      </c>
    </row>
    <row r="1021" spans="1:3" x14ac:dyDescent="0.25">
      <c r="A1021" t="s">
        <v>419</v>
      </c>
      <c r="B1021" t="s">
        <v>419</v>
      </c>
      <c r="C1021" t="s">
        <v>5969</v>
      </c>
    </row>
    <row r="1022" spans="1:3" x14ac:dyDescent="0.25">
      <c r="A1022" t="s">
        <v>636</v>
      </c>
      <c r="B1022" t="s">
        <v>636</v>
      </c>
      <c r="C1022" t="s">
        <v>5969</v>
      </c>
    </row>
    <row r="1023" spans="1:3" x14ac:dyDescent="0.25">
      <c r="A1023" t="s">
        <v>794</v>
      </c>
      <c r="B1023" t="s">
        <v>794</v>
      </c>
      <c r="C1023" t="s">
        <v>5969</v>
      </c>
    </row>
    <row r="1024" spans="1:3" x14ac:dyDescent="0.25">
      <c r="A1024" t="s">
        <v>297</v>
      </c>
      <c r="B1024" t="s">
        <v>297</v>
      </c>
      <c r="C1024" t="s">
        <v>5969</v>
      </c>
    </row>
    <row r="1025" spans="1:3" x14ac:dyDescent="0.25">
      <c r="A1025" t="s">
        <v>140</v>
      </c>
      <c r="B1025" t="s">
        <v>140</v>
      </c>
      <c r="C1025" t="s">
        <v>5969</v>
      </c>
    </row>
    <row r="1026" spans="1:3" x14ac:dyDescent="0.25">
      <c r="A1026" t="s">
        <v>450</v>
      </c>
      <c r="B1026" t="s">
        <v>450</v>
      </c>
      <c r="C1026" t="s">
        <v>5969</v>
      </c>
    </row>
    <row r="1027" spans="1:3" x14ac:dyDescent="0.25">
      <c r="A1027" t="s">
        <v>481</v>
      </c>
      <c r="B1027" t="s">
        <v>481</v>
      </c>
      <c r="C1027" t="s">
        <v>5969</v>
      </c>
    </row>
    <row r="1028" spans="1:3" x14ac:dyDescent="0.25">
      <c r="A1028" t="s">
        <v>574</v>
      </c>
      <c r="B1028" t="s">
        <v>574</v>
      </c>
      <c r="C1028" t="s">
        <v>5969</v>
      </c>
    </row>
    <row r="1029" spans="1:3" x14ac:dyDescent="0.25">
      <c r="A1029" t="s">
        <v>430</v>
      </c>
      <c r="B1029" t="s">
        <v>430</v>
      </c>
      <c r="C1029" t="s">
        <v>5969</v>
      </c>
    </row>
    <row r="1030" spans="1:3" x14ac:dyDescent="0.25">
      <c r="A1030" t="s">
        <v>414</v>
      </c>
      <c r="B1030" t="s">
        <v>414</v>
      </c>
      <c r="C1030" t="s">
        <v>5969</v>
      </c>
    </row>
    <row r="1031" spans="1:3" x14ac:dyDescent="0.25">
      <c r="A1031" t="s">
        <v>234</v>
      </c>
      <c r="B1031" t="s">
        <v>234</v>
      </c>
      <c r="C1031" t="s">
        <v>5969</v>
      </c>
    </row>
    <row r="1032" spans="1:3" x14ac:dyDescent="0.25">
      <c r="A1032" t="s">
        <v>1308</v>
      </c>
      <c r="B1032" t="s">
        <v>1308</v>
      </c>
      <c r="C1032" t="s">
        <v>5969</v>
      </c>
    </row>
    <row r="1033" spans="1:3" x14ac:dyDescent="0.25">
      <c r="A1033" t="s">
        <v>1223</v>
      </c>
      <c r="B1033" t="s">
        <v>1223</v>
      </c>
      <c r="C1033" t="s">
        <v>5969</v>
      </c>
    </row>
    <row r="1034" spans="1:3" x14ac:dyDescent="0.25">
      <c r="A1034" t="s">
        <v>1311</v>
      </c>
      <c r="B1034" t="s">
        <v>1311</v>
      </c>
      <c r="C1034" t="s">
        <v>5969</v>
      </c>
    </row>
    <row r="1035" spans="1:3" x14ac:dyDescent="0.25">
      <c r="A1035" t="s">
        <v>1310</v>
      </c>
      <c r="B1035" t="s">
        <v>1310</v>
      </c>
      <c r="C1035" t="s">
        <v>5969</v>
      </c>
    </row>
    <row r="1036" spans="1:3" x14ac:dyDescent="0.25">
      <c r="A1036" t="s">
        <v>697</v>
      </c>
      <c r="B1036" t="s">
        <v>697</v>
      </c>
      <c r="C1036" t="s">
        <v>5969</v>
      </c>
    </row>
    <row r="1037" spans="1:3" x14ac:dyDescent="0.25">
      <c r="A1037" t="s">
        <v>1030</v>
      </c>
      <c r="B1037" t="s">
        <v>1030</v>
      </c>
      <c r="C1037" t="s">
        <v>5969</v>
      </c>
    </row>
    <row r="1038" spans="1:3" x14ac:dyDescent="0.25">
      <c r="A1038" t="s">
        <v>1222</v>
      </c>
      <c r="B1038" t="s">
        <v>1222</v>
      </c>
      <c r="C1038" t="s">
        <v>5969</v>
      </c>
    </row>
    <row r="1039" spans="1:3" x14ac:dyDescent="0.25">
      <c r="A1039" t="s">
        <v>1477</v>
      </c>
      <c r="B1039" t="s">
        <v>1477</v>
      </c>
      <c r="C1039" t="s">
        <v>5969</v>
      </c>
    </row>
    <row r="1040" spans="1:3" x14ac:dyDescent="0.25">
      <c r="A1040" t="s">
        <v>997</v>
      </c>
      <c r="B1040" t="s">
        <v>997</v>
      </c>
      <c r="C1040" t="s">
        <v>5969</v>
      </c>
    </row>
    <row r="1041" spans="1:3" x14ac:dyDescent="0.25">
      <c r="A1041" t="s">
        <v>522</v>
      </c>
      <c r="B1041" t="s">
        <v>522</v>
      </c>
      <c r="C1041" t="s">
        <v>5969</v>
      </c>
    </row>
    <row r="1042" spans="1:3" x14ac:dyDescent="0.25">
      <c r="A1042" t="s">
        <v>766</v>
      </c>
      <c r="B1042" t="s">
        <v>766</v>
      </c>
      <c r="C1042" t="s">
        <v>5969</v>
      </c>
    </row>
    <row r="1043" spans="1:3" x14ac:dyDescent="0.25">
      <c r="A1043" t="s">
        <v>750</v>
      </c>
      <c r="B1043" t="s">
        <v>750</v>
      </c>
      <c r="C1043" t="s">
        <v>5969</v>
      </c>
    </row>
    <row r="1044" spans="1:3" x14ac:dyDescent="0.25">
      <c r="A1044" t="s">
        <v>1912</v>
      </c>
      <c r="B1044" t="s">
        <v>5983</v>
      </c>
      <c r="C1044" t="s">
        <v>5969</v>
      </c>
    </row>
    <row r="1045" spans="1:3" x14ac:dyDescent="0.25">
      <c r="A1045" t="s">
        <v>1840</v>
      </c>
      <c r="B1045" t="s">
        <v>1840</v>
      </c>
      <c r="C1045" t="s">
        <v>5969</v>
      </c>
    </row>
    <row r="1046" spans="1:3" x14ac:dyDescent="0.25">
      <c r="A1046" t="s">
        <v>306</v>
      </c>
      <c r="B1046" t="s">
        <v>306</v>
      </c>
      <c r="C1046" t="s">
        <v>5969</v>
      </c>
    </row>
    <row r="1047" spans="1:3" x14ac:dyDescent="0.25">
      <c r="A1047" t="s">
        <v>1873</v>
      </c>
      <c r="B1047" t="s">
        <v>5984</v>
      </c>
      <c r="C1047" t="s">
        <v>5969</v>
      </c>
    </row>
    <row r="1048" spans="1:3" x14ac:dyDescent="0.25">
      <c r="A1048" t="s">
        <v>1452</v>
      </c>
      <c r="B1048" t="s">
        <v>1452</v>
      </c>
      <c r="C1048" t="s">
        <v>5969</v>
      </c>
    </row>
    <row r="1049" spans="1:3" x14ac:dyDescent="0.25">
      <c r="A1049" t="s">
        <v>1880</v>
      </c>
      <c r="B1049" t="s">
        <v>1880</v>
      </c>
      <c r="C1049" t="s">
        <v>5969</v>
      </c>
    </row>
    <row r="1050" spans="1:3" x14ac:dyDescent="0.25">
      <c r="A1050" t="s">
        <v>665</v>
      </c>
      <c r="B1050" t="s">
        <v>665</v>
      </c>
      <c r="C1050" t="s">
        <v>5969</v>
      </c>
    </row>
    <row r="1051" spans="1:3" x14ac:dyDescent="0.25">
      <c r="A1051" t="s">
        <v>1895</v>
      </c>
      <c r="B1051" t="s">
        <v>1895</v>
      </c>
      <c r="C1051" t="s">
        <v>5969</v>
      </c>
    </row>
    <row r="1052" spans="1:3" x14ac:dyDescent="0.25">
      <c r="A1052" t="s">
        <v>937</v>
      </c>
      <c r="B1052" t="s">
        <v>937</v>
      </c>
      <c r="C1052" t="s">
        <v>5969</v>
      </c>
    </row>
    <row r="1053" spans="1:3" x14ac:dyDescent="0.25">
      <c r="A1053" t="s">
        <v>1554</v>
      </c>
      <c r="B1053" t="s">
        <v>1554</v>
      </c>
      <c r="C1053" t="s">
        <v>5969</v>
      </c>
    </row>
    <row r="1054" spans="1:3" x14ac:dyDescent="0.25">
      <c r="A1054" t="s">
        <v>1555</v>
      </c>
      <c r="B1054" t="s">
        <v>1555</v>
      </c>
      <c r="C1054" t="s">
        <v>5969</v>
      </c>
    </row>
    <row r="1055" spans="1:3" x14ac:dyDescent="0.25">
      <c r="A1055" t="s">
        <v>97</v>
      </c>
      <c r="B1055" t="s">
        <v>97</v>
      </c>
      <c r="C1055" t="s">
        <v>5969</v>
      </c>
    </row>
    <row r="1056" spans="1:3" x14ac:dyDescent="0.25">
      <c r="A1056" t="s">
        <v>1861</v>
      </c>
      <c r="B1056" t="s">
        <v>1861</v>
      </c>
      <c r="C1056" t="s">
        <v>5969</v>
      </c>
    </row>
    <row r="1057" spans="1:3" x14ac:dyDescent="0.25">
      <c r="A1057" t="s">
        <v>1498</v>
      </c>
      <c r="B1057" t="s">
        <v>1498</v>
      </c>
      <c r="C1057" t="s">
        <v>5969</v>
      </c>
    </row>
    <row r="1058" spans="1:3" x14ac:dyDescent="0.25">
      <c r="A1058" t="s">
        <v>132</v>
      </c>
      <c r="B1058" t="s">
        <v>132</v>
      </c>
      <c r="C1058" t="s">
        <v>5969</v>
      </c>
    </row>
    <row r="1059" spans="1:3" x14ac:dyDescent="0.25">
      <c r="A1059" t="s">
        <v>1489</v>
      </c>
      <c r="B1059" t="s">
        <v>1489</v>
      </c>
      <c r="C1059" t="s">
        <v>5969</v>
      </c>
    </row>
    <row r="1060" spans="1:3" x14ac:dyDescent="0.25">
      <c r="A1060" t="s">
        <v>566</v>
      </c>
      <c r="B1060" t="s">
        <v>566</v>
      </c>
      <c r="C1060" t="s">
        <v>5969</v>
      </c>
    </row>
    <row r="1061" spans="1:3" x14ac:dyDescent="0.25">
      <c r="A1061" t="s">
        <v>558</v>
      </c>
      <c r="B1061" t="s">
        <v>558</v>
      </c>
      <c r="C1061" t="s">
        <v>5969</v>
      </c>
    </row>
    <row r="1062" spans="1:3" x14ac:dyDescent="0.25">
      <c r="A1062" t="s">
        <v>334</v>
      </c>
      <c r="B1062" t="s">
        <v>334</v>
      </c>
      <c r="C1062" t="s">
        <v>5969</v>
      </c>
    </row>
    <row r="1063" spans="1:3" x14ac:dyDescent="0.25">
      <c r="A1063" t="s">
        <v>593</v>
      </c>
      <c r="B1063" t="s">
        <v>593</v>
      </c>
      <c r="C1063" t="s">
        <v>5969</v>
      </c>
    </row>
    <row r="1064" spans="1:3" x14ac:dyDescent="0.25">
      <c r="A1064" t="s">
        <v>1205</v>
      </c>
      <c r="B1064" t="s">
        <v>1205</v>
      </c>
      <c r="C1064" t="s">
        <v>5969</v>
      </c>
    </row>
    <row r="1065" spans="1:3" x14ac:dyDescent="0.25">
      <c r="A1065" t="s">
        <v>1062</v>
      </c>
      <c r="B1065" t="s">
        <v>1062</v>
      </c>
      <c r="C1065" t="s">
        <v>5969</v>
      </c>
    </row>
    <row r="1066" spans="1:3" x14ac:dyDescent="0.25">
      <c r="A1066" t="s">
        <v>1508</v>
      </c>
      <c r="B1066" t="s">
        <v>1508</v>
      </c>
      <c r="C1066" t="s">
        <v>5969</v>
      </c>
    </row>
    <row r="1067" spans="1:3" x14ac:dyDescent="0.25">
      <c r="A1067" t="s">
        <v>1887</v>
      </c>
      <c r="B1067" t="s">
        <v>1887</v>
      </c>
      <c r="C1067" t="s">
        <v>5969</v>
      </c>
    </row>
    <row r="1068" spans="1:3" x14ac:dyDescent="0.25">
      <c r="A1068" t="s">
        <v>476</v>
      </c>
      <c r="B1068" t="s">
        <v>476</v>
      </c>
      <c r="C1068" t="s">
        <v>5969</v>
      </c>
    </row>
    <row r="1069" spans="1:3" x14ac:dyDescent="0.25">
      <c r="A1069" t="s">
        <v>470</v>
      </c>
      <c r="B1069" t="s">
        <v>470</v>
      </c>
      <c r="C1069" t="s">
        <v>5969</v>
      </c>
    </row>
    <row r="1070" spans="1:3" x14ac:dyDescent="0.25">
      <c r="A1070" t="s">
        <v>623</v>
      </c>
      <c r="B1070" t="s">
        <v>623</v>
      </c>
      <c r="C1070" t="s">
        <v>5969</v>
      </c>
    </row>
    <row r="1071" spans="1:3" x14ac:dyDescent="0.25">
      <c r="A1071" t="s">
        <v>1595</v>
      </c>
      <c r="B1071" t="s">
        <v>1595</v>
      </c>
      <c r="C1071" t="s">
        <v>5969</v>
      </c>
    </row>
    <row r="1072" spans="1:3" x14ac:dyDescent="0.25">
      <c r="A1072" t="s">
        <v>962</v>
      </c>
      <c r="B1072" t="s">
        <v>962</v>
      </c>
      <c r="C1072" t="s">
        <v>5969</v>
      </c>
    </row>
    <row r="1073" spans="1:3" x14ac:dyDescent="0.25">
      <c r="A1073" t="s">
        <v>486</v>
      </c>
      <c r="B1073" t="s">
        <v>486</v>
      </c>
      <c r="C1073" t="s">
        <v>5969</v>
      </c>
    </row>
    <row r="1074" spans="1:3" x14ac:dyDescent="0.25">
      <c r="A1074" t="s">
        <v>38</v>
      </c>
      <c r="B1074" t="s">
        <v>38</v>
      </c>
      <c r="C1074" t="s">
        <v>5969</v>
      </c>
    </row>
    <row r="1075" spans="1:3" x14ac:dyDescent="0.25">
      <c r="A1075" t="s">
        <v>1859</v>
      </c>
      <c r="B1075" t="s">
        <v>1859</v>
      </c>
      <c r="C1075" t="s">
        <v>5969</v>
      </c>
    </row>
    <row r="1076" spans="1:3" x14ac:dyDescent="0.25">
      <c r="A1076" t="s">
        <v>1362</v>
      </c>
      <c r="B1076" t="s">
        <v>1362</v>
      </c>
      <c r="C1076" t="s">
        <v>5969</v>
      </c>
    </row>
    <row r="1077" spans="1:3" x14ac:dyDescent="0.25">
      <c r="A1077" t="s">
        <v>1272</v>
      </c>
      <c r="B1077" t="s">
        <v>1272</v>
      </c>
      <c r="C1077" t="s">
        <v>5969</v>
      </c>
    </row>
    <row r="1078" spans="1:3" x14ac:dyDescent="0.25">
      <c r="A1078" t="s">
        <v>202</v>
      </c>
      <c r="B1078" t="s">
        <v>202</v>
      </c>
      <c r="C1078" t="s">
        <v>5969</v>
      </c>
    </row>
    <row r="1079" spans="1:3" x14ac:dyDescent="0.25">
      <c r="A1079" t="s">
        <v>1913</v>
      </c>
      <c r="B1079" t="s">
        <v>1913</v>
      </c>
      <c r="C1079" t="s">
        <v>5969</v>
      </c>
    </row>
    <row r="1080" spans="1:3" x14ac:dyDescent="0.25">
      <c r="A1080" t="s">
        <v>1125</v>
      </c>
      <c r="B1080" t="s">
        <v>1125</v>
      </c>
      <c r="C1080" t="s">
        <v>5969</v>
      </c>
    </row>
    <row r="1081" spans="1:3" x14ac:dyDescent="0.25">
      <c r="A1081" t="s">
        <v>824</v>
      </c>
      <c r="B1081" t="s">
        <v>824</v>
      </c>
      <c r="C1081" t="s">
        <v>5969</v>
      </c>
    </row>
    <row r="1082" spans="1:3" x14ac:dyDescent="0.25">
      <c r="A1082" t="s">
        <v>1848</v>
      </c>
      <c r="B1082" t="s">
        <v>1848</v>
      </c>
      <c r="C1082" t="s">
        <v>5969</v>
      </c>
    </row>
    <row r="1083" spans="1:3" x14ac:dyDescent="0.25">
      <c r="A1083" t="s">
        <v>1910</v>
      </c>
      <c r="B1083" t="s">
        <v>1910</v>
      </c>
      <c r="C1083" t="s">
        <v>5969</v>
      </c>
    </row>
    <row r="1084" spans="1:3" x14ac:dyDescent="0.25">
      <c r="A1084" t="s">
        <v>981</v>
      </c>
      <c r="B1084" t="s">
        <v>981</v>
      </c>
      <c r="C1084" t="s">
        <v>5969</v>
      </c>
    </row>
    <row r="1085" spans="1:3" x14ac:dyDescent="0.25">
      <c r="A1085" t="s">
        <v>1287</v>
      </c>
      <c r="B1085" t="s">
        <v>1287</v>
      </c>
      <c r="C1085" t="s">
        <v>5969</v>
      </c>
    </row>
    <row r="1086" spans="1:3" x14ac:dyDescent="0.25">
      <c r="A1086" t="s">
        <v>70</v>
      </c>
      <c r="B1086" t="s">
        <v>70</v>
      </c>
      <c r="C1086" t="s">
        <v>5969</v>
      </c>
    </row>
    <row r="1087" spans="1:3" x14ac:dyDescent="0.25">
      <c r="A1087" t="s">
        <v>54</v>
      </c>
      <c r="B1087" t="s">
        <v>54</v>
      </c>
      <c r="C1087" t="s">
        <v>5969</v>
      </c>
    </row>
    <row r="1088" spans="1:3" x14ac:dyDescent="0.25">
      <c r="A1088" t="s">
        <v>316</v>
      </c>
      <c r="B1088" t="s">
        <v>316</v>
      </c>
      <c r="C1088" t="s">
        <v>5969</v>
      </c>
    </row>
    <row r="1089" spans="1:3" x14ac:dyDescent="0.25">
      <c r="A1089" t="s">
        <v>506</v>
      </c>
      <c r="B1089" t="s">
        <v>506</v>
      </c>
      <c r="C1089" t="s">
        <v>5969</v>
      </c>
    </row>
    <row r="1090" spans="1:3" x14ac:dyDescent="0.25">
      <c r="A1090" t="s">
        <v>958</v>
      </c>
      <c r="B1090" t="s">
        <v>958</v>
      </c>
      <c r="C1090" t="s">
        <v>5969</v>
      </c>
    </row>
    <row r="1091" spans="1:3" x14ac:dyDescent="0.25">
      <c r="A1091" t="s">
        <v>629</v>
      </c>
      <c r="B1091" t="s">
        <v>629</v>
      </c>
      <c r="C1091" t="s">
        <v>5969</v>
      </c>
    </row>
    <row r="1092" spans="1:3" x14ac:dyDescent="0.25">
      <c r="A1092" t="s">
        <v>679</v>
      </c>
      <c r="B1092" t="s">
        <v>679</v>
      </c>
      <c r="C1092" t="s">
        <v>5969</v>
      </c>
    </row>
    <row r="1093" spans="1:3" x14ac:dyDescent="0.25">
      <c r="A1093" t="s">
        <v>1294</v>
      </c>
      <c r="B1093" t="s">
        <v>1294</v>
      </c>
      <c r="C1093" t="s">
        <v>5969</v>
      </c>
    </row>
    <row r="1094" spans="1:3" x14ac:dyDescent="0.25">
      <c r="A1094" t="s">
        <v>781</v>
      </c>
      <c r="B1094" t="s">
        <v>781</v>
      </c>
      <c r="C1094" t="s">
        <v>5969</v>
      </c>
    </row>
    <row r="1095" spans="1:3" x14ac:dyDescent="0.25">
      <c r="A1095" t="s">
        <v>1813</v>
      </c>
      <c r="B1095" t="s">
        <v>1813</v>
      </c>
      <c r="C1095" t="s">
        <v>5969</v>
      </c>
    </row>
    <row r="1096" spans="1:3" x14ac:dyDescent="0.25">
      <c r="A1096" t="s">
        <v>1812</v>
      </c>
      <c r="B1096" t="s">
        <v>5985</v>
      </c>
      <c r="C1096" t="s">
        <v>5969</v>
      </c>
    </row>
    <row r="1097" spans="1:3" x14ac:dyDescent="0.25">
      <c r="A1097" t="s">
        <v>44</v>
      </c>
      <c r="B1097" t="s">
        <v>44</v>
      </c>
      <c r="C1097" t="s">
        <v>5969</v>
      </c>
    </row>
    <row r="1098" spans="1:3" x14ac:dyDescent="0.25">
      <c r="A1098" t="s">
        <v>339</v>
      </c>
      <c r="B1098" t="s">
        <v>339</v>
      </c>
      <c r="C1098" t="s">
        <v>5969</v>
      </c>
    </row>
    <row r="1099" spans="1:3" x14ac:dyDescent="0.25">
      <c r="A1099" t="s">
        <v>1408</v>
      </c>
      <c r="B1099" t="s">
        <v>1408</v>
      </c>
      <c r="C1099" t="s">
        <v>5969</v>
      </c>
    </row>
    <row r="1100" spans="1:3" x14ac:dyDescent="0.25">
      <c r="A1100" t="s">
        <v>1574</v>
      </c>
      <c r="B1100" t="s">
        <v>1574</v>
      </c>
      <c r="C1100" t="s">
        <v>5969</v>
      </c>
    </row>
    <row r="1101" spans="1:3" x14ac:dyDescent="0.25">
      <c r="A1101" t="s">
        <v>341</v>
      </c>
      <c r="B1101" t="s">
        <v>341</v>
      </c>
      <c r="C1101" t="s">
        <v>5969</v>
      </c>
    </row>
    <row r="1102" spans="1:3" x14ac:dyDescent="0.25">
      <c r="A1102" t="s">
        <v>773</v>
      </c>
      <c r="B1102" t="s">
        <v>773</v>
      </c>
      <c r="C1102" t="s">
        <v>5969</v>
      </c>
    </row>
    <row r="1103" spans="1:3" x14ac:dyDescent="0.25">
      <c r="A1103" t="s">
        <v>130</v>
      </c>
      <c r="B1103" t="s">
        <v>130</v>
      </c>
      <c r="C1103" t="s">
        <v>5969</v>
      </c>
    </row>
    <row r="1104" spans="1:3" x14ac:dyDescent="0.25">
      <c r="A1104" t="s">
        <v>1866</v>
      </c>
      <c r="B1104" t="s">
        <v>1866</v>
      </c>
      <c r="C1104" t="s">
        <v>5969</v>
      </c>
    </row>
    <row r="1105" spans="1:3" x14ac:dyDescent="0.25">
      <c r="A1105" t="s">
        <v>1252</v>
      </c>
      <c r="B1105" t="s">
        <v>1252</v>
      </c>
      <c r="C1105" t="s">
        <v>5969</v>
      </c>
    </row>
    <row r="1106" spans="1:3" x14ac:dyDescent="0.25">
      <c r="A1106" t="s">
        <v>627</v>
      </c>
      <c r="B1106" t="s">
        <v>627</v>
      </c>
      <c r="C1106" t="s">
        <v>5969</v>
      </c>
    </row>
    <row r="1107" spans="1:3" x14ac:dyDescent="0.25">
      <c r="A1107" t="s">
        <v>964</v>
      </c>
      <c r="B1107" t="s">
        <v>964</v>
      </c>
      <c r="C1107" t="s">
        <v>5969</v>
      </c>
    </row>
    <row r="1108" spans="1:3" x14ac:dyDescent="0.25">
      <c r="A1108" t="s">
        <v>564</v>
      </c>
      <c r="B1108" t="s">
        <v>564</v>
      </c>
      <c r="C1108" t="s">
        <v>5969</v>
      </c>
    </row>
    <row r="1109" spans="1:3" x14ac:dyDescent="0.25">
      <c r="A1109" t="s">
        <v>169</v>
      </c>
      <c r="B1109" t="s">
        <v>169</v>
      </c>
      <c r="C1109" t="s">
        <v>5969</v>
      </c>
    </row>
    <row r="1110" spans="1:3" x14ac:dyDescent="0.25">
      <c r="A1110" t="s">
        <v>117</v>
      </c>
      <c r="B1110" t="s">
        <v>117</v>
      </c>
      <c r="C1110" t="s">
        <v>5969</v>
      </c>
    </row>
    <row r="1111" spans="1:3" x14ac:dyDescent="0.25">
      <c r="A1111" t="s">
        <v>1864</v>
      </c>
      <c r="B1111" t="s">
        <v>1864</v>
      </c>
      <c r="C1111" t="s">
        <v>5969</v>
      </c>
    </row>
    <row r="1112" spans="1:3" x14ac:dyDescent="0.25">
      <c r="A1112" t="s">
        <v>572</v>
      </c>
      <c r="B1112" t="s">
        <v>572</v>
      </c>
      <c r="C1112" t="s">
        <v>5969</v>
      </c>
    </row>
    <row r="1113" spans="1:3" x14ac:dyDescent="0.25">
      <c r="A1113" t="s">
        <v>409</v>
      </c>
      <c r="B1113" t="s">
        <v>409</v>
      </c>
      <c r="C1113" t="s">
        <v>5969</v>
      </c>
    </row>
    <row r="1114" spans="1:3" x14ac:dyDescent="0.25">
      <c r="A1114" t="s">
        <v>1193</v>
      </c>
      <c r="B1114" t="s">
        <v>1193</v>
      </c>
      <c r="C1114" t="s">
        <v>5969</v>
      </c>
    </row>
    <row r="1115" spans="1:3" x14ac:dyDescent="0.25">
      <c r="A1115" t="s">
        <v>1315</v>
      </c>
      <c r="B1115" t="s">
        <v>1315</v>
      </c>
      <c r="C1115" t="s">
        <v>5969</v>
      </c>
    </row>
    <row r="1116" spans="1:3" x14ac:dyDescent="0.25">
      <c r="A1116" t="s">
        <v>1435</v>
      </c>
      <c r="B1116" t="s">
        <v>1435</v>
      </c>
      <c r="C1116" t="s">
        <v>5969</v>
      </c>
    </row>
    <row r="1117" spans="1:3" x14ac:dyDescent="0.25">
      <c r="A1117" t="s">
        <v>1440</v>
      </c>
      <c r="B1117" t="s">
        <v>1440</v>
      </c>
      <c r="C1117" t="s">
        <v>5969</v>
      </c>
    </row>
    <row r="1118" spans="1:3" x14ac:dyDescent="0.25">
      <c r="A1118" t="s">
        <v>1580</v>
      </c>
      <c r="B1118" t="s">
        <v>1580</v>
      </c>
      <c r="C1118" t="s">
        <v>5969</v>
      </c>
    </row>
    <row r="1119" spans="1:3" x14ac:dyDescent="0.25">
      <c r="A1119" t="s">
        <v>1414</v>
      </c>
      <c r="B1119" t="s">
        <v>1414</v>
      </c>
      <c r="C1119" t="s">
        <v>5969</v>
      </c>
    </row>
    <row r="1120" spans="1:3" x14ac:dyDescent="0.25">
      <c r="A1120" t="s">
        <v>1338</v>
      </c>
      <c r="B1120" t="s">
        <v>1338</v>
      </c>
      <c r="C1120" t="s">
        <v>5969</v>
      </c>
    </row>
    <row r="1121" spans="1:3" x14ac:dyDescent="0.25">
      <c r="A1121" t="s">
        <v>1382</v>
      </c>
      <c r="B1121" t="s">
        <v>1382</v>
      </c>
      <c r="C1121" t="s">
        <v>5969</v>
      </c>
    </row>
    <row r="1122" spans="1:3" x14ac:dyDescent="0.25">
      <c r="A1122" t="s">
        <v>1361</v>
      </c>
      <c r="B1122" t="s">
        <v>1361</v>
      </c>
      <c r="C1122" t="s">
        <v>5969</v>
      </c>
    </row>
    <row r="1123" spans="1:3" x14ac:dyDescent="0.25">
      <c r="A1123" t="s">
        <v>1825</v>
      </c>
      <c r="B1123" t="s">
        <v>1825</v>
      </c>
      <c r="C1123" t="s">
        <v>5969</v>
      </c>
    </row>
    <row r="1124" spans="1:3" x14ac:dyDescent="0.25">
      <c r="A1124" t="s">
        <v>1430</v>
      </c>
      <c r="B1124" t="s">
        <v>1430</v>
      </c>
      <c r="C1124" t="s">
        <v>5969</v>
      </c>
    </row>
    <row r="1125" spans="1:3" x14ac:dyDescent="0.25">
      <c r="A1125" t="s">
        <v>1445</v>
      </c>
      <c r="B1125" t="s">
        <v>1445</v>
      </c>
      <c r="C1125" t="s">
        <v>5969</v>
      </c>
    </row>
    <row r="1126" spans="1:3" x14ac:dyDescent="0.25">
      <c r="A1126" t="s">
        <v>1391</v>
      </c>
      <c r="B1126" t="s">
        <v>1391</v>
      </c>
      <c r="C1126" t="s">
        <v>5969</v>
      </c>
    </row>
    <row r="1127" spans="1:3" x14ac:dyDescent="0.25">
      <c r="A1127" t="s">
        <v>1432</v>
      </c>
      <c r="B1127" t="s">
        <v>1432</v>
      </c>
      <c r="C1127" t="s">
        <v>5969</v>
      </c>
    </row>
    <row r="1128" spans="1:3" x14ac:dyDescent="0.25">
      <c r="A1128" t="s">
        <v>1326</v>
      </c>
      <c r="B1128" t="s">
        <v>1326</v>
      </c>
      <c r="C1128" t="s">
        <v>5969</v>
      </c>
    </row>
    <row r="1129" spans="1:3" x14ac:dyDescent="0.25">
      <c r="A1129" t="s">
        <v>1356</v>
      </c>
      <c r="B1129" t="s">
        <v>1356</v>
      </c>
      <c r="C1129" t="s">
        <v>5969</v>
      </c>
    </row>
    <row r="1130" spans="1:3" x14ac:dyDescent="0.25">
      <c r="A1130" t="s">
        <v>1381</v>
      </c>
      <c r="B1130" t="s">
        <v>1381</v>
      </c>
      <c r="C1130" t="s">
        <v>5969</v>
      </c>
    </row>
    <row r="1131" spans="1:3" x14ac:dyDescent="0.25">
      <c r="A1131" t="s">
        <v>1852</v>
      </c>
      <c r="B1131" t="s">
        <v>1852</v>
      </c>
      <c r="C1131" t="s">
        <v>5969</v>
      </c>
    </row>
    <row r="1132" spans="1:3" x14ac:dyDescent="0.25">
      <c r="A1132" t="s">
        <v>178</v>
      </c>
      <c r="B1132" t="s">
        <v>178</v>
      </c>
      <c r="C1132" t="s">
        <v>5969</v>
      </c>
    </row>
    <row r="1133" spans="1:3" x14ac:dyDescent="0.25">
      <c r="A1133" t="s">
        <v>1187</v>
      </c>
      <c r="B1133" t="s">
        <v>1187</v>
      </c>
      <c r="C1133" t="s">
        <v>5969</v>
      </c>
    </row>
    <row r="1134" spans="1:3" x14ac:dyDescent="0.25">
      <c r="A1134" t="s">
        <v>1897</v>
      </c>
      <c r="B1134" t="s">
        <v>1897</v>
      </c>
      <c r="C1134" t="s">
        <v>5969</v>
      </c>
    </row>
    <row r="1135" spans="1:3" x14ac:dyDescent="0.25">
      <c r="A1135" t="s">
        <v>967</v>
      </c>
      <c r="B1135" t="s">
        <v>967</v>
      </c>
      <c r="C1135" t="s">
        <v>5969</v>
      </c>
    </row>
    <row r="1136" spans="1:3" x14ac:dyDescent="0.25">
      <c r="A1136" t="s">
        <v>829</v>
      </c>
      <c r="B1136" t="s">
        <v>829</v>
      </c>
      <c r="C1136" t="s">
        <v>5969</v>
      </c>
    </row>
    <row r="1137" spans="1:3" x14ac:dyDescent="0.25">
      <c r="A1137" t="s">
        <v>109</v>
      </c>
      <c r="B1137" t="s">
        <v>109</v>
      </c>
      <c r="C1137" t="s">
        <v>5969</v>
      </c>
    </row>
    <row r="1138" spans="1:3" x14ac:dyDescent="0.25">
      <c r="A1138" t="s">
        <v>806</v>
      </c>
      <c r="B1138" t="s">
        <v>806</v>
      </c>
      <c r="C1138" t="s">
        <v>5969</v>
      </c>
    </row>
    <row r="1139" spans="1:3" x14ac:dyDescent="0.25">
      <c r="A1139" t="s">
        <v>1115</v>
      </c>
      <c r="B1139" t="s">
        <v>1115</v>
      </c>
      <c r="C1139" t="s">
        <v>5969</v>
      </c>
    </row>
    <row r="1140" spans="1:3" x14ac:dyDescent="0.25">
      <c r="A1140" t="s">
        <v>1891</v>
      </c>
      <c r="B1140" t="s">
        <v>1891</v>
      </c>
      <c r="C1140" t="s">
        <v>5969</v>
      </c>
    </row>
    <row r="1141" spans="1:3" x14ac:dyDescent="0.25">
      <c r="A1141" t="s">
        <v>511</v>
      </c>
      <c r="B1141" t="s">
        <v>511</v>
      </c>
      <c r="C1141" t="s">
        <v>5969</v>
      </c>
    </row>
    <row r="1142" spans="1:3" x14ac:dyDescent="0.25">
      <c r="A1142" t="s">
        <v>1278</v>
      </c>
      <c r="B1142" t="s">
        <v>1278</v>
      </c>
      <c r="C1142" t="s">
        <v>5969</v>
      </c>
    </row>
    <row r="1143" spans="1:3" x14ac:dyDescent="0.25">
      <c r="A1143" t="s">
        <v>1789</v>
      </c>
      <c r="B1143" t="s">
        <v>1364</v>
      </c>
      <c r="C1143" t="s">
        <v>5969</v>
      </c>
    </row>
    <row r="1144" spans="1:3" x14ac:dyDescent="0.25">
      <c r="A1144" t="s">
        <v>1265</v>
      </c>
      <c r="B1144" t="s">
        <v>1265</v>
      </c>
      <c r="C1144" t="s">
        <v>5969</v>
      </c>
    </row>
    <row r="1145" spans="1:3" x14ac:dyDescent="0.25">
      <c r="A1145" t="s">
        <v>1249</v>
      </c>
      <c r="B1145" t="s">
        <v>1249</v>
      </c>
      <c r="C1145" t="s">
        <v>5969</v>
      </c>
    </row>
    <row r="1146" spans="1:3" x14ac:dyDescent="0.25">
      <c r="A1146" t="s">
        <v>890</v>
      </c>
      <c r="B1146" t="s">
        <v>890</v>
      </c>
      <c r="C1146" t="s">
        <v>5969</v>
      </c>
    </row>
    <row r="1147" spans="1:3" x14ac:dyDescent="0.25">
      <c r="A1147" t="s">
        <v>892</v>
      </c>
      <c r="B1147" t="s">
        <v>892</v>
      </c>
      <c r="C1147" t="s">
        <v>5969</v>
      </c>
    </row>
    <row r="1148" spans="1:3" x14ac:dyDescent="0.25">
      <c r="A1148" t="s">
        <v>1264</v>
      </c>
      <c r="B1148" t="s">
        <v>1264</v>
      </c>
      <c r="C1148" t="s">
        <v>5969</v>
      </c>
    </row>
    <row r="1149" spans="1:3" x14ac:dyDescent="0.25">
      <c r="A1149" t="s">
        <v>1400</v>
      </c>
      <c r="B1149" t="s">
        <v>1400</v>
      </c>
      <c r="C1149" t="s">
        <v>5969</v>
      </c>
    </row>
    <row r="1150" spans="1:3" x14ac:dyDescent="0.25">
      <c r="A1150" t="s">
        <v>189</v>
      </c>
      <c r="B1150" t="s">
        <v>189</v>
      </c>
      <c r="C1150" t="s">
        <v>5969</v>
      </c>
    </row>
    <row r="1151" spans="1:3" x14ac:dyDescent="0.25">
      <c r="A1151" t="s">
        <v>142</v>
      </c>
      <c r="B1151" t="s">
        <v>142</v>
      </c>
      <c r="C1151" t="s">
        <v>5969</v>
      </c>
    </row>
    <row r="1152" spans="1:3" x14ac:dyDescent="0.25">
      <c r="A1152" t="s">
        <v>1336</v>
      </c>
      <c r="B1152" t="s">
        <v>1336</v>
      </c>
      <c r="C1152" t="s">
        <v>5969</v>
      </c>
    </row>
    <row r="1153" spans="1:3" x14ac:dyDescent="0.25">
      <c r="A1153" t="s">
        <v>1159</v>
      </c>
      <c r="B1153" t="s">
        <v>1159</v>
      </c>
      <c r="C1153" t="s">
        <v>5969</v>
      </c>
    </row>
    <row r="1154" spans="1:3" x14ac:dyDescent="0.25">
      <c r="A1154" t="s">
        <v>1212</v>
      </c>
      <c r="B1154" t="s">
        <v>1212</v>
      </c>
      <c r="C1154" t="s">
        <v>5969</v>
      </c>
    </row>
    <row r="1155" spans="1:3" x14ac:dyDescent="0.25">
      <c r="A1155" t="s">
        <v>949</v>
      </c>
      <c r="B1155" t="s">
        <v>949</v>
      </c>
      <c r="C1155" t="s">
        <v>5969</v>
      </c>
    </row>
    <row r="1156" spans="1:3" x14ac:dyDescent="0.25">
      <c r="A1156" t="s">
        <v>1309</v>
      </c>
      <c r="B1156" t="s">
        <v>1309</v>
      </c>
      <c r="C1156" t="s">
        <v>5969</v>
      </c>
    </row>
    <row r="1157" spans="1:3" x14ac:dyDescent="0.25">
      <c r="A1157" t="s">
        <v>1258</v>
      </c>
      <c r="B1157" t="s">
        <v>1258</v>
      </c>
      <c r="C1157" t="s">
        <v>5969</v>
      </c>
    </row>
    <row r="1158" spans="1:3" x14ac:dyDescent="0.25">
      <c r="A1158" t="s">
        <v>563</v>
      </c>
      <c r="B1158" t="s">
        <v>563</v>
      </c>
      <c r="C1158" t="s">
        <v>5969</v>
      </c>
    </row>
    <row r="1159" spans="1:3" x14ac:dyDescent="0.25">
      <c r="A1159" t="s">
        <v>567</v>
      </c>
      <c r="B1159" t="s">
        <v>567</v>
      </c>
      <c r="C1159" t="s">
        <v>5969</v>
      </c>
    </row>
    <row r="1160" spans="1:3" x14ac:dyDescent="0.25">
      <c r="A1160" t="s">
        <v>42</v>
      </c>
      <c r="B1160" t="s">
        <v>42</v>
      </c>
      <c r="C1160" t="s">
        <v>5969</v>
      </c>
    </row>
    <row r="1161" spans="1:3" x14ac:dyDescent="0.25">
      <c r="A1161" t="s">
        <v>1168</v>
      </c>
      <c r="B1161" t="s">
        <v>1168</v>
      </c>
      <c r="C1161" t="s">
        <v>5969</v>
      </c>
    </row>
    <row r="1162" spans="1:3" x14ac:dyDescent="0.25">
      <c r="A1162" t="s">
        <v>872</v>
      </c>
      <c r="B1162" t="s">
        <v>872</v>
      </c>
      <c r="C1162" t="s">
        <v>5969</v>
      </c>
    </row>
    <row r="1163" spans="1:3" x14ac:dyDescent="0.25">
      <c r="A1163" t="s">
        <v>462</v>
      </c>
      <c r="B1163" t="s">
        <v>462</v>
      </c>
      <c r="C1163" t="s">
        <v>5969</v>
      </c>
    </row>
    <row r="1164" spans="1:3" x14ac:dyDescent="0.25">
      <c r="A1164" t="s">
        <v>681</v>
      </c>
      <c r="B1164" t="s">
        <v>681</v>
      </c>
      <c r="C1164" t="s">
        <v>5969</v>
      </c>
    </row>
    <row r="1165" spans="1:3" x14ac:dyDescent="0.25">
      <c r="A1165" t="s">
        <v>744</v>
      </c>
      <c r="B1165" t="s">
        <v>744</v>
      </c>
      <c r="C1165" t="s">
        <v>5969</v>
      </c>
    </row>
    <row r="1166" spans="1:3" x14ac:dyDescent="0.25">
      <c r="A1166" t="s">
        <v>24</v>
      </c>
      <c r="B1166" t="s">
        <v>24</v>
      </c>
      <c r="C1166" t="s">
        <v>5969</v>
      </c>
    </row>
    <row r="1167" spans="1:3" x14ac:dyDescent="0.25">
      <c r="A1167" t="s">
        <v>659</v>
      </c>
      <c r="B1167" t="s">
        <v>659</v>
      </c>
      <c r="C1167" t="s">
        <v>5969</v>
      </c>
    </row>
    <row r="1168" spans="1:3" x14ac:dyDescent="0.25">
      <c r="A1168" t="s">
        <v>1620</v>
      </c>
      <c r="B1168" t="s">
        <v>1620</v>
      </c>
      <c r="C1168" t="s">
        <v>5969</v>
      </c>
    </row>
    <row r="1169" spans="1:3" x14ac:dyDescent="0.25">
      <c r="A1169" t="s">
        <v>1614</v>
      </c>
      <c r="B1169" t="s">
        <v>1614</v>
      </c>
      <c r="C1169" t="s">
        <v>5969</v>
      </c>
    </row>
    <row r="1170" spans="1:3" x14ac:dyDescent="0.25">
      <c r="A1170" t="s">
        <v>1615</v>
      </c>
      <c r="B1170" t="s">
        <v>1615</v>
      </c>
      <c r="C1170" t="s">
        <v>5969</v>
      </c>
    </row>
    <row r="1171" spans="1:3" x14ac:dyDescent="0.25">
      <c r="A1171" t="s">
        <v>424</v>
      </c>
      <c r="B1171" t="s">
        <v>424</v>
      </c>
      <c r="C1171" t="s">
        <v>5969</v>
      </c>
    </row>
    <row r="1172" spans="1:3" x14ac:dyDescent="0.25">
      <c r="A1172" t="s">
        <v>662</v>
      </c>
      <c r="B1172" t="s">
        <v>662</v>
      </c>
      <c r="C1172" t="s">
        <v>5969</v>
      </c>
    </row>
    <row r="1173" spans="1:3" x14ac:dyDescent="0.25">
      <c r="A1173" t="s">
        <v>647</v>
      </c>
      <c r="B1173" t="s">
        <v>647</v>
      </c>
      <c r="C1173" t="s">
        <v>5969</v>
      </c>
    </row>
    <row r="1174" spans="1:3" x14ac:dyDescent="0.25">
      <c r="A1174" t="s">
        <v>1814</v>
      </c>
      <c r="B1174" t="s">
        <v>1814</v>
      </c>
      <c r="C1174" t="s">
        <v>5969</v>
      </c>
    </row>
    <row r="1175" spans="1:3" x14ac:dyDescent="0.25">
      <c r="A1175" t="s">
        <v>1050</v>
      </c>
      <c r="B1175" t="s">
        <v>1050</v>
      </c>
      <c r="C1175" t="s">
        <v>5969</v>
      </c>
    </row>
    <row r="1176" spans="1:3" x14ac:dyDescent="0.25">
      <c r="A1176" t="s">
        <v>1427</v>
      </c>
      <c r="B1176" t="s">
        <v>1427</v>
      </c>
      <c r="C1176" t="s">
        <v>5969</v>
      </c>
    </row>
    <row r="1177" spans="1:3" x14ac:dyDescent="0.25">
      <c r="A1177" t="s">
        <v>1202</v>
      </c>
      <c r="B1177" t="s">
        <v>1202</v>
      </c>
      <c r="C1177" t="s">
        <v>5969</v>
      </c>
    </row>
    <row r="1178" spans="1:3" x14ac:dyDescent="0.25">
      <c r="A1178" t="s">
        <v>860</v>
      </c>
      <c r="B1178" t="s">
        <v>860</v>
      </c>
      <c r="C1178" t="s">
        <v>5969</v>
      </c>
    </row>
    <row r="1179" spans="1:3" x14ac:dyDescent="0.25">
      <c r="A1179" t="s">
        <v>288</v>
      </c>
      <c r="B1179" t="s">
        <v>288</v>
      </c>
      <c r="C1179" t="s">
        <v>5969</v>
      </c>
    </row>
    <row r="1180" spans="1:3" x14ac:dyDescent="0.25">
      <c r="A1180" t="s">
        <v>1046</v>
      </c>
      <c r="B1180" t="s">
        <v>1046</v>
      </c>
      <c r="C1180" t="s">
        <v>5969</v>
      </c>
    </row>
    <row r="1181" spans="1:3" x14ac:dyDescent="0.25">
      <c r="A1181" t="s">
        <v>994</v>
      </c>
      <c r="B1181" t="s">
        <v>994</v>
      </c>
      <c r="C1181" t="s">
        <v>5969</v>
      </c>
    </row>
    <row r="1182" spans="1:3" x14ac:dyDescent="0.25">
      <c r="A1182" t="s">
        <v>1826</v>
      </c>
      <c r="B1182" t="s">
        <v>1415</v>
      </c>
      <c r="C1182" t="s">
        <v>5969</v>
      </c>
    </row>
    <row r="1183" spans="1:3" x14ac:dyDescent="0.25">
      <c r="A1183" t="s">
        <v>1744</v>
      </c>
      <c r="B1183" t="s">
        <v>1744</v>
      </c>
      <c r="C1183" t="s">
        <v>5969</v>
      </c>
    </row>
    <row r="1184" spans="1:3" x14ac:dyDescent="0.25">
      <c r="A1184" t="s">
        <v>1804</v>
      </c>
      <c r="B1184" t="s">
        <v>1804</v>
      </c>
      <c r="C1184" t="s">
        <v>5969</v>
      </c>
    </row>
    <row r="1185" spans="1:3" x14ac:dyDescent="0.25">
      <c r="A1185" t="s">
        <v>1437</v>
      </c>
      <c r="B1185" t="s">
        <v>1437</v>
      </c>
      <c r="C1185" t="s">
        <v>5969</v>
      </c>
    </row>
    <row r="1186" spans="1:3" x14ac:dyDescent="0.25">
      <c r="A1186" t="s">
        <v>1560</v>
      </c>
      <c r="B1186" t="s">
        <v>1560</v>
      </c>
      <c r="C1186" t="s">
        <v>5969</v>
      </c>
    </row>
    <row r="1187" spans="1:3" x14ac:dyDescent="0.25">
      <c r="A1187" t="s">
        <v>1393</v>
      </c>
      <c r="B1187" t="s">
        <v>1393</v>
      </c>
      <c r="C1187" t="s">
        <v>5969</v>
      </c>
    </row>
    <row r="1188" spans="1:3" x14ac:dyDescent="0.25">
      <c r="A1188" t="s">
        <v>1602</v>
      </c>
      <c r="B1188" t="s">
        <v>1602</v>
      </c>
      <c r="C1188" t="s">
        <v>5969</v>
      </c>
    </row>
    <row r="1189" spans="1:3" x14ac:dyDescent="0.25">
      <c r="A1189" t="s">
        <v>1488</v>
      </c>
      <c r="B1189" t="s">
        <v>1488</v>
      </c>
      <c r="C1189" t="s">
        <v>5969</v>
      </c>
    </row>
    <row r="1190" spans="1:3" x14ac:dyDescent="0.25">
      <c r="A1190" t="s">
        <v>1843</v>
      </c>
      <c r="B1190" t="s">
        <v>1843</v>
      </c>
      <c r="C1190" t="s">
        <v>5969</v>
      </c>
    </row>
    <row r="1191" spans="1:3" x14ac:dyDescent="0.25">
      <c r="A1191" t="s">
        <v>1359</v>
      </c>
      <c r="B1191" t="s">
        <v>1359</v>
      </c>
      <c r="C1191" t="s">
        <v>5969</v>
      </c>
    </row>
    <row r="1192" spans="1:3" x14ac:dyDescent="0.25">
      <c r="A1192" t="s">
        <v>1815</v>
      </c>
      <c r="B1192" t="s">
        <v>1815</v>
      </c>
      <c r="C1192" t="s">
        <v>5969</v>
      </c>
    </row>
    <row r="1193" spans="1:3" x14ac:dyDescent="0.25">
      <c r="A1193" t="s">
        <v>1397</v>
      </c>
      <c r="B1193" t="s">
        <v>1397</v>
      </c>
      <c r="C1193" t="s">
        <v>5969</v>
      </c>
    </row>
    <row r="1194" spans="1:3" x14ac:dyDescent="0.25">
      <c r="A1194" t="s">
        <v>1835</v>
      </c>
      <c r="B1194" t="s">
        <v>1835</v>
      </c>
      <c r="C1194" t="s">
        <v>5969</v>
      </c>
    </row>
    <row r="1195" spans="1:3" x14ac:dyDescent="0.25">
      <c r="A1195" t="s">
        <v>1847</v>
      </c>
      <c r="B1195" t="s">
        <v>1847</v>
      </c>
      <c r="C1195" t="s">
        <v>5969</v>
      </c>
    </row>
    <row r="1196" spans="1:3" x14ac:dyDescent="0.25">
      <c r="A1196" t="s">
        <v>1960</v>
      </c>
      <c r="B1196" t="s">
        <v>1960</v>
      </c>
      <c r="C1196" t="s">
        <v>5969</v>
      </c>
    </row>
    <row r="1197" spans="1:3" x14ac:dyDescent="0.25">
      <c r="A1197" t="s">
        <v>1375</v>
      </c>
      <c r="B1197" t="s">
        <v>1375</v>
      </c>
      <c r="C1197" t="s">
        <v>5969</v>
      </c>
    </row>
    <row r="1198" spans="1:3" x14ac:dyDescent="0.25">
      <c r="A1198" t="s">
        <v>1485</v>
      </c>
      <c r="B1198" t="s">
        <v>1485</v>
      </c>
      <c r="C1198" t="s">
        <v>5969</v>
      </c>
    </row>
    <row r="1199" spans="1:3" x14ac:dyDescent="0.25">
      <c r="A1199" t="s">
        <v>1289</v>
      </c>
      <c r="B1199" t="s">
        <v>1289</v>
      </c>
      <c r="C1199" t="s">
        <v>5969</v>
      </c>
    </row>
    <row r="1200" spans="1:3" x14ac:dyDescent="0.25">
      <c r="A1200" t="s">
        <v>835</v>
      </c>
      <c r="B1200" t="s">
        <v>835</v>
      </c>
      <c r="C1200" t="s">
        <v>5969</v>
      </c>
    </row>
    <row r="1201" spans="1:3" x14ac:dyDescent="0.25">
      <c r="A1201" t="s">
        <v>1734</v>
      </c>
      <c r="B1201" t="s">
        <v>1734</v>
      </c>
      <c r="C1201" t="s">
        <v>5969</v>
      </c>
    </row>
    <row r="1202" spans="1:3" x14ac:dyDescent="0.25">
      <c r="A1202" t="s">
        <v>1817</v>
      </c>
      <c r="B1202" t="s">
        <v>1817</v>
      </c>
      <c r="C1202" t="s">
        <v>5969</v>
      </c>
    </row>
    <row r="1203" spans="1:3" x14ac:dyDescent="0.25">
      <c r="A1203" t="s">
        <v>1875</v>
      </c>
      <c r="B1203" t="s">
        <v>1875</v>
      </c>
      <c r="C1203" t="s">
        <v>5969</v>
      </c>
    </row>
    <row r="1204" spans="1:3" x14ac:dyDescent="0.25">
      <c r="A1204" t="s">
        <v>237</v>
      </c>
      <c r="B1204" t="s">
        <v>237</v>
      </c>
      <c r="C1204" t="s">
        <v>5969</v>
      </c>
    </row>
    <row r="1205" spans="1:3" x14ac:dyDescent="0.25">
      <c r="A1205" t="s">
        <v>236</v>
      </c>
      <c r="B1205" t="s">
        <v>236</v>
      </c>
      <c r="C1205" t="s">
        <v>5969</v>
      </c>
    </row>
    <row r="1206" spans="1:3" x14ac:dyDescent="0.25">
      <c r="A1206" t="s">
        <v>1942</v>
      </c>
      <c r="B1206" t="s">
        <v>1942</v>
      </c>
      <c r="C1206" t="s">
        <v>5969</v>
      </c>
    </row>
    <row r="1207" spans="1:3" x14ac:dyDescent="0.25">
      <c r="A1207" t="s">
        <v>190</v>
      </c>
      <c r="B1207" t="s">
        <v>190</v>
      </c>
      <c r="C1207" t="s">
        <v>5969</v>
      </c>
    </row>
    <row r="1208" spans="1:3" x14ac:dyDescent="0.25">
      <c r="A1208" t="s">
        <v>840</v>
      </c>
      <c r="B1208" t="s">
        <v>840</v>
      </c>
      <c r="C1208" t="s">
        <v>5969</v>
      </c>
    </row>
    <row r="1209" spans="1:3" x14ac:dyDescent="0.25">
      <c r="A1209" t="s">
        <v>1874</v>
      </c>
      <c r="B1209" t="s">
        <v>5986</v>
      </c>
      <c r="C1209" t="s">
        <v>5969</v>
      </c>
    </row>
    <row r="1210" spans="1:3" x14ac:dyDescent="0.25">
      <c r="A1210" t="s">
        <v>531</v>
      </c>
      <c r="B1210" t="s">
        <v>531</v>
      </c>
      <c r="C1210" t="s">
        <v>5969</v>
      </c>
    </row>
    <row r="1211" spans="1:3" x14ac:dyDescent="0.25">
      <c r="A1211" t="s">
        <v>1579</v>
      </c>
      <c r="B1211" t="s">
        <v>1579</v>
      </c>
      <c r="C1211" t="s">
        <v>5969</v>
      </c>
    </row>
    <row r="1212" spans="1:3" x14ac:dyDescent="0.25">
      <c r="A1212" t="s">
        <v>1376</v>
      </c>
      <c r="B1212" t="s">
        <v>1376</v>
      </c>
      <c r="C1212" t="s">
        <v>5969</v>
      </c>
    </row>
    <row r="1213" spans="1:3" x14ac:dyDescent="0.25">
      <c r="A1213" t="s">
        <v>1384</v>
      </c>
      <c r="B1213" t="s">
        <v>1384</v>
      </c>
      <c r="C1213" t="s">
        <v>5969</v>
      </c>
    </row>
    <row r="1214" spans="1:3" x14ac:dyDescent="0.25">
      <c r="A1214" t="s">
        <v>1331</v>
      </c>
      <c r="B1214" t="s">
        <v>1331</v>
      </c>
      <c r="C1214" t="s">
        <v>5969</v>
      </c>
    </row>
    <row r="1215" spans="1:3" x14ac:dyDescent="0.25">
      <c r="A1215" t="s">
        <v>1472</v>
      </c>
      <c r="B1215" t="s">
        <v>1472</v>
      </c>
      <c r="C1215" t="s">
        <v>5969</v>
      </c>
    </row>
    <row r="1216" spans="1:3" x14ac:dyDescent="0.25">
      <c r="A1216" t="s">
        <v>1808</v>
      </c>
      <c r="B1216" t="s">
        <v>1348</v>
      </c>
      <c r="C1216" t="s">
        <v>5969</v>
      </c>
    </row>
    <row r="1217" spans="1:3" x14ac:dyDescent="0.25">
      <c r="A1217" t="s">
        <v>1388</v>
      </c>
      <c r="B1217" t="s">
        <v>1388</v>
      </c>
      <c r="C1217" t="s">
        <v>5969</v>
      </c>
    </row>
    <row r="1218" spans="1:3" x14ac:dyDescent="0.25">
      <c r="A1218" t="s">
        <v>1347</v>
      </c>
      <c r="B1218" t="s">
        <v>1347</v>
      </c>
      <c r="C1218" t="s">
        <v>5969</v>
      </c>
    </row>
    <row r="1219" spans="1:3" x14ac:dyDescent="0.25">
      <c r="A1219" t="s">
        <v>1455</v>
      </c>
      <c r="B1219" t="s">
        <v>1455</v>
      </c>
      <c r="C1219" t="s">
        <v>5969</v>
      </c>
    </row>
    <row r="1220" spans="1:3" x14ac:dyDescent="0.25">
      <c r="A1220" t="s">
        <v>1795</v>
      </c>
      <c r="B1220" t="s">
        <v>1513</v>
      </c>
      <c r="C1220" t="s">
        <v>5969</v>
      </c>
    </row>
    <row r="1221" spans="1:3" x14ac:dyDescent="0.25">
      <c r="A1221" t="s">
        <v>1797</v>
      </c>
      <c r="B1221" t="s">
        <v>1515</v>
      </c>
      <c r="C1221" t="s">
        <v>5969</v>
      </c>
    </row>
    <row r="1222" spans="1:3" x14ac:dyDescent="0.25">
      <c r="A1222" t="s">
        <v>1463</v>
      </c>
      <c r="B1222" t="s">
        <v>1463</v>
      </c>
      <c r="C1222" t="s">
        <v>5969</v>
      </c>
    </row>
    <row r="1223" spans="1:3" x14ac:dyDescent="0.25">
      <c r="A1223" t="s">
        <v>1542</v>
      </c>
      <c r="B1223" t="s">
        <v>1542</v>
      </c>
      <c r="C1223" t="s">
        <v>5969</v>
      </c>
    </row>
    <row r="1224" spans="1:3" x14ac:dyDescent="0.25">
      <c r="A1224" t="s">
        <v>1823</v>
      </c>
      <c r="B1224" t="s">
        <v>1823</v>
      </c>
      <c r="C1224" t="s">
        <v>5969</v>
      </c>
    </row>
    <row r="1225" spans="1:3" x14ac:dyDescent="0.25">
      <c r="A1225" t="s">
        <v>1827</v>
      </c>
      <c r="B1225" t="s">
        <v>1827</v>
      </c>
      <c r="C1225" t="s">
        <v>5969</v>
      </c>
    </row>
    <row r="1226" spans="1:3" x14ac:dyDescent="0.25">
      <c r="A1226" t="s">
        <v>362</v>
      </c>
      <c r="B1226" t="s">
        <v>362</v>
      </c>
      <c r="C1226" t="s">
        <v>5969</v>
      </c>
    </row>
    <row r="1227" spans="1:3" x14ac:dyDescent="0.25">
      <c r="A1227" t="s">
        <v>1036</v>
      </c>
      <c r="B1227" t="s">
        <v>1036</v>
      </c>
      <c r="C1227" t="s">
        <v>5969</v>
      </c>
    </row>
    <row r="1228" spans="1:3" x14ac:dyDescent="0.25">
      <c r="A1228" t="s">
        <v>485</v>
      </c>
      <c r="B1228" t="s">
        <v>485</v>
      </c>
      <c r="C1228" t="s">
        <v>5969</v>
      </c>
    </row>
    <row r="1229" spans="1:3" x14ac:dyDescent="0.25">
      <c r="A1229" t="s">
        <v>979</v>
      </c>
      <c r="B1229" t="s">
        <v>979</v>
      </c>
      <c r="C1229" t="s">
        <v>5969</v>
      </c>
    </row>
    <row r="1230" spans="1:3" x14ac:dyDescent="0.25">
      <c r="A1230" t="s">
        <v>1379</v>
      </c>
      <c r="B1230" t="s">
        <v>1379</v>
      </c>
      <c r="C1230" t="s">
        <v>5969</v>
      </c>
    </row>
    <row r="1231" spans="1:3" x14ac:dyDescent="0.25">
      <c r="A1231" t="s">
        <v>983</v>
      </c>
      <c r="B1231" t="s">
        <v>983</v>
      </c>
      <c r="C1231" t="s">
        <v>5969</v>
      </c>
    </row>
    <row r="1232" spans="1:3" x14ac:dyDescent="0.25">
      <c r="A1232" t="s">
        <v>970</v>
      </c>
      <c r="B1232" t="s">
        <v>970</v>
      </c>
      <c r="C1232" t="s">
        <v>5969</v>
      </c>
    </row>
    <row r="1233" spans="1:3" x14ac:dyDescent="0.25">
      <c r="A1233" t="s">
        <v>170</v>
      </c>
      <c r="B1233" t="s">
        <v>170</v>
      </c>
      <c r="C1233" t="s">
        <v>5969</v>
      </c>
    </row>
    <row r="1234" spans="1:3" x14ac:dyDescent="0.25">
      <c r="A1234" t="s">
        <v>974</v>
      </c>
      <c r="B1234" t="s">
        <v>974</v>
      </c>
      <c r="C1234" t="s">
        <v>5969</v>
      </c>
    </row>
    <row r="1235" spans="1:3" x14ac:dyDescent="0.25">
      <c r="A1235" t="s">
        <v>1281</v>
      </c>
      <c r="B1235" t="s">
        <v>1281</v>
      </c>
      <c r="C1235" t="s">
        <v>5969</v>
      </c>
    </row>
    <row r="1236" spans="1:3" x14ac:dyDescent="0.25">
      <c r="A1236" t="s">
        <v>282</v>
      </c>
      <c r="B1236" t="s">
        <v>282</v>
      </c>
      <c r="C1236" t="s">
        <v>5969</v>
      </c>
    </row>
    <row r="1237" spans="1:3" x14ac:dyDescent="0.25">
      <c r="A1237" t="s">
        <v>1293</v>
      </c>
      <c r="B1237" t="s">
        <v>1293</v>
      </c>
      <c r="C1237" t="s">
        <v>5969</v>
      </c>
    </row>
    <row r="1238" spans="1:3" x14ac:dyDescent="0.25">
      <c r="A1238" t="s">
        <v>160</v>
      </c>
      <c r="B1238" t="s">
        <v>160</v>
      </c>
      <c r="C1238" t="s">
        <v>5969</v>
      </c>
    </row>
    <row r="1239" spans="1:3" x14ac:dyDescent="0.25">
      <c r="A1239" t="s">
        <v>1915</v>
      </c>
      <c r="B1239" t="s">
        <v>1915</v>
      </c>
      <c r="C1239" t="s">
        <v>5969</v>
      </c>
    </row>
    <row r="1240" spans="1:3" x14ac:dyDescent="0.25">
      <c r="A1240" t="s">
        <v>382</v>
      </c>
      <c r="B1240" t="s">
        <v>382</v>
      </c>
      <c r="C1240" t="s">
        <v>5969</v>
      </c>
    </row>
    <row r="1241" spans="1:3" x14ac:dyDescent="0.25">
      <c r="A1241" t="s">
        <v>677</v>
      </c>
      <c r="B1241" t="s">
        <v>677</v>
      </c>
      <c r="C1241" t="s">
        <v>5969</v>
      </c>
    </row>
    <row r="1242" spans="1:3" x14ac:dyDescent="0.25">
      <c r="A1242" t="s">
        <v>728</v>
      </c>
      <c r="B1242" t="s">
        <v>728</v>
      </c>
      <c r="C1242" t="s">
        <v>5969</v>
      </c>
    </row>
    <row r="1243" spans="1:3" x14ac:dyDescent="0.25">
      <c r="A1243" t="s">
        <v>1082</v>
      </c>
      <c r="B1243" t="s">
        <v>1082</v>
      </c>
      <c r="C1243" t="s">
        <v>5969</v>
      </c>
    </row>
    <row r="1244" spans="1:3" x14ac:dyDescent="0.25">
      <c r="A1244" t="s">
        <v>1502</v>
      </c>
      <c r="B1244" t="s">
        <v>1502</v>
      </c>
      <c r="C1244" t="s">
        <v>5969</v>
      </c>
    </row>
    <row r="1245" spans="1:3" x14ac:dyDescent="0.25">
      <c r="A1245" t="s">
        <v>729</v>
      </c>
      <c r="B1245" t="s">
        <v>729</v>
      </c>
      <c r="C1245" t="s">
        <v>5969</v>
      </c>
    </row>
    <row r="1246" spans="1:3" x14ac:dyDescent="0.25">
      <c r="A1246" t="s">
        <v>1299</v>
      </c>
      <c r="B1246" t="s">
        <v>1299</v>
      </c>
      <c r="C1246" t="s">
        <v>5969</v>
      </c>
    </row>
    <row r="1247" spans="1:3" x14ac:dyDescent="0.25">
      <c r="A1247" t="s">
        <v>613</v>
      </c>
      <c r="B1247" t="s">
        <v>613</v>
      </c>
      <c r="C1247" t="s">
        <v>5969</v>
      </c>
    </row>
    <row r="1248" spans="1:3" x14ac:dyDescent="0.25">
      <c r="A1248" t="s">
        <v>1141</v>
      </c>
      <c r="B1248" t="s">
        <v>1141</v>
      </c>
      <c r="C1248" t="s">
        <v>5969</v>
      </c>
    </row>
    <row r="1249" spans="1:3" x14ac:dyDescent="0.25">
      <c r="A1249" t="s">
        <v>1775</v>
      </c>
      <c r="B1249" t="s">
        <v>1775</v>
      </c>
      <c r="C1249" t="s">
        <v>5969</v>
      </c>
    </row>
    <row r="1250" spans="1:3" x14ac:dyDescent="0.25">
      <c r="A1250" t="s">
        <v>953</v>
      </c>
      <c r="B1250" t="s">
        <v>953</v>
      </c>
      <c r="C1250" t="s">
        <v>5969</v>
      </c>
    </row>
    <row r="1251" spans="1:3" x14ac:dyDescent="0.25">
      <c r="A1251" t="s">
        <v>1355</v>
      </c>
      <c r="B1251" t="s">
        <v>1355</v>
      </c>
      <c r="C1251" t="s">
        <v>5969</v>
      </c>
    </row>
    <row r="1252" spans="1:3" x14ac:dyDescent="0.25">
      <c r="A1252" t="s">
        <v>1892</v>
      </c>
      <c r="B1252" t="s">
        <v>1892</v>
      </c>
      <c r="C1252" t="s">
        <v>5969</v>
      </c>
    </row>
    <row r="1253" spans="1:3" x14ac:dyDescent="0.25">
      <c r="A1253" t="s">
        <v>108</v>
      </c>
      <c r="B1253" t="s">
        <v>5987</v>
      </c>
      <c r="C1253" t="s">
        <v>5969</v>
      </c>
    </row>
    <row r="1254" spans="1:3" x14ac:dyDescent="0.25">
      <c r="A1254" t="s">
        <v>275</v>
      </c>
      <c r="B1254" t="s">
        <v>275</v>
      </c>
      <c r="C1254" t="s">
        <v>5969</v>
      </c>
    </row>
    <row r="1255" spans="1:3" x14ac:dyDescent="0.25">
      <c r="A1255" t="s">
        <v>622</v>
      </c>
      <c r="B1255" t="s">
        <v>622</v>
      </c>
      <c r="C1255" t="s">
        <v>5969</v>
      </c>
    </row>
    <row r="1256" spans="1:3" x14ac:dyDescent="0.25">
      <c r="A1256" t="s">
        <v>1530</v>
      </c>
      <c r="B1256" t="s">
        <v>1530</v>
      </c>
      <c r="C1256" t="s">
        <v>5969</v>
      </c>
    </row>
    <row r="1257" spans="1:3" x14ac:dyDescent="0.25">
      <c r="A1257" t="s">
        <v>74</v>
      </c>
      <c r="B1257" t="s">
        <v>74</v>
      </c>
      <c r="C1257" t="s">
        <v>5969</v>
      </c>
    </row>
    <row r="1258" spans="1:3" x14ac:dyDescent="0.25">
      <c r="A1258" t="s">
        <v>1532</v>
      </c>
      <c r="B1258" t="s">
        <v>1532</v>
      </c>
      <c r="C1258" t="s">
        <v>5969</v>
      </c>
    </row>
    <row r="1259" spans="1:3" x14ac:dyDescent="0.25">
      <c r="A1259" t="s">
        <v>1210</v>
      </c>
      <c r="B1259" t="s">
        <v>1210</v>
      </c>
      <c r="C1259" t="s">
        <v>5969</v>
      </c>
    </row>
    <row r="1260" spans="1:3" x14ac:dyDescent="0.25">
      <c r="A1260" t="s">
        <v>1060</v>
      </c>
      <c r="B1260" t="s">
        <v>1060</v>
      </c>
      <c r="C1260" t="s">
        <v>5969</v>
      </c>
    </row>
    <row r="1261" spans="1:3" x14ac:dyDescent="0.25">
      <c r="A1261" t="s">
        <v>1019</v>
      </c>
      <c r="B1261" t="s">
        <v>1019</v>
      </c>
      <c r="C1261" t="s">
        <v>5969</v>
      </c>
    </row>
    <row r="1262" spans="1:3" x14ac:dyDescent="0.25">
      <c r="A1262" t="s">
        <v>908</v>
      </c>
      <c r="B1262" t="s">
        <v>908</v>
      </c>
      <c r="C1262" t="s">
        <v>5969</v>
      </c>
    </row>
    <row r="1263" spans="1:3" x14ac:dyDescent="0.25">
      <c r="A1263" t="s">
        <v>1390</v>
      </c>
      <c r="B1263" t="s">
        <v>1390</v>
      </c>
      <c r="C1263" t="s">
        <v>5969</v>
      </c>
    </row>
    <row r="1264" spans="1:3" x14ac:dyDescent="0.25">
      <c r="A1264" t="s">
        <v>826</v>
      </c>
      <c r="B1264" t="s">
        <v>826</v>
      </c>
      <c r="C1264" t="s">
        <v>5969</v>
      </c>
    </row>
    <row r="1265" spans="1:3" x14ac:dyDescent="0.25">
      <c r="A1265" t="s">
        <v>295</v>
      </c>
      <c r="B1265" t="s">
        <v>295</v>
      </c>
      <c r="C1265" t="s">
        <v>5969</v>
      </c>
    </row>
    <row r="1266" spans="1:3" x14ac:dyDescent="0.25">
      <c r="A1266" t="s">
        <v>925</v>
      </c>
      <c r="B1266" t="s">
        <v>925</v>
      </c>
      <c r="C1266" t="s">
        <v>5969</v>
      </c>
    </row>
    <row r="1267" spans="1:3" x14ac:dyDescent="0.25">
      <c r="A1267" t="s">
        <v>1011</v>
      </c>
      <c r="B1267" t="s">
        <v>1011</v>
      </c>
      <c r="C1267" t="s">
        <v>5969</v>
      </c>
    </row>
    <row r="1268" spans="1:3" x14ac:dyDescent="0.25">
      <c r="A1268" t="s">
        <v>1405</v>
      </c>
      <c r="B1268" t="s">
        <v>1405</v>
      </c>
      <c r="C1268" t="s">
        <v>5969</v>
      </c>
    </row>
    <row r="1269" spans="1:3" x14ac:dyDescent="0.25">
      <c r="A1269" t="s">
        <v>1124</v>
      </c>
      <c r="B1269" t="s">
        <v>1124</v>
      </c>
      <c r="C1269" t="s">
        <v>5969</v>
      </c>
    </row>
    <row r="1270" spans="1:3" x14ac:dyDescent="0.25">
      <c r="A1270" t="s">
        <v>1755</v>
      </c>
      <c r="B1270" t="s">
        <v>1755</v>
      </c>
      <c r="C1270" t="s">
        <v>5969</v>
      </c>
    </row>
    <row r="1271" spans="1:3" x14ac:dyDescent="0.25">
      <c r="A1271" t="s">
        <v>1314</v>
      </c>
      <c r="B1271" t="s">
        <v>1314</v>
      </c>
      <c r="C1271" t="s">
        <v>5969</v>
      </c>
    </row>
    <row r="1272" spans="1:3" x14ac:dyDescent="0.25">
      <c r="A1272" t="s">
        <v>398</v>
      </c>
      <c r="B1272" t="s">
        <v>398</v>
      </c>
      <c r="C1272" t="s">
        <v>5969</v>
      </c>
    </row>
    <row r="1273" spans="1:3" x14ac:dyDescent="0.25">
      <c r="A1273" t="s">
        <v>805</v>
      </c>
      <c r="B1273" t="s">
        <v>805</v>
      </c>
      <c r="C1273" t="s">
        <v>5969</v>
      </c>
    </row>
    <row r="1274" spans="1:3" x14ac:dyDescent="0.25">
      <c r="A1274" t="s">
        <v>862</v>
      </c>
      <c r="B1274" t="s">
        <v>862</v>
      </c>
      <c r="C1274" t="s">
        <v>5969</v>
      </c>
    </row>
    <row r="1275" spans="1:3" x14ac:dyDescent="0.25">
      <c r="A1275" t="s">
        <v>832</v>
      </c>
      <c r="B1275" t="s">
        <v>832</v>
      </c>
      <c r="C1275" t="s">
        <v>5969</v>
      </c>
    </row>
    <row r="1276" spans="1:3" x14ac:dyDescent="0.25">
      <c r="A1276" t="s">
        <v>818</v>
      </c>
      <c r="B1276" t="s">
        <v>818</v>
      </c>
      <c r="C1276" t="s">
        <v>5969</v>
      </c>
    </row>
    <row r="1277" spans="1:3" x14ac:dyDescent="0.25">
      <c r="A1277" t="s">
        <v>853</v>
      </c>
      <c r="B1277" t="s">
        <v>853</v>
      </c>
      <c r="C1277" t="s">
        <v>5969</v>
      </c>
    </row>
    <row r="1278" spans="1:3" x14ac:dyDescent="0.25">
      <c r="A1278" t="s">
        <v>82</v>
      </c>
      <c r="B1278" t="s">
        <v>82</v>
      </c>
      <c r="C1278" t="s">
        <v>5969</v>
      </c>
    </row>
    <row r="1279" spans="1:3" x14ac:dyDescent="0.25">
      <c r="A1279" t="s">
        <v>79</v>
      </c>
      <c r="B1279" t="s">
        <v>79</v>
      </c>
      <c r="C1279" t="s">
        <v>5969</v>
      </c>
    </row>
    <row r="1280" spans="1:3" x14ac:dyDescent="0.25">
      <c r="A1280" t="s">
        <v>1199</v>
      </c>
      <c r="B1280" t="s">
        <v>1199</v>
      </c>
      <c r="C1280" t="s">
        <v>5969</v>
      </c>
    </row>
    <row r="1281" spans="1:3" x14ac:dyDescent="0.25">
      <c r="A1281" t="s">
        <v>706</v>
      </c>
      <c r="B1281" t="s">
        <v>706</v>
      </c>
      <c r="C1281" t="s">
        <v>5969</v>
      </c>
    </row>
    <row r="1282" spans="1:3" x14ac:dyDescent="0.25">
      <c r="A1282" t="s">
        <v>119</v>
      </c>
      <c r="B1282" t="s">
        <v>119</v>
      </c>
      <c r="C1282" t="s">
        <v>5969</v>
      </c>
    </row>
    <row r="1283" spans="1:3" x14ac:dyDescent="0.25">
      <c r="A1283" t="s">
        <v>72</v>
      </c>
      <c r="B1283" t="s">
        <v>72</v>
      </c>
      <c r="C1283" t="s">
        <v>5969</v>
      </c>
    </row>
    <row r="1284" spans="1:3" x14ac:dyDescent="0.25">
      <c r="A1284" t="s">
        <v>1901</v>
      </c>
      <c r="B1284" t="s">
        <v>1901</v>
      </c>
      <c r="C1284" t="s">
        <v>5969</v>
      </c>
    </row>
    <row r="1285" spans="1:3" x14ac:dyDescent="0.25">
      <c r="A1285" t="s">
        <v>1220</v>
      </c>
      <c r="B1285" t="s">
        <v>1220</v>
      </c>
      <c r="C1285" t="s">
        <v>5969</v>
      </c>
    </row>
    <row r="1286" spans="1:3" x14ac:dyDescent="0.25">
      <c r="A1286" t="s">
        <v>1733</v>
      </c>
      <c r="B1286" t="s">
        <v>1733</v>
      </c>
      <c r="C1286" t="s">
        <v>5969</v>
      </c>
    </row>
    <row r="1287" spans="1:3" x14ac:dyDescent="0.25">
      <c r="A1287" t="s">
        <v>1781</v>
      </c>
      <c r="B1287" t="s">
        <v>1578</v>
      </c>
      <c r="C1287" t="s">
        <v>5969</v>
      </c>
    </row>
    <row r="1288" spans="1:3" x14ac:dyDescent="0.25">
      <c r="A1288" t="s">
        <v>1732</v>
      </c>
      <c r="B1288" t="s">
        <v>1732</v>
      </c>
      <c r="C1288" t="s">
        <v>5969</v>
      </c>
    </row>
    <row r="1289" spans="1:3" x14ac:dyDescent="0.25">
      <c r="A1289" t="s">
        <v>1436</v>
      </c>
      <c r="B1289" t="s">
        <v>1436</v>
      </c>
      <c r="C1289" t="s">
        <v>5969</v>
      </c>
    </row>
    <row r="1290" spans="1:3" x14ac:dyDescent="0.25">
      <c r="A1290" t="s">
        <v>1731</v>
      </c>
      <c r="B1290" t="s">
        <v>1731</v>
      </c>
      <c r="C1290" t="s">
        <v>5969</v>
      </c>
    </row>
    <row r="1291" spans="1:3" x14ac:dyDescent="0.25">
      <c r="A1291" t="s">
        <v>1332</v>
      </c>
      <c r="B1291" t="s">
        <v>1332</v>
      </c>
      <c r="C1291" t="s">
        <v>5969</v>
      </c>
    </row>
    <row r="1292" spans="1:3" x14ac:dyDescent="0.25">
      <c r="A1292" t="s">
        <v>1820</v>
      </c>
      <c r="B1292" t="s">
        <v>1587</v>
      </c>
      <c r="C1292" t="s">
        <v>5969</v>
      </c>
    </row>
    <row r="1293" spans="1:3" x14ac:dyDescent="0.25">
      <c r="A1293" t="s">
        <v>1787</v>
      </c>
      <c r="B1293" t="s">
        <v>1787</v>
      </c>
      <c r="C1293" t="s">
        <v>5969</v>
      </c>
    </row>
    <row r="1294" spans="1:3" x14ac:dyDescent="0.25">
      <c r="A1294" t="s">
        <v>1786</v>
      </c>
      <c r="B1294" t="s">
        <v>1786</v>
      </c>
      <c r="C1294" t="s">
        <v>5969</v>
      </c>
    </row>
    <row r="1295" spans="1:3" x14ac:dyDescent="0.25">
      <c r="A1295" t="s">
        <v>345</v>
      </c>
      <c r="B1295" t="s">
        <v>345</v>
      </c>
      <c r="C1295" t="s">
        <v>5969</v>
      </c>
    </row>
    <row r="1296" spans="1:3" x14ac:dyDescent="0.25">
      <c r="A1296" t="s">
        <v>359</v>
      </c>
      <c r="B1296" t="s">
        <v>359</v>
      </c>
      <c r="C1296" t="s">
        <v>5969</v>
      </c>
    </row>
    <row r="1297" spans="1:3" x14ac:dyDescent="0.25">
      <c r="A1297" t="s">
        <v>358</v>
      </c>
      <c r="B1297" t="s">
        <v>358</v>
      </c>
      <c r="C1297" t="s">
        <v>5969</v>
      </c>
    </row>
    <row r="1298" spans="1:3" x14ac:dyDescent="0.25">
      <c r="A1298" t="s">
        <v>1948</v>
      </c>
      <c r="B1298" t="s">
        <v>1948</v>
      </c>
      <c r="C1298" t="s">
        <v>5969</v>
      </c>
    </row>
    <row r="1299" spans="1:3" x14ac:dyDescent="0.25">
      <c r="A1299" t="s">
        <v>1738</v>
      </c>
      <c r="B1299" t="s">
        <v>1738</v>
      </c>
      <c r="C1299" t="s">
        <v>5969</v>
      </c>
    </row>
    <row r="1300" spans="1:3" x14ac:dyDescent="0.25">
      <c r="A1300" t="s">
        <v>1593</v>
      </c>
      <c r="B1300" t="s">
        <v>1593</v>
      </c>
      <c r="C1300" t="s">
        <v>5969</v>
      </c>
    </row>
    <row r="1301" spans="1:3" x14ac:dyDescent="0.25">
      <c r="A1301" t="s">
        <v>1591</v>
      </c>
      <c r="B1301" t="s">
        <v>1591</v>
      </c>
      <c r="C1301" t="s">
        <v>5969</v>
      </c>
    </row>
    <row r="1302" spans="1:3" x14ac:dyDescent="0.25">
      <c r="A1302" t="s">
        <v>1385</v>
      </c>
      <c r="B1302" t="s">
        <v>1385</v>
      </c>
      <c r="C1302" t="s">
        <v>5969</v>
      </c>
    </row>
    <row r="1303" spans="1:3" x14ac:dyDescent="0.25">
      <c r="A1303" t="s">
        <v>1768</v>
      </c>
      <c r="B1303" t="s">
        <v>1337</v>
      </c>
      <c r="C1303" t="s">
        <v>5969</v>
      </c>
    </row>
    <row r="1304" spans="1:3" x14ac:dyDescent="0.25">
      <c r="A1304" t="s">
        <v>1844</v>
      </c>
      <c r="B1304" t="s">
        <v>1844</v>
      </c>
      <c r="C1304" t="s">
        <v>5969</v>
      </c>
    </row>
    <row r="1305" spans="1:3" x14ac:dyDescent="0.25">
      <c r="A1305" t="s">
        <v>1592</v>
      </c>
      <c r="B1305" t="s">
        <v>1592</v>
      </c>
      <c r="C1305" t="s">
        <v>5969</v>
      </c>
    </row>
    <row r="1306" spans="1:3" x14ac:dyDescent="0.25">
      <c r="A1306" t="s">
        <v>1325</v>
      </c>
      <c r="B1306" t="s">
        <v>1325</v>
      </c>
      <c r="C1306" t="s">
        <v>5969</v>
      </c>
    </row>
    <row r="1307" spans="1:3" x14ac:dyDescent="0.25">
      <c r="A1307" t="s">
        <v>1833</v>
      </c>
      <c r="B1307" t="s">
        <v>5988</v>
      </c>
      <c r="C1307" t="s">
        <v>5969</v>
      </c>
    </row>
    <row r="1308" spans="1:3" x14ac:dyDescent="0.25">
      <c r="A1308" t="s">
        <v>1317</v>
      </c>
      <c r="B1308" t="s">
        <v>1317</v>
      </c>
      <c r="C1308" t="s">
        <v>5969</v>
      </c>
    </row>
    <row r="1309" spans="1:3" x14ac:dyDescent="0.25">
      <c r="A1309" t="s">
        <v>1160</v>
      </c>
      <c r="B1309" t="s">
        <v>1160</v>
      </c>
      <c r="C1309" t="s">
        <v>5969</v>
      </c>
    </row>
    <row r="1310" spans="1:3" x14ac:dyDescent="0.25">
      <c r="A1310" t="s">
        <v>1481</v>
      </c>
      <c r="B1310" t="s">
        <v>1481</v>
      </c>
      <c r="C1310" t="s">
        <v>5969</v>
      </c>
    </row>
    <row r="1311" spans="1:3" x14ac:dyDescent="0.25">
      <c r="A1311" t="s">
        <v>1303</v>
      </c>
      <c r="B1311" t="s">
        <v>1303</v>
      </c>
      <c r="C1311" t="s">
        <v>5969</v>
      </c>
    </row>
    <row r="1312" spans="1:3" x14ac:dyDescent="0.25">
      <c r="A1312" t="s">
        <v>175</v>
      </c>
      <c r="B1312" t="s">
        <v>175</v>
      </c>
      <c r="C1312" t="s">
        <v>5969</v>
      </c>
    </row>
    <row r="1313" spans="1:3" x14ac:dyDescent="0.25">
      <c r="A1313" t="s">
        <v>343</v>
      </c>
      <c r="B1313" t="s">
        <v>343</v>
      </c>
      <c r="C1313" t="s">
        <v>5969</v>
      </c>
    </row>
    <row r="1314" spans="1:3" x14ac:dyDescent="0.25">
      <c r="A1314" t="s">
        <v>1013</v>
      </c>
      <c r="B1314" t="s">
        <v>1013</v>
      </c>
      <c r="C1314" t="s">
        <v>5969</v>
      </c>
    </row>
    <row r="1315" spans="1:3" x14ac:dyDescent="0.25">
      <c r="A1315" t="s">
        <v>1185</v>
      </c>
      <c r="B1315" t="s">
        <v>1185</v>
      </c>
      <c r="C1315" t="s">
        <v>5969</v>
      </c>
    </row>
    <row r="1316" spans="1:3" x14ac:dyDescent="0.25">
      <c r="A1316" t="s">
        <v>985</v>
      </c>
      <c r="B1316" t="s">
        <v>985</v>
      </c>
      <c r="C1316" t="s">
        <v>5969</v>
      </c>
    </row>
    <row r="1317" spans="1:3" x14ac:dyDescent="0.25">
      <c r="A1317" t="s">
        <v>1389</v>
      </c>
      <c r="B1317" t="s">
        <v>1389</v>
      </c>
      <c r="C1317" t="s">
        <v>5969</v>
      </c>
    </row>
    <row r="1318" spans="1:3" x14ac:dyDescent="0.25">
      <c r="A1318" t="s">
        <v>987</v>
      </c>
      <c r="B1318" t="s">
        <v>987</v>
      </c>
      <c r="C1318" t="s">
        <v>5969</v>
      </c>
    </row>
    <row r="1319" spans="1:3" x14ac:dyDescent="0.25">
      <c r="A1319" t="s">
        <v>1951</v>
      </c>
      <c r="B1319" t="s">
        <v>5989</v>
      </c>
      <c r="C1319" t="s">
        <v>5969</v>
      </c>
    </row>
    <row r="1320" spans="1:3" x14ac:dyDescent="0.25">
      <c r="A1320" t="s">
        <v>307</v>
      </c>
      <c r="B1320" t="s">
        <v>307</v>
      </c>
      <c r="C1320" t="s">
        <v>5969</v>
      </c>
    </row>
    <row r="1321" spans="1:3" x14ac:dyDescent="0.25">
      <c r="A1321" t="s">
        <v>769</v>
      </c>
      <c r="B1321" t="s">
        <v>769</v>
      </c>
      <c r="C1321" t="s">
        <v>5969</v>
      </c>
    </row>
    <row r="1322" spans="1:3" x14ac:dyDescent="0.25">
      <c r="A1322" t="s">
        <v>533</v>
      </c>
      <c r="B1322" t="s">
        <v>533</v>
      </c>
      <c r="C1322" t="s">
        <v>5969</v>
      </c>
    </row>
    <row r="1323" spans="1:3" x14ac:dyDescent="0.25">
      <c r="A1323" t="s">
        <v>296</v>
      </c>
      <c r="B1323" t="s">
        <v>296</v>
      </c>
      <c r="C1323" t="s">
        <v>5969</v>
      </c>
    </row>
    <row r="1324" spans="1:3" x14ac:dyDescent="0.25">
      <c r="A1324" t="s">
        <v>77</v>
      </c>
      <c r="B1324" t="s">
        <v>77</v>
      </c>
      <c r="C1324" t="s">
        <v>5969</v>
      </c>
    </row>
    <row r="1325" spans="1:3" x14ac:dyDescent="0.25">
      <c r="A1325" t="s">
        <v>242</v>
      </c>
      <c r="B1325" t="s">
        <v>242</v>
      </c>
      <c r="C1325" t="s">
        <v>5969</v>
      </c>
    </row>
    <row r="1326" spans="1:3" x14ac:dyDescent="0.25">
      <c r="A1326" t="s">
        <v>1275</v>
      </c>
      <c r="B1326" t="s">
        <v>1275</v>
      </c>
      <c r="C1326" t="s">
        <v>5969</v>
      </c>
    </row>
    <row r="1327" spans="1:3" x14ac:dyDescent="0.25">
      <c r="A1327" t="s">
        <v>249</v>
      </c>
      <c r="B1327" t="s">
        <v>249</v>
      </c>
      <c r="C1327" t="s">
        <v>5969</v>
      </c>
    </row>
    <row r="1328" spans="1:3" x14ac:dyDescent="0.25">
      <c r="A1328" t="s">
        <v>1553</v>
      </c>
      <c r="B1328" t="s">
        <v>1553</v>
      </c>
      <c r="C1328" t="s">
        <v>5969</v>
      </c>
    </row>
    <row r="1329" spans="1:3" x14ac:dyDescent="0.25">
      <c r="A1329" t="s">
        <v>946</v>
      </c>
      <c r="B1329" t="s">
        <v>946</v>
      </c>
      <c r="C1329" t="s">
        <v>5969</v>
      </c>
    </row>
    <row r="1330" spans="1:3" x14ac:dyDescent="0.25">
      <c r="A1330" t="s">
        <v>1363</v>
      </c>
      <c r="B1330" t="s">
        <v>1363</v>
      </c>
      <c r="C1330" t="s">
        <v>5969</v>
      </c>
    </row>
    <row r="1331" spans="1:3" x14ac:dyDescent="0.25">
      <c r="A1331" t="s">
        <v>611</v>
      </c>
      <c r="B1331" t="s">
        <v>611</v>
      </c>
      <c r="C1331" t="s">
        <v>5969</v>
      </c>
    </row>
    <row r="1332" spans="1:3" x14ac:dyDescent="0.25">
      <c r="A1332" t="s">
        <v>813</v>
      </c>
      <c r="B1332" t="s">
        <v>813</v>
      </c>
      <c r="C1332" t="s">
        <v>5969</v>
      </c>
    </row>
    <row r="1333" spans="1:3" x14ac:dyDescent="0.25">
      <c r="A1333" t="s">
        <v>1169</v>
      </c>
      <c r="B1333" t="s">
        <v>1169</v>
      </c>
      <c r="C1333" t="s">
        <v>5969</v>
      </c>
    </row>
    <row r="1334" spans="1:3" x14ac:dyDescent="0.25">
      <c r="A1334" t="s">
        <v>209</v>
      </c>
      <c r="B1334" t="s">
        <v>209</v>
      </c>
      <c r="C1334" t="s">
        <v>5969</v>
      </c>
    </row>
    <row r="1335" spans="1:3" x14ac:dyDescent="0.25">
      <c r="A1335" t="s">
        <v>231</v>
      </c>
      <c r="B1335" t="s">
        <v>231</v>
      </c>
      <c r="C1335" t="s">
        <v>5969</v>
      </c>
    </row>
    <row r="1336" spans="1:3" x14ac:dyDescent="0.25">
      <c r="A1336" t="s">
        <v>1782</v>
      </c>
      <c r="B1336" t="s">
        <v>1782</v>
      </c>
      <c r="C1336" t="s">
        <v>5969</v>
      </c>
    </row>
    <row r="1337" spans="1:3" x14ac:dyDescent="0.25">
      <c r="A1337" t="s">
        <v>1126</v>
      </c>
      <c r="B1337" t="s">
        <v>1126</v>
      </c>
      <c r="C1337" t="s">
        <v>5969</v>
      </c>
    </row>
    <row r="1338" spans="1:3" x14ac:dyDescent="0.25">
      <c r="A1338" t="s">
        <v>823</v>
      </c>
      <c r="B1338" t="s">
        <v>823</v>
      </c>
      <c r="C1338" t="s">
        <v>5969</v>
      </c>
    </row>
    <row r="1339" spans="1:3" x14ac:dyDescent="0.25">
      <c r="A1339" t="s">
        <v>1007</v>
      </c>
      <c r="B1339" t="s">
        <v>1007</v>
      </c>
      <c r="C1339" t="s">
        <v>5969</v>
      </c>
    </row>
    <row r="1340" spans="1:3" x14ac:dyDescent="0.25">
      <c r="A1340" t="s">
        <v>660</v>
      </c>
      <c r="B1340" t="s">
        <v>660</v>
      </c>
      <c r="C1340" t="s">
        <v>5969</v>
      </c>
    </row>
    <row r="1341" spans="1:3" x14ac:dyDescent="0.25">
      <c r="A1341" t="s">
        <v>1076</v>
      </c>
      <c r="B1341" t="s">
        <v>1076</v>
      </c>
      <c r="C1341" t="s">
        <v>5969</v>
      </c>
    </row>
    <row r="1342" spans="1:3" x14ac:dyDescent="0.25">
      <c r="A1342" t="s">
        <v>478</v>
      </c>
      <c r="B1342" t="s">
        <v>478</v>
      </c>
      <c r="C1342" t="s">
        <v>5969</v>
      </c>
    </row>
    <row r="1343" spans="1:3" x14ac:dyDescent="0.25">
      <c r="A1343" t="s">
        <v>1027</v>
      </c>
      <c r="B1343" t="s">
        <v>1027</v>
      </c>
      <c r="C1343" t="s">
        <v>5969</v>
      </c>
    </row>
    <row r="1344" spans="1:3" x14ac:dyDescent="0.25">
      <c r="A1344" t="s">
        <v>1837</v>
      </c>
      <c r="B1344" t="s">
        <v>1837</v>
      </c>
      <c r="C1344" t="s">
        <v>5969</v>
      </c>
    </row>
    <row r="1345" spans="1:3" x14ac:dyDescent="0.25">
      <c r="A1345" t="s">
        <v>796</v>
      </c>
      <c r="B1345" t="s">
        <v>796</v>
      </c>
      <c r="C1345" t="s">
        <v>5969</v>
      </c>
    </row>
    <row r="1346" spans="1:3" x14ac:dyDescent="0.25">
      <c r="A1346" t="s">
        <v>1418</v>
      </c>
      <c r="B1346" t="s">
        <v>1418</v>
      </c>
      <c r="C1346" t="s">
        <v>5969</v>
      </c>
    </row>
    <row r="1347" spans="1:3" x14ac:dyDescent="0.25">
      <c r="A1347" t="s">
        <v>1618</v>
      </c>
      <c r="B1347" t="s">
        <v>1618</v>
      </c>
      <c r="C1347" t="s">
        <v>5969</v>
      </c>
    </row>
    <row r="1348" spans="1:3" x14ac:dyDescent="0.25">
      <c r="A1348" t="s">
        <v>1774</v>
      </c>
      <c r="B1348" t="s">
        <v>1774</v>
      </c>
      <c r="C1348" t="s">
        <v>5969</v>
      </c>
    </row>
    <row r="1349" spans="1:3" x14ac:dyDescent="0.25">
      <c r="A1349" t="s">
        <v>1771</v>
      </c>
      <c r="B1349" t="s">
        <v>1771</v>
      </c>
      <c r="C1349" t="s">
        <v>5969</v>
      </c>
    </row>
    <row r="1350" spans="1:3" x14ac:dyDescent="0.25">
      <c r="A1350" t="s">
        <v>331</v>
      </c>
      <c r="B1350" t="s">
        <v>331</v>
      </c>
      <c r="C1350" t="s">
        <v>5969</v>
      </c>
    </row>
    <row r="1351" spans="1:3" x14ac:dyDescent="0.25">
      <c r="A1351" t="s">
        <v>416</v>
      </c>
      <c r="B1351" t="s">
        <v>416</v>
      </c>
      <c r="C1351" t="s">
        <v>5969</v>
      </c>
    </row>
    <row r="1352" spans="1:3" x14ac:dyDescent="0.25">
      <c r="A1352" t="s">
        <v>1026</v>
      </c>
      <c r="B1352" t="s">
        <v>1026</v>
      </c>
      <c r="C1352" t="s">
        <v>5969</v>
      </c>
    </row>
    <row r="1353" spans="1:3" x14ac:dyDescent="0.25">
      <c r="A1353" t="s">
        <v>715</v>
      </c>
      <c r="B1353" t="s">
        <v>715</v>
      </c>
      <c r="C1353" t="s">
        <v>5969</v>
      </c>
    </row>
    <row r="1354" spans="1:3" x14ac:dyDescent="0.25">
      <c r="A1354" t="s">
        <v>723</v>
      </c>
      <c r="B1354" t="s">
        <v>723</v>
      </c>
      <c r="C1354" t="s">
        <v>5969</v>
      </c>
    </row>
    <row r="1355" spans="1:3" x14ac:dyDescent="0.25">
      <c r="A1355" t="s">
        <v>115</v>
      </c>
      <c r="B1355" t="s">
        <v>115</v>
      </c>
      <c r="C1355" t="s">
        <v>5969</v>
      </c>
    </row>
    <row r="1356" spans="1:3" x14ac:dyDescent="0.25">
      <c r="A1356" t="s">
        <v>159</v>
      </c>
      <c r="B1356" t="s">
        <v>159</v>
      </c>
      <c r="C1356" t="s">
        <v>5969</v>
      </c>
    </row>
    <row r="1357" spans="1:3" x14ac:dyDescent="0.25">
      <c r="A1357" t="s">
        <v>415</v>
      </c>
      <c r="B1357" t="s">
        <v>415</v>
      </c>
      <c r="C1357" t="s">
        <v>5969</v>
      </c>
    </row>
    <row r="1358" spans="1:3" x14ac:dyDescent="0.25">
      <c r="A1358" t="s">
        <v>1329</v>
      </c>
      <c r="B1358" t="s">
        <v>1329</v>
      </c>
      <c r="C1358" t="s">
        <v>5969</v>
      </c>
    </row>
    <row r="1359" spans="1:3" x14ac:dyDescent="0.25">
      <c r="A1359" t="s">
        <v>1457</v>
      </c>
      <c r="B1359" t="s">
        <v>1457</v>
      </c>
      <c r="C1359" t="s">
        <v>5969</v>
      </c>
    </row>
    <row r="1360" spans="1:3" x14ac:dyDescent="0.25">
      <c r="A1360" t="s">
        <v>628</v>
      </c>
      <c r="B1360" t="s">
        <v>628</v>
      </c>
      <c r="C1360" t="s">
        <v>5969</v>
      </c>
    </row>
    <row r="1361" spans="1:3" x14ac:dyDescent="0.25">
      <c r="A1361" t="s">
        <v>438</v>
      </c>
      <c r="B1361" t="s">
        <v>438</v>
      </c>
      <c r="C1361" t="s">
        <v>5969</v>
      </c>
    </row>
    <row r="1362" spans="1:3" x14ac:dyDescent="0.25">
      <c r="A1362" t="s">
        <v>830</v>
      </c>
      <c r="B1362" t="s">
        <v>830</v>
      </c>
      <c r="C1362" t="s">
        <v>5969</v>
      </c>
    </row>
    <row r="1363" spans="1:3" x14ac:dyDescent="0.25">
      <c r="A1363" t="s">
        <v>353</v>
      </c>
      <c r="B1363" t="s">
        <v>353</v>
      </c>
      <c r="C1363" t="s">
        <v>5969</v>
      </c>
    </row>
    <row r="1364" spans="1:3" x14ac:dyDescent="0.25">
      <c r="A1364" t="s">
        <v>211</v>
      </c>
      <c r="B1364" t="s">
        <v>211</v>
      </c>
      <c r="C1364" t="s">
        <v>5969</v>
      </c>
    </row>
    <row r="1365" spans="1:3" x14ac:dyDescent="0.25">
      <c r="A1365" t="s">
        <v>1962</v>
      </c>
      <c r="B1365" t="s">
        <v>1962</v>
      </c>
      <c r="C1365" t="s">
        <v>5969</v>
      </c>
    </row>
    <row r="1366" spans="1:3" x14ac:dyDescent="0.25">
      <c r="A1366" t="s">
        <v>630</v>
      </c>
      <c r="B1366" t="s">
        <v>630</v>
      </c>
      <c r="C1366" t="s">
        <v>5969</v>
      </c>
    </row>
    <row r="1367" spans="1:3" x14ac:dyDescent="0.25">
      <c r="A1367" t="s">
        <v>324</v>
      </c>
      <c r="B1367" t="s">
        <v>324</v>
      </c>
      <c r="C1367" t="s">
        <v>5969</v>
      </c>
    </row>
    <row r="1368" spans="1:3" x14ac:dyDescent="0.25">
      <c r="A1368" t="s">
        <v>1307</v>
      </c>
      <c r="B1368" t="s">
        <v>1307</v>
      </c>
      <c r="C1368" t="s">
        <v>5969</v>
      </c>
    </row>
    <row r="1369" spans="1:3" x14ac:dyDescent="0.25">
      <c r="A1369" t="s">
        <v>716</v>
      </c>
      <c r="B1369" t="s">
        <v>716</v>
      </c>
      <c r="C1369" t="s">
        <v>5969</v>
      </c>
    </row>
    <row r="1370" spans="1:3" x14ac:dyDescent="0.25">
      <c r="A1370" t="s">
        <v>1171</v>
      </c>
      <c r="B1370" t="s">
        <v>1171</v>
      </c>
      <c r="C1370" t="s">
        <v>5969</v>
      </c>
    </row>
    <row r="1371" spans="1:3" x14ac:dyDescent="0.25">
      <c r="A1371" t="s">
        <v>1295</v>
      </c>
      <c r="B1371" t="s">
        <v>1295</v>
      </c>
      <c r="C1371" t="s">
        <v>5969</v>
      </c>
    </row>
    <row r="1372" spans="1:3" x14ac:dyDescent="0.25">
      <c r="A1372" t="s">
        <v>1280</v>
      </c>
      <c r="B1372" t="s">
        <v>1280</v>
      </c>
      <c r="C1372" t="s">
        <v>5969</v>
      </c>
    </row>
    <row r="1373" spans="1:3" x14ac:dyDescent="0.25">
      <c r="A1373" t="s">
        <v>608</v>
      </c>
      <c r="B1373" t="s">
        <v>608</v>
      </c>
      <c r="C1373" t="s">
        <v>5969</v>
      </c>
    </row>
    <row r="1374" spans="1:3" x14ac:dyDescent="0.25">
      <c r="A1374" t="s">
        <v>274</v>
      </c>
      <c r="B1374" t="s">
        <v>274</v>
      </c>
      <c r="C1374" t="s">
        <v>5969</v>
      </c>
    </row>
    <row r="1375" spans="1:3" x14ac:dyDescent="0.25">
      <c r="A1375" t="s">
        <v>857</v>
      </c>
      <c r="B1375" t="s">
        <v>857</v>
      </c>
      <c r="C1375" t="s">
        <v>5969</v>
      </c>
    </row>
    <row r="1376" spans="1:3" x14ac:dyDescent="0.25">
      <c r="A1376" t="s">
        <v>1623</v>
      </c>
      <c r="B1376" t="s">
        <v>1623</v>
      </c>
      <c r="C1376" t="s">
        <v>5969</v>
      </c>
    </row>
    <row r="1377" spans="1:3" x14ac:dyDescent="0.25">
      <c r="A1377" t="s">
        <v>1616</v>
      </c>
      <c r="B1377" t="s">
        <v>1616</v>
      </c>
      <c r="C1377" t="s">
        <v>5969</v>
      </c>
    </row>
    <row r="1378" spans="1:3" x14ac:dyDescent="0.25">
      <c r="A1378" t="s">
        <v>1629</v>
      </c>
      <c r="B1378" t="s">
        <v>1629</v>
      </c>
      <c r="C1378" t="s">
        <v>5969</v>
      </c>
    </row>
    <row r="1379" spans="1:3" x14ac:dyDescent="0.25">
      <c r="A1379" t="s">
        <v>532</v>
      </c>
      <c r="B1379" t="s">
        <v>532</v>
      </c>
      <c r="C1379" t="s">
        <v>5969</v>
      </c>
    </row>
    <row r="1380" spans="1:3" x14ac:dyDescent="0.25">
      <c r="A1380" t="s">
        <v>1544</v>
      </c>
      <c r="B1380" t="s">
        <v>1544</v>
      </c>
      <c r="C1380" t="s">
        <v>5969</v>
      </c>
    </row>
    <row r="1381" spans="1:3" x14ac:dyDescent="0.25">
      <c r="A1381" t="s">
        <v>1236</v>
      </c>
      <c r="B1381" t="s">
        <v>1236</v>
      </c>
      <c r="C1381" t="s">
        <v>5969</v>
      </c>
    </row>
    <row r="1382" spans="1:3" x14ac:dyDescent="0.25">
      <c r="A1382" t="s">
        <v>871</v>
      </c>
      <c r="B1382" t="s">
        <v>871</v>
      </c>
      <c r="C1382" t="s">
        <v>5969</v>
      </c>
    </row>
    <row r="1383" spans="1:3" x14ac:dyDescent="0.25">
      <c r="A1383" t="s">
        <v>1830</v>
      </c>
      <c r="B1383" t="s">
        <v>1417</v>
      </c>
      <c r="C1383" t="s">
        <v>5969</v>
      </c>
    </row>
    <row r="1384" spans="1:3" x14ac:dyDescent="0.25">
      <c r="A1384" t="s">
        <v>1905</v>
      </c>
      <c r="B1384" t="s">
        <v>1905</v>
      </c>
      <c r="C1384" t="s">
        <v>5969</v>
      </c>
    </row>
    <row r="1385" spans="1:3" x14ac:dyDescent="0.25">
      <c r="A1385" t="s">
        <v>1143</v>
      </c>
      <c r="B1385" t="s">
        <v>1143</v>
      </c>
      <c r="C1385" t="s">
        <v>5969</v>
      </c>
    </row>
    <row r="1386" spans="1:3" x14ac:dyDescent="0.25">
      <c r="A1386" t="s">
        <v>407</v>
      </c>
      <c r="B1386" t="s">
        <v>407</v>
      </c>
      <c r="C1386" t="s">
        <v>5969</v>
      </c>
    </row>
    <row r="1387" spans="1:3" x14ac:dyDescent="0.25">
      <c r="A1387" t="s">
        <v>1869</v>
      </c>
      <c r="B1387" t="s">
        <v>1869</v>
      </c>
      <c r="C1387" t="s">
        <v>5969</v>
      </c>
    </row>
    <row r="1388" spans="1:3" x14ac:dyDescent="0.25">
      <c r="A1388" t="s">
        <v>633</v>
      </c>
      <c r="B1388" t="s">
        <v>633</v>
      </c>
      <c r="C1388" t="s">
        <v>5969</v>
      </c>
    </row>
    <row r="1389" spans="1:3" x14ac:dyDescent="0.25">
      <c r="A1389" t="s">
        <v>404</v>
      </c>
      <c r="B1389" t="s">
        <v>404</v>
      </c>
      <c r="C1389" t="s">
        <v>5969</v>
      </c>
    </row>
    <row r="1390" spans="1:3" x14ac:dyDescent="0.25">
      <c r="A1390" t="s">
        <v>434</v>
      </c>
      <c r="B1390" t="s">
        <v>434</v>
      </c>
      <c r="C1390" t="s">
        <v>5969</v>
      </c>
    </row>
    <row r="1391" spans="1:3" x14ac:dyDescent="0.25">
      <c r="A1391" t="s">
        <v>624</v>
      </c>
      <c r="B1391" t="s">
        <v>624</v>
      </c>
      <c r="C1391" t="s">
        <v>5969</v>
      </c>
    </row>
    <row r="1392" spans="1:3" x14ac:dyDescent="0.25">
      <c r="A1392" t="s">
        <v>451</v>
      </c>
      <c r="B1392" t="s">
        <v>451</v>
      </c>
      <c r="C1392" t="s">
        <v>5969</v>
      </c>
    </row>
    <row r="1393" spans="1:3" x14ac:dyDescent="0.25">
      <c r="A1393" t="s">
        <v>201</v>
      </c>
      <c r="B1393" t="s">
        <v>201</v>
      </c>
      <c r="C1393" t="s">
        <v>5969</v>
      </c>
    </row>
    <row r="1394" spans="1:3" x14ac:dyDescent="0.25">
      <c r="A1394" t="s">
        <v>1004</v>
      </c>
      <c r="B1394" t="s">
        <v>1004</v>
      </c>
      <c r="C1394" t="s">
        <v>5969</v>
      </c>
    </row>
    <row r="1395" spans="1:3" x14ac:dyDescent="0.25">
      <c r="A1395" t="s">
        <v>1012</v>
      </c>
      <c r="B1395" t="s">
        <v>1012</v>
      </c>
      <c r="C1395" t="s">
        <v>5969</v>
      </c>
    </row>
    <row r="1396" spans="1:3" x14ac:dyDescent="0.25">
      <c r="A1396" t="s">
        <v>1952</v>
      </c>
      <c r="B1396" t="s">
        <v>1952</v>
      </c>
      <c r="C1396" t="s">
        <v>5969</v>
      </c>
    </row>
    <row r="1397" spans="1:3" x14ac:dyDescent="0.25">
      <c r="A1397" t="s">
        <v>1183</v>
      </c>
      <c r="B1397" t="s">
        <v>1183</v>
      </c>
      <c r="C1397" t="s">
        <v>5969</v>
      </c>
    </row>
    <row r="1398" spans="1:3" x14ac:dyDescent="0.25">
      <c r="A1398" t="s">
        <v>367</v>
      </c>
      <c r="B1398" t="s">
        <v>367</v>
      </c>
      <c r="C1398" t="s">
        <v>5969</v>
      </c>
    </row>
    <row r="1399" spans="1:3" x14ac:dyDescent="0.25">
      <c r="A1399" t="s">
        <v>477</v>
      </c>
      <c r="B1399" t="s">
        <v>477</v>
      </c>
      <c r="C1399" t="s">
        <v>5969</v>
      </c>
    </row>
    <row r="1400" spans="1:3" x14ac:dyDescent="0.25">
      <c r="A1400" t="s">
        <v>1500</v>
      </c>
      <c r="B1400" t="s">
        <v>1500</v>
      </c>
      <c r="C1400" t="s">
        <v>5969</v>
      </c>
    </row>
    <row r="1401" spans="1:3" x14ac:dyDescent="0.25">
      <c r="A1401" t="s">
        <v>417</v>
      </c>
      <c r="B1401" t="s">
        <v>417</v>
      </c>
      <c r="C1401" t="s">
        <v>5969</v>
      </c>
    </row>
    <row r="1402" spans="1:3" x14ac:dyDescent="0.25">
      <c r="A1402" t="s">
        <v>1211</v>
      </c>
      <c r="B1402" t="s">
        <v>1211</v>
      </c>
      <c r="C1402" t="s">
        <v>5969</v>
      </c>
    </row>
    <row r="1403" spans="1:3" x14ac:dyDescent="0.25">
      <c r="A1403" t="s">
        <v>1256</v>
      </c>
      <c r="B1403" t="s">
        <v>1256</v>
      </c>
      <c r="C1403" t="s">
        <v>5969</v>
      </c>
    </row>
    <row r="1404" spans="1:3" x14ac:dyDescent="0.25">
      <c r="A1404" t="s">
        <v>1902</v>
      </c>
      <c r="B1404" t="s">
        <v>1902</v>
      </c>
      <c r="C1404" t="s">
        <v>5969</v>
      </c>
    </row>
    <row r="1405" spans="1:3" x14ac:dyDescent="0.25">
      <c r="A1405" t="s">
        <v>373</v>
      </c>
      <c r="B1405" t="s">
        <v>373</v>
      </c>
      <c r="C1405" t="s">
        <v>5969</v>
      </c>
    </row>
    <row r="1406" spans="1:3" x14ac:dyDescent="0.25">
      <c r="A1406" t="s">
        <v>1742</v>
      </c>
      <c r="B1406" t="s">
        <v>1742</v>
      </c>
      <c r="C1406" t="s">
        <v>5969</v>
      </c>
    </row>
    <row r="1407" spans="1:3" x14ac:dyDescent="0.25">
      <c r="A1407" t="s">
        <v>1583</v>
      </c>
      <c r="B1407" t="s">
        <v>1583</v>
      </c>
      <c r="C1407" t="s">
        <v>5969</v>
      </c>
    </row>
    <row r="1408" spans="1:3" x14ac:dyDescent="0.25">
      <c r="A1408" t="s">
        <v>1426</v>
      </c>
      <c r="B1408" t="s">
        <v>1426</v>
      </c>
      <c r="C1408" t="s">
        <v>5969</v>
      </c>
    </row>
    <row r="1409" spans="1:3" x14ac:dyDescent="0.25">
      <c r="A1409" t="s">
        <v>1839</v>
      </c>
      <c r="B1409" t="s">
        <v>1839</v>
      </c>
      <c r="C1409" t="s">
        <v>5969</v>
      </c>
    </row>
    <row r="1410" spans="1:3" x14ac:dyDescent="0.25">
      <c r="A1410" t="s">
        <v>1441</v>
      </c>
      <c r="B1410" t="s">
        <v>1441</v>
      </c>
      <c r="C1410" t="s">
        <v>5969</v>
      </c>
    </row>
    <row r="1411" spans="1:3" x14ac:dyDescent="0.25">
      <c r="A1411" t="s">
        <v>1947</v>
      </c>
      <c r="B1411" t="s">
        <v>1947</v>
      </c>
      <c r="C1411" t="s">
        <v>5969</v>
      </c>
    </row>
    <row r="1412" spans="1:3" x14ac:dyDescent="0.25">
      <c r="A1412" t="s">
        <v>1772</v>
      </c>
      <c r="B1412" t="s">
        <v>1772</v>
      </c>
      <c r="C1412" t="s">
        <v>5969</v>
      </c>
    </row>
    <row r="1413" spans="1:3" x14ac:dyDescent="0.25">
      <c r="A1413" t="s">
        <v>1466</v>
      </c>
      <c r="B1413" t="s">
        <v>1466</v>
      </c>
      <c r="C1413" t="s">
        <v>5969</v>
      </c>
    </row>
    <row r="1414" spans="1:3" x14ac:dyDescent="0.25">
      <c r="A1414" t="s">
        <v>1855</v>
      </c>
      <c r="B1414" t="s">
        <v>1855</v>
      </c>
      <c r="C1414" t="s">
        <v>5969</v>
      </c>
    </row>
    <row r="1415" spans="1:3" x14ac:dyDescent="0.25">
      <c r="A1415" t="s">
        <v>996</v>
      </c>
      <c r="B1415" t="s">
        <v>996</v>
      </c>
      <c r="C1415" t="s">
        <v>5969</v>
      </c>
    </row>
    <row r="1416" spans="1:3" x14ac:dyDescent="0.25">
      <c r="A1416" t="s">
        <v>1010</v>
      </c>
      <c r="B1416" t="s">
        <v>1010</v>
      </c>
      <c r="C1416" t="s">
        <v>5969</v>
      </c>
    </row>
    <row r="1417" spans="1:3" x14ac:dyDescent="0.25">
      <c r="A1417" t="s">
        <v>1322</v>
      </c>
      <c r="B1417" t="s">
        <v>1322</v>
      </c>
      <c r="C1417" t="s">
        <v>5969</v>
      </c>
    </row>
    <row r="1418" spans="1:3" x14ac:dyDescent="0.25">
      <c r="A1418" t="s">
        <v>101</v>
      </c>
      <c r="B1418" t="s">
        <v>101</v>
      </c>
      <c r="C1418" t="s">
        <v>5969</v>
      </c>
    </row>
    <row r="1419" spans="1:3" x14ac:dyDescent="0.25">
      <c r="A1419" t="s">
        <v>444</v>
      </c>
      <c r="B1419" t="s">
        <v>444</v>
      </c>
      <c r="C1419" t="s">
        <v>5969</v>
      </c>
    </row>
    <row r="1420" spans="1:3" x14ac:dyDescent="0.25">
      <c r="A1420" t="s">
        <v>217</v>
      </c>
      <c r="B1420" t="s">
        <v>217</v>
      </c>
      <c r="C1420" t="s">
        <v>5969</v>
      </c>
    </row>
    <row r="1421" spans="1:3" x14ac:dyDescent="0.25">
      <c r="A1421" t="s">
        <v>1792</v>
      </c>
      <c r="B1421" t="s">
        <v>1545</v>
      </c>
      <c r="C1421" t="s">
        <v>5969</v>
      </c>
    </row>
    <row r="1422" spans="1:3" x14ac:dyDescent="0.25">
      <c r="A1422" t="s">
        <v>154</v>
      </c>
      <c r="B1422" t="s">
        <v>154</v>
      </c>
      <c r="C1422" t="s">
        <v>5969</v>
      </c>
    </row>
    <row r="1423" spans="1:3" x14ac:dyDescent="0.25">
      <c r="A1423" t="s">
        <v>1005</v>
      </c>
      <c r="B1423" t="s">
        <v>1005</v>
      </c>
      <c r="C1423" t="s">
        <v>5969</v>
      </c>
    </row>
    <row r="1424" spans="1:3" x14ac:dyDescent="0.25">
      <c r="A1424" t="s">
        <v>1626</v>
      </c>
      <c r="B1424" t="s">
        <v>1626</v>
      </c>
      <c r="C1424" t="s">
        <v>5969</v>
      </c>
    </row>
    <row r="1425" spans="1:3" x14ac:dyDescent="0.25">
      <c r="A1425" t="s">
        <v>1625</v>
      </c>
      <c r="B1425" t="s">
        <v>1625</v>
      </c>
      <c r="C1425" t="s">
        <v>5969</v>
      </c>
    </row>
    <row r="1426" spans="1:3" x14ac:dyDescent="0.25">
      <c r="A1426" t="s">
        <v>1261</v>
      </c>
      <c r="B1426" t="s">
        <v>1261</v>
      </c>
      <c r="C1426" t="s">
        <v>5969</v>
      </c>
    </row>
    <row r="1427" spans="1:3" x14ac:dyDescent="0.25">
      <c r="A1427" t="s">
        <v>1246</v>
      </c>
      <c r="B1427" t="s">
        <v>1246</v>
      </c>
      <c r="C1427" t="s">
        <v>5969</v>
      </c>
    </row>
    <row r="1428" spans="1:3" x14ac:dyDescent="0.25">
      <c r="A1428" t="s">
        <v>880</v>
      </c>
      <c r="B1428" t="s">
        <v>880</v>
      </c>
      <c r="C1428" t="s">
        <v>5969</v>
      </c>
    </row>
    <row r="1429" spans="1:3" x14ac:dyDescent="0.25">
      <c r="A1429" t="s">
        <v>1924</v>
      </c>
      <c r="B1429" t="s">
        <v>1924</v>
      </c>
      <c r="C1429" t="s">
        <v>5969</v>
      </c>
    </row>
    <row r="1430" spans="1:3" x14ac:dyDescent="0.25">
      <c r="A1430" t="s">
        <v>785</v>
      </c>
      <c r="B1430" t="s">
        <v>785</v>
      </c>
      <c r="C1430" t="s">
        <v>5969</v>
      </c>
    </row>
    <row r="1431" spans="1:3" x14ac:dyDescent="0.25">
      <c r="A1431" t="s">
        <v>1357</v>
      </c>
      <c r="B1431" t="s">
        <v>1357</v>
      </c>
      <c r="C1431" t="s">
        <v>5969</v>
      </c>
    </row>
    <row r="1432" spans="1:3" x14ac:dyDescent="0.25">
      <c r="A1432" t="s">
        <v>1926</v>
      </c>
      <c r="B1432" t="s">
        <v>1926</v>
      </c>
      <c r="C1432" t="s">
        <v>5969</v>
      </c>
    </row>
    <row r="1433" spans="1:3" x14ac:dyDescent="0.25">
      <c r="A1433" t="s">
        <v>1954</v>
      </c>
      <c r="B1433" t="s">
        <v>1598</v>
      </c>
      <c r="C1433" t="s">
        <v>5969</v>
      </c>
    </row>
    <row r="1434" spans="1:3" x14ac:dyDescent="0.25">
      <c r="A1434" t="s">
        <v>247</v>
      </c>
      <c r="B1434" t="s">
        <v>247</v>
      </c>
      <c r="C1434" t="s">
        <v>5969</v>
      </c>
    </row>
    <row r="1435" spans="1:3" x14ac:dyDescent="0.25">
      <c r="A1435" t="s">
        <v>1002</v>
      </c>
      <c r="B1435" t="s">
        <v>1002</v>
      </c>
      <c r="C1435" t="s">
        <v>5969</v>
      </c>
    </row>
    <row r="1436" spans="1:3" x14ac:dyDescent="0.25">
      <c r="A1436" t="s">
        <v>252</v>
      </c>
      <c r="B1436" t="s">
        <v>252</v>
      </c>
      <c r="C1436" t="s">
        <v>5969</v>
      </c>
    </row>
    <row r="1437" spans="1:3" x14ac:dyDescent="0.25">
      <c r="A1437" t="s">
        <v>114</v>
      </c>
      <c r="B1437" t="s">
        <v>114</v>
      </c>
      <c r="C1437" t="s">
        <v>5969</v>
      </c>
    </row>
    <row r="1438" spans="1:3" x14ac:dyDescent="0.25">
      <c r="A1438" t="s">
        <v>1358</v>
      </c>
      <c r="B1438" t="s">
        <v>1358</v>
      </c>
      <c r="C1438" t="s">
        <v>5969</v>
      </c>
    </row>
    <row r="1439" spans="1:3" x14ac:dyDescent="0.25">
      <c r="A1439" t="s">
        <v>690</v>
      </c>
      <c r="B1439" t="s">
        <v>690</v>
      </c>
      <c r="C1439" t="s">
        <v>5969</v>
      </c>
    </row>
    <row r="1440" spans="1:3" x14ac:dyDescent="0.25">
      <c r="A1440" t="s">
        <v>365</v>
      </c>
      <c r="B1440" t="s">
        <v>365</v>
      </c>
      <c r="C1440" t="s">
        <v>5969</v>
      </c>
    </row>
    <row r="1441" spans="1:3" x14ac:dyDescent="0.25">
      <c r="A1441" t="s">
        <v>87</v>
      </c>
      <c r="B1441" t="s">
        <v>87</v>
      </c>
      <c r="C1441" t="s">
        <v>5969</v>
      </c>
    </row>
    <row r="1442" spans="1:3" x14ac:dyDescent="0.25">
      <c r="A1442" t="s">
        <v>1533</v>
      </c>
      <c r="B1442" t="s">
        <v>1533</v>
      </c>
      <c r="C1442" t="s">
        <v>5969</v>
      </c>
    </row>
    <row r="1443" spans="1:3" x14ac:dyDescent="0.25">
      <c r="A1443" t="s">
        <v>19</v>
      </c>
      <c r="B1443" t="s">
        <v>19</v>
      </c>
      <c r="C1443" t="s">
        <v>5969</v>
      </c>
    </row>
    <row r="1444" spans="1:3" x14ac:dyDescent="0.25">
      <c r="A1444" t="s">
        <v>1254</v>
      </c>
      <c r="B1444" t="s">
        <v>1254</v>
      </c>
      <c r="C1444" t="s">
        <v>5969</v>
      </c>
    </row>
    <row r="1445" spans="1:3" x14ac:dyDescent="0.25">
      <c r="A1445" t="s">
        <v>1224</v>
      </c>
      <c r="B1445" t="s">
        <v>1224</v>
      </c>
      <c r="C1445" t="s">
        <v>5969</v>
      </c>
    </row>
    <row r="1446" spans="1:3" x14ac:dyDescent="0.25">
      <c r="A1446" t="s">
        <v>1092</v>
      </c>
      <c r="B1446" t="s">
        <v>1092</v>
      </c>
      <c r="C1446" t="s">
        <v>5969</v>
      </c>
    </row>
    <row r="1447" spans="1:3" x14ac:dyDescent="0.25">
      <c r="A1447" t="s">
        <v>1885</v>
      </c>
      <c r="B1447" t="s">
        <v>1885</v>
      </c>
      <c r="C1447" t="s">
        <v>5969</v>
      </c>
    </row>
    <row r="1448" spans="1:3" x14ac:dyDescent="0.25">
      <c r="A1448" t="s">
        <v>1070</v>
      </c>
      <c r="B1448" t="s">
        <v>1070</v>
      </c>
      <c r="C1448" t="s">
        <v>5969</v>
      </c>
    </row>
    <row r="1449" spans="1:3" x14ac:dyDescent="0.25">
      <c r="A1449" t="s">
        <v>1061</v>
      </c>
      <c r="B1449" t="s">
        <v>1061</v>
      </c>
      <c r="C1449" t="s">
        <v>5969</v>
      </c>
    </row>
    <row r="1450" spans="1:3" x14ac:dyDescent="0.25">
      <c r="A1450" t="s">
        <v>1509</v>
      </c>
      <c r="B1450" t="s">
        <v>1509</v>
      </c>
      <c r="C1450" t="s">
        <v>5969</v>
      </c>
    </row>
    <row r="1451" spans="1:3" x14ac:dyDescent="0.25">
      <c r="A1451" t="s">
        <v>1195</v>
      </c>
      <c r="B1451" t="s">
        <v>1195</v>
      </c>
      <c r="C1451" t="s">
        <v>5969</v>
      </c>
    </row>
    <row r="1452" spans="1:3" x14ac:dyDescent="0.25">
      <c r="A1452" t="s">
        <v>497</v>
      </c>
      <c r="B1452" t="s">
        <v>497</v>
      </c>
      <c r="C1452" t="s">
        <v>5969</v>
      </c>
    </row>
    <row r="1453" spans="1:3" x14ac:dyDescent="0.25">
      <c r="A1453" t="s">
        <v>895</v>
      </c>
      <c r="B1453" t="s">
        <v>895</v>
      </c>
      <c r="C1453" t="s">
        <v>5969</v>
      </c>
    </row>
    <row r="1454" spans="1:3" x14ac:dyDescent="0.25">
      <c r="A1454" t="s">
        <v>825</v>
      </c>
      <c r="B1454" t="s">
        <v>825</v>
      </c>
      <c r="C1454" t="s">
        <v>5969</v>
      </c>
    </row>
    <row r="1455" spans="1:3" x14ac:dyDescent="0.25">
      <c r="A1455" t="s">
        <v>1204</v>
      </c>
      <c r="B1455" t="s">
        <v>1204</v>
      </c>
      <c r="C1455" t="s">
        <v>5969</v>
      </c>
    </row>
    <row r="1456" spans="1:3" x14ac:dyDescent="0.25">
      <c r="A1456" t="s">
        <v>5971</v>
      </c>
      <c r="B1456" t="s">
        <v>5969</v>
      </c>
    </row>
    <row r="1457" spans="1:3" x14ac:dyDescent="0.25">
      <c r="A1457" t="s">
        <v>1730</v>
      </c>
      <c r="B1457" t="s">
        <v>1730</v>
      </c>
      <c r="C1457" t="s">
        <v>5969</v>
      </c>
    </row>
    <row r="1458" spans="1:3" x14ac:dyDescent="0.25">
      <c r="A1458" t="s">
        <v>5971</v>
      </c>
      <c r="B1458" t="s">
        <v>5969</v>
      </c>
    </row>
    <row r="1459" spans="1:3" x14ac:dyDescent="0.25">
      <c r="A1459" t="s">
        <v>5968</v>
      </c>
      <c r="B1459" t="s">
        <v>5969</v>
      </c>
    </row>
    <row r="1460" spans="1:3" x14ac:dyDescent="0.25">
      <c r="A1460" t="s">
        <v>5971</v>
      </c>
      <c r="B1460" t="s">
        <v>5969</v>
      </c>
    </row>
    <row r="1461" spans="1:3" x14ac:dyDescent="0.25">
      <c r="A1461" t="s">
        <v>193</v>
      </c>
      <c r="B1461" t="s">
        <v>5990</v>
      </c>
      <c r="C1461" t="s">
        <v>5969</v>
      </c>
    </row>
    <row r="1462" spans="1:3" x14ac:dyDescent="0.25">
      <c r="A1462" t="s">
        <v>1106</v>
      </c>
      <c r="B1462" t="s">
        <v>5991</v>
      </c>
      <c r="C1462" t="s">
        <v>5969</v>
      </c>
    </row>
    <row r="1463" spans="1:3" x14ac:dyDescent="0.25">
      <c r="A1463" t="s">
        <v>667</v>
      </c>
      <c r="B1463" t="s">
        <v>5992</v>
      </c>
      <c r="C1463" t="s">
        <v>5969</v>
      </c>
    </row>
    <row r="1464" spans="1:3" x14ac:dyDescent="0.25">
      <c r="A1464" t="s">
        <v>689</v>
      </c>
      <c r="B1464" t="s">
        <v>689</v>
      </c>
      <c r="C1464" t="s">
        <v>5969</v>
      </c>
    </row>
    <row r="1465" spans="1:3" x14ac:dyDescent="0.25">
      <c r="A1465" t="s">
        <v>176</v>
      </c>
      <c r="B1465" t="s">
        <v>176</v>
      </c>
      <c r="C1465" t="s">
        <v>5969</v>
      </c>
    </row>
    <row r="1466" spans="1:3" x14ac:dyDescent="0.25">
      <c r="A1466" t="s">
        <v>1049</v>
      </c>
      <c r="B1466" t="s">
        <v>5993</v>
      </c>
      <c r="C1466" t="s">
        <v>5969</v>
      </c>
    </row>
    <row r="1467" spans="1:3" x14ac:dyDescent="0.25">
      <c r="A1467" t="s">
        <v>731</v>
      </c>
      <c r="B1467" t="s">
        <v>5994</v>
      </c>
      <c r="C1467" t="s">
        <v>5969</v>
      </c>
    </row>
    <row r="1468" spans="1:3" x14ac:dyDescent="0.25">
      <c r="A1468" t="s">
        <v>335</v>
      </c>
      <c r="B1468" t="s">
        <v>335</v>
      </c>
      <c r="C1468" t="s">
        <v>5969</v>
      </c>
    </row>
    <row r="1469" spans="1:3" x14ac:dyDescent="0.25">
      <c r="A1469" t="s">
        <v>277</v>
      </c>
      <c r="B1469" t="s">
        <v>277</v>
      </c>
      <c r="C1469" t="s">
        <v>5969</v>
      </c>
    </row>
    <row r="1470" spans="1:3" x14ac:dyDescent="0.25">
      <c r="A1470" t="s">
        <v>936</v>
      </c>
      <c r="B1470" t="s">
        <v>5995</v>
      </c>
      <c r="C1470" t="s">
        <v>5969</v>
      </c>
    </row>
    <row r="1471" spans="1:3" x14ac:dyDescent="0.25">
      <c r="A1471" t="s">
        <v>1024</v>
      </c>
      <c r="B1471" t="s">
        <v>5996</v>
      </c>
      <c r="C1471" t="s">
        <v>5969</v>
      </c>
    </row>
    <row r="1472" spans="1:3" x14ac:dyDescent="0.25">
      <c r="A1472" t="s">
        <v>696</v>
      </c>
      <c r="B1472" t="s">
        <v>5997</v>
      </c>
      <c r="C1472" t="s">
        <v>5969</v>
      </c>
    </row>
    <row r="1473" spans="1:3" x14ac:dyDescent="0.25">
      <c r="A1473" t="s">
        <v>118</v>
      </c>
      <c r="B1473" t="s">
        <v>5998</v>
      </c>
      <c r="C1473" t="s">
        <v>5969</v>
      </c>
    </row>
    <row r="1474" spans="1:3" x14ac:dyDescent="0.25">
      <c r="A1474" t="s">
        <v>313</v>
      </c>
      <c r="B1474" t="s">
        <v>313</v>
      </c>
      <c r="C1474" t="s">
        <v>5969</v>
      </c>
    </row>
    <row r="1475" spans="1:3" x14ac:dyDescent="0.25">
      <c r="A1475" t="s">
        <v>521</v>
      </c>
      <c r="B1475" t="s">
        <v>5999</v>
      </c>
      <c r="C1475" t="s">
        <v>5969</v>
      </c>
    </row>
    <row r="1476" spans="1:3" x14ac:dyDescent="0.25">
      <c r="A1476" t="s">
        <v>670</v>
      </c>
      <c r="B1476" t="s">
        <v>670</v>
      </c>
      <c r="C1476" t="s">
        <v>5969</v>
      </c>
    </row>
    <row r="1477" spans="1:3" x14ac:dyDescent="0.25">
      <c r="A1477" t="s">
        <v>289</v>
      </c>
      <c r="B1477" t="s">
        <v>289</v>
      </c>
      <c r="C1477" t="s">
        <v>5969</v>
      </c>
    </row>
    <row r="1478" spans="1:3" x14ac:dyDescent="0.25">
      <c r="A1478" t="s">
        <v>1032</v>
      </c>
      <c r="B1478" t="s">
        <v>1032</v>
      </c>
      <c r="C1478" t="s">
        <v>5969</v>
      </c>
    </row>
    <row r="1479" spans="1:3" x14ac:dyDescent="0.25">
      <c r="A1479" t="s">
        <v>710</v>
      </c>
      <c r="B1479" t="s">
        <v>6000</v>
      </c>
      <c r="C1479" t="s">
        <v>5969</v>
      </c>
    </row>
    <row r="1480" spans="1:3" x14ac:dyDescent="0.25">
      <c r="A1480" t="s">
        <v>614</v>
      </c>
      <c r="B1480" t="s">
        <v>6001</v>
      </c>
      <c r="C1480" t="s">
        <v>5969</v>
      </c>
    </row>
    <row r="1481" spans="1:3" x14ac:dyDescent="0.25">
      <c r="A1481" t="s">
        <v>128</v>
      </c>
      <c r="B1481" t="s">
        <v>128</v>
      </c>
      <c r="C1481" t="s">
        <v>5969</v>
      </c>
    </row>
    <row r="1482" spans="1:3" x14ac:dyDescent="0.25">
      <c r="A1482" t="s">
        <v>537</v>
      </c>
      <c r="B1482" t="s">
        <v>6002</v>
      </c>
      <c r="C1482" t="s">
        <v>5969</v>
      </c>
    </row>
    <row r="1483" spans="1:3" x14ac:dyDescent="0.25">
      <c r="A1483" t="s">
        <v>809</v>
      </c>
      <c r="B1483" t="s">
        <v>809</v>
      </c>
      <c r="C1483" t="s">
        <v>5969</v>
      </c>
    </row>
    <row r="1484" spans="1:3" x14ac:dyDescent="0.25">
      <c r="A1484" t="s">
        <v>55</v>
      </c>
      <c r="B1484" t="s">
        <v>55</v>
      </c>
      <c r="C1484" t="s">
        <v>5969</v>
      </c>
    </row>
    <row r="1485" spans="1:3" x14ac:dyDescent="0.25">
      <c r="A1485" t="s">
        <v>284</v>
      </c>
      <c r="B1485" t="s">
        <v>284</v>
      </c>
      <c r="C1485" t="s">
        <v>5969</v>
      </c>
    </row>
    <row r="1486" spans="1:3" x14ac:dyDescent="0.25">
      <c r="A1486" t="s">
        <v>1129</v>
      </c>
      <c r="B1486" t="s">
        <v>1129</v>
      </c>
      <c r="C1486" t="s">
        <v>5969</v>
      </c>
    </row>
    <row r="1487" spans="1:3" x14ac:dyDescent="0.25">
      <c r="A1487" t="s">
        <v>854</v>
      </c>
      <c r="B1487" t="s">
        <v>854</v>
      </c>
      <c r="C1487" t="s">
        <v>5969</v>
      </c>
    </row>
    <row r="1488" spans="1:3" x14ac:dyDescent="0.25">
      <c r="A1488" t="s">
        <v>861</v>
      </c>
      <c r="B1488" t="s">
        <v>841</v>
      </c>
      <c r="C1488" t="s">
        <v>5969</v>
      </c>
    </row>
    <row r="1489" spans="1:3" x14ac:dyDescent="0.25">
      <c r="A1489" t="s">
        <v>658</v>
      </c>
      <c r="B1489" t="s">
        <v>6003</v>
      </c>
      <c r="C1489" t="s">
        <v>5969</v>
      </c>
    </row>
    <row r="1490" spans="1:3" x14ac:dyDescent="0.25">
      <c r="A1490" t="s">
        <v>615</v>
      </c>
      <c r="B1490" t="s">
        <v>6004</v>
      </c>
      <c r="C1490" t="s">
        <v>5969</v>
      </c>
    </row>
    <row r="1491" spans="1:3" x14ac:dyDescent="0.25">
      <c r="A1491" t="s">
        <v>815</v>
      </c>
      <c r="B1491" t="s">
        <v>815</v>
      </c>
      <c r="C1491" t="s">
        <v>5969</v>
      </c>
    </row>
    <row r="1492" spans="1:3" x14ac:dyDescent="0.25">
      <c r="A1492" t="s">
        <v>371</v>
      </c>
      <c r="B1492" t="s">
        <v>6005</v>
      </c>
      <c r="C1492" t="s">
        <v>5969</v>
      </c>
    </row>
    <row r="1493" spans="1:3" x14ac:dyDescent="0.25">
      <c r="A1493" t="s">
        <v>661</v>
      </c>
      <c r="B1493" t="s">
        <v>661</v>
      </c>
      <c r="C1493" t="s">
        <v>5969</v>
      </c>
    </row>
    <row r="1494" spans="1:3" x14ac:dyDescent="0.25">
      <c r="A1494" t="s">
        <v>487</v>
      </c>
      <c r="B1494" t="s">
        <v>6006</v>
      </c>
      <c r="C1494" t="s">
        <v>5969</v>
      </c>
    </row>
    <row r="1495" spans="1:3" x14ac:dyDescent="0.25">
      <c r="A1495" t="s">
        <v>894</v>
      </c>
      <c r="B1495" t="s">
        <v>6007</v>
      </c>
      <c r="C1495" t="s">
        <v>5969</v>
      </c>
    </row>
    <row r="1496" spans="1:3" x14ac:dyDescent="0.25">
      <c r="A1496" t="s">
        <v>504</v>
      </c>
      <c r="B1496" t="s">
        <v>6008</v>
      </c>
      <c r="C1496" t="s">
        <v>5969</v>
      </c>
    </row>
    <row r="1497" spans="1:3" x14ac:dyDescent="0.25">
      <c r="A1497" t="s">
        <v>1313</v>
      </c>
      <c r="B1497" t="s">
        <v>1313</v>
      </c>
      <c r="C1497" t="s">
        <v>5969</v>
      </c>
    </row>
    <row r="1498" spans="1:3" x14ac:dyDescent="0.25">
      <c r="A1498" t="s">
        <v>1296</v>
      </c>
      <c r="B1498" t="s">
        <v>6009</v>
      </c>
      <c r="C1498" t="s">
        <v>5969</v>
      </c>
    </row>
    <row r="1499" spans="1:3" x14ac:dyDescent="0.25">
      <c r="A1499" t="s">
        <v>205</v>
      </c>
      <c r="B1499" t="s">
        <v>205</v>
      </c>
      <c r="C1499" t="s">
        <v>5969</v>
      </c>
    </row>
    <row r="1500" spans="1:3" x14ac:dyDescent="0.25">
      <c r="A1500" t="s">
        <v>238</v>
      </c>
      <c r="B1500" t="s">
        <v>238</v>
      </c>
      <c r="C1500" t="s">
        <v>5969</v>
      </c>
    </row>
    <row r="1501" spans="1:3" x14ac:dyDescent="0.25">
      <c r="A1501" t="s">
        <v>1130</v>
      </c>
      <c r="B1501" t="s">
        <v>6010</v>
      </c>
      <c r="C1501" t="s">
        <v>5969</v>
      </c>
    </row>
    <row r="1502" spans="1:3" x14ac:dyDescent="0.25">
      <c r="A1502" t="s">
        <v>134</v>
      </c>
      <c r="B1502" t="s">
        <v>134</v>
      </c>
      <c r="C1502" t="s">
        <v>5969</v>
      </c>
    </row>
    <row r="1503" spans="1:3" x14ac:dyDescent="0.25">
      <c r="A1503" t="s">
        <v>561</v>
      </c>
      <c r="B1503" t="s">
        <v>6011</v>
      </c>
      <c r="C1503" t="s">
        <v>5969</v>
      </c>
    </row>
    <row r="1504" spans="1:3" x14ac:dyDescent="0.25">
      <c r="A1504" t="s">
        <v>248</v>
      </c>
      <c r="B1504" t="s">
        <v>248</v>
      </c>
      <c r="C1504" t="s">
        <v>5969</v>
      </c>
    </row>
    <row r="1505" spans="1:3" x14ac:dyDescent="0.25">
      <c r="A1505" t="s">
        <v>683</v>
      </c>
      <c r="B1505" t="s">
        <v>6012</v>
      </c>
      <c r="C1505" t="s">
        <v>5969</v>
      </c>
    </row>
    <row r="1506" spans="1:3" x14ac:dyDescent="0.25">
      <c r="A1506" t="s">
        <v>600</v>
      </c>
      <c r="B1506" t="s">
        <v>6013</v>
      </c>
      <c r="C1506" t="s">
        <v>5969</v>
      </c>
    </row>
    <row r="1507" spans="1:3" x14ac:dyDescent="0.25">
      <c r="A1507" t="s">
        <v>713</v>
      </c>
      <c r="B1507" t="s">
        <v>713</v>
      </c>
      <c r="C1507" t="s">
        <v>5969</v>
      </c>
    </row>
    <row r="1508" spans="1:3" x14ac:dyDescent="0.25">
      <c r="A1508" t="s">
        <v>320</v>
      </c>
      <c r="B1508" t="s">
        <v>320</v>
      </c>
      <c r="C1508" t="s">
        <v>5969</v>
      </c>
    </row>
    <row r="1509" spans="1:3" x14ac:dyDescent="0.25">
      <c r="A1509" t="s">
        <v>267</v>
      </c>
      <c r="B1509" t="s">
        <v>267</v>
      </c>
      <c r="C1509" t="s">
        <v>5969</v>
      </c>
    </row>
    <row r="1510" spans="1:3" x14ac:dyDescent="0.25">
      <c r="A1510" t="s">
        <v>269</v>
      </c>
      <c r="B1510" t="s">
        <v>269</v>
      </c>
      <c r="C1510" t="s">
        <v>5969</v>
      </c>
    </row>
    <row r="1511" spans="1:3" x14ac:dyDescent="0.25">
      <c r="A1511" t="s">
        <v>60</v>
      </c>
      <c r="B1511" t="s">
        <v>60</v>
      </c>
      <c r="C1511" t="s">
        <v>5969</v>
      </c>
    </row>
    <row r="1512" spans="1:3" x14ac:dyDescent="0.25">
      <c r="A1512" t="s">
        <v>112</v>
      </c>
      <c r="B1512" t="s">
        <v>112</v>
      </c>
      <c r="C1512" t="s">
        <v>5969</v>
      </c>
    </row>
    <row r="1513" spans="1:3" x14ac:dyDescent="0.25">
      <c r="A1513" t="s">
        <v>405</v>
      </c>
      <c r="B1513" t="s">
        <v>405</v>
      </c>
      <c r="C1513" t="s">
        <v>5969</v>
      </c>
    </row>
    <row r="1514" spans="1:3" x14ac:dyDescent="0.25">
      <c r="A1514" t="s">
        <v>652</v>
      </c>
      <c r="B1514" t="s">
        <v>6014</v>
      </c>
      <c r="C1514" t="s">
        <v>5969</v>
      </c>
    </row>
    <row r="1515" spans="1:3" x14ac:dyDescent="0.25">
      <c r="A1515" t="s">
        <v>581</v>
      </c>
      <c r="B1515" t="s">
        <v>6015</v>
      </c>
      <c r="C1515" t="s">
        <v>5969</v>
      </c>
    </row>
    <row r="1516" spans="1:3" x14ac:dyDescent="0.25">
      <c r="A1516" t="s">
        <v>1213</v>
      </c>
      <c r="B1516" t="s">
        <v>6016</v>
      </c>
      <c r="C1516" t="s">
        <v>5969</v>
      </c>
    </row>
    <row r="1517" spans="1:3" x14ac:dyDescent="0.25">
      <c r="A1517" t="s">
        <v>327</v>
      </c>
      <c r="B1517" t="s">
        <v>327</v>
      </c>
      <c r="C1517" t="s">
        <v>5969</v>
      </c>
    </row>
    <row r="1518" spans="1:3" x14ac:dyDescent="0.25">
      <c r="A1518" t="s">
        <v>544</v>
      </c>
      <c r="B1518" t="s">
        <v>6017</v>
      </c>
      <c r="C1518" t="s">
        <v>5969</v>
      </c>
    </row>
    <row r="1519" spans="1:3" x14ac:dyDescent="0.25">
      <c r="A1519" t="s">
        <v>1208</v>
      </c>
      <c r="B1519" t="s">
        <v>1208</v>
      </c>
      <c r="C1519" t="s">
        <v>5969</v>
      </c>
    </row>
    <row r="1520" spans="1:3" x14ac:dyDescent="0.25">
      <c r="A1520" t="s">
        <v>921</v>
      </c>
      <c r="B1520" t="s">
        <v>6018</v>
      </c>
      <c r="C1520" t="s">
        <v>5969</v>
      </c>
    </row>
    <row r="1521" spans="1:3" x14ac:dyDescent="0.25">
      <c r="A1521" t="s">
        <v>632</v>
      </c>
      <c r="B1521" t="s">
        <v>6019</v>
      </c>
      <c r="C1521" t="s">
        <v>5969</v>
      </c>
    </row>
    <row r="1522" spans="1:3" x14ac:dyDescent="0.25">
      <c r="A1522" t="s">
        <v>602</v>
      </c>
      <c r="B1522" t="s">
        <v>6020</v>
      </c>
      <c r="C1522" t="s">
        <v>5969</v>
      </c>
    </row>
    <row r="1523" spans="1:3" x14ac:dyDescent="0.25">
      <c r="A1523" t="s">
        <v>272</v>
      </c>
      <c r="B1523" t="s">
        <v>272</v>
      </c>
      <c r="C1523" t="s">
        <v>5969</v>
      </c>
    </row>
    <row r="1524" spans="1:3" x14ac:dyDescent="0.25">
      <c r="A1524" t="s">
        <v>1177</v>
      </c>
      <c r="B1524" t="s">
        <v>1177</v>
      </c>
      <c r="C1524" t="s">
        <v>5969</v>
      </c>
    </row>
    <row r="1525" spans="1:3" x14ac:dyDescent="0.25">
      <c r="A1525" t="s">
        <v>218</v>
      </c>
      <c r="B1525" t="s">
        <v>218</v>
      </c>
      <c r="C1525" t="s">
        <v>5969</v>
      </c>
    </row>
    <row r="1526" spans="1:3" x14ac:dyDescent="0.25">
      <c r="A1526" t="s">
        <v>1022</v>
      </c>
      <c r="B1526" t="s">
        <v>6021</v>
      </c>
      <c r="C1526" t="s">
        <v>5969</v>
      </c>
    </row>
    <row r="1527" spans="1:3" x14ac:dyDescent="0.25">
      <c r="A1527" t="s">
        <v>78</v>
      </c>
      <c r="B1527" t="s">
        <v>78</v>
      </c>
      <c r="C1527" t="s">
        <v>5969</v>
      </c>
    </row>
    <row r="1528" spans="1:3" x14ac:dyDescent="0.25">
      <c r="A1528" t="s">
        <v>215</v>
      </c>
      <c r="B1528" t="s">
        <v>215</v>
      </c>
      <c r="C1528" t="s">
        <v>5969</v>
      </c>
    </row>
    <row r="1529" spans="1:3" x14ac:dyDescent="0.25">
      <c r="A1529" t="s">
        <v>1023</v>
      </c>
      <c r="B1529" t="s">
        <v>6022</v>
      </c>
      <c r="C1529" t="s">
        <v>5969</v>
      </c>
    </row>
    <row r="1530" spans="1:3" x14ac:dyDescent="0.25">
      <c r="A1530" t="s">
        <v>507</v>
      </c>
      <c r="B1530" t="s">
        <v>6023</v>
      </c>
      <c r="C1530" t="s">
        <v>5969</v>
      </c>
    </row>
    <row r="1531" spans="1:3" x14ac:dyDescent="0.25">
      <c r="A1531" t="s">
        <v>587</v>
      </c>
      <c r="B1531" t="s">
        <v>6024</v>
      </c>
      <c r="C1531" t="s">
        <v>5969</v>
      </c>
    </row>
    <row r="1532" spans="1:3" x14ac:dyDescent="0.25">
      <c r="A1532" t="s">
        <v>753</v>
      </c>
      <c r="B1532" t="s">
        <v>6025</v>
      </c>
      <c r="C1532" t="s">
        <v>5969</v>
      </c>
    </row>
    <row r="1533" spans="1:3" x14ac:dyDescent="0.25">
      <c r="A1533" t="s">
        <v>1181</v>
      </c>
      <c r="B1533" t="s">
        <v>1181</v>
      </c>
      <c r="C1533" t="s">
        <v>5969</v>
      </c>
    </row>
    <row r="1534" spans="1:3" x14ac:dyDescent="0.25">
      <c r="A1534" t="s">
        <v>263</v>
      </c>
      <c r="B1534" t="s">
        <v>263</v>
      </c>
      <c r="C1534" t="s">
        <v>5969</v>
      </c>
    </row>
    <row r="1535" spans="1:3" x14ac:dyDescent="0.25">
      <c r="A1535" t="s">
        <v>1298</v>
      </c>
      <c r="B1535" t="s">
        <v>6026</v>
      </c>
      <c r="C1535" t="s">
        <v>5969</v>
      </c>
    </row>
    <row r="1536" spans="1:3" x14ac:dyDescent="0.25">
      <c r="A1536" t="s">
        <v>674</v>
      </c>
      <c r="B1536" t="s">
        <v>6027</v>
      </c>
      <c r="C1536" t="s">
        <v>5969</v>
      </c>
    </row>
    <row r="1537" spans="1:3" x14ac:dyDescent="0.25">
      <c r="A1537" t="s">
        <v>642</v>
      </c>
      <c r="B1537" t="s">
        <v>6028</v>
      </c>
      <c r="C1537" t="s">
        <v>5969</v>
      </c>
    </row>
    <row r="1538" spans="1:3" x14ac:dyDescent="0.25">
      <c r="A1538" t="s">
        <v>258</v>
      </c>
      <c r="B1538" t="s">
        <v>258</v>
      </c>
      <c r="C1538" t="s">
        <v>5969</v>
      </c>
    </row>
    <row r="1539" spans="1:3" x14ac:dyDescent="0.25">
      <c r="A1539" t="s">
        <v>535</v>
      </c>
      <c r="B1539" t="s">
        <v>6029</v>
      </c>
      <c r="C1539" t="s">
        <v>5969</v>
      </c>
    </row>
    <row r="1540" spans="1:3" x14ac:dyDescent="0.25">
      <c r="A1540" t="s">
        <v>1250</v>
      </c>
      <c r="B1540" t="s">
        <v>6030</v>
      </c>
      <c r="C1540" t="s">
        <v>5969</v>
      </c>
    </row>
    <row r="1541" spans="1:3" x14ac:dyDescent="0.25">
      <c r="A1541" t="s">
        <v>1271</v>
      </c>
      <c r="B1541" t="s">
        <v>1271</v>
      </c>
      <c r="C1541" t="s">
        <v>5969</v>
      </c>
    </row>
    <row r="1542" spans="1:3" x14ac:dyDescent="0.25">
      <c r="A1542" t="s">
        <v>700</v>
      </c>
      <c r="B1542" t="s">
        <v>700</v>
      </c>
      <c r="C1542" t="s">
        <v>5969</v>
      </c>
    </row>
    <row r="1543" spans="1:3" x14ac:dyDescent="0.25">
      <c r="A1543" t="s">
        <v>882</v>
      </c>
      <c r="B1543" t="s">
        <v>882</v>
      </c>
      <c r="C1543" t="s">
        <v>5969</v>
      </c>
    </row>
    <row r="1544" spans="1:3" x14ac:dyDescent="0.25">
      <c r="A1544" t="s">
        <v>50</v>
      </c>
      <c r="B1544" t="s">
        <v>50</v>
      </c>
      <c r="C1544" t="s">
        <v>5969</v>
      </c>
    </row>
    <row r="1545" spans="1:3" x14ac:dyDescent="0.25">
      <c r="A1545" t="s">
        <v>842</v>
      </c>
      <c r="B1545" t="s">
        <v>842</v>
      </c>
      <c r="C1545" t="s">
        <v>5969</v>
      </c>
    </row>
    <row r="1546" spans="1:3" x14ac:dyDescent="0.25">
      <c r="A1546" t="s">
        <v>817</v>
      </c>
      <c r="B1546" t="s">
        <v>817</v>
      </c>
      <c r="C1546" t="s">
        <v>5969</v>
      </c>
    </row>
    <row r="1547" spans="1:3" x14ac:dyDescent="0.25">
      <c r="A1547" t="s">
        <v>1292</v>
      </c>
      <c r="B1547" t="s">
        <v>1292</v>
      </c>
      <c r="C1547" t="s">
        <v>5969</v>
      </c>
    </row>
    <row r="1548" spans="1:3" x14ac:dyDescent="0.25">
      <c r="A1548" t="s">
        <v>975</v>
      </c>
      <c r="B1548" t="s">
        <v>6031</v>
      </c>
      <c r="C1548" t="s">
        <v>5969</v>
      </c>
    </row>
    <row r="1549" spans="1:3" x14ac:dyDescent="0.25">
      <c r="A1549" t="s">
        <v>738</v>
      </c>
      <c r="B1549" t="s">
        <v>6032</v>
      </c>
      <c r="C1549" t="s">
        <v>5969</v>
      </c>
    </row>
    <row r="1550" spans="1:3" x14ac:dyDescent="0.25">
      <c r="A1550" t="s">
        <v>1186</v>
      </c>
      <c r="B1550" t="s">
        <v>1186</v>
      </c>
      <c r="C1550" t="s">
        <v>5969</v>
      </c>
    </row>
    <row r="1551" spans="1:3" x14ac:dyDescent="0.25">
      <c r="A1551" t="s">
        <v>510</v>
      </c>
      <c r="B1551" t="s">
        <v>6033</v>
      </c>
      <c r="C1551" t="s">
        <v>5969</v>
      </c>
    </row>
    <row r="1552" spans="1:3" x14ac:dyDescent="0.25">
      <c r="A1552" t="s">
        <v>966</v>
      </c>
      <c r="B1552" t="s">
        <v>6034</v>
      </c>
      <c r="C1552" t="s">
        <v>5969</v>
      </c>
    </row>
    <row r="1553" spans="1:3" x14ac:dyDescent="0.25">
      <c r="A1553" t="s">
        <v>972</v>
      </c>
      <c r="B1553" t="s">
        <v>6035</v>
      </c>
      <c r="C1553" t="s">
        <v>5969</v>
      </c>
    </row>
    <row r="1554" spans="1:3" x14ac:dyDescent="0.25">
      <c r="A1554" t="s">
        <v>788</v>
      </c>
      <c r="B1554" t="s">
        <v>6036</v>
      </c>
      <c r="C1554" t="s">
        <v>5969</v>
      </c>
    </row>
    <row r="1555" spans="1:3" x14ac:dyDescent="0.25">
      <c r="A1555" t="s">
        <v>920</v>
      </c>
      <c r="B1555" t="s">
        <v>6037</v>
      </c>
      <c r="C1555" t="s">
        <v>5969</v>
      </c>
    </row>
    <row r="1556" spans="1:3" x14ac:dyDescent="0.25">
      <c r="A1556" t="s">
        <v>192</v>
      </c>
      <c r="B1556" t="s">
        <v>6038</v>
      </c>
      <c r="C1556" t="s">
        <v>5969</v>
      </c>
    </row>
    <row r="1557" spans="1:3" x14ac:dyDescent="0.25">
      <c r="A1557" t="s">
        <v>811</v>
      </c>
      <c r="B1557" t="s">
        <v>811</v>
      </c>
      <c r="C1557" t="s">
        <v>5969</v>
      </c>
    </row>
    <row r="1558" spans="1:3" x14ac:dyDescent="0.25">
      <c r="A1558" t="s">
        <v>232</v>
      </c>
      <c r="B1558" t="s">
        <v>232</v>
      </c>
      <c r="C1558" t="s">
        <v>5969</v>
      </c>
    </row>
    <row r="1559" spans="1:3" x14ac:dyDescent="0.25">
      <c r="A1559" t="s">
        <v>243</v>
      </c>
      <c r="B1559" t="s">
        <v>243</v>
      </c>
      <c r="C1559" t="s">
        <v>5969</v>
      </c>
    </row>
    <row r="1560" spans="1:3" x14ac:dyDescent="0.25">
      <c r="A1560" t="s">
        <v>191</v>
      </c>
      <c r="B1560" t="s">
        <v>6039</v>
      </c>
      <c r="C1560" t="s">
        <v>5969</v>
      </c>
    </row>
    <row r="1561" spans="1:3" x14ac:dyDescent="0.25">
      <c r="A1561" t="s">
        <v>699</v>
      </c>
      <c r="B1561" t="s">
        <v>6040</v>
      </c>
      <c r="C1561" t="s">
        <v>5969</v>
      </c>
    </row>
    <row r="1562" spans="1:3" x14ac:dyDescent="0.25">
      <c r="A1562" t="s">
        <v>783</v>
      </c>
      <c r="B1562" t="s">
        <v>6041</v>
      </c>
      <c r="C1562" t="s">
        <v>5969</v>
      </c>
    </row>
    <row r="1563" spans="1:3" x14ac:dyDescent="0.25">
      <c r="A1563" t="s">
        <v>1038</v>
      </c>
      <c r="B1563" t="s">
        <v>6042</v>
      </c>
      <c r="C1563" t="s">
        <v>5969</v>
      </c>
    </row>
    <row r="1564" spans="1:3" x14ac:dyDescent="0.25">
      <c r="A1564" t="s">
        <v>505</v>
      </c>
      <c r="B1564" t="s">
        <v>6043</v>
      </c>
      <c r="C1564" t="s">
        <v>5969</v>
      </c>
    </row>
    <row r="1565" spans="1:3" x14ac:dyDescent="0.25">
      <c r="A1565" t="s">
        <v>104</v>
      </c>
      <c r="B1565" t="s">
        <v>104</v>
      </c>
      <c r="C1565" t="s">
        <v>5969</v>
      </c>
    </row>
    <row r="1566" spans="1:3" x14ac:dyDescent="0.25">
      <c r="A1566" t="s">
        <v>1631</v>
      </c>
      <c r="B1566" t="s">
        <v>6044</v>
      </c>
      <c r="C1566" t="s">
        <v>5969</v>
      </c>
    </row>
    <row r="1567" spans="1:3" x14ac:dyDescent="0.25">
      <c r="A1567" t="s">
        <v>1194</v>
      </c>
      <c r="B1567" t="s">
        <v>1194</v>
      </c>
      <c r="C1567" t="s">
        <v>5969</v>
      </c>
    </row>
    <row r="1568" spans="1:3" x14ac:dyDescent="0.25">
      <c r="A1568" t="s">
        <v>423</v>
      </c>
      <c r="B1568" t="s">
        <v>6045</v>
      </c>
      <c r="C1568" t="s">
        <v>5969</v>
      </c>
    </row>
    <row r="1569" spans="1:3" x14ac:dyDescent="0.25">
      <c r="A1569" t="s">
        <v>625</v>
      </c>
      <c r="B1569" t="s">
        <v>625</v>
      </c>
      <c r="C1569" t="s">
        <v>5969</v>
      </c>
    </row>
    <row r="1570" spans="1:3" x14ac:dyDescent="0.25">
      <c r="A1570" t="s">
        <v>206</v>
      </c>
      <c r="B1570" t="s">
        <v>206</v>
      </c>
      <c r="C1570" t="s">
        <v>5969</v>
      </c>
    </row>
    <row r="1571" spans="1:3" x14ac:dyDescent="0.25">
      <c r="A1571" t="s">
        <v>1284</v>
      </c>
      <c r="B1571" t="s">
        <v>1284</v>
      </c>
      <c r="C1571" t="s">
        <v>5969</v>
      </c>
    </row>
    <row r="1572" spans="1:3" x14ac:dyDescent="0.25">
      <c r="A1572" t="s">
        <v>385</v>
      </c>
      <c r="B1572" t="s">
        <v>6046</v>
      </c>
      <c r="C1572" t="s">
        <v>5969</v>
      </c>
    </row>
    <row r="1573" spans="1:3" x14ac:dyDescent="0.25">
      <c r="A1573" t="s">
        <v>386</v>
      </c>
      <c r="B1573" t="s">
        <v>6047</v>
      </c>
      <c r="C1573" t="s">
        <v>5969</v>
      </c>
    </row>
    <row r="1574" spans="1:3" x14ac:dyDescent="0.25">
      <c r="A1574" t="s">
        <v>780</v>
      </c>
      <c r="B1574" t="s">
        <v>780</v>
      </c>
      <c r="C1574" t="s">
        <v>5969</v>
      </c>
    </row>
    <row r="1575" spans="1:3" x14ac:dyDescent="0.25">
      <c r="A1575" t="s">
        <v>1270</v>
      </c>
      <c r="B1575" t="s">
        <v>1270</v>
      </c>
      <c r="C1575" t="s">
        <v>5969</v>
      </c>
    </row>
    <row r="1576" spans="1:3" x14ac:dyDescent="0.25">
      <c r="A1576" t="s">
        <v>555</v>
      </c>
      <c r="B1576" t="s">
        <v>555</v>
      </c>
      <c r="C1576" t="s">
        <v>5969</v>
      </c>
    </row>
    <row r="1577" spans="1:3" x14ac:dyDescent="0.25">
      <c r="A1577" t="s">
        <v>578</v>
      </c>
      <c r="B1577" t="s">
        <v>6048</v>
      </c>
      <c r="C1577" t="s">
        <v>5969</v>
      </c>
    </row>
    <row r="1578" spans="1:3" x14ac:dyDescent="0.25">
      <c r="A1578" t="s">
        <v>777</v>
      </c>
      <c r="B1578" t="s">
        <v>6049</v>
      </c>
      <c r="C1578" t="s">
        <v>5969</v>
      </c>
    </row>
    <row r="1579" spans="1:3" x14ac:dyDescent="0.25">
      <c r="A1579" t="s">
        <v>1218</v>
      </c>
      <c r="B1579" t="s">
        <v>1218</v>
      </c>
      <c r="C1579" t="s">
        <v>5969</v>
      </c>
    </row>
    <row r="1580" spans="1:3" x14ac:dyDescent="0.25">
      <c r="A1580" t="s">
        <v>105</v>
      </c>
      <c r="B1580" t="s">
        <v>105</v>
      </c>
      <c r="C1580" t="s">
        <v>5969</v>
      </c>
    </row>
    <row r="1581" spans="1:3" x14ac:dyDescent="0.25">
      <c r="A1581" t="s">
        <v>1227</v>
      </c>
      <c r="B1581" t="s">
        <v>1227</v>
      </c>
      <c r="C1581" t="s">
        <v>5969</v>
      </c>
    </row>
    <row r="1582" spans="1:3" x14ac:dyDescent="0.25">
      <c r="A1582" t="s">
        <v>867</v>
      </c>
      <c r="B1582" t="s">
        <v>867</v>
      </c>
      <c r="C1582" t="s">
        <v>5969</v>
      </c>
    </row>
    <row r="1583" spans="1:3" x14ac:dyDescent="0.25">
      <c r="A1583" t="s">
        <v>1041</v>
      </c>
      <c r="B1583" t="s">
        <v>6050</v>
      </c>
      <c r="C1583" t="s">
        <v>5969</v>
      </c>
    </row>
    <row r="1584" spans="1:3" x14ac:dyDescent="0.25">
      <c r="A1584" t="s">
        <v>1305</v>
      </c>
      <c r="B1584" t="s">
        <v>6051</v>
      </c>
      <c r="C1584" t="s">
        <v>5969</v>
      </c>
    </row>
    <row r="1585" spans="1:3" x14ac:dyDescent="0.25">
      <c r="A1585" t="s">
        <v>856</v>
      </c>
      <c r="B1585" t="s">
        <v>856</v>
      </c>
      <c r="C1585" t="s">
        <v>5969</v>
      </c>
    </row>
    <row r="1586" spans="1:3" x14ac:dyDescent="0.25">
      <c r="A1586" t="s">
        <v>253</v>
      </c>
      <c r="B1586" t="s">
        <v>253</v>
      </c>
      <c r="C1586" t="s">
        <v>5969</v>
      </c>
    </row>
    <row r="1587" spans="1:3" x14ac:dyDescent="0.25">
      <c r="A1587" t="s">
        <v>626</v>
      </c>
      <c r="B1587" t="s">
        <v>6052</v>
      </c>
      <c r="C1587" t="s">
        <v>5969</v>
      </c>
    </row>
    <row r="1588" spans="1:3" x14ac:dyDescent="0.25">
      <c r="A1588" t="s">
        <v>483</v>
      </c>
      <c r="B1588" t="s">
        <v>6053</v>
      </c>
      <c r="C1588" t="s">
        <v>5969</v>
      </c>
    </row>
    <row r="1589" spans="1:3" x14ac:dyDescent="0.25">
      <c r="A1589" t="s">
        <v>757</v>
      </c>
      <c r="B1589" t="s">
        <v>6054</v>
      </c>
      <c r="C1589" t="s">
        <v>5969</v>
      </c>
    </row>
    <row r="1590" spans="1:3" x14ac:dyDescent="0.25">
      <c r="A1590" t="s">
        <v>524</v>
      </c>
      <c r="B1590" t="s">
        <v>6055</v>
      </c>
      <c r="C1590" t="s">
        <v>5969</v>
      </c>
    </row>
    <row r="1591" spans="1:3" x14ac:dyDescent="0.25">
      <c r="A1591" t="s">
        <v>1132</v>
      </c>
      <c r="B1591" t="s">
        <v>1132</v>
      </c>
      <c r="C1591" t="s">
        <v>5969</v>
      </c>
    </row>
    <row r="1592" spans="1:3" x14ac:dyDescent="0.25">
      <c r="A1592" t="s">
        <v>863</v>
      </c>
      <c r="B1592" t="s">
        <v>863</v>
      </c>
      <c r="C1592" t="s">
        <v>5969</v>
      </c>
    </row>
    <row r="1593" spans="1:3" x14ac:dyDescent="0.25">
      <c r="A1593" t="s">
        <v>577</v>
      </c>
      <c r="B1593" t="s">
        <v>6056</v>
      </c>
      <c r="C1593" t="s">
        <v>5969</v>
      </c>
    </row>
    <row r="1594" spans="1:3" x14ac:dyDescent="0.25">
      <c r="A1594" t="s">
        <v>718</v>
      </c>
      <c r="B1594" t="s">
        <v>718</v>
      </c>
      <c r="C1594" t="s">
        <v>5969</v>
      </c>
    </row>
    <row r="1595" spans="1:3" x14ac:dyDescent="0.25">
      <c r="A1595" t="s">
        <v>543</v>
      </c>
      <c r="B1595" t="s">
        <v>6057</v>
      </c>
      <c r="C1595" t="s">
        <v>5969</v>
      </c>
    </row>
    <row r="1596" spans="1:3" x14ac:dyDescent="0.25">
      <c r="A1596" t="s">
        <v>460</v>
      </c>
      <c r="B1596" t="s">
        <v>460</v>
      </c>
      <c r="C1596" t="s">
        <v>5969</v>
      </c>
    </row>
    <row r="1597" spans="1:3" x14ac:dyDescent="0.25">
      <c r="A1597" t="s">
        <v>819</v>
      </c>
      <c r="B1597" t="s">
        <v>819</v>
      </c>
      <c r="C1597" t="s">
        <v>5969</v>
      </c>
    </row>
    <row r="1598" spans="1:3" x14ac:dyDescent="0.25">
      <c r="A1598" t="s">
        <v>490</v>
      </c>
      <c r="B1598" t="s">
        <v>490</v>
      </c>
      <c r="C1598" t="s">
        <v>5969</v>
      </c>
    </row>
    <row r="1599" spans="1:3" x14ac:dyDescent="0.25">
      <c r="A1599" t="s">
        <v>582</v>
      </c>
      <c r="B1599" t="s">
        <v>6058</v>
      </c>
      <c r="C1599" t="s">
        <v>5969</v>
      </c>
    </row>
    <row r="1600" spans="1:3" x14ac:dyDescent="0.25">
      <c r="A1600" t="s">
        <v>370</v>
      </c>
      <c r="B1600" t="s">
        <v>370</v>
      </c>
      <c r="C1600" t="s">
        <v>5969</v>
      </c>
    </row>
    <row r="1601" spans="1:3" x14ac:dyDescent="0.25">
      <c r="A1601" t="s">
        <v>963</v>
      </c>
      <c r="B1601" t="s">
        <v>6059</v>
      </c>
      <c r="C1601" t="s">
        <v>5969</v>
      </c>
    </row>
    <row r="1602" spans="1:3" x14ac:dyDescent="0.25">
      <c r="A1602" t="s">
        <v>472</v>
      </c>
      <c r="B1602" t="s">
        <v>6060</v>
      </c>
      <c r="C1602" t="s">
        <v>5969</v>
      </c>
    </row>
    <row r="1603" spans="1:3" x14ac:dyDescent="0.25">
      <c r="A1603" t="s">
        <v>1230</v>
      </c>
      <c r="B1603" t="s">
        <v>1230</v>
      </c>
      <c r="C1603" t="s">
        <v>5969</v>
      </c>
    </row>
    <row r="1604" spans="1:3" x14ac:dyDescent="0.25">
      <c r="A1604" t="s">
        <v>512</v>
      </c>
      <c r="B1604" t="s">
        <v>6061</v>
      </c>
      <c r="C1604" t="s">
        <v>5969</v>
      </c>
    </row>
    <row r="1605" spans="1:3" x14ac:dyDescent="0.25">
      <c r="A1605" t="s">
        <v>754</v>
      </c>
      <c r="B1605" t="s">
        <v>6062</v>
      </c>
      <c r="C1605" t="s">
        <v>5969</v>
      </c>
    </row>
    <row r="1606" spans="1:3" x14ac:dyDescent="0.25">
      <c r="A1606" t="s">
        <v>1639</v>
      </c>
      <c r="B1606" t="s">
        <v>1639</v>
      </c>
      <c r="C1606" t="s">
        <v>5969</v>
      </c>
    </row>
    <row r="1607" spans="1:3" x14ac:dyDescent="0.25">
      <c r="A1607" t="s">
        <v>831</v>
      </c>
      <c r="B1607" t="s">
        <v>831</v>
      </c>
      <c r="C1607" t="s">
        <v>5969</v>
      </c>
    </row>
    <row r="1608" spans="1:3" x14ac:dyDescent="0.25">
      <c r="A1608" t="s">
        <v>988</v>
      </c>
      <c r="B1608" t="s">
        <v>6063</v>
      </c>
      <c r="C1608" t="s">
        <v>5969</v>
      </c>
    </row>
    <row r="1609" spans="1:3" x14ac:dyDescent="0.25">
      <c r="A1609" t="s">
        <v>1081</v>
      </c>
      <c r="B1609" t="s">
        <v>1081</v>
      </c>
      <c r="C1609" t="s">
        <v>5969</v>
      </c>
    </row>
    <row r="1610" spans="1:3" x14ac:dyDescent="0.25">
      <c r="A1610" t="s">
        <v>1096</v>
      </c>
      <c r="B1610" t="s">
        <v>1096</v>
      </c>
      <c r="C1610" t="s">
        <v>5969</v>
      </c>
    </row>
    <row r="1611" spans="1:3" x14ac:dyDescent="0.25">
      <c r="A1611" t="s">
        <v>261</v>
      </c>
      <c r="B1611" t="s">
        <v>261</v>
      </c>
      <c r="C1611" t="s">
        <v>5969</v>
      </c>
    </row>
    <row r="1612" spans="1:3" x14ac:dyDescent="0.25">
      <c r="A1612" t="s">
        <v>547</v>
      </c>
      <c r="B1612" t="s">
        <v>547</v>
      </c>
      <c r="C1612" t="s">
        <v>5969</v>
      </c>
    </row>
    <row r="1613" spans="1:3" x14ac:dyDescent="0.25">
      <c r="A1613" t="s">
        <v>257</v>
      </c>
      <c r="B1613" t="s">
        <v>257</v>
      </c>
      <c r="C1613" t="s">
        <v>5969</v>
      </c>
    </row>
    <row r="1614" spans="1:3" x14ac:dyDescent="0.25">
      <c r="A1614" t="s">
        <v>917</v>
      </c>
      <c r="B1614" t="s">
        <v>6064</v>
      </c>
      <c r="C1614" t="s">
        <v>5969</v>
      </c>
    </row>
    <row r="1615" spans="1:3" x14ac:dyDescent="0.25">
      <c r="A1615" t="s">
        <v>86</v>
      </c>
      <c r="B1615" t="s">
        <v>86</v>
      </c>
      <c r="C1615" t="s">
        <v>5969</v>
      </c>
    </row>
    <row r="1616" spans="1:3" x14ac:dyDescent="0.25">
      <c r="A1616" t="s">
        <v>322</v>
      </c>
      <c r="B1616" t="s">
        <v>322</v>
      </c>
      <c r="C1616" t="s">
        <v>5969</v>
      </c>
    </row>
    <row r="1617" spans="1:3" x14ac:dyDescent="0.25">
      <c r="A1617" t="s">
        <v>207</v>
      </c>
      <c r="B1617" t="s">
        <v>207</v>
      </c>
      <c r="C1617" t="s">
        <v>5969</v>
      </c>
    </row>
    <row r="1618" spans="1:3" x14ac:dyDescent="0.25">
      <c r="A1618" t="s">
        <v>601</v>
      </c>
      <c r="B1618" t="s">
        <v>6065</v>
      </c>
      <c r="C1618" t="s">
        <v>5969</v>
      </c>
    </row>
    <row r="1619" spans="1:3" x14ac:dyDescent="0.25">
      <c r="A1619" t="s">
        <v>294</v>
      </c>
      <c r="B1619" t="s">
        <v>294</v>
      </c>
      <c r="C1619" t="s">
        <v>5969</v>
      </c>
    </row>
    <row r="1620" spans="1:3" x14ac:dyDescent="0.25">
      <c r="A1620" t="s">
        <v>56</v>
      </c>
      <c r="B1620" t="s">
        <v>56</v>
      </c>
      <c r="C1620" t="s">
        <v>5969</v>
      </c>
    </row>
    <row r="1621" spans="1:3" x14ac:dyDescent="0.25">
      <c r="A1621" t="s">
        <v>1146</v>
      </c>
      <c r="B1621" t="s">
        <v>1146</v>
      </c>
      <c r="C1621" t="s">
        <v>5969</v>
      </c>
    </row>
    <row r="1622" spans="1:3" x14ac:dyDescent="0.25">
      <c r="A1622" t="s">
        <v>301</v>
      </c>
      <c r="B1622" t="s">
        <v>301</v>
      </c>
      <c r="C1622" t="s">
        <v>5969</v>
      </c>
    </row>
    <row r="1623" spans="1:3" x14ac:dyDescent="0.25">
      <c r="A1623" t="s">
        <v>278</v>
      </c>
      <c r="B1623" t="s">
        <v>278</v>
      </c>
      <c r="C1623" t="s">
        <v>5969</v>
      </c>
    </row>
    <row r="1624" spans="1:3" x14ac:dyDescent="0.25">
      <c r="A1624" t="s">
        <v>129</v>
      </c>
      <c r="B1624" t="s">
        <v>129</v>
      </c>
      <c r="C1624" t="s">
        <v>5969</v>
      </c>
    </row>
    <row r="1625" spans="1:3" x14ac:dyDescent="0.25">
      <c r="A1625" t="s">
        <v>468</v>
      </c>
      <c r="B1625" t="s">
        <v>6066</v>
      </c>
      <c r="C1625" t="s">
        <v>5969</v>
      </c>
    </row>
    <row r="1626" spans="1:3" x14ac:dyDescent="0.25">
      <c r="A1626" t="s">
        <v>251</v>
      </c>
      <c r="B1626" t="s">
        <v>251</v>
      </c>
      <c r="C1626" t="s">
        <v>5969</v>
      </c>
    </row>
    <row r="1627" spans="1:3" x14ac:dyDescent="0.25">
      <c r="A1627" t="s">
        <v>1116</v>
      </c>
      <c r="B1627" t="s">
        <v>1116</v>
      </c>
      <c r="C1627" t="s">
        <v>5969</v>
      </c>
    </row>
    <row r="1628" spans="1:3" x14ac:dyDescent="0.25">
      <c r="A1628" t="s">
        <v>607</v>
      </c>
      <c r="B1628" t="s">
        <v>6067</v>
      </c>
      <c r="C1628" t="s">
        <v>5969</v>
      </c>
    </row>
    <row r="1629" spans="1:3" x14ac:dyDescent="0.25">
      <c r="A1629" t="s">
        <v>599</v>
      </c>
      <c r="B1629" t="s">
        <v>6068</v>
      </c>
      <c r="C1629" t="s">
        <v>5969</v>
      </c>
    </row>
    <row r="1630" spans="1:3" x14ac:dyDescent="0.25">
      <c r="A1630" t="s">
        <v>1031</v>
      </c>
      <c r="B1630" t="s">
        <v>6069</v>
      </c>
      <c r="C1630" t="s">
        <v>5969</v>
      </c>
    </row>
    <row r="1631" spans="1:3" x14ac:dyDescent="0.25">
      <c r="A1631" t="s">
        <v>133</v>
      </c>
      <c r="B1631" t="s">
        <v>133</v>
      </c>
      <c r="C1631" t="s">
        <v>5969</v>
      </c>
    </row>
    <row r="1632" spans="1:3" x14ac:dyDescent="0.25">
      <c r="A1632" t="s">
        <v>163</v>
      </c>
      <c r="B1632" t="s">
        <v>163</v>
      </c>
      <c r="C1632" t="s">
        <v>5969</v>
      </c>
    </row>
    <row r="1633" spans="1:3" x14ac:dyDescent="0.25">
      <c r="A1633" t="s">
        <v>549</v>
      </c>
      <c r="B1633" t="s">
        <v>6070</v>
      </c>
      <c r="C1633" t="s">
        <v>5969</v>
      </c>
    </row>
    <row r="1634" spans="1:3" x14ac:dyDescent="0.25">
      <c r="A1634" t="s">
        <v>989</v>
      </c>
      <c r="B1634" t="s">
        <v>6071</v>
      </c>
      <c r="C1634" t="s">
        <v>5969</v>
      </c>
    </row>
    <row r="1635" spans="1:3" x14ac:dyDescent="0.25">
      <c r="A1635" t="s">
        <v>1630</v>
      </c>
      <c r="B1635" t="s">
        <v>6072</v>
      </c>
      <c r="C1635" t="s">
        <v>5969</v>
      </c>
    </row>
    <row r="1636" spans="1:3" x14ac:dyDescent="0.25">
      <c r="A1636" t="s">
        <v>1306</v>
      </c>
      <c r="B1636" t="s">
        <v>6073</v>
      </c>
      <c r="C1636" t="s">
        <v>5969</v>
      </c>
    </row>
    <row r="1637" spans="1:3" x14ac:dyDescent="0.25">
      <c r="A1637" t="s">
        <v>541</v>
      </c>
      <c r="B1637" t="s">
        <v>6074</v>
      </c>
      <c r="C1637" t="s">
        <v>5969</v>
      </c>
    </row>
    <row r="1638" spans="1:3" x14ac:dyDescent="0.25">
      <c r="A1638" t="s">
        <v>1216</v>
      </c>
      <c r="B1638" t="s">
        <v>6075</v>
      </c>
      <c r="C1638" t="s">
        <v>5969</v>
      </c>
    </row>
    <row r="1639" spans="1:3" x14ac:dyDescent="0.25">
      <c r="A1639" t="s">
        <v>828</v>
      </c>
      <c r="B1639" t="s">
        <v>828</v>
      </c>
      <c r="C1639" t="s">
        <v>5969</v>
      </c>
    </row>
    <row r="1640" spans="1:3" x14ac:dyDescent="0.25">
      <c r="A1640" t="s">
        <v>849</v>
      </c>
      <c r="B1640" t="s">
        <v>849</v>
      </c>
      <c r="C1640" t="s">
        <v>5969</v>
      </c>
    </row>
    <row r="1641" spans="1:3" x14ac:dyDescent="0.25">
      <c r="A1641" t="s">
        <v>437</v>
      </c>
      <c r="B1641" t="s">
        <v>437</v>
      </c>
      <c r="C1641" t="s">
        <v>5969</v>
      </c>
    </row>
    <row r="1642" spans="1:3" x14ac:dyDescent="0.25">
      <c r="A1642" t="s">
        <v>138</v>
      </c>
      <c r="B1642" t="s">
        <v>138</v>
      </c>
      <c r="C1642" t="s">
        <v>5969</v>
      </c>
    </row>
    <row r="1643" spans="1:3" x14ac:dyDescent="0.25">
      <c r="A1643" t="s">
        <v>1203</v>
      </c>
      <c r="B1643" t="s">
        <v>6076</v>
      </c>
      <c r="C1643" t="s">
        <v>5969</v>
      </c>
    </row>
    <row r="1644" spans="1:3" x14ac:dyDescent="0.25">
      <c r="A1644" t="s">
        <v>62</v>
      </c>
      <c r="B1644" t="s">
        <v>62</v>
      </c>
      <c r="C1644" t="s">
        <v>5969</v>
      </c>
    </row>
    <row r="1645" spans="1:3" x14ac:dyDescent="0.25">
      <c r="A1645" t="s">
        <v>839</v>
      </c>
      <c r="B1645" t="s">
        <v>839</v>
      </c>
      <c r="C1645" t="s">
        <v>5969</v>
      </c>
    </row>
    <row r="1646" spans="1:3" x14ac:dyDescent="0.25">
      <c r="A1646" t="s">
        <v>219</v>
      </c>
      <c r="B1646" t="s">
        <v>219</v>
      </c>
      <c r="C1646" t="s">
        <v>5969</v>
      </c>
    </row>
    <row r="1647" spans="1:3" x14ac:dyDescent="0.25">
      <c r="A1647" t="s">
        <v>923</v>
      </c>
      <c r="B1647" t="s">
        <v>6077</v>
      </c>
      <c r="C1647" t="s">
        <v>5969</v>
      </c>
    </row>
    <row r="1648" spans="1:3" x14ac:dyDescent="0.25">
      <c r="A1648" t="s">
        <v>214</v>
      </c>
      <c r="B1648" t="s">
        <v>214</v>
      </c>
      <c r="C1648" t="s">
        <v>5969</v>
      </c>
    </row>
    <row r="1649" spans="1:3" x14ac:dyDescent="0.25">
      <c r="A1649" t="s">
        <v>340</v>
      </c>
      <c r="B1649" t="s">
        <v>340</v>
      </c>
      <c r="C1649" t="s">
        <v>5969</v>
      </c>
    </row>
    <row r="1650" spans="1:3" x14ac:dyDescent="0.25">
      <c r="A1650" t="s">
        <v>1078</v>
      </c>
      <c r="B1650" t="s">
        <v>1078</v>
      </c>
      <c r="C1650" t="s">
        <v>5969</v>
      </c>
    </row>
    <row r="1651" spans="1:3" x14ac:dyDescent="0.25">
      <c r="A1651" t="s">
        <v>66</v>
      </c>
      <c r="B1651" t="s">
        <v>66</v>
      </c>
      <c r="C1651" t="s">
        <v>5969</v>
      </c>
    </row>
    <row r="1652" spans="1:3" x14ac:dyDescent="0.25">
      <c r="A1652" t="s">
        <v>795</v>
      </c>
      <c r="B1652" t="s">
        <v>795</v>
      </c>
      <c r="C1652" t="s">
        <v>5969</v>
      </c>
    </row>
    <row r="1653" spans="1:3" x14ac:dyDescent="0.25">
      <c r="A1653" t="s">
        <v>800</v>
      </c>
      <c r="B1653" t="s">
        <v>6078</v>
      </c>
      <c r="C1653" t="s">
        <v>5969</v>
      </c>
    </row>
    <row r="1654" spans="1:3" x14ac:dyDescent="0.25">
      <c r="A1654" t="s">
        <v>1173</v>
      </c>
      <c r="B1654" t="s">
        <v>1173</v>
      </c>
      <c r="C1654" t="s">
        <v>5969</v>
      </c>
    </row>
    <row r="1655" spans="1:3" x14ac:dyDescent="0.25">
      <c r="A1655" t="s">
        <v>31</v>
      </c>
      <c r="B1655" t="s">
        <v>31</v>
      </c>
      <c r="C1655" t="s">
        <v>5969</v>
      </c>
    </row>
    <row r="1656" spans="1:3" x14ac:dyDescent="0.25">
      <c r="A1656" t="s">
        <v>98</v>
      </c>
      <c r="B1656" t="s">
        <v>98</v>
      </c>
      <c r="C1656" t="s">
        <v>5969</v>
      </c>
    </row>
    <row r="1657" spans="1:3" x14ac:dyDescent="0.25">
      <c r="A1657" t="s">
        <v>1094</v>
      </c>
      <c r="B1657" t="s">
        <v>6079</v>
      </c>
      <c r="C1657" t="s">
        <v>5969</v>
      </c>
    </row>
    <row r="1658" spans="1:3" x14ac:dyDescent="0.25">
      <c r="A1658" t="s">
        <v>351</v>
      </c>
      <c r="B1658" t="s">
        <v>6080</v>
      </c>
      <c r="C1658" t="s">
        <v>5969</v>
      </c>
    </row>
    <row r="1659" spans="1:3" x14ac:dyDescent="0.25">
      <c r="A1659" t="s">
        <v>179</v>
      </c>
      <c r="B1659" t="s">
        <v>179</v>
      </c>
      <c r="C1659" t="s">
        <v>5969</v>
      </c>
    </row>
    <row r="1660" spans="1:3" x14ac:dyDescent="0.25">
      <c r="A1660" t="s">
        <v>336</v>
      </c>
      <c r="B1660" t="s">
        <v>336</v>
      </c>
      <c r="C1660" t="s">
        <v>5969</v>
      </c>
    </row>
    <row r="1661" spans="1:3" x14ac:dyDescent="0.25">
      <c r="A1661" t="s">
        <v>273</v>
      </c>
      <c r="B1661" t="s">
        <v>273</v>
      </c>
      <c r="C1661" t="s">
        <v>5969</v>
      </c>
    </row>
    <row r="1662" spans="1:3" x14ac:dyDescent="0.25">
      <c r="A1662" t="s">
        <v>1149</v>
      </c>
      <c r="B1662" t="s">
        <v>1149</v>
      </c>
      <c r="C1662" t="s">
        <v>5969</v>
      </c>
    </row>
    <row r="1663" spans="1:3" x14ac:dyDescent="0.25">
      <c r="A1663" t="s">
        <v>374</v>
      </c>
      <c r="B1663" t="s">
        <v>6081</v>
      </c>
      <c r="C1663" t="s">
        <v>5969</v>
      </c>
    </row>
    <row r="1664" spans="1:3" x14ac:dyDescent="0.25">
      <c r="A1664" t="s">
        <v>333</v>
      </c>
      <c r="B1664" t="s">
        <v>333</v>
      </c>
      <c r="C1664" t="s">
        <v>5969</v>
      </c>
    </row>
    <row r="1665" spans="1:3" x14ac:dyDescent="0.25">
      <c r="A1665" t="s">
        <v>565</v>
      </c>
      <c r="B1665" t="s">
        <v>6082</v>
      </c>
      <c r="C1665" t="s">
        <v>5969</v>
      </c>
    </row>
    <row r="1666" spans="1:3" x14ac:dyDescent="0.25">
      <c r="A1666" t="s">
        <v>83</v>
      </c>
      <c r="B1666" t="s">
        <v>83</v>
      </c>
      <c r="C1666" t="s">
        <v>5969</v>
      </c>
    </row>
    <row r="1667" spans="1:3" x14ac:dyDescent="0.25">
      <c r="A1667" t="s">
        <v>664</v>
      </c>
      <c r="B1667" t="s">
        <v>6083</v>
      </c>
      <c r="C1667" t="s">
        <v>5969</v>
      </c>
    </row>
    <row r="1668" spans="1:3" x14ac:dyDescent="0.25">
      <c r="A1668" t="s">
        <v>638</v>
      </c>
      <c r="B1668" t="s">
        <v>6084</v>
      </c>
      <c r="C1668" t="s">
        <v>5969</v>
      </c>
    </row>
    <row r="1669" spans="1:3" x14ac:dyDescent="0.25">
      <c r="A1669" t="s">
        <v>526</v>
      </c>
      <c r="B1669" t="s">
        <v>6085</v>
      </c>
      <c r="C1669" t="s">
        <v>5969</v>
      </c>
    </row>
    <row r="1670" spans="1:3" x14ac:dyDescent="0.25">
      <c r="A1670" t="s">
        <v>254</v>
      </c>
      <c r="B1670" t="s">
        <v>254</v>
      </c>
      <c r="C1670" t="s">
        <v>5969</v>
      </c>
    </row>
    <row r="1671" spans="1:3" x14ac:dyDescent="0.25">
      <c r="A1671" t="s">
        <v>246</v>
      </c>
      <c r="B1671" t="s">
        <v>246</v>
      </c>
      <c r="C1671" t="s">
        <v>5969</v>
      </c>
    </row>
    <row r="1672" spans="1:3" x14ac:dyDescent="0.25">
      <c r="A1672" t="s">
        <v>1089</v>
      </c>
      <c r="B1672" t="s">
        <v>6086</v>
      </c>
      <c r="C1672" t="s">
        <v>5969</v>
      </c>
    </row>
    <row r="1673" spans="1:3" x14ac:dyDescent="0.25">
      <c r="A1673" t="s">
        <v>321</v>
      </c>
      <c r="B1673" t="s">
        <v>321</v>
      </c>
      <c r="C1673" t="s">
        <v>5969</v>
      </c>
    </row>
    <row r="1674" spans="1:3" x14ac:dyDescent="0.25">
      <c r="A1674" t="s">
        <v>280</v>
      </c>
      <c r="B1674" t="s">
        <v>280</v>
      </c>
      <c r="C1674" t="s">
        <v>5969</v>
      </c>
    </row>
    <row r="1675" spans="1:3" x14ac:dyDescent="0.25">
      <c r="A1675" t="s">
        <v>265</v>
      </c>
      <c r="B1675" t="s">
        <v>265</v>
      </c>
      <c r="C1675" t="s">
        <v>5969</v>
      </c>
    </row>
    <row r="1676" spans="1:3" x14ac:dyDescent="0.25">
      <c r="A1676" t="s">
        <v>668</v>
      </c>
      <c r="B1676" t="s">
        <v>6087</v>
      </c>
      <c r="C1676" t="s">
        <v>5969</v>
      </c>
    </row>
    <row r="1677" spans="1:3" x14ac:dyDescent="0.25">
      <c r="A1677" t="s">
        <v>1028</v>
      </c>
      <c r="B1677" t="s">
        <v>6088</v>
      </c>
      <c r="C1677" t="s">
        <v>5969</v>
      </c>
    </row>
    <row r="1678" spans="1:3" x14ac:dyDescent="0.25">
      <c r="A1678" t="s">
        <v>911</v>
      </c>
      <c r="B1678" t="s">
        <v>6089</v>
      </c>
      <c r="C1678" t="s">
        <v>5969</v>
      </c>
    </row>
    <row r="1679" spans="1:3" x14ac:dyDescent="0.25">
      <c r="A1679" t="s">
        <v>910</v>
      </c>
      <c r="B1679" t="s">
        <v>6090</v>
      </c>
      <c r="C1679" t="s">
        <v>5969</v>
      </c>
    </row>
    <row r="1680" spans="1:3" x14ac:dyDescent="0.25">
      <c r="A1680" t="s">
        <v>649</v>
      </c>
      <c r="B1680" t="s">
        <v>6091</v>
      </c>
      <c r="C1680" t="s">
        <v>5969</v>
      </c>
    </row>
    <row r="1681" spans="1:3" x14ac:dyDescent="0.25">
      <c r="A1681" t="s">
        <v>1119</v>
      </c>
      <c r="B1681" t="s">
        <v>1119</v>
      </c>
      <c r="C1681" t="s">
        <v>5969</v>
      </c>
    </row>
    <row r="1682" spans="1:3" x14ac:dyDescent="0.25">
      <c r="A1682" t="s">
        <v>525</v>
      </c>
      <c r="B1682" t="s">
        <v>6092</v>
      </c>
      <c r="C1682" t="s">
        <v>5969</v>
      </c>
    </row>
    <row r="1683" spans="1:3" x14ac:dyDescent="0.25">
      <c r="A1683" t="s">
        <v>1085</v>
      </c>
      <c r="B1683" t="s">
        <v>1085</v>
      </c>
      <c r="C1683" t="s">
        <v>5969</v>
      </c>
    </row>
    <row r="1684" spans="1:3" x14ac:dyDescent="0.25">
      <c r="A1684" t="s">
        <v>698</v>
      </c>
      <c r="B1684" t="s">
        <v>698</v>
      </c>
      <c r="C1684" t="s">
        <v>5969</v>
      </c>
    </row>
    <row r="1685" spans="1:3" x14ac:dyDescent="0.25">
      <c r="A1685" t="s">
        <v>1243</v>
      </c>
      <c r="B1685" t="s">
        <v>6093</v>
      </c>
      <c r="C1685" t="s">
        <v>5969</v>
      </c>
    </row>
    <row r="1686" spans="1:3" x14ac:dyDescent="0.25">
      <c r="A1686" t="s">
        <v>446</v>
      </c>
      <c r="B1686" t="s">
        <v>446</v>
      </c>
      <c r="C1686" t="s">
        <v>5969</v>
      </c>
    </row>
    <row r="1687" spans="1:3" x14ac:dyDescent="0.25">
      <c r="A1687" t="s">
        <v>1628</v>
      </c>
      <c r="B1687" t="s">
        <v>6094</v>
      </c>
      <c r="C1687" t="s">
        <v>5969</v>
      </c>
    </row>
    <row r="1688" spans="1:3" x14ac:dyDescent="0.25">
      <c r="A1688" t="s">
        <v>161</v>
      </c>
      <c r="B1688" t="s">
        <v>161</v>
      </c>
      <c r="C1688" t="s">
        <v>5969</v>
      </c>
    </row>
    <row r="1689" spans="1:3" x14ac:dyDescent="0.25">
      <c r="A1689" t="s">
        <v>751</v>
      </c>
      <c r="B1689" t="s">
        <v>751</v>
      </c>
      <c r="C1689" t="s">
        <v>5969</v>
      </c>
    </row>
    <row r="1690" spans="1:3" x14ac:dyDescent="0.25">
      <c r="A1690" t="s">
        <v>1033</v>
      </c>
      <c r="B1690" t="s">
        <v>6095</v>
      </c>
      <c r="C1690" t="s">
        <v>5969</v>
      </c>
    </row>
    <row r="1691" spans="1:3" x14ac:dyDescent="0.25">
      <c r="A1691" t="s">
        <v>810</v>
      </c>
      <c r="B1691" t="s">
        <v>810</v>
      </c>
      <c r="C1691" t="s">
        <v>5969</v>
      </c>
    </row>
    <row r="1692" spans="1:3" x14ac:dyDescent="0.25">
      <c r="A1692" t="s">
        <v>1276</v>
      </c>
      <c r="B1692" t="s">
        <v>1276</v>
      </c>
      <c r="C1692" t="s">
        <v>5969</v>
      </c>
    </row>
    <row r="1693" spans="1:3" x14ac:dyDescent="0.25">
      <c r="A1693" t="s">
        <v>157</v>
      </c>
      <c r="B1693" t="s">
        <v>157</v>
      </c>
      <c r="C1693" t="s">
        <v>5969</v>
      </c>
    </row>
    <row r="1694" spans="1:3" x14ac:dyDescent="0.25">
      <c r="A1694" t="s">
        <v>314</v>
      </c>
      <c r="B1694" t="s">
        <v>314</v>
      </c>
      <c r="C1694" t="s">
        <v>5969</v>
      </c>
    </row>
    <row r="1695" spans="1:3" x14ac:dyDescent="0.25">
      <c r="A1695" t="s">
        <v>838</v>
      </c>
      <c r="B1695" t="s">
        <v>838</v>
      </c>
      <c r="C1695" t="s">
        <v>5969</v>
      </c>
    </row>
    <row r="1696" spans="1:3" x14ac:dyDescent="0.25">
      <c r="A1696" t="s">
        <v>843</v>
      </c>
      <c r="B1696" t="s">
        <v>843</v>
      </c>
      <c r="C1696" t="s">
        <v>5969</v>
      </c>
    </row>
    <row r="1697" spans="1:3" x14ac:dyDescent="0.25">
      <c r="A1697" t="s">
        <v>474</v>
      </c>
      <c r="B1697" t="s">
        <v>6096</v>
      </c>
      <c r="C1697" t="s">
        <v>5969</v>
      </c>
    </row>
    <row r="1698" spans="1:3" x14ac:dyDescent="0.25">
      <c r="A1698" t="s">
        <v>692</v>
      </c>
      <c r="B1698" t="s">
        <v>6097</v>
      </c>
      <c r="C1698" t="s">
        <v>5969</v>
      </c>
    </row>
    <row r="1699" spans="1:3" x14ac:dyDescent="0.25">
      <c r="A1699" t="s">
        <v>239</v>
      </c>
      <c r="B1699" t="s">
        <v>239</v>
      </c>
      <c r="C1699" t="s">
        <v>5969</v>
      </c>
    </row>
    <row r="1700" spans="1:3" x14ac:dyDescent="0.25">
      <c r="A1700" t="s">
        <v>635</v>
      </c>
      <c r="B1700" t="s">
        <v>6098</v>
      </c>
      <c r="C1700" t="s">
        <v>5969</v>
      </c>
    </row>
    <row r="1701" spans="1:3" x14ac:dyDescent="0.25">
      <c r="A1701" t="s">
        <v>1102</v>
      </c>
      <c r="B1701" t="s">
        <v>1102</v>
      </c>
      <c r="C1701" t="s">
        <v>5969</v>
      </c>
    </row>
    <row r="1702" spans="1:3" x14ac:dyDescent="0.25">
      <c r="A1702" t="s">
        <v>1304</v>
      </c>
      <c r="B1702" t="s">
        <v>6099</v>
      </c>
      <c r="C1702" t="s">
        <v>5969</v>
      </c>
    </row>
    <row r="1703" spans="1:3" x14ac:dyDescent="0.25">
      <c r="A1703" t="s">
        <v>153</v>
      </c>
      <c r="B1703" t="s">
        <v>153</v>
      </c>
      <c r="C1703" t="s">
        <v>5969</v>
      </c>
    </row>
    <row r="1704" spans="1:3" x14ac:dyDescent="0.25">
      <c r="A1704" t="s">
        <v>6453</v>
      </c>
      <c r="B1704" t="s">
        <v>6100</v>
      </c>
      <c r="C1704" t="s">
        <v>5969</v>
      </c>
    </row>
    <row r="1705" spans="1:3" x14ac:dyDescent="0.25">
      <c r="A1705" t="s">
        <v>1029</v>
      </c>
      <c r="B1705" t="s">
        <v>6101</v>
      </c>
      <c r="C1705" t="s">
        <v>5969</v>
      </c>
    </row>
    <row r="1706" spans="1:3" x14ac:dyDescent="0.25">
      <c r="A1706" t="s">
        <v>1237</v>
      </c>
      <c r="B1706" t="s">
        <v>6102</v>
      </c>
      <c r="C1706" t="s">
        <v>5969</v>
      </c>
    </row>
    <row r="1707" spans="1:3" x14ac:dyDescent="0.25">
      <c r="A1707" t="s">
        <v>864</v>
      </c>
      <c r="B1707" t="s">
        <v>864</v>
      </c>
      <c r="C1707" t="s">
        <v>5969</v>
      </c>
    </row>
    <row r="1708" spans="1:3" x14ac:dyDescent="0.25">
      <c r="A1708" t="s">
        <v>65</v>
      </c>
      <c r="B1708" t="s">
        <v>65</v>
      </c>
      <c r="C1708" t="s">
        <v>5969</v>
      </c>
    </row>
    <row r="1709" spans="1:3" x14ac:dyDescent="0.25">
      <c r="A1709" t="s">
        <v>724</v>
      </c>
      <c r="B1709" t="s">
        <v>6103</v>
      </c>
      <c r="C1709" t="s">
        <v>5969</v>
      </c>
    </row>
    <row r="1710" spans="1:3" x14ac:dyDescent="0.25">
      <c r="A1710" t="s">
        <v>717</v>
      </c>
      <c r="B1710" t="s">
        <v>717</v>
      </c>
      <c r="C1710" t="s">
        <v>5969</v>
      </c>
    </row>
    <row r="1711" spans="1:3" x14ac:dyDescent="0.25">
      <c r="A1711" t="s">
        <v>569</v>
      </c>
      <c r="B1711" t="s">
        <v>6104</v>
      </c>
      <c r="C1711" t="s">
        <v>5969</v>
      </c>
    </row>
    <row r="1712" spans="1:3" x14ac:dyDescent="0.25">
      <c r="A1712" t="s">
        <v>58</v>
      </c>
      <c r="B1712" t="s">
        <v>58</v>
      </c>
      <c r="C1712" t="s">
        <v>5969</v>
      </c>
    </row>
    <row r="1713" spans="1:3" x14ac:dyDescent="0.25">
      <c r="A1713" t="s">
        <v>844</v>
      </c>
      <c r="B1713" t="s">
        <v>844</v>
      </c>
      <c r="C1713" t="s">
        <v>5969</v>
      </c>
    </row>
    <row r="1714" spans="1:3" x14ac:dyDescent="0.25">
      <c r="A1714" t="s">
        <v>49</v>
      </c>
      <c r="B1714" t="s">
        <v>49</v>
      </c>
      <c r="C1714" t="s">
        <v>5969</v>
      </c>
    </row>
    <row r="1715" spans="1:3" x14ac:dyDescent="0.25">
      <c r="A1715" t="s">
        <v>143</v>
      </c>
      <c r="B1715" t="s">
        <v>6105</v>
      </c>
      <c r="C1715" t="s">
        <v>5969</v>
      </c>
    </row>
    <row r="1716" spans="1:3" x14ac:dyDescent="0.25">
      <c r="A1716" t="s">
        <v>484</v>
      </c>
      <c r="B1716" t="s">
        <v>6106</v>
      </c>
      <c r="C1716" t="s">
        <v>5969</v>
      </c>
    </row>
    <row r="1717" spans="1:3" x14ac:dyDescent="0.25">
      <c r="A1717" t="s">
        <v>220</v>
      </c>
      <c r="B1717" t="s">
        <v>220</v>
      </c>
      <c r="C1717" t="s">
        <v>5969</v>
      </c>
    </row>
    <row r="1718" spans="1:3" x14ac:dyDescent="0.25">
      <c r="A1718" t="s">
        <v>413</v>
      </c>
      <c r="B1718" t="s">
        <v>6107</v>
      </c>
      <c r="C1718" t="s">
        <v>5969</v>
      </c>
    </row>
    <row r="1719" spans="1:3" x14ac:dyDescent="0.25">
      <c r="A1719" t="s">
        <v>612</v>
      </c>
      <c r="B1719" t="s">
        <v>6108</v>
      </c>
      <c r="C1719" t="s">
        <v>5969</v>
      </c>
    </row>
    <row r="1720" spans="1:3" x14ac:dyDescent="0.25">
      <c r="A1720" t="s">
        <v>110</v>
      </c>
      <c r="B1720" t="s">
        <v>110</v>
      </c>
      <c r="C1720" t="s">
        <v>5969</v>
      </c>
    </row>
    <row r="1721" spans="1:3" x14ac:dyDescent="0.25">
      <c r="A1721" t="s">
        <v>943</v>
      </c>
      <c r="B1721" t="s">
        <v>6109</v>
      </c>
      <c r="C1721" t="s">
        <v>5969</v>
      </c>
    </row>
    <row r="1722" spans="1:3" x14ac:dyDescent="0.25">
      <c r="A1722" t="s">
        <v>733</v>
      </c>
      <c r="B1722" t="s">
        <v>6110</v>
      </c>
      <c r="C1722" t="s">
        <v>5969</v>
      </c>
    </row>
    <row r="1723" spans="1:3" x14ac:dyDescent="0.25">
      <c r="A1723" t="s">
        <v>1144</v>
      </c>
      <c r="B1723" t="s">
        <v>1144</v>
      </c>
      <c r="C1723" t="s">
        <v>5969</v>
      </c>
    </row>
    <row r="1724" spans="1:3" x14ac:dyDescent="0.25">
      <c r="A1724" t="s">
        <v>1020</v>
      </c>
      <c r="B1724" t="s">
        <v>1020</v>
      </c>
      <c r="C1724" t="s">
        <v>5969</v>
      </c>
    </row>
    <row r="1725" spans="1:3" x14ac:dyDescent="0.25">
      <c r="A1725" t="s">
        <v>396</v>
      </c>
      <c r="B1725" t="s">
        <v>6111</v>
      </c>
      <c r="C1725" t="s">
        <v>5969</v>
      </c>
    </row>
    <row r="1726" spans="1:3" x14ac:dyDescent="0.25">
      <c r="A1726" t="s">
        <v>391</v>
      </c>
      <c r="B1726" t="s">
        <v>6112</v>
      </c>
      <c r="C1726" t="s">
        <v>5969</v>
      </c>
    </row>
    <row r="1727" spans="1:3" x14ac:dyDescent="0.25">
      <c r="A1727" t="s">
        <v>568</v>
      </c>
      <c r="B1727" t="s">
        <v>6113</v>
      </c>
      <c r="C1727" t="s">
        <v>5969</v>
      </c>
    </row>
    <row r="1728" spans="1:3" x14ac:dyDescent="0.25">
      <c r="A1728" t="s">
        <v>545</v>
      </c>
      <c r="B1728" t="s">
        <v>6114</v>
      </c>
      <c r="C1728" t="s">
        <v>5969</v>
      </c>
    </row>
    <row r="1729" spans="1:3" x14ac:dyDescent="0.25">
      <c r="A1729" t="s">
        <v>984</v>
      </c>
      <c r="B1729" t="s">
        <v>6115</v>
      </c>
      <c r="C1729" t="s">
        <v>5969</v>
      </c>
    </row>
    <row r="1730" spans="1:3" x14ac:dyDescent="0.25">
      <c r="A1730" t="s">
        <v>146</v>
      </c>
      <c r="B1730" t="s">
        <v>146</v>
      </c>
      <c r="C1730" t="s">
        <v>5969</v>
      </c>
    </row>
    <row r="1731" spans="1:3" x14ac:dyDescent="0.25">
      <c r="A1731" t="s">
        <v>1945</v>
      </c>
      <c r="B1731" t="s">
        <v>6116</v>
      </c>
      <c r="C1731" t="s">
        <v>5969</v>
      </c>
    </row>
    <row r="1732" spans="1:3" x14ac:dyDescent="0.25">
      <c r="A1732" t="s">
        <v>494</v>
      </c>
      <c r="B1732" t="s">
        <v>6117</v>
      </c>
      <c r="C1732" t="s">
        <v>5969</v>
      </c>
    </row>
    <row r="1733" spans="1:3" x14ac:dyDescent="0.25">
      <c r="A1733" t="s">
        <v>897</v>
      </c>
      <c r="B1733" t="s">
        <v>6118</v>
      </c>
      <c r="C1733" t="s">
        <v>5969</v>
      </c>
    </row>
    <row r="1734" spans="1:3" x14ac:dyDescent="0.25">
      <c r="A1734" t="s">
        <v>1209</v>
      </c>
      <c r="B1734" t="s">
        <v>1209</v>
      </c>
      <c r="C1734" t="s">
        <v>5969</v>
      </c>
    </row>
    <row r="1735" spans="1:3" x14ac:dyDescent="0.25">
      <c r="A1735" t="s">
        <v>603</v>
      </c>
      <c r="B1735" t="s">
        <v>6119</v>
      </c>
      <c r="C1735" t="s">
        <v>5969</v>
      </c>
    </row>
    <row r="1736" spans="1:3" x14ac:dyDescent="0.25">
      <c r="A1736" t="s">
        <v>442</v>
      </c>
      <c r="B1736" t="s">
        <v>6120</v>
      </c>
      <c r="C1736" t="s">
        <v>5969</v>
      </c>
    </row>
    <row r="1737" spans="1:3" x14ac:dyDescent="0.25">
      <c r="A1737" t="s">
        <v>1118</v>
      </c>
      <c r="B1737" t="s">
        <v>1118</v>
      </c>
      <c r="C1737" t="s">
        <v>5969</v>
      </c>
    </row>
    <row r="1738" spans="1:3" x14ac:dyDescent="0.25">
      <c r="A1738" t="s">
        <v>199</v>
      </c>
      <c r="B1738" t="s">
        <v>199</v>
      </c>
      <c r="C1738" t="s">
        <v>5969</v>
      </c>
    </row>
    <row r="1739" spans="1:3" x14ac:dyDescent="0.25">
      <c r="A1739" t="s">
        <v>1241</v>
      </c>
      <c r="B1739" t="s">
        <v>6121</v>
      </c>
      <c r="C1739" t="s">
        <v>5969</v>
      </c>
    </row>
    <row r="1740" spans="1:3" x14ac:dyDescent="0.25">
      <c r="A1740" t="s">
        <v>774</v>
      </c>
      <c r="B1740" t="s">
        <v>6122</v>
      </c>
      <c r="C1740" t="s">
        <v>5969</v>
      </c>
    </row>
    <row r="1741" spans="1:3" x14ac:dyDescent="0.25">
      <c r="A1741" t="s">
        <v>1192</v>
      </c>
      <c r="B1741" t="s">
        <v>1192</v>
      </c>
      <c r="C1741" t="s">
        <v>5969</v>
      </c>
    </row>
    <row r="1742" spans="1:3" x14ac:dyDescent="0.25">
      <c r="A1742" t="s">
        <v>591</v>
      </c>
      <c r="B1742" t="s">
        <v>6123</v>
      </c>
      <c r="C1742" t="s">
        <v>5969</v>
      </c>
    </row>
    <row r="1743" spans="1:3" x14ac:dyDescent="0.25">
      <c r="A1743" t="s">
        <v>1613</v>
      </c>
      <c r="B1743" t="s">
        <v>1613</v>
      </c>
      <c r="C1743" t="s">
        <v>5969</v>
      </c>
    </row>
    <row r="1744" spans="1:3" x14ac:dyDescent="0.25">
      <c r="A1744" t="s">
        <v>1636</v>
      </c>
      <c r="B1744" t="s">
        <v>6124</v>
      </c>
      <c r="C1744" t="s">
        <v>5969</v>
      </c>
    </row>
    <row r="1745" spans="1:3" x14ac:dyDescent="0.25">
      <c r="A1745" t="s">
        <v>495</v>
      </c>
      <c r="B1745" t="s">
        <v>6125</v>
      </c>
      <c r="C1745" t="s">
        <v>5969</v>
      </c>
    </row>
    <row r="1746" spans="1:3" x14ac:dyDescent="0.25">
      <c r="A1746" t="s">
        <v>116</v>
      </c>
      <c r="B1746" t="s">
        <v>6126</v>
      </c>
      <c r="C1746" t="s">
        <v>5969</v>
      </c>
    </row>
    <row r="1747" spans="1:3" x14ac:dyDescent="0.25">
      <c r="A1747" t="s">
        <v>596</v>
      </c>
      <c r="B1747" t="s">
        <v>596</v>
      </c>
      <c r="C1747" t="s">
        <v>5969</v>
      </c>
    </row>
    <row r="1748" spans="1:3" x14ac:dyDescent="0.25">
      <c r="A1748" t="s">
        <v>618</v>
      </c>
      <c r="B1748" t="s">
        <v>6127</v>
      </c>
      <c r="C1748" t="s">
        <v>5969</v>
      </c>
    </row>
    <row r="1749" spans="1:3" x14ac:dyDescent="0.25">
      <c r="A1749" t="s">
        <v>759</v>
      </c>
      <c r="B1749" t="s">
        <v>759</v>
      </c>
      <c r="C1749" t="s">
        <v>5969</v>
      </c>
    </row>
    <row r="1750" spans="1:3" x14ac:dyDescent="0.25">
      <c r="A1750" t="s">
        <v>300</v>
      </c>
      <c r="B1750" t="s">
        <v>300</v>
      </c>
      <c r="C1750" t="s">
        <v>5969</v>
      </c>
    </row>
    <row r="1751" spans="1:3" x14ac:dyDescent="0.25">
      <c r="A1751" t="s">
        <v>1290</v>
      </c>
      <c r="B1751" t="s">
        <v>1290</v>
      </c>
      <c r="C1751" t="s">
        <v>5969</v>
      </c>
    </row>
    <row r="1752" spans="1:3" x14ac:dyDescent="0.25">
      <c r="A1752" t="s">
        <v>764</v>
      </c>
      <c r="B1752" t="s">
        <v>6128</v>
      </c>
      <c r="C1752" t="s">
        <v>5969</v>
      </c>
    </row>
    <row r="1753" spans="1:3" x14ac:dyDescent="0.25">
      <c r="A1753" t="s">
        <v>455</v>
      </c>
      <c r="B1753" t="s">
        <v>6129</v>
      </c>
      <c r="C1753" t="s">
        <v>5969</v>
      </c>
    </row>
    <row r="1754" spans="1:3" x14ac:dyDescent="0.25">
      <c r="A1754" t="s">
        <v>617</v>
      </c>
      <c r="B1754" t="s">
        <v>617</v>
      </c>
      <c r="C1754" t="s">
        <v>5969</v>
      </c>
    </row>
    <row r="1755" spans="1:3" x14ac:dyDescent="0.25">
      <c r="A1755" t="s">
        <v>240</v>
      </c>
      <c r="B1755" t="s">
        <v>240</v>
      </c>
      <c r="C1755" t="s">
        <v>5969</v>
      </c>
    </row>
    <row r="1756" spans="1:3" x14ac:dyDescent="0.25">
      <c r="A1756" t="s">
        <v>901</v>
      </c>
      <c r="B1756" t="s">
        <v>6130</v>
      </c>
      <c r="C1756" t="s">
        <v>5969</v>
      </c>
    </row>
    <row r="1757" spans="1:3" x14ac:dyDescent="0.25">
      <c r="A1757" t="s">
        <v>903</v>
      </c>
      <c r="B1757" t="s">
        <v>6131</v>
      </c>
      <c r="C1757" t="s">
        <v>5969</v>
      </c>
    </row>
    <row r="1758" spans="1:3" x14ac:dyDescent="0.25">
      <c r="A1758" t="s">
        <v>900</v>
      </c>
      <c r="B1758" t="s">
        <v>896</v>
      </c>
      <c r="C1758" t="s">
        <v>5969</v>
      </c>
    </row>
    <row r="1759" spans="1:3" x14ac:dyDescent="0.25">
      <c r="A1759" t="s">
        <v>227</v>
      </c>
      <c r="B1759" t="s">
        <v>227</v>
      </c>
      <c r="C1759" t="s">
        <v>5969</v>
      </c>
    </row>
    <row r="1760" spans="1:3" x14ac:dyDescent="0.25">
      <c r="A1760" t="s">
        <v>85</v>
      </c>
      <c r="B1760" t="s">
        <v>85</v>
      </c>
      <c r="C1760" t="s">
        <v>5969</v>
      </c>
    </row>
    <row r="1761" spans="1:3" x14ac:dyDescent="0.25">
      <c r="A1761" t="s">
        <v>259</v>
      </c>
      <c r="B1761" t="s">
        <v>259</v>
      </c>
      <c r="C1761" t="s">
        <v>5969</v>
      </c>
    </row>
    <row r="1762" spans="1:3" x14ac:dyDescent="0.25">
      <c r="A1762" t="s">
        <v>1114</v>
      </c>
      <c r="B1762" t="s">
        <v>1114</v>
      </c>
      <c r="C1762" t="s">
        <v>5969</v>
      </c>
    </row>
    <row r="1763" spans="1:3" x14ac:dyDescent="0.25">
      <c r="A1763" t="s">
        <v>1257</v>
      </c>
      <c r="B1763" t="s">
        <v>6132</v>
      </c>
      <c r="C1763" t="s">
        <v>5969</v>
      </c>
    </row>
    <row r="1764" spans="1:3" x14ac:dyDescent="0.25">
      <c r="A1764" t="s">
        <v>745</v>
      </c>
      <c r="B1764" t="s">
        <v>6133</v>
      </c>
      <c r="C1764" t="s">
        <v>5969</v>
      </c>
    </row>
    <row r="1765" spans="1:3" x14ac:dyDescent="0.25">
      <c r="A1765" t="s">
        <v>281</v>
      </c>
      <c r="B1765" t="s">
        <v>281</v>
      </c>
      <c r="C1765" t="s">
        <v>5969</v>
      </c>
    </row>
    <row r="1766" spans="1:3" x14ac:dyDescent="0.25">
      <c r="A1766" t="s">
        <v>590</v>
      </c>
      <c r="B1766" t="s">
        <v>6134</v>
      </c>
      <c r="C1766" t="s">
        <v>5969</v>
      </c>
    </row>
    <row r="1767" spans="1:3" x14ac:dyDescent="0.25">
      <c r="A1767" t="s">
        <v>691</v>
      </c>
      <c r="B1767" t="s">
        <v>6135</v>
      </c>
      <c r="C1767" t="s">
        <v>5969</v>
      </c>
    </row>
    <row r="1768" spans="1:3" x14ac:dyDescent="0.25">
      <c r="A1768" t="s">
        <v>902</v>
      </c>
      <c r="B1768" t="s">
        <v>6136</v>
      </c>
      <c r="C1768" t="s">
        <v>5969</v>
      </c>
    </row>
    <row r="1769" spans="1:3" x14ac:dyDescent="0.25">
      <c r="A1769" t="s">
        <v>730</v>
      </c>
      <c r="B1769" t="s">
        <v>730</v>
      </c>
      <c r="C1769" t="s">
        <v>5969</v>
      </c>
    </row>
    <row r="1770" spans="1:3" x14ac:dyDescent="0.25">
      <c r="A1770" t="s">
        <v>458</v>
      </c>
      <c r="B1770" t="s">
        <v>6137</v>
      </c>
      <c r="C1770" t="s">
        <v>5969</v>
      </c>
    </row>
    <row r="1771" spans="1:3" x14ac:dyDescent="0.25">
      <c r="A1771" t="s">
        <v>907</v>
      </c>
      <c r="B1771" t="s">
        <v>907</v>
      </c>
      <c r="C1771" t="s">
        <v>5969</v>
      </c>
    </row>
    <row r="1772" spans="1:3" x14ac:dyDescent="0.25">
      <c r="A1772" t="s">
        <v>1214</v>
      </c>
      <c r="B1772" t="s">
        <v>6138</v>
      </c>
      <c r="C1772" t="s">
        <v>5969</v>
      </c>
    </row>
    <row r="1773" spans="1:3" x14ac:dyDescent="0.25">
      <c r="A1773" t="s">
        <v>225</v>
      </c>
      <c r="B1773" t="s">
        <v>225</v>
      </c>
      <c r="C1773" t="s">
        <v>5969</v>
      </c>
    </row>
    <row r="1774" spans="1:3" x14ac:dyDescent="0.25">
      <c r="A1774" t="s">
        <v>889</v>
      </c>
      <c r="B1774" t="s">
        <v>6139</v>
      </c>
      <c r="C1774" t="s">
        <v>5969</v>
      </c>
    </row>
    <row r="1775" spans="1:3" x14ac:dyDescent="0.25">
      <c r="A1775" t="s">
        <v>870</v>
      </c>
      <c r="B1775" t="s">
        <v>6140</v>
      </c>
      <c r="C1775" t="s">
        <v>5969</v>
      </c>
    </row>
    <row r="1776" spans="1:3" x14ac:dyDescent="0.25">
      <c r="A1776" t="s">
        <v>518</v>
      </c>
      <c r="B1776" t="s">
        <v>6141</v>
      </c>
      <c r="C1776" t="s">
        <v>5969</v>
      </c>
    </row>
    <row r="1777" spans="1:3" x14ac:dyDescent="0.25">
      <c r="A1777" t="s">
        <v>1266</v>
      </c>
      <c r="B1777" t="s">
        <v>6142</v>
      </c>
      <c r="C1777" t="s">
        <v>5969</v>
      </c>
    </row>
    <row r="1778" spans="1:3" x14ac:dyDescent="0.25">
      <c r="A1778" t="s">
        <v>888</v>
      </c>
      <c r="B1778" t="s">
        <v>6143</v>
      </c>
      <c r="C1778" t="s">
        <v>5969</v>
      </c>
    </row>
    <row r="1779" spans="1:3" x14ac:dyDescent="0.25">
      <c r="A1779" t="s">
        <v>1229</v>
      </c>
      <c r="B1779" t="s">
        <v>1229</v>
      </c>
      <c r="C1779" t="s">
        <v>5969</v>
      </c>
    </row>
    <row r="1780" spans="1:3" x14ac:dyDescent="0.25">
      <c r="A1780" t="s">
        <v>488</v>
      </c>
      <c r="B1780" t="s">
        <v>6144</v>
      </c>
      <c r="C1780" t="s">
        <v>5969</v>
      </c>
    </row>
    <row r="1781" spans="1:3" x14ac:dyDescent="0.25">
      <c r="A1781" t="s">
        <v>145</v>
      </c>
      <c r="B1781" t="s">
        <v>145</v>
      </c>
      <c r="C1781" t="s">
        <v>5969</v>
      </c>
    </row>
    <row r="1782" spans="1:3" x14ac:dyDescent="0.25">
      <c r="A1782" t="s">
        <v>449</v>
      </c>
      <c r="B1782" t="s">
        <v>6145</v>
      </c>
      <c r="C1782" t="s">
        <v>5969</v>
      </c>
    </row>
    <row r="1783" spans="1:3" x14ac:dyDescent="0.25">
      <c r="A1783" t="s">
        <v>185</v>
      </c>
      <c r="B1783" t="s">
        <v>185</v>
      </c>
      <c r="C1783" t="s">
        <v>5969</v>
      </c>
    </row>
    <row r="1784" spans="1:3" x14ac:dyDescent="0.25">
      <c r="A1784" t="s">
        <v>1263</v>
      </c>
      <c r="B1784" t="s">
        <v>1263</v>
      </c>
      <c r="C1784" t="s">
        <v>5969</v>
      </c>
    </row>
    <row r="1785" spans="1:3" x14ac:dyDescent="0.25">
      <c r="A1785" t="s">
        <v>496</v>
      </c>
      <c r="B1785" t="s">
        <v>6146</v>
      </c>
      <c r="C1785" t="s">
        <v>5969</v>
      </c>
    </row>
    <row r="1786" spans="1:3" x14ac:dyDescent="0.25">
      <c r="A1786" t="s">
        <v>453</v>
      </c>
      <c r="B1786" t="s">
        <v>6147</v>
      </c>
      <c r="C1786" t="s">
        <v>5969</v>
      </c>
    </row>
    <row r="1787" spans="1:3" x14ac:dyDescent="0.25">
      <c r="A1787" t="s">
        <v>89</v>
      </c>
      <c r="B1787" t="s">
        <v>89</v>
      </c>
      <c r="C1787" t="s">
        <v>5969</v>
      </c>
    </row>
    <row r="1788" spans="1:3" x14ac:dyDescent="0.25">
      <c r="A1788" t="s">
        <v>734</v>
      </c>
      <c r="B1788" t="s">
        <v>6148</v>
      </c>
      <c r="C1788" t="s">
        <v>5969</v>
      </c>
    </row>
    <row r="1789" spans="1:3" x14ac:dyDescent="0.25">
      <c r="A1789" t="s">
        <v>775</v>
      </c>
      <c r="B1789" t="s">
        <v>6149</v>
      </c>
      <c r="C1789" t="s">
        <v>5969</v>
      </c>
    </row>
    <row r="1790" spans="1:3" x14ac:dyDescent="0.25">
      <c r="A1790" t="s">
        <v>262</v>
      </c>
      <c r="B1790" t="s">
        <v>262</v>
      </c>
      <c r="C1790" t="s">
        <v>5969</v>
      </c>
    </row>
    <row r="1791" spans="1:3" x14ac:dyDescent="0.25">
      <c r="A1791" t="s">
        <v>1267</v>
      </c>
      <c r="B1791" t="s">
        <v>6150</v>
      </c>
      <c r="C1791" t="s">
        <v>5969</v>
      </c>
    </row>
    <row r="1792" spans="1:3" x14ac:dyDescent="0.25">
      <c r="A1792" t="s">
        <v>1268</v>
      </c>
      <c r="B1792" t="s">
        <v>6151</v>
      </c>
      <c r="C1792" t="s">
        <v>5969</v>
      </c>
    </row>
    <row r="1793" spans="1:3" x14ac:dyDescent="0.25">
      <c r="A1793" t="s">
        <v>174</v>
      </c>
      <c r="B1793" t="s">
        <v>174</v>
      </c>
      <c r="C1793" t="s">
        <v>5969</v>
      </c>
    </row>
    <row r="1794" spans="1:3" x14ac:dyDescent="0.25">
      <c r="A1794" t="s">
        <v>760</v>
      </c>
      <c r="B1794" t="s">
        <v>760</v>
      </c>
      <c r="C1794" t="s">
        <v>5969</v>
      </c>
    </row>
    <row r="1795" spans="1:3" x14ac:dyDescent="0.25">
      <c r="A1795" t="s">
        <v>1163</v>
      </c>
      <c r="B1795" t="s">
        <v>6152</v>
      </c>
      <c r="C1795" t="s">
        <v>5969</v>
      </c>
    </row>
    <row r="1796" spans="1:3" x14ac:dyDescent="0.25">
      <c r="A1796" t="s">
        <v>802</v>
      </c>
      <c r="B1796" t="s">
        <v>802</v>
      </c>
      <c r="C1796" t="s">
        <v>5969</v>
      </c>
    </row>
    <row r="1797" spans="1:3" x14ac:dyDescent="0.25">
      <c r="A1797" t="s">
        <v>1283</v>
      </c>
      <c r="B1797" t="s">
        <v>6153</v>
      </c>
      <c r="C1797" t="s">
        <v>5969</v>
      </c>
    </row>
    <row r="1798" spans="1:3" x14ac:dyDescent="0.25">
      <c r="A1798" t="s">
        <v>310</v>
      </c>
      <c r="B1798" t="s">
        <v>310</v>
      </c>
      <c r="C1798" t="s">
        <v>5969</v>
      </c>
    </row>
    <row r="1799" spans="1:3" x14ac:dyDescent="0.25">
      <c r="A1799" t="s">
        <v>550</v>
      </c>
      <c r="B1799" t="s">
        <v>6154</v>
      </c>
      <c r="C1799" t="s">
        <v>5969</v>
      </c>
    </row>
    <row r="1800" spans="1:3" x14ac:dyDescent="0.25">
      <c r="A1800" t="s">
        <v>124</v>
      </c>
      <c r="B1800" t="s">
        <v>124</v>
      </c>
      <c r="C1800" t="s">
        <v>5969</v>
      </c>
    </row>
    <row r="1801" spans="1:3" x14ac:dyDescent="0.25">
      <c r="A1801" t="s">
        <v>743</v>
      </c>
      <c r="B1801" t="s">
        <v>6155</v>
      </c>
      <c r="C1801" t="s">
        <v>5969</v>
      </c>
    </row>
    <row r="1802" spans="1:3" x14ac:dyDescent="0.25">
      <c r="A1802" t="s">
        <v>412</v>
      </c>
      <c r="B1802" t="s">
        <v>6156</v>
      </c>
      <c r="C1802" t="s">
        <v>5969</v>
      </c>
    </row>
    <row r="1803" spans="1:3" x14ac:dyDescent="0.25">
      <c r="A1803" t="s">
        <v>1072</v>
      </c>
      <c r="B1803" t="s">
        <v>1072</v>
      </c>
      <c r="C1803" t="s">
        <v>5969</v>
      </c>
    </row>
    <row r="1804" spans="1:3" x14ac:dyDescent="0.25">
      <c r="A1804" t="s">
        <v>1170</v>
      </c>
      <c r="B1804" t="s">
        <v>1170</v>
      </c>
      <c r="C1804" t="s">
        <v>5969</v>
      </c>
    </row>
    <row r="1805" spans="1:3" x14ac:dyDescent="0.25">
      <c r="A1805" t="s">
        <v>663</v>
      </c>
      <c r="B1805" t="s">
        <v>6157</v>
      </c>
      <c r="C1805" t="s">
        <v>5969</v>
      </c>
    </row>
    <row r="1806" spans="1:3" x14ac:dyDescent="0.25">
      <c r="A1806" t="s">
        <v>149</v>
      </c>
      <c r="B1806" t="s">
        <v>149</v>
      </c>
      <c r="C1806" t="s">
        <v>5969</v>
      </c>
    </row>
    <row r="1807" spans="1:3" x14ac:dyDescent="0.25">
      <c r="A1807" t="s">
        <v>676</v>
      </c>
      <c r="B1807" t="s">
        <v>6158</v>
      </c>
      <c r="C1807" t="s">
        <v>5969</v>
      </c>
    </row>
    <row r="1808" spans="1:3" x14ac:dyDescent="0.25">
      <c r="A1808" t="s">
        <v>709</v>
      </c>
      <c r="B1808" t="s">
        <v>6159</v>
      </c>
      <c r="C1808" t="s">
        <v>5969</v>
      </c>
    </row>
    <row r="1809" spans="1:3" x14ac:dyDescent="0.25">
      <c r="A1809" t="s">
        <v>827</v>
      </c>
      <c r="B1809" t="s">
        <v>827</v>
      </c>
      <c r="C1809" t="s">
        <v>5969</v>
      </c>
    </row>
    <row r="1810" spans="1:3" x14ac:dyDescent="0.25">
      <c r="A1810" t="s">
        <v>158</v>
      </c>
      <c r="B1810" t="s">
        <v>158</v>
      </c>
      <c r="C1810" t="s">
        <v>5969</v>
      </c>
    </row>
    <row r="1811" spans="1:3" x14ac:dyDescent="0.25">
      <c r="A1811" t="s">
        <v>927</v>
      </c>
      <c r="B1811" t="s">
        <v>6160</v>
      </c>
      <c r="C1811" t="s">
        <v>5969</v>
      </c>
    </row>
    <row r="1812" spans="1:3" x14ac:dyDescent="0.25">
      <c r="A1812" t="s">
        <v>807</v>
      </c>
      <c r="B1812" t="s">
        <v>807</v>
      </c>
      <c r="C1812" t="s">
        <v>5969</v>
      </c>
    </row>
    <row r="1813" spans="1:3" x14ac:dyDescent="0.25">
      <c r="A1813" t="s">
        <v>732</v>
      </c>
      <c r="B1813" t="s">
        <v>732</v>
      </c>
      <c r="C1813" t="s">
        <v>5969</v>
      </c>
    </row>
    <row r="1814" spans="1:3" x14ac:dyDescent="0.25">
      <c r="A1814" t="s">
        <v>197</v>
      </c>
      <c r="B1814" t="s">
        <v>197</v>
      </c>
      <c r="C1814" t="s">
        <v>5969</v>
      </c>
    </row>
    <row r="1815" spans="1:3" x14ac:dyDescent="0.25">
      <c r="A1815" t="s">
        <v>1048</v>
      </c>
      <c r="B1815" t="s">
        <v>6161</v>
      </c>
      <c r="C1815" t="s">
        <v>5969</v>
      </c>
    </row>
    <row r="1816" spans="1:3" x14ac:dyDescent="0.25">
      <c r="A1816" t="s">
        <v>94</v>
      </c>
      <c r="B1816" t="s">
        <v>94</v>
      </c>
      <c r="C1816" t="s">
        <v>5969</v>
      </c>
    </row>
    <row r="1817" spans="1:3" x14ac:dyDescent="0.25">
      <c r="A1817" t="s">
        <v>530</v>
      </c>
      <c r="B1817" t="s">
        <v>6162</v>
      </c>
      <c r="C1817" t="s">
        <v>5969</v>
      </c>
    </row>
    <row r="1818" spans="1:3" x14ac:dyDescent="0.25">
      <c r="A1818" t="s">
        <v>317</v>
      </c>
      <c r="B1818" t="s">
        <v>317</v>
      </c>
      <c r="C1818" t="s">
        <v>5969</v>
      </c>
    </row>
    <row r="1819" spans="1:3" x14ac:dyDescent="0.25">
      <c r="A1819" t="s">
        <v>1107</v>
      </c>
      <c r="B1819" t="s">
        <v>6001</v>
      </c>
      <c r="C1819" t="s">
        <v>5969</v>
      </c>
    </row>
    <row r="1820" spans="1:3" x14ac:dyDescent="0.25">
      <c r="A1820" t="s">
        <v>801</v>
      </c>
      <c r="B1820" t="s">
        <v>6163</v>
      </c>
      <c r="C1820" t="s">
        <v>5969</v>
      </c>
    </row>
    <row r="1821" spans="1:3" x14ac:dyDescent="0.25">
      <c r="A1821" t="s">
        <v>971</v>
      </c>
      <c r="B1821" t="s">
        <v>6164</v>
      </c>
      <c r="C1821" t="s">
        <v>5969</v>
      </c>
    </row>
    <row r="1822" spans="1:3" x14ac:dyDescent="0.25">
      <c r="A1822" t="s">
        <v>69</v>
      </c>
      <c r="B1822" t="s">
        <v>69</v>
      </c>
      <c r="C1822" t="s">
        <v>5969</v>
      </c>
    </row>
    <row r="1823" spans="1:3" x14ac:dyDescent="0.25">
      <c r="A1823" t="s">
        <v>1273</v>
      </c>
      <c r="B1823" t="s">
        <v>1273</v>
      </c>
      <c r="C1823" t="s">
        <v>5969</v>
      </c>
    </row>
    <row r="1824" spans="1:3" x14ac:dyDescent="0.25">
      <c r="A1824" t="s">
        <v>228</v>
      </c>
      <c r="B1824" t="s">
        <v>228</v>
      </c>
      <c r="C1824" t="s">
        <v>5969</v>
      </c>
    </row>
    <row r="1825" spans="1:3" x14ac:dyDescent="0.25">
      <c r="A1825" t="s">
        <v>939</v>
      </c>
      <c r="B1825" t="s">
        <v>939</v>
      </c>
      <c r="C1825" t="s">
        <v>5969</v>
      </c>
    </row>
    <row r="1826" spans="1:3" x14ac:dyDescent="0.25">
      <c r="A1826" t="s">
        <v>1627</v>
      </c>
      <c r="B1826" t="s">
        <v>6165</v>
      </c>
      <c r="C1826" t="s">
        <v>5969</v>
      </c>
    </row>
    <row r="1827" spans="1:3" x14ac:dyDescent="0.25">
      <c r="A1827" t="s">
        <v>293</v>
      </c>
      <c r="B1827" t="s">
        <v>293</v>
      </c>
      <c r="C1827" t="s">
        <v>5969</v>
      </c>
    </row>
    <row r="1828" spans="1:3" x14ac:dyDescent="0.25">
      <c r="A1828" t="s">
        <v>440</v>
      </c>
      <c r="B1828" t="s">
        <v>6166</v>
      </c>
      <c r="C1828" t="s">
        <v>5969</v>
      </c>
    </row>
    <row r="1829" spans="1:3" x14ac:dyDescent="0.25">
      <c r="A1829" t="s">
        <v>883</v>
      </c>
      <c r="B1829" t="s">
        <v>6167</v>
      </c>
      <c r="C1829" t="s">
        <v>5969</v>
      </c>
    </row>
    <row r="1830" spans="1:3" x14ac:dyDescent="0.25">
      <c r="A1830" t="s">
        <v>1638</v>
      </c>
      <c r="B1830" t="s">
        <v>1638</v>
      </c>
      <c r="C1830" t="s">
        <v>5969</v>
      </c>
    </row>
    <row r="1831" spans="1:3" x14ac:dyDescent="0.25">
      <c r="A1831" t="s">
        <v>893</v>
      </c>
      <c r="B1831" t="s">
        <v>6168</v>
      </c>
      <c r="C1831" t="s">
        <v>5969</v>
      </c>
    </row>
    <row r="1832" spans="1:3" x14ac:dyDescent="0.25">
      <c r="A1832" t="s">
        <v>881</v>
      </c>
      <c r="B1832" t="s">
        <v>881</v>
      </c>
      <c r="C1832" t="s">
        <v>5969</v>
      </c>
    </row>
    <row r="1833" spans="1:3" x14ac:dyDescent="0.25">
      <c r="A1833" t="s">
        <v>891</v>
      </c>
      <c r="B1833" t="s">
        <v>891</v>
      </c>
      <c r="C1833" t="s">
        <v>5969</v>
      </c>
    </row>
    <row r="1834" spans="1:3" x14ac:dyDescent="0.25">
      <c r="A1834" t="s">
        <v>934</v>
      </c>
      <c r="B1834" t="s">
        <v>6169</v>
      </c>
      <c r="C1834" t="s">
        <v>5969</v>
      </c>
    </row>
    <row r="1835" spans="1:3" x14ac:dyDescent="0.25">
      <c r="A1835" t="s">
        <v>682</v>
      </c>
      <c r="B1835" t="s">
        <v>6170</v>
      </c>
      <c r="C1835" t="s">
        <v>5969</v>
      </c>
    </row>
    <row r="1836" spans="1:3" x14ac:dyDescent="0.25">
      <c r="A1836" t="s">
        <v>680</v>
      </c>
      <c r="B1836" t="s">
        <v>6171</v>
      </c>
      <c r="C1836" t="s">
        <v>5969</v>
      </c>
    </row>
    <row r="1837" spans="1:3" x14ac:dyDescent="0.25">
      <c r="A1837" t="s">
        <v>332</v>
      </c>
      <c r="B1837" t="s">
        <v>332</v>
      </c>
      <c r="C1837" t="s">
        <v>5969</v>
      </c>
    </row>
    <row r="1838" spans="1:3" x14ac:dyDescent="0.25">
      <c r="A1838" t="s">
        <v>456</v>
      </c>
      <c r="B1838" t="s">
        <v>6172</v>
      </c>
      <c r="C1838" t="s">
        <v>5969</v>
      </c>
    </row>
    <row r="1839" spans="1:3" x14ac:dyDescent="0.25">
      <c r="A1839" t="s">
        <v>1225</v>
      </c>
      <c r="B1839" t="s">
        <v>1225</v>
      </c>
      <c r="C1839" t="s">
        <v>5969</v>
      </c>
    </row>
    <row r="1840" spans="1:3" x14ac:dyDescent="0.25">
      <c r="A1840" t="s">
        <v>1025</v>
      </c>
      <c r="B1840" t="s">
        <v>6173</v>
      </c>
      <c r="C1840" t="s">
        <v>5969</v>
      </c>
    </row>
    <row r="1841" spans="1:3" x14ac:dyDescent="0.25">
      <c r="A1841" t="s">
        <v>1247</v>
      </c>
      <c r="B1841" t="s">
        <v>6174</v>
      </c>
      <c r="C1841" t="s">
        <v>5969</v>
      </c>
    </row>
    <row r="1842" spans="1:3" x14ac:dyDescent="0.25">
      <c r="A1842" t="s">
        <v>639</v>
      </c>
      <c r="B1842" t="s">
        <v>6175</v>
      </c>
      <c r="C1842" t="s">
        <v>5969</v>
      </c>
    </row>
    <row r="1843" spans="1:3" x14ac:dyDescent="0.25">
      <c r="A1843" t="s">
        <v>833</v>
      </c>
      <c r="B1843" t="s">
        <v>833</v>
      </c>
      <c r="C1843" t="s">
        <v>5969</v>
      </c>
    </row>
    <row r="1844" spans="1:3" x14ac:dyDescent="0.25">
      <c r="A1844" t="s">
        <v>836</v>
      </c>
      <c r="B1844" t="s">
        <v>836</v>
      </c>
      <c r="C1844" t="s">
        <v>5969</v>
      </c>
    </row>
    <row r="1845" spans="1:3" x14ac:dyDescent="0.25">
      <c r="A1845" t="s">
        <v>739</v>
      </c>
      <c r="B1845" t="s">
        <v>739</v>
      </c>
      <c r="C1845" t="s">
        <v>5969</v>
      </c>
    </row>
    <row r="1846" spans="1:3" x14ac:dyDescent="0.25">
      <c r="A1846" t="s">
        <v>995</v>
      </c>
      <c r="B1846" t="s">
        <v>6176</v>
      </c>
      <c r="C1846" t="s">
        <v>5969</v>
      </c>
    </row>
    <row r="1847" spans="1:3" x14ac:dyDescent="0.25">
      <c r="A1847" t="s">
        <v>968</v>
      </c>
      <c r="B1847" t="s">
        <v>6177</v>
      </c>
      <c r="C1847" t="s">
        <v>5969</v>
      </c>
    </row>
    <row r="1848" spans="1:3" x14ac:dyDescent="0.25">
      <c r="A1848" t="s">
        <v>643</v>
      </c>
      <c r="B1848" t="s">
        <v>6178</v>
      </c>
      <c r="C1848" t="s">
        <v>5969</v>
      </c>
    </row>
    <row r="1849" spans="1:3" x14ac:dyDescent="0.25">
      <c r="A1849" t="s">
        <v>1288</v>
      </c>
      <c r="B1849" t="s">
        <v>1288</v>
      </c>
      <c r="C1849" t="s">
        <v>5969</v>
      </c>
    </row>
    <row r="1850" spans="1:3" x14ac:dyDescent="0.25">
      <c r="A1850" t="s">
        <v>850</v>
      </c>
      <c r="B1850" t="s">
        <v>850</v>
      </c>
      <c r="C1850" t="s">
        <v>5969</v>
      </c>
    </row>
    <row r="1851" spans="1:3" x14ac:dyDescent="0.25">
      <c r="A1851" t="s">
        <v>1197</v>
      </c>
      <c r="B1851" t="s">
        <v>1197</v>
      </c>
      <c r="C1851" t="s">
        <v>5969</v>
      </c>
    </row>
    <row r="1852" spans="1:3" x14ac:dyDescent="0.25">
      <c r="A1852" t="s">
        <v>948</v>
      </c>
      <c r="B1852" t="s">
        <v>6179</v>
      </c>
      <c r="C1852" t="s">
        <v>5969</v>
      </c>
    </row>
    <row r="1853" spans="1:3" x14ac:dyDescent="0.25">
      <c r="A1853" t="s">
        <v>947</v>
      </c>
      <c r="B1853" t="s">
        <v>5991</v>
      </c>
      <c r="C1853" t="s">
        <v>5969</v>
      </c>
    </row>
    <row r="1854" spans="1:3" x14ac:dyDescent="0.25">
      <c r="A1854" t="s">
        <v>722</v>
      </c>
      <c r="B1854" t="s">
        <v>6180</v>
      </c>
      <c r="C1854" t="s">
        <v>5969</v>
      </c>
    </row>
    <row r="1855" spans="1:3" x14ac:dyDescent="0.25">
      <c r="A1855" t="s">
        <v>720</v>
      </c>
      <c r="B1855" t="s">
        <v>720</v>
      </c>
      <c r="C1855" t="s">
        <v>5969</v>
      </c>
    </row>
    <row r="1856" spans="1:3" x14ac:dyDescent="0.25">
      <c r="A1856" t="s">
        <v>804</v>
      </c>
      <c r="B1856" t="s">
        <v>804</v>
      </c>
      <c r="C1856" t="s">
        <v>5969</v>
      </c>
    </row>
    <row r="1857" spans="1:3" x14ac:dyDescent="0.25">
      <c r="A1857" t="s">
        <v>1167</v>
      </c>
      <c r="B1857" t="s">
        <v>6181</v>
      </c>
      <c r="C1857" t="s">
        <v>5969</v>
      </c>
    </row>
    <row r="1858" spans="1:3" x14ac:dyDescent="0.25">
      <c r="A1858" t="s">
        <v>1079</v>
      </c>
      <c r="B1858" t="s">
        <v>1079</v>
      </c>
      <c r="C1858" t="s">
        <v>5969</v>
      </c>
    </row>
    <row r="1859" spans="1:3" x14ac:dyDescent="0.25">
      <c r="A1859" t="s">
        <v>1233</v>
      </c>
      <c r="B1859" t="s">
        <v>1233</v>
      </c>
      <c r="C1859" t="s">
        <v>5969</v>
      </c>
    </row>
    <row r="1860" spans="1:3" x14ac:dyDescent="0.25">
      <c r="A1860" t="s">
        <v>1312</v>
      </c>
      <c r="B1860" t="s">
        <v>1312</v>
      </c>
      <c r="C1860" t="s">
        <v>5969</v>
      </c>
    </row>
    <row r="1861" spans="1:3" x14ac:dyDescent="0.25">
      <c r="A1861" t="s">
        <v>1138</v>
      </c>
      <c r="B1861" t="s">
        <v>1138</v>
      </c>
      <c r="C1861" t="s">
        <v>5969</v>
      </c>
    </row>
    <row r="1862" spans="1:3" x14ac:dyDescent="0.25">
      <c r="A1862" t="s">
        <v>621</v>
      </c>
      <c r="B1862" t="s">
        <v>621</v>
      </c>
      <c r="C1862" t="s">
        <v>5969</v>
      </c>
    </row>
    <row r="1863" spans="1:3" x14ac:dyDescent="0.25">
      <c r="A1863" t="s">
        <v>1291</v>
      </c>
      <c r="B1863" t="s">
        <v>1291</v>
      </c>
      <c r="C1863" t="s">
        <v>5969</v>
      </c>
    </row>
    <row r="1864" spans="1:3" x14ac:dyDescent="0.25">
      <c r="A1864" t="s">
        <v>372</v>
      </c>
      <c r="B1864" t="s">
        <v>6182</v>
      </c>
      <c r="C1864" t="s">
        <v>5969</v>
      </c>
    </row>
    <row r="1865" spans="1:3" x14ac:dyDescent="0.25">
      <c r="A1865" t="s">
        <v>136</v>
      </c>
      <c r="B1865" t="s">
        <v>136</v>
      </c>
      <c r="C1865" t="s">
        <v>5969</v>
      </c>
    </row>
    <row r="1866" spans="1:3" x14ac:dyDescent="0.25">
      <c r="A1866" t="s">
        <v>1058</v>
      </c>
      <c r="B1866" t="s">
        <v>1058</v>
      </c>
      <c r="C1866" t="s">
        <v>5969</v>
      </c>
    </row>
    <row r="1867" spans="1:3" x14ac:dyDescent="0.25">
      <c r="A1867" t="s">
        <v>790</v>
      </c>
      <c r="B1867" t="s">
        <v>6183</v>
      </c>
      <c r="C1867" t="s">
        <v>5969</v>
      </c>
    </row>
    <row r="1868" spans="1:3" x14ac:dyDescent="0.25">
      <c r="A1868" t="s">
        <v>640</v>
      </c>
      <c r="B1868" t="s">
        <v>640</v>
      </c>
      <c r="C1868" t="s">
        <v>5969</v>
      </c>
    </row>
    <row r="1869" spans="1:3" x14ac:dyDescent="0.25">
      <c r="A1869" t="s">
        <v>1045</v>
      </c>
      <c r="B1869" t="s">
        <v>1045</v>
      </c>
      <c r="C1869" t="s">
        <v>5969</v>
      </c>
    </row>
    <row r="1870" spans="1:3" x14ac:dyDescent="0.25">
      <c r="A1870" t="s">
        <v>726</v>
      </c>
      <c r="B1870" t="s">
        <v>726</v>
      </c>
      <c r="C1870" t="s">
        <v>5969</v>
      </c>
    </row>
    <row r="1871" spans="1:3" x14ac:dyDescent="0.25">
      <c r="A1871" t="s">
        <v>400</v>
      </c>
      <c r="B1871" t="s">
        <v>6184</v>
      </c>
      <c r="C1871" t="s">
        <v>5969</v>
      </c>
    </row>
    <row r="1872" spans="1:3" x14ac:dyDescent="0.25">
      <c r="A1872" t="s">
        <v>762</v>
      </c>
      <c r="B1872" t="s">
        <v>6185</v>
      </c>
      <c r="C1872" t="s">
        <v>5969</v>
      </c>
    </row>
    <row r="1873" spans="1:3" x14ac:dyDescent="0.25">
      <c r="A1873" t="s">
        <v>1231</v>
      </c>
      <c r="B1873" t="s">
        <v>1231</v>
      </c>
      <c r="C1873" t="s">
        <v>5969</v>
      </c>
    </row>
    <row r="1874" spans="1:3" x14ac:dyDescent="0.25">
      <c r="A1874" t="s">
        <v>916</v>
      </c>
      <c r="B1874" t="s">
        <v>6186</v>
      </c>
      <c r="C1874" t="s">
        <v>5969</v>
      </c>
    </row>
    <row r="1875" spans="1:3" x14ac:dyDescent="0.25">
      <c r="A1875" t="s">
        <v>1228</v>
      </c>
      <c r="B1875" t="s">
        <v>6187</v>
      </c>
      <c r="C1875" t="s">
        <v>5969</v>
      </c>
    </row>
    <row r="1876" spans="1:3" x14ac:dyDescent="0.25">
      <c r="A1876" t="s">
        <v>1165</v>
      </c>
      <c r="B1876" t="s">
        <v>1165</v>
      </c>
      <c r="C1876" t="s">
        <v>5969</v>
      </c>
    </row>
    <row r="1877" spans="1:3" x14ac:dyDescent="0.25">
      <c r="A1877" t="s">
        <v>721</v>
      </c>
      <c r="B1877" t="s">
        <v>6188</v>
      </c>
      <c r="C1877" t="s">
        <v>5969</v>
      </c>
    </row>
    <row r="1878" spans="1:3" x14ac:dyDescent="0.25">
      <c r="A1878" t="s">
        <v>1300</v>
      </c>
      <c r="B1878" t="s">
        <v>6189</v>
      </c>
      <c r="C1878" t="s">
        <v>5969</v>
      </c>
    </row>
    <row r="1879" spans="1:3" x14ac:dyDescent="0.25">
      <c r="A1879" t="s">
        <v>675</v>
      </c>
      <c r="B1879" t="s">
        <v>6190</v>
      </c>
      <c r="C1879" t="s">
        <v>5969</v>
      </c>
    </row>
    <row r="1880" spans="1:3" x14ac:dyDescent="0.25">
      <c r="A1880" t="s">
        <v>6191</v>
      </c>
      <c r="B1880" t="s">
        <v>6191</v>
      </c>
      <c r="C1880" t="s">
        <v>5969</v>
      </c>
    </row>
    <row r="1881" spans="1:3" x14ac:dyDescent="0.25">
      <c r="A1881" t="s">
        <v>21</v>
      </c>
      <c r="B1881" t="s">
        <v>21</v>
      </c>
      <c r="C1881" t="s">
        <v>5969</v>
      </c>
    </row>
    <row r="1882" spans="1:3" x14ac:dyDescent="0.25">
      <c r="A1882" t="s">
        <v>499</v>
      </c>
      <c r="B1882" t="s">
        <v>6192</v>
      </c>
      <c r="C1882" t="s">
        <v>5969</v>
      </c>
    </row>
    <row r="1883" spans="1:3" x14ac:dyDescent="0.25">
      <c r="A1883" t="s">
        <v>771</v>
      </c>
      <c r="B1883" t="s">
        <v>6193</v>
      </c>
      <c r="C1883" t="s">
        <v>5969</v>
      </c>
    </row>
    <row r="1884" spans="1:3" x14ac:dyDescent="0.25">
      <c r="A1884" t="s">
        <v>395</v>
      </c>
      <c r="B1884" t="s">
        <v>395</v>
      </c>
      <c r="C1884" t="s">
        <v>5969</v>
      </c>
    </row>
    <row r="1885" spans="1:3" x14ac:dyDescent="0.25">
      <c r="A1885" t="s">
        <v>1624</v>
      </c>
      <c r="B1885" t="s">
        <v>6194</v>
      </c>
      <c r="C1885" t="s">
        <v>5969</v>
      </c>
    </row>
    <row r="1886" spans="1:3" x14ac:dyDescent="0.25">
      <c r="A1886" t="s">
        <v>848</v>
      </c>
      <c r="B1886" t="s">
        <v>848</v>
      </c>
      <c r="C1886" t="s">
        <v>5969</v>
      </c>
    </row>
    <row r="1887" spans="1:3" x14ac:dyDescent="0.25">
      <c r="A1887" t="s">
        <v>1285</v>
      </c>
      <c r="B1887" t="s">
        <v>1285</v>
      </c>
      <c r="C1887" t="s">
        <v>5969</v>
      </c>
    </row>
    <row r="1888" spans="1:3" x14ac:dyDescent="0.25">
      <c r="A1888" t="s">
        <v>666</v>
      </c>
      <c r="B1888" t="s">
        <v>666</v>
      </c>
      <c r="C1888" t="s">
        <v>5969</v>
      </c>
    </row>
    <row r="1889" spans="1:3" x14ac:dyDescent="0.25">
      <c r="A1889" t="s">
        <v>851</v>
      </c>
      <c r="B1889" t="s">
        <v>851</v>
      </c>
      <c r="C1889" t="s">
        <v>5969</v>
      </c>
    </row>
    <row r="1890" spans="1:3" x14ac:dyDescent="0.25">
      <c r="A1890" t="s">
        <v>523</v>
      </c>
      <c r="B1890" t="s">
        <v>6195</v>
      </c>
      <c r="C1890" t="s">
        <v>5969</v>
      </c>
    </row>
    <row r="1891" spans="1:3" x14ac:dyDescent="0.25">
      <c r="A1891" t="s">
        <v>645</v>
      </c>
      <c r="B1891" t="s">
        <v>6196</v>
      </c>
      <c r="C1891" t="s">
        <v>5969</v>
      </c>
    </row>
    <row r="1892" spans="1:3" x14ac:dyDescent="0.25">
      <c r="A1892" t="s">
        <v>899</v>
      </c>
      <c r="B1892" t="s">
        <v>6197</v>
      </c>
      <c r="C1892" t="s">
        <v>5969</v>
      </c>
    </row>
    <row r="1893" spans="1:3" x14ac:dyDescent="0.25">
      <c r="A1893" t="s">
        <v>527</v>
      </c>
      <c r="B1893" t="s">
        <v>6198</v>
      </c>
      <c r="C1893" t="s">
        <v>5969</v>
      </c>
    </row>
    <row r="1894" spans="1:3" x14ac:dyDescent="0.25">
      <c r="A1894" t="s">
        <v>443</v>
      </c>
      <c r="B1894" t="s">
        <v>443</v>
      </c>
      <c r="C1894" t="s">
        <v>5969</v>
      </c>
    </row>
    <row r="1895" spans="1:3" x14ac:dyDescent="0.25">
      <c r="A1895" t="s">
        <v>816</v>
      </c>
      <c r="B1895" t="s">
        <v>816</v>
      </c>
      <c r="C1895" t="s">
        <v>5969</v>
      </c>
    </row>
    <row r="1896" spans="1:3" x14ac:dyDescent="0.25">
      <c r="A1896" t="s">
        <v>637</v>
      </c>
      <c r="B1896" t="s">
        <v>6199</v>
      </c>
      <c r="C1896" t="s">
        <v>5969</v>
      </c>
    </row>
    <row r="1897" spans="1:3" x14ac:dyDescent="0.25">
      <c r="A1897" t="s">
        <v>1101</v>
      </c>
      <c r="B1897" t="s">
        <v>1101</v>
      </c>
      <c r="C1897" t="s">
        <v>5969</v>
      </c>
    </row>
    <row r="1898" spans="1:3" x14ac:dyDescent="0.25">
      <c r="A1898" t="s">
        <v>1242</v>
      </c>
      <c r="B1898" t="s">
        <v>6200</v>
      </c>
      <c r="C1898" t="s">
        <v>5969</v>
      </c>
    </row>
    <row r="1899" spans="1:3" x14ac:dyDescent="0.25">
      <c r="A1899" t="s">
        <v>657</v>
      </c>
      <c r="B1899" t="s">
        <v>6201</v>
      </c>
      <c r="C1899" t="s">
        <v>5969</v>
      </c>
    </row>
    <row r="1900" spans="1:3" x14ac:dyDescent="0.25">
      <c r="A1900" t="s">
        <v>704</v>
      </c>
      <c r="B1900" t="s">
        <v>6202</v>
      </c>
      <c r="C1900" t="s">
        <v>5969</v>
      </c>
    </row>
    <row r="1901" spans="1:3" x14ac:dyDescent="0.25">
      <c r="A1901" t="s">
        <v>422</v>
      </c>
      <c r="B1901" t="s">
        <v>6203</v>
      </c>
      <c r="C1901" t="s">
        <v>5969</v>
      </c>
    </row>
    <row r="1902" spans="1:3" x14ac:dyDescent="0.25">
      <c r="A1902" t="s">
        <v>425</v>
      </c>
      <c r="B1902" t="s">
        <v>425</v>
      </c>
      <c r="C1902" t="s">
        <v>5969</v>
      </c>
    </row>
    <row r="1903" spans="1:3" x14ac:dyDescent="0.25">
      <c r="A1903" t="s">
        <v>1226</v>
      </c>
      <c r="B1903" t="s">
        <v>6204</v>
      </c>
      <c r="C1903" t="s">
        <v>5969</v>
      </c>
    </row>
    <row r="1904" spans="1:3" x14ac:dyDescent="0.25">
      <c r="A1904" t="s">
        <v>705</v>
      </c>
      <c r="B1904" t="s">
        <v>705</v>
      </c>
      <c r="C1904" t="s">
        <v>5969</v>
      </c>
    </row>
    <row r="1905" spans="1:3" x14ac:dyDescent="0.25">
      <c r="A1905" t="s">
        <v>1621</v>
      </c>
      <c r="B1905" t="s">
        <v>1621</v>
      </c>
      <c r="C1905" t="s">
        <v>5969</v>
      </c>
    </row>
    <row r="1906" spans="1:3" x14ac:dyDescent="0.25">
      <c r="A1906" t="s">
        <v>746</v>
      </c>
      <c r="B1906" t="s">
        <v>6205</v>
      </c>
      <c r="C1906" t="s">
        <v>5969</v>
      </c>
    </row>
    <row r="1907" spans="1:3" x14ac:dyDescent="0.25">
      <c r="A1907" t="s">
        <v>928</v>
      </c>
      <c r="B1907" t="s">
        <v>6206</v>
      </c>
      <c r="C1907" t="s">
        <v>5969</v>
      </c>
    </row>
    <row r="1908" spans="1:3" x14ac:dyDescent="0.25">
      <c r="A1908" t="s">
        <v>879</v>
      </c>
      <c r="B1908" t="s">
        <v>6207</v>
      </c>
      <c r="C1908" t="s">
        <v>5969</v>
      </c>
    </row>
    <row r="1909" spans="1:3" x14ac:dyDescent="0.25">
      <c r="A1909" t="s">
        <v>950</v>
      </c>
      <c r="B1909" t="s">
        <v>6208</v>
      </c>
      <c r="C1909" t="s">
        <v>5969</v>
      </c>
    </row>
    <row r="1910" spans="1:3" x14ac:dyDescent="0.25">
      <c r="A1910" t="s">
        <v>1232</v>
      </c>
      <c r="B1910" t="s">
        <v>6209</v>
      </c>
      <c r="C1910" t="s">
        <v>5969</v>
      </c>
    </row>
    <row r="1911" spans="1:3" x14ac:dyDescent="0.25">
      <c r="A1911" t="s">
        <v>1251</v>
      </c>
      <c r="B1911" t="s">
        <v>6210</v>
      </c>
      <c r="C1911" t="s">
        <v>5969</v>
      </c>
    </row>
    <row r="1912" spans="1:3" x14ac:dyDescent="0.25">
      <c r="A1912" t="s">
        <v>366</v>
      </c>
      <c r="B1912" t="s">
        <v>6211</v>
      </c>
      <c r="C1912" t="s">
        <v>5969</v>
      </c>
    </row>
    <row r="1913" spans="1:3" x14ac:dyDescent="0.25">
      <c r="A1913" t="s">
        <v>589</v>
      </c>
      <c r="B1913" t="s">
        <v>6212</v>
      </c>
      <c r="C1913" t="s">
        <v>5969</v>
      </c>
    </row>
    <row r="1914" spans="1:3" x14ac:dyDescent="0.25">
      <c r="A1914" t="s">
        <v>1260</v>
      </c>
      <c r="B1914" t="s">
        <v>1260</v>
      </c>
      <c r="C1914" t="s">
        <v>5969</v>
      </c>
    </row>
    <row r="1915" spans="1:3" x14ac:dyDescent="0.25">
      <c r="A1915" t="s">
        <v>1255</v>
      </c>
      <c r="B1915" t="s">
        <v>1255</v>
      </c>
      <c r="C1915" t="s">
        <v>5969</v>
      </c>
    </row>
    <row r="1916" spans="1:3" x14ac:dyDescent="0.25">
      <c r="A1916" t="s">
        <v>919</v>
      </c>
      <c r="B1916" t="s">
        <v>6213</v>
      </c>
      <c r="C1916" t="s">
        <v>5969</v>
      </c>
    </row>
    <row r="1917" spans="1:3" x14ac:dyDescent="0.25">
      <c r="A1917" t="s">
        <v>390</v>
      </c>
      <c r="B1917" t="s">
        <v>6214</v>
      </c>
      <c r="C1917" t="s">
        <v>5969</v>
      </c>
    </row>
    <row r="1918" spans="1:3" x14ac:dyDescent="0.25">
      <c r="A1918" t="s">
        <v>188</v>
      </c>
      <c r="B1918" t="s">
        <v>188</v>
      </c>
      <c r="C1918" t="s">
        <v>5969</v>
      </c>
    </row>
    <row r="1919" spans="1:3" x14ac:dyDescent="0.25">
      <c r="A1919" t="s">
        <v>678</v>
      </c>
      <c r="B1919" t="s">
        <v>6215</v>
      </c>
      <c r="C1919" t="s">
        <v>5969</v>
      </c>
    </row>
    <row r="1920" spans="1:3" x14ac:dyDescent="0.25">
      <c r="A1920" t="s">
        <v>355</v>
      </c>
      <c r="B1920" t="s">
        <v>6216</v>
      </c>
      <c r="C1920" t="s">
        <v>5969</v>
      </c>
    </row>
    <row r="1921" spans="1:3" x14ac:dyDescent="0.25">
      <c r="A1921" t="s">
        <v>606</v>
      </c>
      <c r="B1921" t="s">
        <v>6217</v>
      </c>
      <c r="C1921" t="s">
        <v>5969</v>
      </c>
    </row>
    <row r="1922" spans="1:3" x14ac:dyDescent="0.25">
      <c r="A1922" t="s">
        <v>1112</v>
      </c>
      <c r="B1922" t="s">
        <v>1112</v>
      </c>
      <c r="C1922" t="s">
        <v>5969</v>
      </c>
    </row>
    <row r="1923" spans="1:3" x14ac:dyDescent="0.25">
      <c r="A1923" t="s">
        <v>230</v>
      </c>
      <c r="B1923" t="s">
        <v>230</v>
      </c>
      <c r="C1923" t="s">
        <v>5969</v>
      </c>
    </row>
    <row r="1924" spans="1:3" x14ac:dyDescent="0.25">
      <c r="A1924" t="s">
        <v>1244</v>
      </c>
      <c r="B1924" t="s">
        <v>1244</v>
      </c>
      <c r="C1924" t="s">
        <v>5969</v>
      </c>
    </row>
    <row r="1925" spans="1:3" x14ac:dyDescent="0.25">
      <c r="A1925" t="s">
        <v>887</v>
      </c>
      <c r="B1925" t="s">
        <v>6218</v>
      </c>
      <c r="C1925" t="s">
        <v>5969</v>
      </c>
    </row>
    <row r="1926" spans="1:3" x14ac:dyDescent="0.25">
      <c r="A1926" t="s">
        <v>884</v>
      </c>
      <c r="B1926" t="s">
        <v>6219</v>
      </c>
      <c r="C1926" t="s">
        <v>5969</v>
      </c>
    </row>
    <row r="1927" spans="1:3" x14ac:dyDescent="0.25">
      <c r="A1927" t="s">
        <v>570</v>
      </c>
      <c r="B1927" t="s">
        <v>6220</v>
      </c>
      <c r="C1927" t="s">
        <v>5969</v>
      </c>
    </row>
    <row r="1928" spans="1:3" x14ac:dyDescent="0.25">
      <c r="A1928" t="s">
        <v>264</v>
      </c>
      <c r="B1928" t="s">
        <v>264</v>
      </c>
      <c r="C1928" t="s">
        <v>5969</v>
      </c>
    </row>
    <row r="1929" spans="1:3" x14ac:dyDescent="0.25">
      <c r="A1929" t="s">
        <v>586</v>
      </c>
      <c r="B1929" t="s">
        <v>6221</v>
      </c>
      <c r="C1929" t="s">
        <v>5969</v>
      </c>
    </row>
    <row r="1930" spans="1:3" x14ac:dyDescent="0.25">
      <c r="A1930" t="s">
        <v>369</v>
      </c>
      <c r="B1930" t="s">
        <v>369</v>
      </c>
      <c r="C1930" t="s">
        <v>5969</v>
      </c>
    </row>
    <row r="1931" spans="1:3" x14ac:dyDescent="0.25">
      <c r="A1931" t="s">
        <v>1063</v>
      </c>
      <c r="B1931" t="s">
        <v>1063</v>
      </c>
      <c r="C1931" t="s">
        <v>5969</v>
      </c>
    </row>
    <row r="1932" spans="1:3" x14ac:dyDescent="0.25">
      <c r="A1932" t="s">
        <v>428</v>
      </c>
      <c r="B1932" t="s">
        <v>6222</v>
      </c>
      <c r="C1932" t="s">
        <v>5969</v>
      </c>
    </row>
    <row r="1933" spans="1:3" x14ac:dyDescent="0.25">
      <c r="A1933" t="s">
        <v>420</v>
      </c>
      <c r="B1933" t="s">
        <v>6223</v>
      </c>
      <c r="C1933" t="s">
        <v>5969</v>
      </c>
    </row>
    <row r="1934" spans="1:3" x14ac:dyDescent="0.25">
      <c r="A1934" t="s">
        <v>1174</v>
      </c>
      <c r="B1934" t="s">
        <v>6224</v>
      </c>
      <c r="C1934" t="s">
        <v>5969</v>
      </c>
    </row>
    <row r="1935" spans="1:3" x14ac:dyDescent="0.25">
      <c r="A1935" t="s">
        <v>1090</v>
      </c>
      <c r="B1935" t="s">
        <v>1090</v>
      </c>
      <c r="C1935" t="s">
        <v>5969</v>
      </c>
    </row>
    <row r="1936" spans="1:3" x14ac:dyDescent="0.25">
      <c r="A1936" t="s">
        <v>556</v>
      </c>
      <c r="B1936" t="s">
        <v>6225</v>
      </c>
      <c r="C1936" t="s">
        <v>5969</v>
      </c>
    </row>
    <row r="1937" spans="1:3" x14ac:dyDescent="0.25">
      <c r="A1937" t="s">
        <v>539</v>
      </c>
      <c r="B1937" t="s">
        <v>6226</v>
      </c>
      <c r="C1937" t="s">
        <v>5969</v>
      </c>
    </row>
    <row r="1938" spans="1:3" x14ac:dyDescent="0.25">
      <c r="A1938" t="s">
        <v>361</v>
      </c>
      <c r="B1938" t="s">
        <v>6227</v>
      </c>
      <c r="C1938" t="s">
        <v>5969</v>
      </c>
    </row>
    <row r="1939" spans="1:3" x14ac:dyDescent="0.25">
      <c r="A1939" t="s">
        <v>1120</v>
      </c>
      <c r="B1939" t="s">
        <v>1120</v>
      </c>
      <c r="C1939" t="s">
        <v>5969</v>
      </c>
    </row>
    <row r="1940" spans="1:3" x14ac:dyDescent="0.25">
      <c r="A1940" t="s">
        <v>1091</v>
      </c>
      <c r="B1940" t="s">
        <v>1091</v>
      </c>
      <c r="C1940" t="s">
        <v>5969</v>
      </c>
    </row>
    <row r="1941" spans="1:3" x14ac:dyDescent="0.25">
      <c r="A1941" t="s">
        <v>634</v>
      </c>
      <c r="B1941" t="s">
        <v>6228</v>
      </c>
      <c r="C1941" t="s">
        <v>5969</v>
      </c>
    </row>
    <row r="1942" spans="1:3" x14ac:dyDescent="0.25">
      <c r="A1942" t="s">
        <v>727</v>
      </c>
      <c r="B1942" t="s">
        <v>6229</v>
      </c>
      <c r="C1942" t="s">
        <v>5969</v>
      </c>
    </row>
    <row r="1943" spans="1:3" x14ac:dyDescent="0.25">
      <c r="A1943" t="s">
        <v>542</v>
      </c>
      <c r="B1943" t="s">
        <v>6230</v>
      </c>
      <c r="C1943" t="s">
        <v>5969</v>
      </c>
    </row>
    <row r="1944" spans="1:3" x14ac:dyDescent="0.25">
      <c r="A1944" t="s">
        <v>956</v>
      </c>
      <c r="B1944" t="s">
        <v>956</v>
      </c>
      <c r="C1944" t="s">
        <v>5969</v>
      </c>
    </row>
    <row r="1945" spans="1:3" x14ac:dyDescent="0.25">
      <c r="A1945" t="s">
        <v>576</v>
      </c>
      <c r="B1945" t="s">
        <v>6231</v>
      </c>
      <c r="C1945" t="s">
        <v>5969</v>
      </c>
    </row>
    <row r="1946" spans="1:3" x14ac:dyDescent="0.25">
      <c r="A1946" t="s">
        <v>292</v>
      </c>
      <c r="B1946" t="s">
        <v>292</v>
      </c>
      <c r="C1946" t="s">
        <v>5969</v>
      </c>
    </row>
    <row r="1947" spans="1:3" x14ac:dyDescent="0.25">
      <c r="A1947" t="s">
        <v>515</v>
      </c>
      <c r="B1947" t="s">
        <v>6232</v>
      </c>
      <c r="C1947" t="s">
        <v>5969</v>
      </c>
    </row>
    <row r="1948" spans="1:3" x14ac:dyDescent="0.25">
      <c r="A1948" t="s">
        <v>1015</v>
      </c>
      <c r="B1948" t="s">
        <v>1015</v>
      </c>
      <c r="C1948" t="s">
        <v>5969</v>
      </c>
    </row>
    <row r="1949" spans="1:3" x14ac:dyDescent="0.25">
      <c r="A1949" t="s">
        <v>792</v>
      </c>
      <c r="B1949" t="s">
        <v>6233</v>
      </c>
      <c r="C1949" t="s">
        <v>5969</v>
      </c>
    </row>
    <row r="1950" spans="1:3" x14ac:dyDescent="0.25">
      <c r="A1950" t="s">
        <v>797</v>
      </c>
      <c r="B1950" t="s">
        <v>797</v>
      </c>
      <c r="C1950" t="s">
        <v>5969</v>
      </c>
    </row>
    <row r="1951" spans="1:3" x14ac:dyDescent="0.25">
      <c r="A1951" t="s">
        <v>846</v>
      </c>
      <c r="B1951" t="s">
        <v>846</v>
      </c>
      <c r="C1951" t="s">
        <v>5969</v>
      </c>
    </row>
    <row r="1952" spans="1:3" x14ac:dyDescent="0.25">
      <c r="A1952" t="s">
        <v>342</v>
      </c>
      <c r="B1952" t="s">
        <v>342</v>
      </c>
      <c r="C1952" t="s">
        <v>5969</v>
      </c>
    </row>
    <row r="1953" spans="1:3" x14ac:dyDescent="0.25">
      <c r="A1953" t="s">
        <v>459</v>
      </c>
      <c r="B1953" t="s">
        <v>459</v>
      </c>
      <c r="C1953" t="s">
        <v>5969</v>
      </c>
    </row>
    <row r="1954" spans="1:3" x14ac:dyDescent="0.25">
      <c r="A1954" t="s">
        <v>480</v>
      </c>
      <c r="B1954" t="s">
        <v>6234</v>
      </c>
      <c r="C1954" t="s">
        <v>5969</v>
      </c>
    </row>
    <row r="1955" spans="1:3" x14ac:dyDescent="0.25">
      <c r="A1955" t="s">
        <v>761</v>
      </c>
      <c r="B1955" t="s">
        <v>6235</v>
      </c>
      <c r="C1955" t="s">
        <v>5969</v>
      </c>
    </row>
    <row r="1956" spans="1:3" x14ac:dyDescent="0.25">
      <c r="A1956" t="s">
        <v>1135</v>
      </c>
      <c r="B1956" t="s">
        <v>1135</v>
      </c>
      <c r="C1956" t="s">
        <v>5969</v>
      </c>
    </row>
    <row r="1957" spans="1:3" x14ac:dyDescent="0.25">
      <c r="A1957" t="s">
        <v>177</v>
      </c>
      <c r="B1957" t="s">
        <v>6236</v>
      </c>
      <c r="C1957" t="s">
        <v>5969</v>
      </c>
    </row>
    <row r="1958" spans="1:3" x14ac:dyDescent="0.25">
      <c r="A1958" t="s">
        <v>502</v>
      </c>
      <c r="B1958" t="s">
        <v>502</v>
      </c>
      <c r="C1958" t="s">
        <v>5969</v>
      </c>
    </row>
    <row r="1959" spans="1:3" x14ac:dyDescent="0.25">
      <c r="A1959" t="s">
        <v>980</v>
      </c>
      <c r="B1959" t="s">
        <v>980</v>
      </c>
      <c r="C1959" t="s">
        <v>5969</v>
      </c>
    </row>
    <row r="1960" spans="1:3" x14ac:dyDescent="0.25">
      <c r="A1960" t="s">
        <v>933</v>
      </c>
      <c r="B1960" t="s">
        <v>933</v>
      </c>
      <c r="C1960" t="s">
        <v>5969</v>
      </c>
    </row>
    <row r="1961" spans="1:3" x14ac:dyDescent="0.25">
      <c r="A1961" t="s">
        <v>1057</v>
      </c>
      <c r="B1961" t="s">
        <v>1057</v>
      </c>
      <c r="C1961" t="s">
        <v>5969</v>
      </c>
    </row>
    <row r="1962" spans="1:3" x14ac:dyDescent="0.25">
      <c r="A1962" t="s">
        <v>1148</v>
      </c>
      <c r="B1962" t="s">
        <v>6237</v>
      </c>
      <c r="C1962" t="s">
        <v>5969</v>
      </c>
    </row>
    <row r="1963" spans="1:3" x14ac:dyDescent="0.25">
      <c r="A1963" t="s">
        <v>755</v>
      </c>
      <c r="B1963" t="s">
        <v>6238</v>
      </c>
      <c r="C1963" t="s">
        <v>5969</v>
      </c>
    </row>
    <row r="1964" spans="1:3" x14ac:dyDescent="0.25">
      <c r="A1964" t="s">
        <v>978</v>
      </c>
      <c r="B1964" t="s">
        <v>978</v>
      </c>
      <c r="C1964" t="s">
        <v>5969</v>
      </c>
    </row>
    <row r="1965" spans="1:3" x14ac:dyDescent="0.25">
      <c r="A1965" t="s">
        <v>287</v>
      </c>
      <c r="B1965" t="s">
        <v>287</v>
      </c>
      <c r="C1965" t="s">
        <v>5969</v>
      </c>
    </row>
    <row r="1966" spans="1:3" x14ac:dyDescent="0.25">
      <c r="A1966" t="s">
        <v>1248</v>
      </c>
      <c r="B1966" t="s">
        <v>6239</v>
      </c>
      <c r="C1966" t="s">
        <v>5969</v>
      </c>
    </row>
    <row r="1967" spans="1:3" x14ac:dyDescent="0.25">
      <c r="A1967" t="s">
        <v>789</v>
      </c>
      <c r="B1967" t="s">
        <v>789</v>
      </c>
      <c r="C1967" t="s">
        <v>5969</v>
      </c>
    </row>
    <row r="1968" spans="1:3" x14ac:dyDescent="0.25">
      <c r="A1968" t="s">
        <v>162</v>
      </c>
      <c r="B1968" t="s">
        <v>162</v>
      </c>
      <c r="C1968" t="s">
        <v>5969</v>
      </c>
    </row>
    <row r="1969" spans="1:3" x14ac:dyDescent="0.25">
      <c r="A1969" t="s">
        <v>203</v>
      </c>
      <c r="B1969" t="s">
        <v>203</v>
      </c>
      <c r="C1969" t="s">
        <v>5969</v>
      </c>
    </row>
    <row r="1970" spans="1:3" x14ac:dyDescent="0.25">
      <c r="A1970" t="s">
        <v>1279</v>
      </c>
      <c r="B1970" t="s">
        <v>1728</v>
      </c>
      <c r="C1970" t="s">
        <v>5969</v>
      </c>
    </row>
    <row r="1971" spans="1:3" x14ac:dyDescent="0.25">
      <c r="A1971" t="s">
        <v>557</v>
      </c>
      <c r="B1971" t="s">
        <v>557</v>
      </c>
      <c r="C1971" t="s">
        <v>5969</v>
      </c>
    </row>
    <row r="1972" spans="1:3" x14ac:dyDescent="0.25">
      <c r="A1972" t="s">
        <v>1178</v>
      </c>
      <c r="B1972" t="s">
        <v>1178</v>
      </c>
      <c r="C1972" t="s">
        <v>5969</v>
      </c>
    </row>
    <row r="1973" spans="1:3" x14ac:dyDescent="0.25">
      <c r="A1973" t="s">
        <v>1000</v>
      </c>
      <c r="B1973" t="s">
        <v>1000</v>
      </c>
      <c r="C1973" t="s">
        <v>5969</v>
      </c>
    </row>
    <row r="1974" spans="1:3" x14ac:dyDescent="0.25">
      <c r="A1974" t="s">
        <v>250</v>
      </c>
      <c r="B1974" t="s">
        <v>250</v>
      </c>
      <c r="C1974" t="s">
        <v>5969</v>
      </c>
    </row>
    <row r="1975" spans="1:3" x14ac:dyDescent="0.25">
      <c r="A1975" t="s">
        <v>304</v>
      </c>
      <c r="B1975" t="s">
        <v>304</v>
      </c>
      <c r="C1975" t="s">
        <v>5969</v>
      </c>
    </row>
    <row r="1976" spans="1:3" x14ac:dyDescent="0.25">
      <c r="A1976" t="s">
        <v>308</v>
      </c>
      <c r="B1976" t="s">
        <v>308</v>
      </c>
      <c r="C1976" t="s">
        <v>5969</v>
      </c>
    </row>
    <row r="1977" spans="1:3" x14ac:dyDescent="0.25">
      <c r="A1977" t="s">
        <v>559</v>
      </c>
      <c r="B1977" t="s">
        <v>6240</v>
      </c>
      <c r="C1977" t="s">
        <v>5969</v>
      </c>
    </row>
    <row r="1978" spans="1:3" x14ac:dyDescent="0.25">
      <c r="A1978" t="s">
        <v>283</v>
      </c>
      <c r="B1978" t="s">
        <v>283</v>
      </c>
      <c r="C1978" t="s">
        <v>5969</v>
      </c>
    </row>
    <row r="1979" spans="1:3" x14ac:dyDescent="0.25">
      <c r="A1979" t="s">
        <v>479</v>
      </c>
      <c r="B1979" t="s">
        <v>6241</v>
      </c>
      <c r="C1979" t="s">
        <v>5969</v>
      </c>
    </row>
    <row r="1980" spans="1:3" x14ac:dyDescent="0.25">
      <c r="A1980" t="s">
        <v>241</v>
      </c>
      <c r="B1980" t="s">
        <v>241</v>
      </c>
      <c r="C1980" t="s">
        <v>5969</v>
      </c>
    </row>
    <row r="1981" spans="1:3" x14ac:dyDescent="0.25">
      <c r="A1981" t="s">
        <v>695</v>
      </c>
      <c r="B1981" t="s">
        <v>6242</v>
      </c>
      <c r="C1981" t="s">
        <v>5969</v>
      </c>
    </row>
    <row r="1982" spans="1:3" x14ac:dyDescent="0.25">
      <c r="A1982" t="s">
        <v>694</v>
      </c>
      <c r="B1982" t="s">
        <v>6243</v>
      </c>
      <c r="C1982" t="s">
        <v>5969</v>
      </c>
    </row>
    <row r="1983" spans="1:3" x14ac:dyDescent="0.25">
      <c r="A1983" t="s">
        <v>180</v>
      </c>
      <c r="B1983" t="s">
        <v>180</v>
      </c>
      <c r="C1983" t="s">
        <v>5969</v>
      </c>
    </row>
    <row r="1984" spans="1:3" x14ac:dyDescent="0.25">
      <c r="A1984" t="s">
        <v>1044</v>
      </c>
      <c r="B1984" t="s">
        <v>1044</v>
      </c>
      <c r="C1984" t="s">
        <v>5969</v>
      </c>
    </row>
    <row r="1985" spans="1:3" x14ac:dyDescent="0.25">
      <c r="A1985" t="s">
        <v>99</v>
      </c>
      <c r="B1985" t="s">
        <v>99</v>
      </c>
      <c r="C1985" t="s">
        <v>5969</v>
      </c>
    </row>
    <row r="1986" spans="1:3" x14ac:dyDescent="0.25">
      <c r="A1986" t="s">
        <v>299</v>
      </c>
      <c r="B1986" t="s">
        <v>299</v>
      </c>
      <c r="C1986" t="s">
        <v>5969</v>
      </c>
    </row>
    <row r="1987" spans="1:3" x14ac:dyDescent="0.25">
      <c r="A1987" t="s">
        <v>1133</v>
      </c>
      <c r="B1987" t="s">
        <v>1133</v>
      </c>
      <c r="C1987" t="s">
        <v>5969</v>
      </c>
    </row>
    <row r="1988" spans="1:3" x14ac:dyDescent="0.25">
      <c r="A1988" t="s">
        <v>1097</v>
      </c>
      <c r="B1988" t="s">
        <v>1097</v>
      </c>
      <c r="C1988" t="s">
        <v>5969</v>
      </c>
    </row>
    <row r="1989" spans="1:3" x14ac:dyDescent="0.25">
      <c r="A1989" t="s">
        <v>63</v>
      </c>
      <c r="B1989" t="s">
        <v>63</v>
      </c>
      <c r="C1989" t="s">
        <v>5969</v>
      </c>
    </row>
    <row r="1990" spans="1:3" x14ac:dyDescent="0.25">
      <c r="A1990" t="s">
        <v>432</v>
      </c>
      <c r="B1990" t="s">
        <v>6244</v>
      </c>
      <c r="C1990" t="s">
        <v>5969</v>
      </c>
    </row>
    <row r="1991" spans="1:3" x14ac:dyDescent="0.25">
      <c r="A1991" t="s">
        <v>1297</v>
      </c>
      <c r="B1991" t="s">
        <v>6245</v>
      </c>
      <c r="C1991" t="s">
        <v>5969</v>
      </c>
    </row>
    <row r="1992" spans="1:3" x14ac:dyDescent="0.25">
      <c r="A1992" t="s">
        <v>354</v>
      </c>
      <c r="B1992" t="s">
        <v>6246</v>
      </c>
      <c r="C1992" t="s">
        <v>5969</v>
      </c>
    </row>
    <row r="1993" spans="1:3" x14ac:dyDescent="0.25">
      <c r="A1993" t="s">
        <v>725</v>
      </c>
      <c r="B1993" t="s">
        <v>6247</v>
      </c>
      <c r="C1993" t="s">
        <v>5969</v>
      </c>
    </row>
    <row r="1994" spans="1:3" x14ac:dyDescent="0.25">
      <c r="A1994" t="s">
        <v>452</v>
      </c>
      <c r="B1994" t="s">
        <v>6248</v>
      </c>
      <c r="C1994" t="s">
        <v>5969</v>
      </c>
    </row>
    <row r="1995" spans="1:3" x14ac:dyDescent="0.25">
      <c r="A1995" t="s">
        <v>686</v>
      </c>
      <c r="B1995" t="s">
        <v>686</v>
      </c>
      <c r="C1995" t="s">
        <v>5969</v>
      </c>
    </row>
    <row r="1996" spans="1:3" x14ac:dyDescent="0.25">
      <c r="A1996" t="s">
        <v>184</v>
      </c>
      <c r="B1996" t="s">
        <v>184</v>
      </c>
      <c r="C1996" t="s">
        <v>5969</v>
      </c>
    </row>
    <row r="1997" spans="1:3" x14ac:dyDescent="0.25">
      <c r="A1997" t="s">
        <v>688</v>
      </c>
      <c r="B1997" t="s">
        <v>6249</v>
      </c>
      <c r="C1997" t="s">
        <v>5969</v>
      </c>
    </row>
    <row r="1998" spans="1:3" x14ac:dyDescent="0.25">
      <c r="A1998" t="s">
        <v>1253</v>
      </c>
      <c r="B1998" t="s">
        <v>6250</v>
      </c>
      <c r="C1998" t="s">
        <v>5969</v>
      </c>
    </row>
    <row r="1999" spans="1:3" x14ac:dyDescent="0.25">
      <c r="A1999" t="s">
        <v>913</v>
      </c>
      <c r="B1999" t="s">
        <v>6251</v>
      </c>
      <c r="C1999" t="s">
        <v>5969</v>
      </c>
    </row>
    <row r="2000" spans="1:3" x14ac:dyDescent="0.25">
      <c r="A2000" t="s">
        <v>737</v>
      </c>
      <c r="B2000" t="s">
        <v>6252</v>
      </c>
      <c r="C2000" t="s">
        <v>5969</v>
      </c>
    </row>
    <row r="2001" spans="1:3" x14ac:dyDescent="0.25">
      <c r="A2001" t="s">
        <v>429</v>
      </c>
      <c r="B2001" t="s">
        <v>429</v>
      </c>
      <c r="C2001" t="s">
        <v>5969</v>
      </c>
    </row>
    <row r="2002" spans="1:3" x14ac:dyDescent="0.25">
      <c r="A2002" t="s">
        <v>152</v>
      </c>
      <c r="B2002" t="s">
        <v>152</v>
      </c>
      <c r="C2002" t="s">
        <v>5969</v>
      </c>
    </row>
    <row r="2003" spans="1:3" x14ac:dyDescent="0.25">
      <c r="A2003" t="s">
        <v>562</v>
      </c>
      <c r="B2003" t="s">
        <v>562</v>
      </c>
      <c r="C2003" t="s">
        <v>5969</v>
      </c>
    </row>
    <row r="2004" spans="1:3" x14ac:dyDescent="0.25">
      <c r="A2004" t="s">
        <v>126</v>
      </c>
      <c r="B2004" t="s">
        <v>126</v>
      </c>
      <c r="C2004" t="s">
        <v>5969</v>
      </c>
    </row>
    <row r="2005" spans="1:3" x14ac:dyDescent="0.25">
      <c r="A2005" t="s">
        <v>156</v>
      </c>
      <c r="B2005" t="s">
        <v>156</v>
      </c>
      <c r="C2005" t="s">
        <v>5969</v>
      </c>
    </row>
    <row r="2006" spans="1:3" x14ac:dyDescent="0.25">
      <c r="A2006" t="s">
        <v>71</v>
      </c>
      <c r="B2006" t="s">
        <v>71</v>
      </c>
      <c r="C2006" t="s">
        <v>5969</v>
      </c>
    </row>
    <row r="2007" spans="1:3" x14ac:dyDescent="0.25">
      <c r="A2007" t="s">
        <v>194</v>
      </c>
      <c r="B2007" t="s">
        <v>194</v>
      </c>
      <c r="C2007" t="s">
        <v>5969</v>
      </c>
    </row>
    <row r="2008" spans="1:3" x14ac:dyDescent="0.25">
      <c r="A2008" t="s">
        <v>368</v>
      </c>
      <c r="B2008" t="s">
        <v>6253</v>
      </c>
      <c r="C2008" t="s">
        <v>5969</v>
      </c>
    </row>
    <row r="2009" spans="1:3" x14ac:dyDescent="0.25">
      <c r="A2009" t="s">
        <v>148</v>
      </c>
      <c r="B2009" t="s">
        <v>148</v>
      </c>
      <c r="C2009" t="s">
        <v>5969</v>
      </c>
    </row>
    <row r="2010" spans="1:3" x14ac:dyDescent="0.25">
      <c r="A2010" t="s">
        <v>315</v>
      </c>
      <c r="B2010" t="s">
        <v>315</v>
      </c>
      <c r="C2010" t="s">
        <v>5969</v>
      </c>
    </row>
    <row r="2011" spans="1:3" x14ac:dyDescent="0.25">
      <c r="A2011" t="s">
        <v>959</v>
      </c>
      <c r="B2011" t="s">
        <v>6254</v>
      </c>
      <c r="C2011" t="s">
        <v>5969</v>
      </c>
    </row>
    <row r="2012" spans="1:3" x14ac:dyDescent="0.25">
      <c r="A2012" t="s">
        <v>957</v>
      </c>
      <c r="B2012" t="s">
        <v>957</v>
      </c>
      <c r="C2012" t="s">
        <v>5969</v>
      </c>
    </row>
    <row r="2013" spans="1:3" x14ac:dyDescent="0.25">
      <c r="A2013" t="s">
        <v>150</v>
      </c>
      <c r="B2013" t="s">
        <v>150</v>
      </c>
      <c r="C2013" t="s">
        <v>5969</v>
      </c>
    </row>
    <row r="2014" spans="1:3" x14ac:dyDescent="0.25">
      <c r="A2014" t="s">
        <v>213</v>
      </c>
      <c r="B2014" t="s">
        <v>213</v>
      </c>
      <c r="C2014" t="s">
        <v>5969</v>
      </c>
    </row>
    <row r="2015" spans="1:3" x14ac:dyDescent="0.25">
      <c r="A2015" t="s">
        <v>291</v>
      </c>
      <c r="B2015" t="s">
        <v>291</v>
      </c>
      <c r="C2015" t="s">
        <v>5969</v>
      </c>
    </row>
    <row r="2016" spans="1:3" x14ac:dyDescent="0.25">
      <c r="A2016" t="s">
        <v>120</v>
      </c>
      <c r="B2016" t="s">
        <v>120</v>
      </c>
      <c r="C2016" t="s">
        <v>5969</v>
      </c>
    </row>
    <row r="2017" spans="1:3" x14ac:dyDescent="0.25">
      <c r="A2017" t="s">
        <v>123</v>
      </c>
      <c r="B2017" t="s">
        <v>123</v>
      </c>
      <c r="C2017" t="s">
        <v>5969</v>
      </c>
    </row>
    <row r="2018" spans="1:3" x14ac:dyDescent="0.25">
      <c r="A2018" t="s">
        <v>1172</v>
      </c>
      <c r="B2018" t="s">
        <v>1172</v>
      </c>
      <c r="C2018" t="s">
        <v>5969</v>
      </c>
    </row>
    <row r="2019" spans="1:3" x14ac:dyDescent="0.25">
      <c r="A2019" t="s">
        <v>106</v>
      </c>
      <c r="B2019" t="s">
        <v>106</v>
      </c>
      <c r="C2019" t="s">
        <v>5969</v>
      </c>
    </row>
    <row r="2020" spans="1:3" x14ac:dyDescent="0.25">
      <c r="A2020" t="s">
        <v>1054</v>
      </c>
      <c r="B2020" t="s">
        <v>6255</v>
      </c>
      <c r="C2020" t="s">
        <v>5969</v>
      </c>
    </row>
    <row r="2021" spans="1:3" x14ac:dyDescent="0.25">
      <c r="A2021" t="s">
        <v>837</v>
      </c>
      <c r="B2021" t="s">
        <v>837</v>
      </c>
      <c r="C2021" t="s">
        <v>5969</v>
      </c>
    </row>
    <row r="2022" spans="1:3" x14ac:dyDescent="0.25">
      <c r="A2022" t="s">
        <v>165</v>
      </c>
      <c r="B2022" t="s">
        <v>165</v>
      </c>
      <c r="C2022" t="s">
        <v>5969</v>
      </c>
    </row>
    <row r="2023" spans="1:3" x14ac:dyDescent="0.25">
      <c r="A2023" t="s">
        <v>471</v>
      </c>
      <c r="B2023" t="s">
        <v>6256</v>
      </c>
      <c r="C2023" t="s">
        <v>5969</v>
      </c>
    </row>
    <row r="2024" spans="1:3" x14ac:dyDescent="0.25">
      <c r="A2024" t="s">
        <v>1059</v>
      </c>
      <c r="B2024" t="s">
        <v>1059</v>
      </c>
      <c r="C2024" t="s">
        <v>5969</v>
      </c>
    </row>
    <row r="2025" spans="1:3" x14ac:dyDescent="0.25">
      <c r="A2025" t="s">
        <v>1637</v>
      </c>
      <c r="B2025" t="s">
        <v>1637</v>
      </c>
      <c r="C2025" t="s">
        <v>5969</v>
      </c>
    </row>
    <row r="2026" spans="1:3" x14ac:dyDescent="0.25">
      <c r="A2026" t="s">
        <v>39</v>
      </c>
      <c r="B2026" t="s">
        <v>39</v>
      </c>
      <c r="C2026" t="s">
        <v>5969</v>
      </c>
    </row>
    <row r="2027" spans="1:3" x14ac:dyDescent="0.25">
      <c r="A2027" t="s">
        <v>268</v>
      </c>
      <c r="B2027" t="s">
        <v>268</v>
      </c>
      <c r="C2027" t="s">
        <v>5969</v>
      </c>
    </row>
    <row r="2028" spans="1:3" x14ac:dyDescent="0.25">
      <c r="A2028" t="s">
        <v>466</v>
      </c>
      <c r="B2028" t="s">
        <v>6257</v>
      </c>
      <c r="C2028" t="s">
        <v>5969</v>
      </c>
    </row>
    <row r="2029" spans="1:3" x14ac:dyDescent="0.25">
      <c r="A2029" t="s">
        <v>583</v>
      </c>
      <c r="B2029" t="s">
        <v>6258</v>
      </c>
      <c r="C2029" t="s">
        <v>5969</v>
      </c>
    </row>
    <row r="2030" spans="1:3" x14ac:dyDescent="0.25">
      <c r="A2030" t="s">
        <v>519</v>
      </c>
      <c r="B2030" t="s">
        <v>6259</v>
      </c>
      <c r="C2030" t="s">
        <v>5969</v>
      </c>
    </row>
    <row r="2031" spans="1:3" x14ac:dyDescent="0.25">
      <c r="A2031" t="s">
        <v>1207</v>
      </c>
      <c r="B2031" t="s">
        <v>1207</v>
      </c>
      <c r="C2031" t="s">
        <v>5969</v>
      </c>
    </row>
    <row r="2032" spans="1:3" x14ac:dyDescent="0.25">
      <c r="A2032" t="s">
        <v>226</v>
      </c>
      <c r="B2032" t="s">
        <v>226</v>
      </c>
      <c r="C2032" t="s">
        <v>5969</v>
      </c>
    </row>
    <row r="2033" spans="1:3" x14ac:dyDescent="0.25">
      <c r="A2033" t="s">
        <v>406</v>
      </c>
      <c r="B2033" t="s">
        <v>406</v>
      </c>
      <c r="C2033" t="s">
        <v>5969</v>
      </c>
    </row>
    <row r="2034" spans="1:3" x14ac:dyDescent="0.25">
      <c r="A2034" t="s">
        <v>92</v>
      </c>
      <c r="B2034" t="s">
        <v>92</v>
      </c>
      <c r="C2034" t="s">
        <v>5969</v>
      </c>
    </row>
    <row r="2035" spans="1:3" x14ac:dyDescent="0.25">
      <c r="A2035" t="s">
        <v>1189</v>
      </c>
      <c r="B2035" t="s">
        <v>6260</v>
      </c>
      <c r="C2035" t="s">
        <v>5969</v>
      </c>
    </row>
    <row r="2036" spans="1:3" x14ac:dyDescent="0.25">
      <c r="A2036" t="s">
        <v>426</v>
      </c>
      <c r="B2036" t="s">
        <v>6261</v>
      </c>
      <c r="C2036" t="s">
        <v>5969</v>
      </c>
    </row>
    <row r="2037" spans="1:3" x14ac:dyDescent="0.25">
      <c r="A2037" t="s">
        <v>1064</v>
      </c>
      <c r="B2037" t="s">
        <v>1064</v>
      </c>
      <c r="C2037" t="s">
        <v>5969</v>
      </c>
    </row>
    <row r="2038" spans="1:3" x14ac:dyDescent="0.25">
      <c r="A2038" t="s">
        <v>1053</v>
      </c>
      <c r="B2038" t="s">
        <v>6262</v>
      </c>
      <c r="C2038" t="s">
        <v>5969</v>
      </c>
    </row>
    <row r="2039" spans="1:3" x14ac:dyDescent="0.25">
      <c r="A2039" t="s">
        <v>1099</v>
      </c>
      <c r="B2039" t="s">
        <v>1099</v>
      </c>
      <c r="C2039" t="s">
        <v>5969</v>
      </c>
    </row>
    <row r="2040" spans="1:3" x14ac:dyDescent="0.25">
      <c r="A2040" t="s">
        <v>356</v>
      </c>
      <c r="B2040" t="s">
        <v>6263</v>
      </c>
      <c r="C2040" t="s">
        <v>5969</v>
      </c>
    </row>
    <row r="2041" spans="1:3" x14ac:dyDescent="0.25">
      <c r="A2041" t="s">
        <v>1622</v>
      </c>
      <c r="B2041" t="s">
        <v>1622</v>
      </c>
      <c r="C2041" t="s">
        <v>5969</v>
      </c>
    </row>
    <row r="2042" spans="1:3" x14ac:dyDescent="0.25">
      <c r="A2042" t="s">
        <v>610</v>
      </c>
      <c r="B2042" t="s">
        <v>251</v>
      </c>
      <c r="C2042" t="s">
        <v>5969</v>
      </c>
    </row>
    <row r="2043" spans="1:3" x14ac:dyDescent="0.25">
      <c r="A2043" t="s">
        <v>1001</v>
      </c>
      <c r="B2043" t="s">
        <v>6264</v>
      </c>
      <c r="C2043" t="s">
        <v>5969</v>
      </c>
    </row>
    <row r="2044" spans="1:3" x14ac:dyDescent="0.25">
      <c r="A2044" t="s">
        <v>786</v>
      </c>
      <c r="B2044" t="s">
        <v>786</v>
      </c>
      <c r="C2044" t="s">
        <v>5969</v>
      </c>
    </row>
    <row r="2045" spans="1:3" x14ac:dyDescent="0.25">
      <c r="A2045" t="s">
        <v>1164</v>
      </c>
      <c r="B2045" t="s">
        <v>1164</v>
      </c>
      <c r="C2045" t="s">
        <v>5969</v>
      </c>
    </row>
    <row r="2046" spans="1:3" x14ac:dyDescent="0.25">
      <c r="A2046" t="s">
        <v>208</v>
      </c>
      <c r="B2046" t="s">
        <v>208</v>
      </c>
      <c r="C2046" t="s">
        <v>5969</v>
      </c>
    </row>
    <row r="2047" spans="1:3" x14ac:dyDescent="0.25">
      <c r="A2047" t="s">
        <v>875</v>
      </c>
      <c r="B2047" t="s">
        <v>875</v>
      </c>
      <c r="C2047" t="s">
        <v>5969</v>
      </c>
    </row>
    <row r="2048" spans="1:3" x14ac:dyDescent="0.25">
      <c r="A2048" t="s">
        <v>1084</v>
      </c>
      <c r="B2048" t="s">
        <v>1084</v>
      </c>
      <c r="C2048" t="s">
        <v>5969</v>
      </c>
    </row>
    <row r="2049" spans="1:3" x14ac:dyDescent="0.25">
      <c r="A2049" t="s">
        <v>1069</v>
      </c>
      <c r="B2049" t="s">
        <v>6265</v>
      </c>
      <c r="C2049" t="s">
        <v>5969</v>
      </c>
    </row>
    <row r="2050" spans="1:3" x14ac:dyDescent="0.25">
      <c r="A2050" t="s">
        <v>28</v>
      </c>
      <c r="B2050" t="s">
        <v>28</v>
      </c>
      <c r="C2050" t="s">
        <v>5969</v>
      </c>
    </row>
    <row r="2051" spans="1:3" x14ac:dyDescent="0.25">
      <c r="A2051" t="s">
        <v>1269</v>
      </c>
      <c r="B2051" t="s">
        <v>1269</v>
      </c>
      <c r="C2051" t="s">
        <v>5969</v>
      </c>
    </row>
    <row r="2052" spans="1:3" x14ac:dyDescent="0.25">
      <c r="A2052" t="s">
        <v>1006</v>
      </c>
      <c r="B2052" t="s">
        <v>1006</v>
      </c>
      <c r="C2052" t="s">
        <v>5969</v>
      </c>
    </row>
    <row r="2053" spans="1:3" x14ac:dyDescent="0.25">
      <c r="A2053" t="s">
        <v>560</v>
      </c>
      <c r="B2053" t="s">
        <v>6266</v>
      </c>
      <c r="C2053" t="s">
        <v>5969</v>
      </c>
    </row>
    <row r="2054" spans="1:3" x14ac:dyDescent="0.25">
      <c r="A2054" t="s">
        <v>389</v>
      </c>
      <c r="B2054" t="s">
        <v>6267</v>
      </c>
      <c r="C2054" t="s">
        <v>5969</v>
      </c>
    </row>
    <row r="2055" spans="1:3" x14ac:dyDescent="0.25">
      <c r="A2055" t="s">
        <v>1074</v>
      </c>
      <c r="B2055" t="s">
        <v>1074</v>
      </c>
      <c r="C2055" t="s">
        <v>5969</v>
      </c>
    </row>
    <row r="2056" spans="1:3" x14ac:dyDescent="0.25">
      <c r="A2056" t="s">
        <v>598</v>
      </c>
      <c r="B2056" t="s">
        <v>6268</v>
      </c>
      <c r="C2056" t="s">
        <v>5969</v>
      </c>
    </row>
    <row r="2057" spans="1:3" x14ac:dyDescent="0.25">
      <c r="A2057" t="s">
        <v>1201</v>
      </c>
      <c r="B2057" t="s">
        <v>1201</v>
      </c>
      <c r="C2057" t="s">
        <v>5969</v>
      </c>
    </row>
    <row r="2058" spans="1:3" x14ac:dyDescent="0.25">
      <c r="A2058" t="s">
        <v>329</v>
      </c>
      <c r="B2058" t="s">
        <v>329</v>
      </c>
      <c r="C2058" t="s">
        <v>5969</v>
      </c>
    </row>
    <row r="2059" spans="1:3" x14ac:dyDescent="0.25">
      <c r="A2059" t="s">
        <v>1274</v>
      </c>
      <c r="B2059" t="s">
        <v>1274</v>
      </c>
      <c r="C2059" t="s">
        <v>5969</v>
      </c>
    </row>
    <row r="2060" spans="1:3" x14ac:dyDescent="0.25">
      <c r="A2060" t="s">
        <v>32</v>
      </c>
      <c r="B2060" t="s">
        <v>32</v>
      </c>
      <c r="C2060" t="s">
        <v>5969</v>
      </c>
    </row>
    <row r="2061" spans="1:3" x14ac:dyDescent="0.25">
      <c r="A2061" t="s">
        <v>873</v>
      </c>
      <c r="B2061" t="s">
        <v>873</v>
      </c>
      <c r="C2061" t="s">
        <v>5969</v>
      </c>
    </row>
    <row r="2062" spans="1:3" x14ac:dyDescent="0.25">
      <c r="A2062" t="s">
        <v>1206</v>
      </c>
      <c r="B2062" t="s">
        <v>6269</v>
      </c>
      <c r="C2062" t="s">
        <v>5969</v>
      </c>
    </row>
    <row r="2063" spans="1:3" x14ac:dyDescent="0.25">
      <c r="A2063" t="s">
        <v>1239</v>
      </c>
      <c r="B2063" t="s">
        <v>6270</v>
      </c>
      <c r="C2063" t="s">
        <v>5969</v>
      </c>
    </row>
    <row r="2064" spans="1:3" x14ac:dyDescent="0.25">
      <c r="A2064" t="s">
        <v>865</v>
      </c>
      <c r="B2064" t="s">
        <v>865</v>
      </c>
      <c r="C2064" t="s">
        <v>5969</v>
      </c>
    </row>
    <row r="2065" spans="1:3" x14ac:dyDescent="0.25">
      <c r="A2065" t="s">
        <v>1200</v>
      </c>
      <c r="B2065" t="s">
        <v>1200</v>
      </c>
      <c r="C2065" t="s">
        <v>5969</v>
      </c>
    </row>
    <row r="2066" spans="1:3" x14ac:dyDescent="0.25">
      <c r="A2066" t="s">
        <v>168</v>
      </c>
      <c r="B2066" t="s">
        <v>168</v>
      </c>
      <c r="C2066" t="s">
        <v>5969</v>
      </c>
    </row>
    <row r="2067" spans="1:3" x14ac:dyDescent="0.25">
      <c r="A2067" t="s">
        <v>1188</v>
      </c>
      <c r="B2067" t="s">
        <v>1188</v>
      </c>
      <c r="C2067" t="s">
        <v>5969</v>
      </c>
    </row>
    <row r="2068" spans="1:3" x14ac:dyDescent="0.25">
      <c r="A2068" t="s">
        <v>1065</v>
      </c>
      <c r="B2068" t="s">
        <v>1065</v>
      </c>
      <c r="C2068" t="s">
        <v>5969</v>
      </c>
    </row>
    <row r="2069" spans="1:3" x14ac:dyDescent="0.25">
      <c r="A2069" t="s">
        <v>90</v>
      </c>
      <c r="B2069" t="s">
        <v>90</v>
      </c>
      <c r="C2069" t="s">
        <v>5969</v>
      </c>
    </row>
    <row r="2070" spans="1:3" x14ac:dyDescent="0.25">
      <c r="A2070" t="s">
        <v>1105</v>
      </c>
      <c r="B2070" t="s">
        <v>6271</v>
      </c>
      <c r="C2070" t="s">
        <v>5969</v>
      </c>
    </row>
    <row r="2071" spans="1:3" x14ac:dyDescent="0.25">
      <c r="A2071" t="s">
        <v>1034</v>
      </c>
      <c r="B2071" t="s">
        <v>6272</v>
      </c>
      <c r="C2071" t="s">
        <v>5969</v>
      </c>
    </row>
    <row r="2072" spans="1:3" x14ac:dyDescent="0.25">
      <c r="A2072" t="s">
        <v>1262</v>
      </c>
      <c r="B2072" t="s">
        <v>6273</v>
      </c>
      <c r="C2072" t="s">
        <v>5969</v>
      </c>
    </row>
    <row r="2073" spans="1:3" x14ac:dyDescent="0.25">
      <c r="A2073" t="s">
        <v>171</v>
      </c>
      <c r="B2073" t="s">
        <v>171</v>
      </c>
      <c r="C2073" t="s">
        <v>5969</v>
      </c>
    </row>
    <row r="2074" spans="1:3" x14ac:dyDescent="0.25">
      <c r="A2074" t="s">
        <v>172</v>
      </c>
      <c r="B2074" t="s">
        <v>172</v>
      </c>
      <c r="C2074" t="s">
        <v>5969</v>
      </c>
    </row>
    <row r="2075" spans="1:3" x14ac:dyDescent="0.25">
      <c r="A2075" t="s">
        <v>319</v>
      </c>
      <c r="B2075" t="s">
        <v>319</v>
      </c>
      <c r="C2075" t="s">
        <v>5969</v>
      </c>
    </row>
    <row r="2076" spans="1:3" x14ac:dyDescent="0.25">
      <c r="A2076" t="s">
        <v>551</v>
      </c>
      <c r="B2076" t="s">
        <v>6274</v>
      </c>
      <c r="C2076" t="s">
        <v>5969</v>
      </c>
    </row>
    <row r="2077" spans="1:3" x14ac:dyDescent="0.25">
      <c r="A2077" t="s">
        <v>408</v>
      </c>
      <c r="B2077" t="s">
        <v>6275</v>
      </c>
      <c r="C2077" t="s">
        <v>5969</v>
      </c>
    </row>
    <row r="2078" spans="1:3" x14ac:dyDescent="0.25">
      <c r="A2078" t="s">
        <v>580</v>
      </c>
      <c r="B2078" t="s">
        <v>6276</v>
      </c>
      <c r="C2078" t="s">
        <v>5969</v>
      </c>
    </row>
    <row r="2079" spans="1:3" x14ac:dyDescent="0.25">
      <c r="A2079" t="s">
        <v>866</v>
      </c>
      <c r="B2079" t="s">
        <v>866</v>
      </c>
      <c r="C2079" t="s">
        <v>5969</v>
      </c>
    </row>
    <row r="2080" spans="1:3" x14ac:dyDescent="0.25">
      <c r="A2080" t="s">
        <v>364</v>
      </c>
      <c r="B2080" t="s">
        <v>6277</v>
      </c>
      <c r="C2080" t="s">
        <v>5969</v>
      </c>
    </row>
    <row r="2081" spans="1:3" x14ac:dyDescent="0.25">
      <c r="A2081" t="s">
        <v>1123</v>
      </c>
      <c r="B2081" t="s">
        <v>6278</v>
      </c>
      <c r="C2081" t="s">
        <v>5969</v>
      </c>
    </row>
    <row r="2082" spans="1:3" x14ac:dyDescent="0.25">
      <c r="A2082" t="s">
        <v>1122</v>
      </c>
      <c r="B2082" t="s">
        <v>1122</v>
      </c>
      <c r="C2082" t="s">
        <v>5969</v>
      </c>
    </row>
    <row r="2083" spans="1:3" x14ac:dyDescent="0.25">
      <c r="A2083" t="s">
        <v>196</v>
      </c>
      <c r="B2083" t="s">
        <v>196</v>
      </c>
      <c r="C2083" t="s">
        <v>5969</v>
      </c>
    </row>
    <row r="2084" spans="1:3" x14ac:dyDescent="0.25">
      <c r="A2084" t="s">
        <v>410</v>
      </c>
      <c r="B2084" t="s">
        <v>410</v>
      </c>
      <c r="C2084" t="s">
        <v>5969</v>
      </c>
    </row>
    <row r="2085" spans="1:3" x14ac:dyDescent="0.25">
      <c r="A2085" t="s">
        <v>808</v>
      </c>
      <c r="B2085" t="s">
        <v>808</v>
      </c>
      <c r="C2085" t="s">
        <v>5969</v>
      </c>
    </row>
    <row r="2086" spans="1:3" x14ac:dyDescent="0.25">
      <c r="A2086" t="s">
        <v>1040</v>
      </c>
      <c r="B2086" t="s">
        <v>6279</v>
      </c>
      <c r="C2086" t="s">
        <v>5969</v>
      </c>
    </row>
    <row r="2087" spans="1:3" x14ac:dyDescent="0.25">
      <c r="A2087" t="s">
        <v>221</v>
      </c>
      <c r="B2087" t="s">
        <v>221</v>
      </c>
      <c r="C2087" t="s">
        <v>5969</v>
      </c>
    </row>
    <row r="2088" spans="1:3" x14ac:dyDescent="0.25">
      <c r="A2088" t="s">
        <v>1198</v>
      </c>
      <c r="B2088" t="s">
        <v>1198</v>
      </c>
      <c r="C2088" t="s">
        <v>5969</v>
      </c>
    </row>
    <row r="2089" spans="1:3" x14ac:dyDescent="0.25">
      <c r="A2089" t="s">
        <v>1234</v>
      </c>
      <c r="B2089" t="s">
        <v>1234</v>
      </c>
      <c r="C2089" t="s">
        <v>5969</v>
      </c>
    </row>
    <row r="2090" spans="1:3" x14ac:dyDescent="0.25">
      <c r="A2090" t="s">
        <v>671</v>
      </c>
      <c r="B2090" t="s">
        <v>6280</v>
      </c>
      <c r="C2090" t="s">
        <v>5969</v>
      </c>
    </row>
    <row r="2091" spans="1:3" x14ac:dyDescent="0.25">
      <c r="A2091" t="s">
        <v>399</v>
      </c>
      <c r="B2091" t="s">
        <v>6281</v>
      </c>
      <c r="C2091" t="s">
        <v>5969</v>
      </c>
    </row>
    <row r="2092" spans="1:3" x14ac:dyDescent="0.25">
      <c r="A2092" t="s">
        <v>1139</v>
      </c>
      <c r="B2092" t="s">
        <v>1139</v>
      </c>
      <c r="C2092" t="s">
        <v>5969</v>
      </c>
    </row>
    <row r="2093" spans="1:3" x14ac:dyDescent="0.25">
      <c r="A2093" t="s">
        <v>812</v>
      </c>
      <c r="B2093" t="s">
        <v>812</v>
      </c>
      <c r="C2093" t="s">
        <v>5969</v>
      </c>
    </row>
    <row r="2094" spans="1:3" x14ac:dyDescent="0.25">
      <c r="A2094" t="s">
        <v>1286</v>
      </c>
      <c r="B2094" t="s">
        <v>1286</v>
      </c>
      <c r="C2094" t="s">
        <v>5969</v>
      </c>
    </row>
    <row r="2095" spans="1:3" x14ac:dyDescent="0.25">
      <c r="A2095" t="s">
        <v>508</v>
      </c>
      <c r="B2095" t="s">
        <v>6282</v>
      </c>
      <c r="C2095" t="s">
        <v>5969</v>
      </c>
    </row>
    <row r="2096" spans="1:3" x14ac:dyDescent="0.25">
      <c r="A2096" t="s">
        <v>779</v>
      </c>
      <c r="B2096" t="s">
        <v>6283</v>
      </c>
      <c r="C2096" t="s">
        <v>5969</v>
      </c>
    </row>
    <row r="2097" spans="1:3" x14ac:dyDescent="0.25">
      <c r="A2097" t="s">
        <v>1052</v>
      </c>
      <c r="B2097" t="s">
        <v>6284</v>
      </c>
      <c r="C2097" t="s">
        <v>5969</v>
      </c>
    </row>
    <row r="2098" spans="1:3" x14ac:dyDescent="0.25">
      <c r="A2098" t="s">
        <v>822</v>
      </c>
      <c r="B2098" t="s">
        <v>822</v>
      </c>
      <c r="C2098" t="s">
        <v>5969</v>
      </c>
    </row>
    <row r="2099" spans="1:3" x14ac:dyDescent="0.25">
      <c r="A2099" t="s">
        <v>845</v>
      </c>
      <c r="B2099" t="s">
        <v>845</v>
      </c>
      <c r="C2099" t="s">
        <v>5969</v>
      </c>
    </row>
    <row r="2100" spans="1:3" x14ac:dyDescent="0.25">
      <c r="A2100" t="s">
        <v>1175</v>
      </c>
      <c r="B2100" t="s">
        <v>6285</v>
      </c>
      <c r="C2100" t="s">
        <v>5969</v>
      </c>
    </row>
    <row r="2101" spans="1:3" x14ac:dyDescent="0.25">
      <c r="A2101" t="s">
        <v>489</v>
      </c>
      <c r="B2101" t="s">
        <v>489</v>
      </c>
      <c r="C2101" t="s">
        <v>5969</v>
      </c>
    </row>
    <row r="2102" spans="1:3" x14ac:dyDescent="0.25">
      <c r="A2102" t="s">
        <v>874</v>
      </c>
      <c r="B2102" t="s">
        <v>874</v>
      </c>
      <c r="C2102" t="s">
        <v>5969</v>
      </c>
    </row>
    <row r="2103" spans="1:3" x14ac:dyDescent="0.25">
      <c r="A2103" t="s">
        <v>401</v>
      </c>
      <c r="B2103" t="s">
        <v>6286</v>
      </c>
      <c r="C2103" t="s">
        <v>5969</v>
      </c>
    </row>
    <row r="2104" spans="1:3" x14ac:dyDescent="0.25">
      <c r="A2104" t="s">
        <v>30</v>
      </c>
      <c r="B2104" t="s">
        <v>30</v>
      </c>
      <c r="C2104" t="s">
        <v>5969</v>
      </c>
    </row>
    <row r="2105" spans="1:3" x14ac:dyDescent="0.25">
      <c r="A2105" t="s">
        <v>803</v>
      </c>
      <c r="B2105" t="s">
        <v>803</v>
      </c>
      <c r="C2105" t="s">
        <v>5969</v>
      </c>
    </row>
    <row r="2106" spans="1:3" x14ac:dyDescent="0.25">
      <c r="A2106" t="s">
        <v>166</v>
      </c>
      <c r="B2106" t="s">
        <v>166</v>
      </c>
      <c r="C2106" t="s">
        <v>5969</v>
      </c>
    </row>
    <row r="2107" spans="1:3" x14ac:dyDescent="0.25">
      <c r="A2107" t="s">
        <v>605</v>
      </c>
      <c r="B2107" t="s">
        <v>6287</v>
      </c>
      <c r="C2107" t="s">
        <v>5969</v>
      </c>
    </row>
    <row r="2108" spans="1:3" x14ac:dyDescent="0.25">
      <c r="A2108" t="s">
        <v>1021</v>
      </c>
      <c r="B2108" t="s">
        <v>6288</v>
      </c>
      <c r="C2108" t="s">
        <v>5969</v>
      </c>
    </row>
    <row r="2109" spans="1:3" x14ac:dyDescent="0.25">
      <c r="A2109" t="s">
        <v>25</v>
      </c>
      <c r="B2109" t="s">
        <v>25</v>
      </c>
      <c r="C2109" t="s">
        <v>5969</v>
      </c>
    </row>
    <row r="2110" spans="1:3" x14ac:dyDescent="0.25">
      <c r="A2110" t="s">
        <v>631</v>
      </c>
      <c r="B2110" t="s">
        <v>6289</v>
      </c>
      <c r="C2110" t="s">
        <v>5969</v>
      </c>
    </row>
    <row r="2111" spans="1:3" x14ac:dyDescent="0.25">
      <c r="A2111" t="s">
        <v>579</v>
      </c>
      <c r="B2111" t="s">
        <v>6290</v>
      </c>
      <c r="C2111" t="s">
        <v>5969</v>
      </c>
    </row>
    <row r="2112" spans="1:3" x14ac:dyDescent="0.25">
      <c r="A2112" t="s">
        <v>708</v>
      </c>
      <c r="B2112" t="s">
        <v>708</v>
      </c>
      <c r="C2112" t="s">
        <v>5969</v>
      </c>
    </row>
    <row r="2113" spans="1:3" x14ac:dyDescent="0.25">
      <c r="A2113" t="s">
        <v>173</v>
      </c>
      <c r="B2113" t="s">
        <v>173</v>
      </c>
      <c r="C2113" t="s">
        <v>5969</v>
      </c>
    </row>
    <row r="2114" spans="1:3" x14ac:dyDescent="0.25">
      <c r="A2114" t="s">
        <v>155</v>
      </c>
      <c r="B2114" t="s">
        <v>155</v>
      </c>
      <c r="C2114" t="s">
        <v>5969</v>
      </c>
    </row>
    <row r="2115" spans="1:3" x14ac:dyDescent="0.25">
      <c r="A2115" t="s">
        <v>1619</v>
      </c>
      <c r="B2115" t="s">
        <v>6291</v>
      </c>
      <c r="C2115" t="s">
        <v>5969</v>
      </c>
    </row>
    <row r="2116" spans="1:3" x14ac:dyDescent="0.25">
      <c r="A2116" t="s">
        <v>1617</v>
      </c>
      <c r="B2116" t="s">
        <v>6292</v>
      </c>
      <c r="C2116" t="s">
        <v>5969</v>
      </c>
    </row>
    <row r="2117" spans="1:3" x14ac:dyDescent="0.25">
      <c r="A2117" t="s">
        <v>482</v>
      </c>
      <c r="B2117" t="s">
        <v>6293</v>
      </c>
      <c r="C2117" t="s">
        <v>5969</v>
      </c>
    </row>
    <row r="2118" spans="1:3" x14ac:dyDescent="0.25">
      <c r="A2118" t="s">
        <v>164</v>
      </c>
      <c r="B2118" t="s">
        <v>164</v>
      </c>
      <c r="C2118" t="s">
        <v>5969</v>
      </c>
    </row>
    <row r="2119" spans="1:3" x14ac:dyDescent="0.25">
      <c r="A2119" t="s">
        <v>186</v>
      </c>
      <c r="B2119" t="s">
        <v>186</v>
      </c>
      <c r="C2119" t="s">
        <v>5969</v>
      </c>
    </row>
    <row r="2120" spans="1:3" x14ac:dyDescent="0.25">
      <c r="A2120" t="s">
        <v>1086</v>
      </c>
      <c r="B2120" t="s">
        <v>1086</v>
      </c>
      <c r="C2120" t="s">
        <v>5969</v>
      </c>
    </row>
    <row r="2121" spans="1:3" x14ac:dyDescent="0.25">
      <c r="A2121" t="s">
        <v>1196</v>
      </c>
      <c r="B2121" t="s">
        <v>6294</v>
      </c>
      <c r="C2121" t="s">
        <v>5969</v>
      </c>
    </row>
    <row r="2122" spans="1:3" x14ac:dyDescent="0.25">
      <c r="A2122" t="s">
        <v>784</v>
      </c>
      <c r="B2122" t="s">
        <v>6295</v>
      </c>
      <c r="C2122" t="s">
        <v>5969</v>
      </c>
    </row>
    <row r="2123" spans="1:3" x14ac:dyDescent="0.25">
      <c r="A2123" t="s">
        <v>852</v>
      </c>
      <c r="B2123" t="s">
        <v>852</v>
      </c>
      <c r="C2123" t="s">
        <v>5969</v>
      </c>
    </row>
    <row r="2124" spans="1:3" x14ac:dyDescent="0.25">
      <c r="A2124" t="s">
        <v>1109</v>
      </c>
      <c r="B2124" t="s">
        <v>6296</v>
      </c>
      <c r="C2124" t="s">
        <v>5969</v>
      </c>
    </row>
    <row r="2125" spans="1:3" x14ac:dyDescent="0.25">
      <c r="A2125" t="s">
        <v>960</v>
      </c>
      <c r="B2125" t="s">
        <v>960</v>
      </c>
      <c r="C2125" t="s">
        <v>5969</v>
      </c>
    </row>
    <row r="2126" spans="1:3" x14ac:dyDescent="0.25">
      <c r="A2126" t="s">
        <v>940</v>
      </c>
      <c r="B2126" t="s">
        <v>940</v>
      </c>
      <c r="C2126" t="s">
        <v>5969</v>
      </c>
    </row>
    <row r="2127" spans="1:3" x14ac:dyDescent="0.25">
      <c r="A2127" t="s">
        <v>1179</v>
      </c>
      <c r="B2127" t="s">
        <v>6297</v>
      </c>
      <c r="C2127" t="s">
        <v>5969</v>
      </c>
    </row>
    <row r="2128" spans="1:3" x14ac:dyDescent="0.25">
      <c r="A2128" t="s">
        <v>1180</v>
      </c>
      <c r="B2128" t="s">
        <v>6298</v>
      </c>
      <c r="C2128" t="s">
        <v>5969</v>
      </c>
    </row>
    <row r="2129" spans="1:3" x14ac:dyDescent="0.25">
      <c r="A2129" t="s">
        <v>1217</v>
      </c>
      <c r="B2129" t="s">
        <v>741</v>
      </c>
      <c r="C2129" t="s">
        <v>5969</v>
      </c>
    </row>
    <row r="2130" spans="1:3" x14ac:dyDescent="0.25">
      <c r="A2130" t="s">
        <v>305</v>
      </c>
      <c r="B2130" t="s">
        <v>305</v>
      </c>
      <c r="C2130" t="s">
        <v>5969</v>
      </c>
    </row>
    <row r="2131" spans="1:3" x14ac:dyDescent="0.25">
      <c r="A2131" t="s">
        <v>328</v>
      </c>
      <c r="B2131" t="s">
        <v>328</v>
      </c>
      <c r="C2131" t="s">
        <v>5969</v>
      </c>
    </row>
    <row r="2132" spans="1:3" x14ac:dyDescent="0.25">
      <c r="A2132" t="s">
        <v>309</v>
      </c>
      <c r="B2132" t="s">
        <v>309</v>
      </c>
      <c r="C2132" t="s">
        <v>5969</v>
      </c>
    </row>
    <row r="2133" spans="1:3" x14ac:dyDescent="0.25">
      <c r="A2133" t="s">
        <v>290</v>
      </c>
      <c r="B2133" t="s">
        <v>290</v>
      </c>
      <c r="C2133" t="s">
        <v>5969</v>
      </c>
    </row>
    <row r="2134" spans="1:3" x14ac:dyDescent="0.25">
      <c r="A2134" t="s">
        <v>95</v>
      </c>
      <c r="B2134" t="s">
        <v>95</v>
      </c>
      <c r="C2134" t="s">
        <v>5969</v>
      </c>
    </row>
    <row r="2135" spans="1:3" x14ac:dyDescent="0.25">
      <c r="A2135" t="s">
        <v>182</v>
      </c>
      <c r="B2135" t="s">
        <v>182</v>
      </c>
      <c r="C2135" t="s">
        <v>5969</v>
      </c>
    </row>
    <row r="2136" spans="1:3" x14ac:dyDescent="0.25">
      <c r="A2136" t="s">
        <v>932</v>
      </c>
      <c r="B2136" t="s">
        <v>6299</v>
      </c>
      <c r="C2136" t="s">
        <v>5969</v>
      </c>
    </row>
    <row r="2137" spans="1:3" x14ac:dyDescent="0.25">
      <c r="A2137" t="s">
        <v>311</v>
      </c>
      <c r="B2137" t="s">
        <v>311</v>
      </c>
      <c r="C2137" t="s">
        <v>5969</v>
      </c>
    </row>
    <row r="2138" spans="1:3" x14ac:dyDescent="0.25">
      <c r="A2138" t="s">
        <v>509</v>
      </c>
      <c r="B2138" t="s">
        <v>6300</v>
      </c>
      <c r="C2138" t="s">
        <v>5969</v>
      </c>
    </row>
    <row r="2139" spans="1:3" x14ac:dyDescent="0.25">
      <c r="A2139" t="s">
        <v>501</v>
      </c>
      <c r="B2139" t="s">
        <v>6301</v>
      </c>
      <c r="C2139" t="s">
        <v>5969</v>
      </c>
    </row>
    <row r="2140" spans="1:3" x14ac:dyDescent="0.25">
      <c r="A2140" t="s">
        <v>929</v>
      </c>
      <c r="B2140" t="s">
        <v>929</v>
      </c>
      <c r="C2140" t="s">
        <v>5969</v>
      </c>
    </row>
    <row r="2141" spans="1:3" x14ac:dyDescent="0.25">
      <c r="A2141" t="s">
        <v>548</v>
      </c>
      <c r="B2141" t="s">
        <v>6302</v>
      </c>
      <c r="C2141" t="s">
        <v>5969</v>
      </c>
    </row>
    <row r="2142" spans="1:3" x14ac:dyDescent="0.25">
      <c r="A2142" t="s">
        <v>571</v>
      </c>
      <c r="B2142" t="s">
        <v>6303</v>
      </c>
      <c r="C2142" t="s">
        <v>5969</v>
      </c>
    </row>
    <row r="2143" spans="1:3" x14ac:dyDescent="0.25">
      <c r="A2143" t="s">
        <v>1282</v>
      </c>
      <c r="B2143" t="s">
        <v>1282</v>
      </c>
      <c r="C2143" t="s">
        <v>5969</v>
      </c>
    </row>
    <row r="2144" spans="1:3" x14ac:dyDescent="0.25">
      <c r="A2144" t="s">
        <v>61</v>
      </c>
      <c r="B2144" t="s">
        <v>61</v>
      </c>
      <c r="C2144" t="s">
        <v>5969</v>
      </c>
    </row>
    <row r="2145" spans="1:3" x14ac:dyDescent="0.25">
      <c r="A2145" t="s">
        <v>200</v>
      </c>
      <c r="B2145" t="s">
        <v>200</v>
      </c>
      <c r="C2145" t="s">
        <v>5969</v>
      </c>
    </row>
    <row r="2146" spans="1:3" x14ac:dyDescent="0.25">
      <c r="A2146" t="s">
        <v>433</v>
      </c>
      <c r="B2146" t="s">
        <v>6304</v>
      </c>
      <c r="C2146" t="s">
        <v>5969</v>
      </c>
    </row>
    <row r="2147" spans="1:3" x14ac:dyDescent="0.25">
      <c r="A2147" t="s">
        <v>441</v>
      </c>
      <c r="B2147" t="s">
        <v>6305</v>
      </c>
      <c r="C2147" t="s">
        <v>5969</v>
      </c>
    </row>
    <row r="2148" spans="1:3" x14ac:dyDescent="0.25">
      <c r="A2148" t="s">
        <v>585</v>
      </c>
      <c r="B2148" t="s">
        <v>6306</v>
      </c>
      <c r="C2148" t="s">
        <v>5969</v>
      </c>
    </row>
    <row r="2149" spans="1:3" x14ac:dyDescent="0.25">
      <c r="A2149" t="s">
        <v>419</v>
      </c>
      <c r="B2149" t="s">
        <v>419</v>
      </c>
      <c r="C2149" t="s">
        <v>5969</v>
      </c>
    </row>
    <row r="2150" spans="1:3" x14ac:dyDescent="0.25">
      <c r="A2150" t="s">
        <v>636</v>
      </c>
      <c r="B2150" t="s">
        <v>636</v>
      </c>
      <c r="C2150" t="s">
        <v>5969</v>
      </c>
    </row>
    <row r="2151" spans="1:3" x14ac:dyDescent="0.25">
      <c r="A2151" t="s">
        <v>794</v>
      </c>
      <c r="B2151" t="s">
        <v>6307</v>
      </c>
      <c r="C2151" t="s">
        <v>5969</v>
      </c>
    </row>
    <row r="2152" spans="1:3" x14ac:dyDescent="0.25">
      <c r="A2152" t="s">
        <v>297</v>
      </c>
      <c r="B2152" t="s">
        <v>297</v>
      </c>
      <c r="C2152" t="s">
        <v>5969</v>
      </c>
    </row>
    <row r="2153" spans="1:3" x14ac:dyDescent="0.25">
      <c r="A2153" t="s">
        <v>140</v>
      </c>
      <c r="B2153" t="s">
        <v>140</v>
      </c>
      <c r="C2153" t="s">
        <v>5969</v>
      </c>
    </row>
    <row r="2154" spans="1:3" x14ac:dyDescent="0.25">
      <c r="A2154" t="s">
        <v>450</v>
      </c>
      <c r="B2154" t="s">
        <v>450</v>
      </c>
      <c r="C2154" t="s">
        <v>5969</v>
      </c>
    </row>
    <row r="2155" spans="1:3" x14ac:dyDescent="0.25">
      <c r="A2155" t="s">
        <v>481</v>
      </c>
      <c r="B2155" t="s">
        <v>6308</v>
      </c>
      <c r="C2155" t="s">
        <v>5969</v>
      </c>
    </row>
    <row r="2156" spans="1:3" x14ac:dyDescent="0.25">
      <c r="A2156" t="s">
        <v>574</v>
      </c>
      <c r="B2156" t="s">
        <v>6309</v>
      </c>
      <c r="C2156" t="s">
        <v>5969</v>
      </c>
    </row>
    <row r="2157" spans="1:3" x14ac:dyDescent="0.25">
      <c r="A2157" t="s">
        <v>430</v>
      </c>
      <c r="B2157" t="s">
        <v>6310</v>
      </c>
      <c r="C2157" t="s">
        <v>5969</v>
      </c>
    </row>
    <row r="2158" spans="1:3" x14ac:dyDescent="0.25">
      <c r="A2158" t="s">
        <v>414</v>
      </c>
      <c r="B2158" t="s">
        <v>414</v>
      </c>
      <c r="C2158" t="s">
        <v>5969</v>
      </c>
    </row>
    <row r="2159" spans="1:3" x14ac:dyDescent="0.25">
      <c r="A2159" t="s">
        <v>234</v>
      </c>
      <c r="B2159" t="s">
        <v>234</v>
      </c>
      <c r="C2159" t="s">
        <v>5969</v>
      </c>
    </row>
    <row r="2160" spans="1:3" x14ac:dyDescent="0.25">
      <c r="A2160" t="s">
        <v>1308</v>
      </c>
      <c r="B2160" t="s">
        <v>6311</v>
      </c>
      <c r="C2160" t="s">
        <v>5969</v>
      </c>
    </row>
    <row r="2161" spans="1:3" x14ac:dyDescent="0.25">
      <c r="A2161" t="s">
        <v>1223</v>
      </c>
      <c r="B2161" t="s">
        <v>6312</v>
      </c>
      <c r="C2161" t="s">
        <v>5969</v>
      </c>
    </row>
    <row r="2162" spans="1:3" x14ac:dyDescent="0.25">
      <c r="A2162" t="s">
        <v>1311</v>
      </c>
      <c r="B2162" t="s">
        <v>6313</v>
      </c>
      <c r="C2162" t="s">
        <v>5969</v>
      </c>
    </row>
    <row r="2163" spans="1:3" x14ac:dyDescent="0.25">
      <c r="A2163" t="s">
        <v>1310</v>
      </c>
      <c r="B2163" t="s">
        <v>6314</v>
      </c>
      <c r="C2163" t="s">
        <v>5969</v>
      </c>
    </row>
    <row r="2164" spans="1:3" x14ac:dyDescent="0.25">
      <c r="A2164" t="s">
        <v>697</v>
      </c>
      <c r="B2164" t="s">
        <v>697</v>
      </c>
      <c r="C2164" t="s">
        <v>5969</v>
      </c>
    </row>
    <row r="2165" spans="1:3" x14ac:dyDescent="0.25">
      <c r="A2165" t="s">
        <v>1030</v>
      </c>
      <c r="B2165" t="s">
        <v>6315</v>
      </c>
      <c r="C2165" t="s">
        <v>5969</v>
      </c>
    </row>
    <row r="2166" spans="1:3" x14ac:dyDescent="0.25">
      <c r="A2166" t="s">
        <v>1222</v>
      </c>
      <c r="B2166" t="s">
        <v>1222</v>
      </c>
      <c r="C2166" t="s">
        <v>5969</v>
      </c>
    </row>
    <row r="2167" spans="1:3" x14ac:dyDescent="0.25">
      <c r="A2167" t="s">
        <v>997</v>
      </c>
      <c r="B2167" t="s">
        <v>997</v>
      </c>
      <c r="C2167" t="s">
        <v>5969</v>
      </c>
    </row>
    <row r="2168" spans="1:3" x14ac:dyDescent="0.25">
      <c r="A2168" t="s">
        <v>522</v>
      </c>
      <c r="B2168" t="s">
        <v>6316</v>
      </c>
      <c r="C2168" t="s">
        <v>5969</v>
      </c>
    </row>
    <row r="2169" spans="1:3" x14ac:dyDescent="0.25">
      <c r="A2169" t="s">
        <v>766</v>
      </c>
      <c r="B2169" t="s">
        <v>766</v>
      </c>
      <c r="C2169" t="s">
        <v>5969</v>
      </c>
    </row>
    <row r="2170" spans="1:3" x14ac:dyDescent="0.25">
      <c r="A2170" t="s">
        <v>750</v>
      </c>
      <c r="B2170" t="s">
        <v>6317</v>
      </c>
      <c r="C2170" t="s">
        <v>5969</v>
      </c>
    </row>
    <row r="2171" spans="1:3" x14ac:dyDescent="0.25">
      <c r="A2171" t="s">
        <v>306</v>
      </c>
      <c r="B2171" t="s">
        <v>306</v>
      </c>
      <c r="C2171" t="s">
        <v>5969</v>
      </c>
    </row>
    <row r="2172" spans="1:3" x14ac:dyDescent="0.25">
      <c r="A2172" t="s">
        <v>665</v>
      </c>
      <c r="B2172" t="s">
        <v>665</v>
      </c>
      <c r="C2172" t="s">
        <v>5969</v>
      </c>
    </row>
    <row r="2173" spans="1:3" x14ac:dyDescent="0.25">
      <c r="A2173" t="s">
        <v>937</v>
      </c>
      <c r="B2173" t="s">
        <v>6318</v>
      </c>
      <c r="C2173" t="s">
        <v>5969</v>
      </c>
    </row>
    <row r="2174" spans="1:3" x14ac:dyDescent="0.25">
      <c r="A2174" t="s">
        <v>97</v>
      </c>
      <c r="B2174" t="s">
        <v>97</v>
      </c>
      <c r="C2174" t="s">
        <v>5969</v>
      </c>
    </row>
    <row r="2175" spans="1:3" x14ac:dyDescent="0.25">
      <c r="A2175" t="s">
        <v>132</v>
      </c>
      <c r="B2175" t="s">
        <v>132</v>
      </c>
      <c r="C2175" t="s">
        <v>5969</v>
      </c>
    </row>
    <row r="2176" spans="1:3" x14ac:dyDescent="0.25">
      <c r="A2176" t="s">
        <v>566</v>
      </c>
      <c r="B2176" t="s">
        <v>6319</v>
      </c>
      <c r="C2176" t="s">
        <v>5969</v>
      </c>
    </row>
    <row r="2177" spans="1:3" x14ac:dyDescent="0.25">
      <c r="A2177" t="s">
        <v>558</v>
      </c>
      <c r="B2177" t="s">
        <v>6320</v>
      </c>
      <c r="C2177" t="s">
        <v>5969</v>
      </c>
    </row>
    <row r="2178" spans="1:3" x14ac:dyDescent="0.25">
      <c r="A2178" t="s">
        <v>334</v>
      </c>
      <c r="B2178" t="s">
        <v>334</v>
      </c>
      <c r="C2178" t="s">
        <v>5969</v>
      </c>
    </row>
    <row r="2179" spans="1:3" x14ac:dyDescent="0.25">
      <c r="A2179" t="s">
        <v>593</v>
      </c>
      <c r="B2179" t="s">
        <v>6321</v>
      </c>
      <c r="C2179" t="s">
        <v>5969</v>
      </c>
    </row>
    <row r="2180" spans="1:3" x14ac:dyDescent="0.25">
      <c r="A2180" t="s">
        <v>1205</v>
      </c>
      <c r="B2180" t="s">
        <v>6322</v>
      </c>
      <c r="C2180" t="s">
        <v>5969</v>
      </c>
    </row>
    <row r="2181" spans="1:3" x14ac:dyDescent="0.25">
      <c r="A2181" t="s">
        <v>1062</v>
      </c>
      <c r="B2181" t="s">
        <v>6323</v>
      </c>
      <c r="C2181" t="s">
        <v>5969</v>
      </c>
    </row>
    <row r="2182" spans="1:3" x14ac:dyDescent="0.25">
      <c r="A2182" t="s">
        <v>476</v>
      </c>
      <c r="B2182" t="s">
        <v>6324</v>
      </c>
      <c r="C2182" t="s">
        <v>5969</v>
      </c>
    </row>
    <row r="2183" spans="1:3" x14ac:dyDescent="0.25">
      <c r="A2183" t="s">
        <v>470</v>
      </c>
      <c r="B2183" t="s">
        <v>6325</v>
      </c>
      <c r="C2183" t="s">
        <v>5969</v>
      </c>
    </row>
    <row r="2184" spans="1:3" x14ac:dyDescent="0.25">
      <c r="A2184" t="s">
        <v>623</v>
      </c>
      <c r="B2184" t="s">
        <v>6326</v>
      </c>
      <c r="C2184" t="s">
        <v>5969</v>
      </c>
    </row>
    <row r="2185" spans="1:3" x14ac:dyDescent="0.25">
      <c r="A2185" t="s">
        <v>962</v>
      </c>
      <c r="B2185" t="s">
        <v>6327</v>
      </c>
      <c r="C2185" t="s">
        <v>5969</v>
      </c>
    </row>
    <row r="2186" spans="1:3" x14ac:dyDescent="0.25">
      <c r="A2186" t="s">
        <v>486</v>
      </c>
      <c r="B2186" t="s">
        <v>6328</v>
      </c>
      <c r="C2186" t="s">
        <v>5969</v>
      </c>
    </row>
    <row r="2187" spans="1:3" x14ac:dyDescent="0.25">
      <c r="A2187" t="s">
        <v>38</v>
      </c>
      <c r="B2187" t="s">
        <v>38</v>
      </c>
      <c r="C2187" t="s">
        <v>5969</v>
      </c>
    </row>
    <row r="2188" spans="1:3" x14ac:dyDescent="0.25">
      <c r="A2188" t="s">
        <v>1272</v>
      </c>
      <c r="B2188" t="s">
        <v>1272</v>
      </c>
      <c r="C2188" t="s">
        <v>5969</v>
      </c>
    </row>
    <row r="2189" spans="1:3" x14ac:dyDescent="0.25">
      <c r="A2189" t="s">
        <v>202</v>
      </c>
      <c r="B2189" t="s">
        <v>6329</v>
      </c>
      <c r="C2189" t="s">
        <v>5969</v>
      </c>
    </row>
    <row r="2190" spans="1:3" x14ac:dyDescent="0.25">
      <c r="A2190" t="s">
        <v>1125</v>
      </c>
      <c r="B2190" t="s">
        <v>6330</v>
      </c>
      <c r="C2190" t="s">
        <v>5969</v>
      </c>
    </row>
    <row r="2191" spans="1:3" x14ac:dyDescent="0.25">
      <c r="A2191" t="s">
        <v>824</v>
      </c>
      <c r="B2191" t="s">
        <v>824</v>
      </c>
      <c r="C2191" t="s">
        <v>5969</v>
      </c>
    </row>
    <row r="2192" spans="1:3" x14ac:dyDescent="0.25">
      <c r="A2192" t="s">
        <v>981</v>
      </c>
      <c r="B2192" t="s">
        <v>6331</v>
      </c>
      <c r="C2192" t="s">
        <v>5969</v>
      </c>
    </row>
    <row r="2193" spans="1:3" x14ac:dyDescent="0.25">
      <c r="A2193" t="s">
        <v>1287</v>
      </c>
      <c r="B2193" t="s">
        <v>6332</v>
      </c>
      <c r="C2193" t="s">
        <v>5969</v>
      </c>
    </row>
    <row r="2194" spans="1:3" x14ac:dyDescent="0.25">
      <c r="A2194" t="s">
        <v>70</v>
      </c>
      <c r="B2194" t="s">
        <v>70</v>
      </c>
      <c r="C2194" t="s">
        <v>5969</v>
      </c>
    </row>
    <row r="2195" spans="1:3" x14ac:dyDescent="0.25">
      <c r="A2195" t="s">
        <v>54</v>
      </c>
      <c r="B2195" t="s">
        <v>54</v>
      </c>
      <c r="C2195" t="s">
        <v>5969</v>
      </c>
    </row>
    <row r="2196" spans="1:3" x14ac:dyDescent="0.25">
      <c r="A2196" t="s">
        <v>316</v>
      </c>
      <c r="B2196" t="s">
        <v>316</v>
      </c>
      <c r="C2196" t="s">
        <v>5969</v>
      </c>
    </row>
    <row r="2197" spans="1:3" x14ac:dyDescent="0.25">
      <c r="A2197" t="s">
        <v>506</v>
      </c>
      <c r="B2197" t="s">
        <v>506</v>
      </c>
      <c r="C2197" t="s">
        <v>5969</v>
      </c>
    </row>
    <row r="2198" spans="1:3" x14ac:dyDescent="0.25">
      <c r="A2198" t="s">
        <v>958</v>
      </c>
      <c r="B2198" t="s">
        <v>958</v>
      </c>
      <c r="C2198" t="s">
        <v>5969</v>
      </c>
    </row>
    <row r="2199" spans="1:3" x14ac:dyDescent="0.25">
      <c r="A2199" t="s">
        <v>629</v>
      </c>
      <c r="B2199" t="s">
        <v>6333</v>
      </c>
      <c r="C2199" t="s">
        <v>5969</v>
      </c>
    </row>
    <row r="2200" spans="1:3" x14ac:dyDescent="0.25">
      <c r="A2200" t="s">
        <v>679</v>
      </c>
      <c r="B2200" t="s">
        <v>6334</v>
      </c>
      <c r="C2200" t="s">
        <v>5969</v>
      </c>
    </row>
    <row r="2201" spans="1:3" x14ac:dyDescent="0.25">
      <c r="A2201" t="s">
        <v>1294</v>
      </c>
      <c r="B2201" t="s">
        <v>1294</v>
      </c>
      <c r="C2201" t="s">
        <v>5969</v>
      </c>
    </row>
    <row r="2202" spans="1:3" x14ac:dyDescent="0.25">
      <c r="A2202" t="s">
        <v>781</v>
      </c>
      <c r="B2202" t="s">
        <v>781</v>
      </c>
      <c r="C2202" t="s">
        <v>5969</v>
      </c>
    </row>
    <row r="2203" spans="1:3" x14ac:dyDescent="0.25">
      <c r="A2203" t="s">
        <v>44</v>
      </c>
      <c r="B2203" t="s">
        <v>44</v>
      </c>
      <c r="C2203" t="s">
        <v>5969</v>
      </c>
    </row>
    <row r="2204" spans="1:3" x14ac:dyDescent="0.25">
      <c r="A2204" t="s">
        <v>339</v>
      </c>
      <c r="B2204" t="s">
        <v>339</v>
      </c>
      <c r="C2204" t="s">
        <v>5969</v>
      </c>
    </row>
    <row r="2205" spans="1:3" x14ac:dyDescent="0.25">
      <c r="A2205" t="s">
        <v>341</v>
      </c>
      <c r="B2205" t="s">
        <v>341</v>
      </c>
      <c r="C2205" t="s">
        <v>5969</v>
      </c>
    </row>
    <row r="2206" spans="1:3" x14ac:dyDescent="0.25">
      <c r="A2206" t="s">
        <v>773</v>
      </c>
      <c r="B2206" t="s">
        <v>6335</v>
      </c>
      <c r="C2206" t="s">
        <v>5969</v>
      </c>
    </row>
    <row r="2207" spans="1:3" x14ac:dyDescent="0.25">
      <c r="A2207" t="s">
        <v>130</v>
      </c>
      <c r="B2207" t="s">
        <v>130</v>
      </c>
      <c r="C2207" t="s">
        <v>5969</v>
      </c>
    </row>
    <row r="2208" spans="1:3" x14ac:dyDescent="0.25">
      <c r="A2208" t="s">
        <v>1252</v>
      </c>
      <c r="B2208" t="s">
        <v>6336</v>
      </c>
      <c r="C2208" t="s">
        <v>5969</v>
      </c>
    </row>
    <row r="2209" spans="1:3" x14ac:dyDescent="0.25">
      <c r="A2209" t="s">
        <v>627</v>
      </c>
      <c r="B2209" t="s">
        <v>6337</v>
      </c>
      <c r="C2209" t="s">
        <v>5969</v>
      </c>
    </row>
    <row r="2210" spans="1:3" x14ac:dyDescent="0.25">
      <c r="A2210" t="s">
        <v>964</v>
      </c>
      <c r="B2210" t="s">
        <v>6338</v>
      </c>
      <c r="C2210" t="s">
        <v>5969</v>
      </c>
    </row>
    <row r="2211" spans="1:3" x14ac:dyDescent="0.25">
      <c r="A2211" t="s">
        <v>564</v>
      </c>
      <c r="B2211" t="s">
        <v>6339</v>
      </c>
      <c r="C2211" t="s">
        <v>5969</v>
      </c>
    </row>
    <row r="2212" spans="1:3" x14ac:dyDescent="0.25">
      <c r="A2212" t="s">
        <v>169</v>
      </c>
      <c r="B2212" t="s">
        <v>169</v>
      </c>
      <c r="C2212" t="s">
        <v>5969</v>
      </c>
    </row>
    <row r="2213" spans="1:3" x14ac:dyDescent="0.25">
      <c r="A2213" t="s">
        <v>117</v>
      </c>
      <c r="B2213" t="s">
        <v>117</v>
      </c>
      <c r="C2213" t="s">
        <v>5969</v>
      </c>
    </row>
    <row r="2214" spans="1:3" x14ac:dyDescent="0.25">
      <c r="A2214" t="s">
        <v>572</v>
      </c>
      <c r="B2214" t="s">
        <v>6340</v>
      </c>
      <c r="C2214" t="s">
        <v>5969</v>
      </c>
    </row>
    <row r="2215" spans="1:3" x14ac:dyDescent="0.25">
      <c r="A2215" t="s">
        <v>409</v>
      </c>
      <c r="B2215" t="s">
        <v>6341</v>
      </c>
      <c r="C2215" t="s">
        <v>5969</v>
      </c>
    </row>
    <row r="2216" spans="1:3" x14ac:dyDescent="0.25">
      <c r="A2216" t="s">
        <v>1193</v>
      </c>
      <c r="B2216" t="s">
        <v>1193</v>
      </c>
      <c r="C2216" t="s">
        <v>5969</v>
      </c>
    </row>
    <row r="2217" spans="1:3" x14ac:dyDescent="0.25">
      <c r="A2217" t="s">
        <v>1315</v>
      </c>
      <c r="B2217" t="s">
        <v>6342</v>
      </c>
      <c r="C2217" t="s">
        <v>5969</v>
      </c>
    </row>
    <row r="2218" spans="1:3" x14ac:dyDescent="0.25">
      <c r="A2218" t="s">
        <v>178</v>
      </c>
      <c r="B2218" t="s">
        <v>178</v>
      </c>
      <c r="C2218" t="s">
        <v>5969</v>
      </c>
    </row>
    <row r="2219" spans="1:3" x14ac:dyDescent="0.25">
      <c r="A2219" t="s">
        <v>1187</v>
      </c>
      <c r="B2219" t="s">
        <v>1187</v>
      </c>
      <c r="C2219" t="s">
        <v>5969</v>
      </c>
    </row>
    <row r="2220" spans="1:3" x14ac:dyDescent="0.25">
      <c r="A2220" t="s">
        <v>967</v>
      </c>
      <c r="B2220" t="s">
        <v>6343</v>
      </c>
      <c r="C2220" t="s">
        <v>5969</v>
      </c>
    </row>
    <row r="2221" spans="1:3" x14ac:dyDescent="0.25">
      <c r="A2221" t="s">
        <v>829</v>
      </c>
      <c r="B2221" t="s">
        <v>829</v>
      </c>
      <c r="C2221" t="s">
        <v>5969</v>
      </c>
    </row>
    <row r="2222" spans="1:3" x14ac:dyDescent="0.25">
      <c r="A2222" t="s">
        <v>109</v>
      </c>
      <c r="B2222" t="s">
        <v>109</v>
      </c>
      <c r="C2222" t="s">
        <v>5969</v>
      </c>
    </row>
    <row r="2223" spans="1:3" x14ac:dyDescent="0.25">
      <c r="A2223" t="s">
        <v>806</v>
      </c>
      <c r="B2223" t="s">
        <v>806</v>
      </c>
      <c r="C2223" t="s">
        <v>5969</v>
      </c>
    </row>
    <row r="2224" spans="1:3" x14ac:dyDescent="0.25">
      <c r="A2224" t="s">
        <v>1115</v>
      </c>
      <c r="B2224" t="s">
        <v>1115</v>
      </c>
      <c r="C2224" t="s">
        <v>5969</v>
      </c>
    </row>
    <row r="2225" spans="1:3" x14ac:dyDescent="0.25">
      <c r="A2225" t="s">
        <v>511</v>
      </c>
      <c r="B2225" t="s">
        <v>6344</v>
      </c>
      <c r="C2225" t="s">
        <v>5969</v>
      </c>
    </row>
    <row r="2226" spans="1:3" x14ac:dyDescent="0.25">
      <c r="A2226" t="s">
        <v>1278</v>
      </c>
      <c r="B2226" t="s">
        <v>1278</v>
      </c>
      <c r="C2226" t="s">
        <v>5969</v>
      </c>
    </row>
    <row r="2227" spans="1:3" x14ac:dyDescent="0.25">
      <c r="A2227" t="s">
        <v>1265</v>
      </c>
      <c r="B2227" t="s">
        <v>6345</v>
      </c>
      <c r="C2227" t="s">
        <v>5969</v>
      </c>
    </row>
    <row r="2228" spans="1:3" x14ac:dyDescent="0.25">
      <c r="A2228" t="s">
        <v>1249</v>
      </c>
      <c r="B2228" t="s">
        <v>6346</v>
      </c>
      <c r="C2228" t="s">
        <v>5969</v>
      </c>
    </row>
    <row r="2229" spans="1:3" x14ac:dyDescent="0.25">
      <c r="A2229" t="s">
        <v>890</v>
      </c>
      <c r="B2229" t="s">
        <v>6347</v>
      </c>
      <c r="C2229" t="s">
        <v>5969</v>
      </c>
    </row>
    <row r="2230" spans="1:3" x14ac:dyDescent="0.25">
      <c r="A2230" t="s">
        <v>892</v>
      </c>
      <c r="B2230" t="s">
        <v>892</v>
      </c>
      <c r="C2230" t="s">
        <v>5969</v>
      </c>
    </row>
    <row r="2231" spans="1:3" x14ac:dyDescent="0.25">
      <c r="A2231" t="s">
        <v>1264</v>
      </c>
      <c r="B2231" t="s">
        <v>6348</v>
      </c>
      <c r="C2231" t="s">
        <v>5969</v>
      </c>
    </row>
    <row r="2232" spans="1:3" x14ac:dyDescent="0.25">
      <c r="A2232" t="s">
        <v>189</v>
      </c>
      <c r="B2232" t="s">
        <v>189</v>
      </c>
      <c r="C2232" t="s">
        <v>5969</v>
      </c>
    </row>
    <row r="2233" spans="1:3" x14ac:dyDescent="0.25">
      <c r="A2233" t="s">
        <v>142</v>
      </c>
      <c r="B2233" t="s">
        <v>142</v>
      </c>
      <c r="C2233" t="s">
        <v>5969</v>
      </c>
    </row>
    <row r="2234" spans="1:3" x14ac:dyDescent="0.25">
      <c r="A2234" t="s">
        <v>1212</v>
      </c>
      <c r="B2234" t="s">
        <v>6349</v>
      </c>
      <c r="C2234" t="s">
        <v>5969</v>
      </c>
    </row>
    <row r="2235" spans="1:3" x14ac:dyDescent="0.25">
      <c r="A2235" t="s">
        <v>949</v>
      </c>
      <c r="B2235" t="s">
        <v>6350</v>
      </c>
      <c r="C2235" t="s">
        <v>5969</v>
      </c>
    </row>
    <row r="2236" spans="1:3" x14ac:dyDescent="0.25">
      <c r="A2236" t="s">
        <v>1309</v>
      </c>
      <c r="B2236" t="s">
        <v>6351</v>
      </c>
      <c r="C2236" t="s">
        <v>5969</v>
      </c>
    </row>
    <row r="2237" spans="1:3" x14ac:dyDescent="0.25">
      <c r="A2237" t="s">
        <v>1258</v>
      </c>
      <c r="B2237" t="s">
        <v>1245</v>
      </c>
      <c r="C2237" t="s">
        <v>5969</v>
      </c>
    </row>
    <row r="2238" spans="1:3" x14ac:dyDescent="0.25">
      <c r="A2238" t="s">
        <v>563</v>
      </c>
      <c r="B2238" t="s">
        <v>6352</v>
      </c>
      <c r="C2238" t="s">
        <v>5969</v>
      </c>
    </row>
    <row r="2239" spans="1:3" x14ac:dyDescent="0.25">
      <c r="A2239" t="s">
        <v>567</v>
      </c>
      <c r="B2239" t="s">
        <v>567</v>
      </c>
      <c r="C2239" t="s">
        <v>5969</v>
      </c>
    </row>
    <row r="2240" spans="1:3" x14ac:dyDescent="0.25">
      <c r="A2240" t="s">
        <v>42</v>
      </c>
      <c r="B2240" t="s">
        <v>42</v>
      </c>
      <c r="C2240" t="s">
        <v>5969</v>
      </c>
    </row>
    <row r="2241" spans="1:3" x14ac:dyDescent="0.25">
      <c r="A2241" t="s">
        <v>1168</v>
      </c>
      <c r="B2241" t="s">
        <v>1168</v>
      </c>
      <c r="C2241" t="s">
        <v>5969</v>
      </c>
    </row>
    <row r="2242" spans="1:3" x14ac:dyDescent="0.25">
      <c r="A2242" t="s">
        <v>872</v>
      </c>
      <c r="B2242" t="s">
        <v>872</v>
      </c>
      <c r="C2242" t="s">
        <v>5969</v>
      </c>
    </row>
    <row r="2243" spans="1:3" x14ac:dyDescent="0.25">
      <c r="A2243" t="s">
        <v>462</v>
      </c>
      <c r="B2243" t="s">
        <v>6353</v>
      </c>
      <c r="C2243" t="s">
        <v>5969</v>
      </c>
    </row>
    <row r="2244" spans="1:3" x14ac:dyDescent="0.25">
      <c r="A2244" t="s">
        <v>681</v>
      </c>
      <c r="B2244" t="s">
        <v>6354</v>
      </c>
      <c r="C2244" t="s">
        <v>5969</v>
      </c>
    </row>
    <row r="2245" spans="1:3" x14ac:dyDescent="0.25">
      <c r="A2245" t="s">
        <v>744</v>
      </c>
      <c r="B2245" t="s">
        <v>6355</v>
      </c>
      <c r="C2245" t="s">
        <v>5969</v>
      </c>
    </row>
    <row r="2246" spans="1:3" x14ac:dyDescent="0.25">
      <c r="A2246" t="s">
        <v>24</v>
      </c>
      <c r="B2246" t="s">
        <v>24</v>
      </c>
      <c r="C2246" t="s">
        <v>5969</v>
      </c>
    </row>
    <row r="2247" spans="1:3" x14ac:dyDescent="0.25">
      <c r="A2247" t="s">
        <v>659</v>
      </c>
      <c r="B2247" t="s">
        <v>659</v>
      </c>
      <c r="C2247" t="s">
        <v>5969</v>
      </c>
    </row>
    <row r="2248" spans="1:3" x14ac:dyDescent="0.25">
      <c r="A2248" t="s">
        <v>1620</v>
      </c>
      <c r="B2248" t="s">
        <v>6356</v>
      </c>
      <c r="C2248" t="s">
        <v>5969</v>
      </c>
    </row>
    <row r="2249" spans="1:3" x14ac:dyDescent="0.25">
      <c r="A2249" t="s">
        <v>1614</v>
      </c>
      <c r="B2249" t="s">
        <v>6357</v>
      </c>
      <c r="C2249" t="s">
        <v>5969</v>
      </c>
    </row>
    <row r="2250" spans="1:3" x14ac:dyDescent="0.25">
      <c r="A2250" t="s">
        <v>1615</v>
      </c>
      <c r="B2250" t="s">
        <v>6358</v>
      </c>
      <c r="C2250" t="s">
        <v>5969</v>
      </c>
    </row>
    <row r="2251" spans="1:3" x14ac:dyDescent="0.25">
      <c r="A2251" t="s">
        <v>424</v>
      </c>
      <c r="B2251" t="s">
        <v>424</v>
      </c>
      <c r="C2251" t="s">
        <v>5969</v>
      </c>
    </row>
    <row r="2252" spans="1:3" x14ac:dyDescent="0.25">
      <c r="A2252" t="s">
        <v>662</v>
      </c>
      <c r="B2252" t="s">
        <v>662</v>
      </c>
      <c r="C2252" t="s">
        <v>5969</v>
      </c>
    </row>
    <row r="2253" spans="1:3" x14ac:dyDescent="0.25">
      <c r="A2253" t="s">
        <v>647</v>
      </c>
      <c r="B2253" t="s">
        <v>6359</v>
      </c>
      <c r="C2253" t="s">
        <v>5969</v>
      </c>
    </row>
    <row r="2254" spans="1:3" x14ac:dyDescent="0.25">
      <c r="A2254" t="s">
        <v>1050</v>
      </c>
      <c r="B2254" t="s">
        <v>6360</v>
      </c>
      <c r="C2254" t="s">
        <v>5969</v>
      </c>
    </row>
    <row r="2255" spans="1:3" x14ac:dyDescent="0.25">
      <c r="A2255" t="s">
        <v>1202</v>
      </c>
      <c r="B2255" t="s">
        <v>1202</v>
      </c>
      <c r="C2255" t="s">
        <v>5969</v>
      </c>
    </row>
    <row r="2256" spans="1:3" x14ac:dyDescent="0.25">
      <c r="A2256" t="s">
        <v>860</v>
      </c>
      <c r="B2256" t="s">
        <v>860</v>
      </c>
      <c r="C2256" t="s">
        <v>5969</v>
      </c>
    </row>
    <row r="2257" spans="1:3" x14ac:dyDescent="0.25">
      <c r="A2257" t="s">
        <v>288</v>
      </c>
      <c r="B2257" t="s">
        <v>288</v>
      </c>
      <c r="C2257" t="s">
        <v>5969</v>
      </c>
    </row>
    <row r="2258" spans="1:3" x14ac:dyDescent="0.25">
      <c r="A2258" t="s">
        <v>1046</v>
      </c>
      <c r="B2258" t="s">
        <v>6361</v>
      </c>
      <c r="C2258" t="s">
        <v>5969</v>
      </c>
    </row>
    <row r="2259" spans="1:3" x14ac:dyDescent="0.25">
      <c r="A2259" t="s">
        <v>994</v>
      </c>
      <c r="B2259" t="s">
        <v>994</v>
      </c>
      <c r="C2259" t="s">
        <v>5969</v>
      </c>
    </row>
    <row r="2260" spans="1:3" x14ac:dyDescent="0.25">
      <c r="A2260" t="s">
        <v>1289</v>
      </c>
      <c r="B2260" t="s">
        <v>6362</v>
      </c>
      <c r="C2260" t="s">
        <v>5969</v>
      </c>
    </row>
    <row r="2261" spans="1:3" x14ac:dyDescent="0.25">
      <c r="A2261" t="s">
        <v>835</v>
      </c>
      <c r="B2261" t="s">
        <v>835</v>
      </c>
      <c r="C2261" t="s">
        <v>5969</v>
      </c>
    </row>
    <row r="2262" spans="1:3" x14ac:dyDescent="0.25">
      <c r="A2262" t="s">
        <v>1734</v>
      </c>
      <c r="B2262" t="s">
        <v>1734</v>
      </c>
      <c r="C2262" t="s">
        <v>5969</v>
      </c>
    </row>
    <row r="2263" spans="1:3" x14ac:dyDescent="0.25">
      <c r="A2263" t="s">
        <v>237</v>
      </c>
      <c r="B2263" t="s">
        <v>237</v>
      </c>
      <c r="C2263" t="s">
        <v>5969</v>
      </c>
    </row>
    <row r="2264" spans="1:3" x14ac:dyDescent="0.25">
      <c r="A2264" t="s">
        <v>236</v>
      </c>
      <c r="B2264" t="s">
        <v>236</v>
      </c>
      <c r="C2264" t="s">
        <v>5969</v>
      </c>
    </row>
    <row r="2265" spans="1:3" x14ac:dyDescent="0.25">
      <c r="A2265" t="s">
        <v>190</v>
      </c>
      <c r="B2265" t="s">
        <v>6363</v>
      </c>
      <c r="C2265" t="s">
        <v>5969</v>
      </c>
    </row>
    <row r="2266" spans="1:3" x14ac:dyDescent="0.25">
      <c r="A2266" t="s">
        <v>840</v>
      </c>
      <c r="B2266" t="s">
        <v>840</v>
      </c>
      <c r="C2266" t="s">
        <v>5969</v>
      </c>
    </row>
    <row r="2267" spans="1:3" x14ac:dyDescent="0.25">
      <c r="A2267" t="s">
        <v>531</v>
      </c>
      <c r="B2267" t="s">
        <v>6364</v>
      </c>
      <c r="C2267" t="s">
        <v>5969</v>
      </c>
    </row>
    <row r="2268" spans="1:3" x14ac:dyDescent="0.25">
      <c r="A2268" t="s">
        <v>362</v>
      </c>
      <c r="B2268" t="s">
        <v>6365</v>
      </c>
      <c r="C2268" t="s">
        <v>5969</v>
      </c>
    </row>
    <row r="2269" spans="1:3" x14ac:dyDescent="0.25">
      <c r="A2269" t="s">
        <v>1036</v>
      </c>
      <c r="B2269" t="s">
        <v>6366</v>
      </c>
      <c r="C2269" t="s">
        <v>5969</v>
      </c>
    </row>
    <row r="2270" spans="1:3" x14ac:dyDescent="0.25">
      <c r="A2270" t="s">
        <v>485</v>
      </c>
      <c r="B2270" t="s">
        <v>6367</v>
      </c>
      <c r="C2270" t="s">
        <v>5969</v>
      </c>
    </row>
    <row r="2271" spans="1:3" x14ac:dyDescent="0.25">
      <c r="A2271" t="s">
        <v>979</v>
      </c>
      <c r="B2271" t="s">
        <v>6368</v>
      </c>
      <c r="C2271" t="s">
        <v>5969</v>
      </c>
    </row>
    <row r="2272" spans="1:3" x14ac:dyDescent="0.25">
      <c r="A2272" t="s">
        <v>983</v>
      </c>
      <c r="B2272" t="s">
        <v>6369</v>
      </c>
      <c r="C2272" t="s">
        <v>5969</v>
      </c>
    </row>
    <row r="2273" spans="1:3" x14ac:dyDescent="0.25">
      <c r="A2273" t="s">
        <v>970</v>
      </c>
      <c r="B2273" t="s">
        <v>6370</v>
      </c>
      <c r="C2273" t="s">
        <v>5969</v>
      </c>
    </row>
    <row r="2274" spans="1:3" x14ac:dyDescent="0.25">
      <c r="A2274" t="s">
        <v>170</v>
      </c>
      <c r="B2274" t="s">
        <v>6371</v>
      </c>
      <c r="C2274" t="s">
        <v>5969</v>
      </c>
    </row>
    <row r="2275" spans="1:3" x14ac:dyDescent="0.25">
      <c r="A2275" t="s">
        <v>974</v>
      </c>
      <c r="B2275" t="s">
        <v>6372</v>
      </c>
      <c r="C2275" t="s">
        <v>5969</v>
      </c>
    </row>
    <row r="2276" spans="1:3" x14ac:dyDescent="0.25">
      <c r="A2276" t="s">
        <v>1281</v>
      </c>
      <c r="B2276" t="s">
        <v>1281</v>
      </c>
      <c r="C2276" t="s">
        <v>5969</v>
      </c>
    </row>
    <row r="2277" spans="1:3" x14ac:dyDescent="0.25">
      <c r="A2277" t="s">
        <v>282</v>
      </c>
      <c r="B2277" t="s">
        <v>282</v>
      </c>
      <c r="C2277" t="s">
        <v>5969</v>
      </c>
    </row>
    <row r="2278" spans="1:3" x14ac:dyDescent="0.25">
      <c r="A2278" t="s">
        <v>1293</v>
      </c>
      <c r="B2278" t="s">
        <v>6373</v>
      </c>
      <c r="C2278" t="s">
        <v>5969</v>
      </c>
    </row>
    <row r="2279" spans="1:3" x14ac:dyDescent="0.25">
      <c r="A2279" t="s">
        <v>160</v>
      </c>
      <c r="B2279" t="s">
        <v>160</v>
      </c>
      <c r="C2279" t="s">
        <v>5969</v>
      </c>
    </row>
    <row r="2280" spans="1:3" x14ac:dyDescent="0.25">
      <c r="A2280" t="s">
        <v>382</v>
      </c>
      <c r="B2280" t="s">
        <v>6374</v>
      </c>
      <c r="C2280" t="s">
        <v>5969</v>
      </c>
    </row>
    <row r="2281" spans="1:3" x14ac:dyDescent="0.25">
      <c r="A2281" t="s">
        <v>677</v>
      </c>
      <c r="B2281" t="s">
        <v>6375</v>
      </c>
      <c r="C2281" t="s">
        <v>5969</v>
      </c>
    </row>
    <row r="2282" spans="1:3" x14ac:dyDescent="0.25">
      <c r="A2282" t="s">
        <v>728</v>
      </c>
      <c r="B2282" t="s">
        <v>6376</v>
      </c>
      <c r="C2282" t="s">
        <v>5969</v>
      </c>
    </row>
    <row r="2283" spans="1:3" x14ac:dyDescent="0.25">
      <c r="A2283" t="s">
        <v>1082</v>
      </c>
      <c r="B2283" t="s">
        <v>1075</v>
      </c>
      <c r="C2283" t="s">
        <v>5969</v>
      </c>
    </row>
    <row r="2284" spans="1:3" x14ac:dyDescent="0.25">
      <c r="A2284" t="s">
        <v>729</v>
      </c>
      <c r="B2284" t="s">
        <v>729</v>
      </c>
      <c r="C2284" t="s">
        <v>5969</v>
      </c>
    </row>
    <row r="2285" spans="1:3" x14ac:dyDescent="0.25">
      <c r="A2285" t="s">
        <v>1299</v>
      </c>
      <c r="B2285" t="s">
        <v>6377</v>
      </c>
      <c r="C2285" t="s">
        <v>5969</v>
      </c>
    </row>
    <row r="2286" spans="1:3" x14ac:dyDescent="0.25">
      <c r="A2286" t="s">
        <v>613</v>
      </c>
      <c r="B2286" t="s">
        <v>6378</v>
      </c>
      <c r="C2286" t="s">
        <v>5969</v>
      </c>
    </row>
    <row r="2287" spans="1:3" x14ac:dyDescent="0.25">
      <c r="A2287" t="s">
        <v>1141</v>
      </c>
      <c r="B2287" t="s">
        <v>1141</v>
      </c>
      <c r="C2287" t="s">
        <v>5969</v>
      </c>
    </row>
    <row r="2288" spans="1:3" x14ac:dyDescent="0.25">
      <c r="A2288" t="s">
        <v>953</v>
      </c>
      <c r="B2288" t="s">
        <v>6379</v>
      </c>
      <c r="C2288" t="s">
        <v>5969</v>
      </c>
    </row>
    <row r="2289" spans="1:3" x14ac:dyDescent="0.25">
      <c r="A2289" t="s">
        <v>108</v>
      </c>
      <c r="B2289" t="s">
        <v>5987</v>
      </c>
      <c r="C2289" t="s">
        <v>5969</v>
      </c>
    </row>
    <row r="2290" spans="1:3" x14ac:dyDescent="0.25">
      <c r="A2290" t="s">
        <v>275</v>
      </c>
      <c r="B2290" t="s">
        <v>275</v>
      </c>
      <c r="C2290" t="s">
        <v>5969</v>
      </c>
    </row>
    <row r="2291" spans="1:3" x14ac:dyDescent="0.25">
      <c r="A2291" t="s">
        <v>622</v>
      </c>
      <c r="B2291" t="s">
        <v>6380</v>
      </c>
      <c r="C2291" t="s">
        <v>5969</v>
      </c>
    </row>
    <row r="2292" spans="1:3" x14ac:dyDescent="0.25">
      <c r="A2292" t="s">
        <v>74</v>
      </c>
      <c r="B2292" t="s">
        <v>74</v>
      </c>
      <c r="C2292" t="s">
        <v>5969</v>
      </c>
    </row>
    <row r="2293" spans="1:3" x14ac:dyDescent="0.25">
      <c r="A2293" t="s">
        <v>1210</v>
      </c>
      <c r="B2293" t="s">
        <v>1210</v>
      </c>
      <c r="C2293" t="s">
        <v>5969</v>
      </c>
    </row>
    <row r="2294" spans="1:3" x14ac:dyDescent="0.25">
      <c r="A2294" t="s">
        <v>1060</v>
      </c>
      <c r="B2294" t="s">
        <v>1060</v>
      </c>
      <c r="C2294" t="s">
        <v>5969</v>
      </c>
    </row>
    <row r="2295" spans="1:3" x14ac:dyDescent="0.25">
      <c r="A2295" t="s">
        <v>1019</v>
      </c>
      <c r="B2295" t="s">
        <v>1019</v>
      </c>
      <c r="C2295" t="s">
        <v>5969</v>
      </c>
    </row>
    <row r="2296" spans="1:3" x14ac:dyDescent="0.25">
      <c r="A2296" t="s">
        <v>908</v>
      </c>
      <c r="B2296" t="s">
        <v>908</v>
      </c>
      <c r="C2296" t="s">
        <v>5969</v>
      </c>
    </row>
    <row r="2297" spans="1:3" x14ac:dyDescent="0.25">
      <c r="A2297" t="s">
        <v>826</v>
      </c>
      <c r="B2297" t="s">
        <v>6381</v>
      </c>
      <c r="C2297" t="s">
        <v>5969</v>
      </c>
    </row>
    <row r="2298" spans="1:3" x14ac:dyDescent="0.25">
      <c r="A2298" t="s">
        <v>295</v>
      </c>
      <c r="B2298" t="s">
        <v>6382</v>
      </c>
      <c r="C2298" t="s">
        <v>5969</v>
      </c>
    </row>
    <row r="2299" spans="1:3" x14ac:dyDescent="0.25">
      <c r="A2299" t="s">
        <v>925</v>
      </c>
      <c r="B2299" t="s">
        <v>6383</v>
      </c>
      <c r="C2299" t="s">
        <v>5969</v>
      </c>
    </row>
    <row r="2300" spans="1:3" x14ac:dyDescent="0.25">
      <c r="A2300" t="s">
        <v>1011</v>
      </c>
      <c r="B2300" t="s">
        <v>1011</v>
      </c>
      <c r="C2300" t="s">
        <v>5969</v>
      </c>
    </row>
    <row r="2301" spans="1:3" x14ac:dyDescent="0.25">
      <c r="A2301" t="s">
        <v>1124</v>
      </c>
      <c r="B2301" t="s">
        <v>6384</v>
      </c>
      <c r="C2301" t="s">
        <v>5969</v>
      </c>
    </row>
    <row r="2302" spans="1:3" x14ac:dyDescent="0.25">
      <c r="A2302" t="s">
        <v>1314</v>
      </c>
      <c r="B2302" t="s">
        <v>6385</v>
      </c>
      <c r="C2302" t="s">
        <v>5969</v>
      </c>
    </row>
    <row r="2303" spans="1:3" x14ac:dyDescent="0.25">
      <c r="A2303" t="s">
        <v>398</v>
      </c>
      <c r="B2303" t="s">
        <v>6386</v>
      </c>
      <c r="C2303" t="s">
        <v>5969</v>
      </c>
    </row>
    <row r="2304" spans="1:3" x14ac:dyDescent="0.25">
      <c r="A2304" t="s">
        <v>805</v>
      </c>
      <c r="B2304" t="s">
        <v>805</v>
      </c>
      <c r="C2304" t="s">
        <v>5969</v>
      </c>
    </row>
    <row r="2305" spans="1:3" x14ac:dyDescent="0.25">
      <c r="A2305" t="s">
        <v>862</v>
      </c>
      <c r="B2305" t="s">
        <v>862</v>
      </c>
      <c r="C2305" t="s">
        <v>5969</v>
      </c>
    </row>
    <row r="2306" spans="1:3" x14ac:dyDescent="0.25">
      <c r="A2306" t="s">
        <v>832</v>
      </c>
      <c r="B2306" t="s">
        <v>832</v>
      </c>
      <c r="C2306" t="s">
        <v>5969</v>
      </c>
    </row>
    <row r="2307" spans="1:3" x14ac:dyDescent="0.25">
      <c r="A2307" t="s">
        <v>818</v>
      </c>
      <c r="B2307" t="s">
        <v>818</v>
      </c>
      <c r="C2307" t="s">
        <v>5969</v>
      </c>
    </row>
    <row r="2308" spans="1:3" x14ac:dyDescent="0.25">
      <c r="A2308" t="s">
        <v>853</v>
      </c>
      <c r="B2308" t="s">
        <v>853</v>
      </c>
      <c r="C2308" t="s">
        <v>5969</v>
      </c>
    </row>
    <row r="2309" spans="1:3" x14ac:dyDescent="0.25">
      <c r="A2309" t="s">
        <v>82</v>
      </c>
      <c r="B2309" t="s">
        <v>82</v>
      </c>
      <c r="C2309" t="s">
        <v>5969</v>
      </c>
    </row>
    <row r="2310" spans="1:3" x14ac:dyDescent="0.25">
      <c r="A2310" t="s">
        <v>79</v>
      </c>
      <c r="B2310" t="s">
        <v>79</v>
      </c>
      <c r="C2310" t="s">
        <v>5969</v>
      </c>
    </row>
    <row r="2311" spans="1:3" x14ac:dyDescent="0.25">
      <c r="A2311" t="s">
        <v>1199</v>
      </c>
      <c r="B2311" t="s">
        <v>1199</v>
      </c>
      <c r="C2311" t="s">
        <v>5969</v>
      </c>
    </row>
    <row r="2312" spans="1:3" x14ac:dyDescent="0.25">
      <c r="A2312" t="s">
        <v>706</v>
      </c>
      <c r="B2312" t="s">
        <v>706</v>
      </c>
      <c r="C2312" t="s">
        <v>5969</v>
      </c>
    </row>
    <row r="2313" spans="1:3" x14ac:dyDescent="0.25">
      <c r="A2313" t="s">
        <v>119</v>
      </c>
      <c r="B2313" t="s">
        <v>119</v>
      </c>
      <c r="C2313" t="s">
        <v>5969</v>
      </c>
    </row>
    <row r="2314" spans="1:3" x14ac:dyDescent="0.25">
      <c r="A2314" t="s">
        <v>72</v>
      </c>
      <c r="B2314" t="s">
        <v>72</v>
      </c>
      <c r="C2314" t="s">
        <v>5969</v>
      </c>
    </row>
    <row r="2315" spans="1:3" x14ac:dyDescent="0.25">
      <c r="A2315" t="s">
        <v>1220</v>
      </c>
      <c r="B2315" t="s">
        <v>6387</v>
      </c>
      <c r="C2315" t="s">
        <v>5969</v>
      </c>
    </row>
    <row r="2316" spans="1:3" x14ac:dyDescent="0.25">
      <c r="A2316" t="s">
        <v>1733</v>
      </c>
      <c r="B2316" t="s">
        <v>6388</v>
      </c>
      <c r="C2316" t="s">
        <v>5969</v>
      </c>
    </row>
    <row r="2317" spans="1:3" x14ac:dyDescent="0.25">
      <c r="A2317" t="s">
        <v>1732</v>
      </c>
      <c r="B2317" t="s">
        <v>6389</v>
      </c>
      <c r="C2317" t="s">
        <v>5969</v>
      </c>
    </row>
    <row r="2318" spans="1:3" x14ac:dyDescent="0.25">
      <c r="A2318" t="s">
        <v>1731</v>
      </c>
      <c r="B2318" t="s">
        <v>6390</v>
      </c>
      <c r="C2318" t="s">
        <v>5969</v>
      </c>
    </row>
    <row r="2319" spans="1:3" x14ac:dyDescent="0.25">
      <c r="A2319" t="s">
        <v>345</v>
      </c>
      <c r="B2319" t="s">
        <v>345</v>
      </c>
      <c r="C2319" t="s">
        <v>5969</v>
      </c>
    </row>
    <row r="2320" spans="1:3" x14ac:dyDescent="0.25">
      <c r="A2320" t="s">
        <v>359</v>
      </c>
      <c r="B2320" t="s">
        <v>6391</v>
      </c>
      <c r="C2320" t="s">
        <v>5969</v>
      </c>
    </row>
    <row r="2321" spans="1:3" x14ac:dyDescent="0.25">
      <c r="A2321" t="s">
        <v>358</v>
      </c>
      <c r="B2321" t="s">
        <v>6392</v>
      </c>
      <c r="C2321" t="s">
        <v>5969</v>
      </c>
    </row>
    <row r="2322" spans="1:3" x14ac:dyDescent="0.25">
      <c r="A2322" t="s">
        <v>1160</v>
      </c>
      <c r="B2322" t="s">
        <v>6393</v>
      </c>
      <c r="C2322" t="s">
        <v>5969</v>
      </c>
    </row>
    <row r="2323" spans="1:3" x14ac:dyDescent="0.25">
      <c r="A2323" t="s">
        <v>1303</v>
      </c>
      <c r="B2323" t="s">
        <v>6394</v>
      </c>
      <c r="C2323" t="s">
        <v>5969</v>
      </c>
    </row>
    <row r="2324" spans="1:3" x14ac:dyDescent="0.25">
      <c r="A2324" t="s">
        <v>175</v>
      </c>
      <c r="B2324" t="s">
        <v>175</v>
      </c>
      <c r="C2324" t="s">
        <v>5969</v>
      </c>
    </row>
    <row r="2325" spans="1:3" x14ac:dyDescent="0.25">
      <c r="A2325" t="s">
        <v>343</v>
      </c>
      <c r="B2325" t="s">
        <v>6395</v>
      </c>
      <c r="C2325" t="s">
        <v>5969</v>
      </c>
    </row>
    <row r="2326" spans="1:3" x14ac:dyDescent="0.25">
      <c r="A2326" t="s">
        <v>1013</v>
      </c>
      <c r="B2326" t="s">
        <v>1013</v>
      </c>
      <c r="C2326" t="s">
        <v>5969</v>
      </c>
    </row>
    <row r="2327" spans="1:3" x14ac:dyDescent="0.25">
      <c r="A2327" t="s">
        <v>1185</v>
      </c>
      <c r="B2327" t="s">
        <v>1185</v>
      </c>
      <c r="C2327" t="s">
        <v>5969</v>
      </c>
    </row>
    <row r="2328" spans="1:3" x14ac:dyDescent="0.25">
      <c r="A2328" t="s">
        <v>985</v>
      </c>
      <c r="B2328" t="s">
        <v>6396</v>
      </c>
      <c r="C2328" t="s">
        <v>5969</v>
      </c>
    </row>
    <row r="2329" spans="1:3" x14ac:dyDescent="0.25">
      <c r="A2329" t="s">
        <v>987</v>
      </c>
      <c r="B2329" t="s">
        <v>6397</v>
      </c>
      <c r="C2329" t="s">
        <v>5969</v>
      </c>
    </row>
    <row r="2330" spans="1:3" x14ac:dyDescent="0.25">
      <c r="A2330" t="s">
        <v>307</v>
      </c>
      <c r="B2330" t="s">
        <v>307</v>
      </c>
      <c r="C2330" t="s">
        <v>5969</v>
      </c>
    </row>
    <row r="2331" spans="1:3" x14ac:dyDescent="0.25">
      <c r="A2331" t="s">
        <v>769</v>
      </c>
      <c r="B2331" t="s">
        <v>6398</v>
      </c>
      <c r="C2331" t="s">
        <v>5969</v>
      </c>
    </row>
    <row r="2332" spans="1:3" x14ac:dyDescent="0.25">
      <c r="A2332" t="s">
        <v>533</v>
      </c>
      <c r="B2332" t="s">
        <v>6399</v>
      </c>
      <c r="C2332" t="s">
        <v>5969</v>
      </c>
    </row>
    <row r="2333" spans="1:3" x14ac:dyDescent="0.25">
      <c r="A2333" t="s">
        <v>296</v>
      </c>
      <c r="B2333" t="s">
        <v>296</v>
      </c>
      <c r="C2333" t="s">
        <v>5969</v>
      </c>
    </row>
    <row r="2334" spans="1:3" x14ac:dyDescent="0.25">
      <c r="A2334" t="s">
        <v>77</v>
      </c>
      <c r="B2334" t="s">
        <v>6400</v>
      </c>
      <c r="C2334" t="s">
        <v>5969</v>
      </c>
    </row>
    <row r="2335" spans="1:3" x14ac:dyDescent="0.25">
      <c r="A2335" t="s">
        <v>242</v>
      </c>
      <c r="B2335" t="s">
        <v>6401</v>
      </c>
      <c r="C2335" t="s">
        <v>5969</v>
      </c>
    </row>
    <row r="2336" spans="1:3" x14ac:dyDescent="0.25">
      <c r="A2336" t="s">
        <v>1275</v>
      </c>
      <c r="B2336" t="s">
        <v>6402</v>
      </c>
      <c r="C2336" t="s">
        <v>5969</v>
      </c>
    </row>
    <row r="2337" spans="1:3" x14ac:dyDescent="0.25">
      <c r="A2337" t="s">
        <v>249</v>
      </c>
      <c r="B2337" t="s">
        <v>249</v>
      </c>
      <c r="C2337" t="s">
        <v>5969</v>
      </c>
    </row>
    <row r="2338" spans="1:3" x14ac:dyDescent="0.25">
      <c r="A2338" t="s">
        <v>946</v>
      </c>
      <c r="B2338" t="s">
        <v>6403</v>
      </c>
      <c r="C2338" t="s">
        <v>5969</v>
      </c>
    </row>
    <row r="2339" spans="1:3" x14ac:dyDescent="0.25">
      <c r="A2339" t="s">
        <v>611</v>
      </c>
      <c r="B2339" t="s">
        <v>611</v>
      </c>
      <c r="C2339" t="s">
        <v>5969</v>
      </c>
    </row>
    <row r="2340" spans="1:3" x14ac:dyDescent="0.25">
      <c r="A2340" t="s">
        <v>813</v>
      </c>
      <c r="B2340" t="s">
        <v>813</v>
      </c>
      <c r="C2340" t="s">
        <v>5969</v>
      </c>
    </row>
    <row r="2341" spans="1:3" x14ac:dyDescent="0.25">
      <c r="A2341" t="s">
        <v>1169</v>
      </c>
      <c r="B2341" t="s">
        <v>1169</v>
      </c>
      <c r="C2341" t="s">
        <v>5969</v>
      </c>
    </row>
    <row r="2342" spans="1:3" x14ac:dyDescent="0.25">
      <c r="A2342" t="s">
        <v>209</v>
      </c>
      <c r="B2342" t="s">
        <v>209</v>
      </c>
      <c r="C2342" t="s">
        <v>5969</v>
      </c>
    </row>
    <row r="2343" spans="1:3" x14ac:dyDescent="0.25">
      <c r="A2343" t="s">
        <v>231</v>
      </c>
      <c r="B2343" t="s">
        <v>6404</v>
      </c>
      <c r="C2343" t="s">
        <v>5969</v>
      </c>
    </row>
    <row r="2344" spans="1:3" x14ac:dyDescent="0.25">
      <c r="A2344" t="s">
        <v>1126</v>
      </c>
      <c r="B2344" t="s">
        <v>6405</v>
      </c>
      <c r="C2344" t="s">
        <v>5969</v>
      </c>
    </row>
    <row r="2345" spans="1:3" x14ac:dyDescent="0.25">
      <c r="A2345" t="s">
        <v>823</v>
      </c>
      <c r="B2345" t="s">
        <v>823</v>
      </c>
      <c r="C2345" t="s">
        <v>5969</v>
      </c>
    </row>
    <row r="2346" spans="1:3" x14ac:dyDescent="0.25">
      <c r="A2346" t="s">
        <v>1007</v>
      </c>
      <c r="B2346" t="s">
        <v>1007</v>
      </c>
      <c r="C2346" t="s">
        <v>5969</v>
      </c>
    </row>
    <row r="2347" spans="1:3" x14ac:dyDescent="0.25">
      <c r="A2347" t="s">
        <v>660</v>
      </c>
      <c r="B2347" t="s">
        <v>6406</v>
      </c>
      <c r="C2347" t="s">
        <v>5969</v>
      </c>
    </row>
    <row r="2348" spans="1:3" x14ac:dyDescent="0.25">
      <c r="A2348" t="s">
        <v>1076</v>
      </c>
      <c r="B2348" t="s">
        <v>1076</v>
      </c>
      <c r="C2348" t="s">
        <v>5969</v>
      </c>
    </row>
    <row r="2349" spans="1:3" x14ac:dyDescent="0.25">
      <c r="A2349" t="s">
        <v>478</v>
      </c>
      <c r="B2349" t="s">
        <v>6407</v>
      </c>
      <c r="C2349" t="s">
        <v>5969</v>
      </c>
    </row>
    <row r="2350" spans="1:3" x14ac:dyDescent="0.25">
      <c r="A2350" t="s">
        <v>1027</v>
      </c>
      <c r="B2350" t="s">
        <v>6408</v>
      </c>
      <c r="C2350" t="s">
        <v>5969</v>
      </c>
    </row>
    <row r="2351" spans="1:3" x14ac:dyDescent="0.25">
      <c r="A2351" t="s">
        <v>796</v>
      </c>
      <c r="B2351" t="s">
        <v>6409</v>
      </c>
      <c r="C2351" t="s">
        <v>5969</v>
      </c>
    </row>
    <row r="2352" spans="1:3" x14ac:dyDescent="0.25">
      <c r="A2352" t="s">
        <v>1618</v>
      </c>
      <c r="B2352" t="s">
        <v>6410</v>
      </c>
      <c r="C2352" t="s">
        <v>5969</v>
      </c>
    </row>
    <row r="2353" spans="1:3" x14ac:dyDescent="0.25">
      <c r="A2353" t="s">
        <v>331</v>
      </c>
      <c r="B2353" t="s">
        <v>331</v>
      </c>
      <c r="C2353" t="s">
        <v>5969</v>
      </c>
    </row>
    <row r="2354" spans="1:3" x14ac:dyDescent="0.25">
      <c r="A2354" t="s">
        <v>416</v>
      </c>
      <c r="B2354" t="s">
        <v>416</v>
      </c>
      <c r="C2354" t="s">
        <v>5969</v>
      </c>
    </row>
    <row r="2355" spans="1:3" x14ac:dyDescent="0.25">
      <c r="A2355" t="s">
        <v>1026</v>
      </c>
      <c r="B2355" t="s">
        <v>6411</v>
      </c>
      <c r="C2355" t="s">
        <v>5969</v>
      </c>
    </row>
    <row r="2356" spans="1:3" x14ac:dyDescent="0.25">
      <c r="A2356" t="s">
        <v>715</v>
      </c>
      <c r="B2356" t="s">
        <v>715</v>
      </c>
      <c r="C2356" t="s">
        <v>5969</v>
      </c>
    </row>
    <row r="2357" spans="1:3" x14ac:dyDescent="0.25">
      <c r="A2357" t="s">
        <v>723</v>
      </c>
      <c r="B2357" t="s">
        <v>6412</v>
      </c>
      <c r="C2357" t="s">
        <v>5969</v>
      </c>
    </row>
    <row r="2358" spans="1:3" x14ac:dyDescent="0.25">
      <c r="A2358" t="s">
        <v>115</v>
      </c>
      <c r="B2358" t="s">
        <v>115</v>
      </c>
      <c r="C2358" t="s">
        <v>5969</v>
      </c>
    </row>
    <row r="2359" spans="1:3" x14ac:dyDescent="0.25">
      <c r="A2359" t="s">
        <v>159</v>
      </c>
      <c r="B2359" t="s">
        <v>159</v>
      </c>
      <c r="C2359" t="s">
        <v>5969</v>
      </c>
    </row>
    <row r="2360" spans="1:3" x14ac:dyDescent="0.25">
      <c r="A2360" t="s">
        <v>415</v>
      </c>
      <c r="B2360" t="s">
        <v>415</v>
      </c>
      <c r="C2360" t="s">
        <v>5969</v>
      </c>
    </row>
    <row r="2361" spans="1:3" x14ac:dyDescent="0.25">
      <c r="A2361" t="s">
        <v>628</v>
      </c>
      <c r="B2361" t="s">
        <v>6413</v>
      </c>
      <c r="C2361" t="s">
        <v>5969</v>
      </c>
    </row>
    <row r="2362" spans="1:3" x14ac:dyDescent="0.25">
      <c r="A2362" t="s">
        <v>438</v>
      </c>
      <c r="B2362" t="s">
        <v>6414</v>
      </c>
      <c r="C2362" t="s">
        <v>5969</v>
      </c>
    </row>
    <row r="2363" spans="1:3" x14ac:dyDescent="0.25">
      <c r="A2363" t="s">
        <v>830</v>
      </c>
      <c r="B2363" t="s">
        <v>6415</v>
      </c>
      <c r="C2363" t="s">
        <v>5969</v>
      </c>
    </row>
    <row r="2364" spans="1:3" x14ac:dyDescent="0.25">
      <c r="A2364" t="s">
        <v>353</v>
      </c>
      <c r="B2364" t="s">
        <v>6416</v>
      </c>
      <c r="C2364" t="s">
        <v>5969</v>
      </c>
    </row>
    <row r="2365" spans="1:3" x14ac:dyDescent="0.25">
      <c r="A2365" t="s">
        <v>211</v>
      </c>
      <c r="B2365" t="s">
        <v>211</v>
      </c>
      <c r="C2365" t="s">
        <v>5969</v>
      </c>
    </row>
    <row r="2366" spans="1:3" x14ac:dyDescent="0.25">
      <c r="A2366" t="s">
        <v>630</v>
      </c>
      <c r="B2366" t="s">
        <v>6417</v>
      </c>
      <c r="C2366" t="s">
        <v>5969</v>
      </c>
    </row>
    <row r="2367" spans="1:3" x14ac:dyDescent="0.25">
      <c r="A2367" t="s">
        <v>324</v>
      </c>
      <c r="B2367" t="s">
        <v>324</v>
      </c>
      <c r="C2367" t="s">
        <v>5969</v>
      </c>
    </row>
    <row r="2368" spans="1:3" x14ac:dyDescent="0.25">
      <c r="A2368" t="s">
        <v>1307</v>
      </c>
      <c r="B2368" t="s">
        <v>6418</v>
      </c>
      <c r="C2368" t="s">
        <v>5969</v>
      </c>
    </row>
    <row r="2369" spans="1:3" x14ac:dyDescent="0.25">
      <c r="A2369" t="s">
        <v>716</v>
      </c>
      <c r="B2369" t="s">
        <v>6419</v>
      </c>
      <c r="C2369" t="s">
        <v>5969</v>
      </c>
    </row>
    <row r="2370" spans="1:3" x14ac:dyDescent="0.25">
      <c r="A2370" t="s">
        <v>1171</v>
      </c>
      <c r="B2370" t="s">
        <v>1171</v>
      </c>
      <c r="C2370" t="s">
        <v>5969</v>
      </c>
    </row>
    <row r="2371" spans="1:3" x14ac:dyDescent="0.25">
      <c r="A2371" t="s">
        <v>1295</v>
      </c>
      <c r="B2371" t="s">
        <v>6420</v>
      </c>
      <c r="C2371" t="s">
        <v>5969</v>
      </c>
    </row>
    <row r="2372" spans="1:3" x14ac:dyDescent="0.25">
      <c r="A2372" t="s">
        <v>1280</v>
      </c>
      <c r="B2372" t="s">
        <v>1280</v>
      </c>
      <c r="C2372" t="s">
        <v>5969</v>
      </c>
    </row>
    <row r="2373" spans="1:3" x14ac:dyDescent="0.25">
      <c r="A2373" t="s">
        <v>608</v>
      </c>
      <c r="B2373" t="s">
        <v>608</v>
      </c>
      <c r="C2373" t="s">
        <v>5969</v>
      </c>
    </row>
    <row r="2374" spans="1:3" x14ac:dyDescent="0.25">
      <c r="A2374" t="s">
        <v>274</v>
      </c>
      <c r="B2374" t="s">
        <v>274</v>
      </c>
      <c r="C2374" t="s">
        <v>5969</v>
      </c>
    </row>
    <row r="2375" spans="1:3" x14ac:dyDescent="0.25">
      <c r="A2375" t="s">
        <v>857</v>
      </c>
      <c r="B2375" t="s">
        <v>857</v>
      </c>
      <c r="C2375" t="s">
        <v>5969</v>
      </c>
    </row>
    <row r="2376" spans="1:3" x14ac:dyDescent="0.25">
      <c r="A2376" t="s">
        <v>1623</v>
      </c>
      <c r="B2376" t="s">
        <v>6421</v>
      </c>
      <c r="C2376" t="s">
        <v>5969</v>
      </c>
    </row>
    <row r="2377" spans="1:3" x14ac:dyDescent="0.25">
      <c r="A2377" t="s">
        <v>1616</v>
      </c>
      <c r="B2377" t="s">
        <v>6422</v>
      </c>
      <c r="C2377" t="s">
        <v>5969</v>
      </c>
    </row>
    <row r="2378" spans="1:3" x14ac:dyDescent="0.25">
      <c r="A2378" t="s">
        <v>1629</v>
      </c>
      <c r="B2378" t="s">
        <v>6423</v>
      </c>
      <c r="C2378" t="s">
        <v>5969</v>
      </c>
    </row>
    <row r="2379" spans="1:3" x14ac:dyDescent="0.25">
      <c r="A2379" t="s">
        <v>532</v>
      </c>
      <c r="B2379" t="s">
        <v>6424</v>
      </c>
      <c r="C2379" t="s">
        <v>5969</v>
      </c>
    </row>
    <row r="2380" spans="1:3" x14ac:dyDescent="0.25">
      <c r="A2380" t="s">
        <v>1236</v>
      </c>
      <c r="B2380" t="s">
        <v>6425</v>
      </c>
      <c r="C2380" t="s">
        <v>5969</v>
      </c>
    </row>
    <row r="2381" spans="1:3" x14ac:dyDescent="0.25">
      <c r="A2381" t="s">
        <v>871</v>
      </c>
      <c r="B2381" t="s">
        <v>871</v>
      </c>
      <c r="C2381" t="s">
        <v>5969</v>
      </c>
    </row>
    <row r="2382" spans="1:3" x14ac:dyDescent="0.25">
      <c r="A2382" t="s">
        <v>1143</v>
      </c>
      <c r="B2382" t="s">
        <v>1143</v>
      </c>
      <c r="C2382" t="s">
        <v>5969</v>
      </c>
    </row>
    <row r="2383" spans="1:3" x14ac:dyDescent="0.25">
      <c r="A2383" t="s">
        <v>407</v>
      </c>
      <c r="B2383" t="s">
        <v>407</v>
      </c>
      <c r="C2383" t="s">
        <v>5969</v>
      </c>
    </row>
    <row r="2384" spans="1:3" x14ac:dyDescent="0.25">
      <c r="A2384" t="s">
        <v>633</v>
      </c>
      <c r="B2384" t="s">
        <v>6426</v>
      </c>
      <c r="C2384" t="s">
        <v>5969</v>
      </c>
    </row>
    <row r="2385" spans="1:3" x14ac:dyDescent="0.25">
      <c r="A2385" t="s">
        <v>404</v>
      </c>
      <c r="B2385" t="s">
        <v>6427</v>
      </c>
      <c r="C2385" t="s">
        <v>5969</v>
      </c>
    </row>
    <row r="2386" spans="1:3" x14ac:dyDescent="0.25">
      <c r="A2386" t="s">
        <v>434</v>
      </c>
      <c r="B2386" t="s">
        <v>6058</v>
      </c>
      <c r="C2386" t="s">
        <v>5969</v>
      </c>
    </row>
    <row r="2387" spans="1:3" x14ac:dyDescent="0.25">
      <c r="A2387" t="s">
        <v>624</v>
      </c>
      <c r="B2387" t="s">
        <v>6428</v>
      </c>
      <c r="C2387" t="s">
        <v>5969</v>
      </c>
    </row>
    <row r="2388" spans="1:3" x14ac:dyDescent="0.25">
      <c r="A2388" t="s">
        <v>451</v>
      </c>
      <c r="B2388" t="s">
        <v>6429</v>
      </c>
      <c r="C2388" t="s">
        <v>5969</v>
      </c>
    </row>
    <row r="2389" spans="1:3" x14ac:dyDescent="0.25">
      <c r="A2389" t="s">
        <v>201</v>
      </c>
      <c r="B2389" t="s">
        <v>201</v>
      </c>
      <c r="C2389" t="s">
        <v>5969</v>
      </c>
    </row>
    <row r="2390" spans="1:3" x14ac:dyDescent="0.25">
      <c r="A2390" t="s">
        <v>1004</v>
      </c>
      <c r="B2390" t="s">
        <v>1004</v>
      </c>
      <c r="C2390" t="s">
        <v>5969</v>
      </c>
    </row>
    <row r="2391" spans="1:3" x14ac:dyDescent="0.25">
      <c r="A2391" t="s">
        <v>1012</v>
      </c>
      <c r="B2391" t="s">
        <v>1012</v>
      </c>
      <c r="C2391" t="s">
        <v>5969</v>
      </c>
    </row>
    <row r="2392" spans="1:3" x14ac:dyDescent="0.25">
      <c r="A2392" t="s">
        <v>1183</v>
      </c>
      <c r="B2392" t="s">
        <v>6430</v>
      </c>
      <c r="C2392" t="s">
        <v>5969</v>
      </c>
    </row>
    <row r="2393" spans="1:3" x14ac:dyDescent="0.25">
      <c r="A2393" t="s">
        <v>367</v>
      </c>
      <c r="B2393" t="s">
        <v>6431</v>
      </c>
      <c r="C2393" t="s">
        <v>5969</v>
      </c>
    </row>
    <row r="2394" spans="1:3" x14ac:dyDescent="0.25">
      <c r="A2394" t="s">
        <v>477</v>
      </c>
      <c r="B2394" t="s">
        <v>6432</v>
      </c>
      <c r="C2394" t="s">
        <v>5969</v>
      </c>
    </row>
    <row r="2395" spans="1:3" x14ac:dyDescent="0.25">
      <c r="A2395" t="s">
        <v>417</v>
      </c>
      <c r="B2395" t="s">
        <v>6433</v>
      </c>
      <c r="C2395" t="s">
        <v>5969</v>
      </c>
    </row>
    <row r="2396" spans="1:3" x14ac:dyDescent="0.25">
      <c r="A2396" t="s">
        <v>1211</v>
      </c>
      <c r="B2396" t="s">
        <v>6434</v>
      </c>
      <c r="C2396" t="s">
        <v>5969</v>
      </c>
    </row>
    <row r="2397" spans="1:3" x14ac:dyDescent="0.25">
      <c r="A2397" t="s">
        <v>1256</v>
      </c>
      <c r="B2397" t="s">
        <v>1256</v>
      </c>
      <c r="C2397" t="s">
        <v>5969</v>
      </c>
    </row>
    <row r="2398" spans="1:3" x14ac:dyDescent="0.25">
      <c r="A2398" t="s">
        <v>373</v>
      </c>
      <c r="B2398" t="s">
        <v>6435</v>
      </c>
      <c r="C2398" t="s">
        <v>5969</v>
      </c>
    </row>
    <row r="2399" spans="1:3" x14ac:dyDescent="0.25">
      <c r="A2399" t="s">
        <v>996</v>
      </c>
      <c r="B2399" t="s">
        <v>996</v>
      </c>
      <c r="C2399" t="s">
        <v>5969</v>
      </c>
    </row>
    <row r="2400" spans="1:3" x14ac:dyDescent="0.25">
      <c r="A2400" t="s">
        <v>1010</v>
      </c>
      <c r="B2400" t="s">
        <v>1010</v>
      </c>
      <c r="C2400" t="s">
        <v>5969</v>
      </c>
    </row>
    <row r="2401" spans="1:3" x14ac:dyDescent="0.25">
      <c r="A2401" t="s">
        <v>101</v>
      </c>
      <c r="B2401" t="s">
        <v>101</v>
      </c>
      <c r="C2401" t="s">
        <v>5969</v>
      </c>
    </row>
    <row r="2402" spans="1:3" x14ac:dyDescent="0.25">
      <c r="A2402" t="s">
        <v>444</v>
      </c>
      <c r="B2402" t="s">
        <v>6436</v>
      </c>
      <c r="C2402" t="s">
        <v>5969</v>
      </c>
    </row>
    <row r="2403" spans="1:3" x14ac:dyDescent="0.25">
      <c r="A2403" t="s">
        <v>217</v>
      </c>
      <c r="B2403" t="s">
        <v>217</v>
      </c>
      <c r="C2403" t="s">
        <v>5969</v>
      </c>
    </row>
    <row r="2404" spans="1:3" x14ac:dyDescent="0.25">
      <c r="A2404" t="s">
        <v>154</v>
      </c>
      <c r="B2404" t="s">
        <v>154</v>
      </c>
      <c r="C2404" t="s">
        <v>5969</v>
      </c>
    </row>
    <row r="2405" spans="1:3" x14ac:dyDescent="0.25">
      <c r="A2405" t="s">
        <v>1005</v>
      </c>
      <c r="B2405" t="s">
        <v>1005</v>
      </c>
      <c r="C2405" t="s">
        <v>5969</v>
      </c>
    </row>
    <row r="2406" spans="1:3" x14ac:dyDescent="0.25">
      <c r="A2406" t="s">
        <v>1626</v>
      </c>
      <c r="B2406" t="s">
        <v>6437</v>
      </c>
      <c r="C2406" t="s">
        <v>5969</v>
      </c>
    </row>
    <row r="2407" spans="1:3" x14ac:dyDescent="0.25">
      <c r="A2407" t="s">
        <v>1625</v>
      </c>
      <c r="B2407" t="s">
        <v>6438</v>
      </c>
      <c r="C2407" t="s">
        <v>5969</v>
      </c>
    </row>
    <row r="2408" spans="1:3" x14ac:dyDescent="0.25">
      <c r="A2408" t="s">
        <v>1261</v>
      </c>
      <c r="B2408" t="s">
        <v>1261</v>
      </c>
      <c r="C2408" t="s">
        <v>5969</v>
      </c>
    </row>
    <row r="2409" spans="1:3" x14ac:dyDescent="0.25">
      <c r="A2409" t="s">
        <v>1246</v>
      </c>
      <c r="B2409" t="s">
        <v>6439</v>
      </c>
      <c r="C2409" t="s">
        <v>5969</v>
      </c>
    </row>
    <row r="2410" spans="1:3" x14ac:dyDescent="0.25">
      <c r="A2410" t="s">
        <v>880</v>
      </c>
      <c r="B2410" t="s">
        <v>6440</v>
      </c>
      <c r="C2410" t="s">
        <v>5969</v>
      </c>
    </row>
    <row r="2411" spans="1:3" x14ac:dyDescent="0.25">
      <c r="A2411" t="s">
        <v>785</v>
      </c>
      <c r="B2411" t="s">
        <v>6441</v>
      </c>
      <c r="C2411" t="s">
        <v>5969</v>
      </c>
    </row>
    <row r="2412" spans="1:3" x14ac:dyDescent="0.25">
      <c r="A2412" t="s">
        <v>247</v>
      </c>
      <c r="B2412" t="s">
        <v>6442</v>
      </c>
      <c r="C2412" t="s">
        <v>5969</v>
      </c>
    </row>
    <row r="2413" spans="1:3" x14ac:dyDescent="0.25">
      <c r="A2413" t="s">
        <v>1002</v>
      </c>
      <c r="B2413" t="s">
        <v>1002</v>
      </c>
      <c r="C2413" t="s">
        <v>5969</v>
      </c>
    </row>
    <row r="2414" spans="1:3" x14ac:dyDescent="0.25">
      <c r="A2414" t="s">
        <v>252</v>
      </c>
      <c r="B2414" t="s">
        <v>252</v>
      </c>
      <c r="C2414" t="s">
        <v>5969</v>
      </c>
    </row>
    <row r="2415" spans="1:3" x14ac:dyDescent="0.25">
      <c r="A2415" t="s">
        <v>114</v>
      </c>
      <c r="B2415" t="s">
        <v>114</v>
      </c>
      <c r="C2415" t="s">
        <v>5969</v>
      </c>
    </row>
    <row r="2416" spans="1:3" x14ac:dyDescent="0.25">
      <c r="A2416" t="s">
        <v>690</v>
      </c>
      <c r="B2416" t="s">
        <v>6443</v>
      </c>
      <c r="C2416" t="s">
        <v>5969</v>
      </c>
    </row>
    <row r="2417" spans="1:3" x14ac:dyDescent="0.25">
      <c r="A2417" t="s">
        <v>365</v>
      </c>
      <c r="B2417" t="s">
        <v>6444</v>
      </c>
      <c r="C2417" t="s">
        <v>5969</v>
      </c>
    </row>
    <row r="2418" spans="1:3" x14ac:dyDescent="0.25">
      <c r="A2418" t="s">
        <v>87</v>
      </c>
      <c r="B2418" t="s">
        <v>6445</v>
      </c>
      <c r="C2418" t="s">
        <v>5969</v>
      </c>
    </row>
    <row r="2419" spans="1:3" x14ac:dyDescent="0.25">
      <c r="A2419" t="s">
        <v>19</v>
      </c>
      <c r="B2419" t="s">
        <v>19</v>
      </c>
      <c r="C2419" t="s">
        <v>5969</v>
      </c>
    </row>
    <row r="2420" spans="1:3" x14ac:dyDescent="0.25">
      <c r="A2420" t="s">
        <v>1254</v>
      </c>
      <c r="B2420" t="s">
        <v>6446</v>
      </c>
      <c r="C2420" t="s">
        <v>5969</v>
      </c>
    </row>
    <row r="2421" spans="1:3" x14ac:dyDescent="0.25">
      <c r="A2421" t="s">
        <v>1224</v>
      </c>
      <c r="B2421" t="s">
        <v>6447</v>
      </c>
      <c r="C2421" t="s">
        <v>5969</v>
      </c>
    </row>
    <row r="2422" spans="1:3" x14ac:dyDescent="0.25">
      <c r="A2422" t="s">
        <v>1092</v>
      </c>
      <c r="B2422" t="s">
        <v>1092</v>
      </c>
      <c r="C2422" t="s">
        <v>5969</v>
      </c>
    </row>
    <row r="2423" spans="1:3" x14ac:dyDescent="0.25">
      <c r="A2423" t="s">
        <v>1070</v>
      </c>
      <c r="B2423" t="s">
        <v>6448</v>
      </c>
      <c r="C2423" t="s">
        <v>5969</v>
      </c>
    </row>
    <row r="2424" spans="1:3" x14ac:dyDescent="0.25">
      <c r="A2424" t="s">
        <v>1061</v>
      </c>
      <c r="B2424" t="s">
        <v>1061</v>
      </c>
      <c r="C2424" t="s">
        <v>5969</v>
      </c>
    </row>
    <row r="2425" spans="1:3" x14ac:dyDescent="0.25">
      <c r="A2425" t="s">
        <v>1195</v>
      </c>
      <c r="B2425" t="s">
        <v>6449</v>
      </c>
      <c r="C2425" t="s">
        <v>5969</v>
      </c>
    </row>
    <row r="2426" spans="1:3" x14ac:dyDescent="0.25">
      <c r="A2426" t="s">
        <v>497</v>
      </c>
      <c r="B2426" t="s">
        <v>6450</v>
      </c>
      <c r="C2426" t="s">
        <v>5969</v>
      </c>
    </row>
    <row r="2427" spans="1:3" x14ac:dyDescent="0.25">
      <c r="A2427" t="s">
        <v>895</v>
      </c>
      <c r="B2427" t="s">
        <v>6451</v>
      </c>
      <c r="C2427" t="s">
        <v>5969</v>
      </c>
    </row>
    <row r="2428" spans="1:3" x14ac:dyDescent="0.25">
      <c r="A2428" t="s">
        <v>825</v>
      </c>
      <c r="B2428" t="s">
        <v>825</v>
      </c>
      <c r="C2428" t="s">
        <v>5969</v>
      </c>
    </row>
    <row r="2429" spans="1:3" x14ac:dyDescent="0.25">
      <c r="A2429" t="s">
        <v>1204</v>
      </c>
      <c r="B2429" t="s">
        <v>1204</v>
      </c>
      <c r="C2429" t="s">
        <v>5969</v>
      </c>
    </row>
    <row r="2430" spans="1:3" x14ac:dyDescent="0.25">
      <c r="A2430" t="s">
        <v>5971</v>
      </c>
      <c r="B2430" t="s">
        <v>5969</v>
      </c>
    </row>
    <row r="2431" spans="1:3" x14ac:dyDescent="0.25">
      <c r="A2431" t="s">
        <v>5968</v>
      </c>
      <c r="B2431" t="s">
        <v>5969</v>
      </c>
    </row>
    <row r="2432" spans="1:3" x14ac:dyDescent="0.25">
      <c r="A2432" t="s">
        <v>6452</v>
      </c>
      <c r="B2432" t="s">
        <v>5969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D292-DD82-424E-BF88-D58EE683F510}">
  <dimension ref="A1:L4000"/>
  <sheetViews>
    <sheetView workbookViewId="0">
      <selection sqref="A1:C4000"/>
    </sheetView>
  </sheetViews>
  <sheetFormatPr defaultRowHeight="15" x14ac:dyDescent="0.25"/>
  <sheetData>
    <row r="1" spans="1:12" x14ac:dyDescent="0.25">
      <c r="A1" t="s">
        <v>1963</v>
      </c>
      <c r="B1" t="s">
        <v>1964</v>
      </c>
      <c r="C1" t="s">
        <v>1965</v>
      </c>
      <c r="J1" t="s">
        <v>1963</v>
      </c>
      <c r="K1" t="s">
        <v>1964</v>
      </c>
      <c r="L1" t="s">
        <v>1965</v>
      </c>
    </row>
    <row r="2" spans="1:12" x14ac:dyDescent="0.25">
      <c r="A2">
        <v>1</v>
      </c>
      <c r="B2" t="s">
        <v>1966</v>
      </c>
      <c r="C2">
        <v>65</v>
      </c>
      <c r="J2">
        <v>1</v>
      </c>
      <c r="K2" t="s">
        <v>1966</v>
      </c>
      <c r="L2">
        <v>65</v>
      </c>
    </row>
    <row r="3" spans="1:12" x14ac:dyDescent="0.25">
      <c r="A3">
        <v>2</v>
      </c>
      <c r="B3" t="s">
        <v>1967</v>
      </c>
      <c r="C3">
        <v>23</v>
      </c>
      <c r="J3">
        <v>2</v>
      </c>
      <c r="K3" t="s">
        <v>1967</v>
      </c>
      <c r="L3">
        <v>23</v>
      </c>
    </row>
    <row r="4" spans="1:12" x14ac:dyDescent="0.25">
      <c r="A4">
        <v>3</v>
      </c>
      <c r="B4" t="s">
        <v>1968</v>
      </c>
      <c r="C4">
        <v>76</v>
      </c>
      <c r="J4">
        <v>3</v>
      </c>
      <c r="K4" t="s">
        <v>1968</v>
      </c>
      <c r="L4">
        <v>76</v>
      </c>
    </row>
    <row r="5" spans="1:12" x14ac:dyDescent="0.25">
      <c r="A5">
        <v>4</v>
      </c>
      <c r="B5" t="s">
        <v>1969</v>
      </c>
      <c r="C5">
        <v>52</v>
      </c>
      <c r="J5">
        <v>4</v>
      </c>
      <c r="K5" t="s">
        <v>1969</v>
      </c>
      <c r="L5">
        <v>52</v>
      </c>
    </row>
    <row r="6" spans="1:12" x14ac:dyDescent="0.25">
      <c r="A6">
        <v>5</v>
      </c>
      <c r="B6" t="s">
        <v>1970</v>
      </c>
      <c r="C6">
        <v>81</v>
      </c>
      <c r="J6">
        <v>5</v>
      </c>
      <c r="K6" t="s">
        <v>1970</v>
      </c>
      <c r="L6">
        <v>81</v>
      </c>
    </row>
    <row r="7" spans="1:12" x14ac:dyDescent="0.25">
      <c r="A7">
        <v>6</v>
      </c>
      <c r="B7" t="s">
        <v>1971</v>
      </c>
      <c r="C7">
        <v>54</v>
      </c>
      <c r="J7">
        <v>6</v>
      </c>
      <c r="K7" t="s">
        <v>1971</v>
      </c>
      <c r="L7">
        <v>54</v>
      </c>
    </row>
    <row r="8" spans="1:12" x14ac:dyDescent="0.25">
      <c r="A8">
        <v>7</v>
      </c>
      <c r="B8" t="s">
        <v>1972</v>
      </c>
      <c r="C8">
        <v>45</v>
      </c>
      <c r="J8">
        <v>7</v>
      </c>
      <c r="K8" t="s">
        <v>1972</v>
      </c>
      <c r="L8">
        <v>45</v>
      </c>
    </row>
    <row r="9" spans="1:12" x14ac:dyDescent="0.25">
      <c r="A9">
        <v>8</v>
      </c>
      <c r="B9" t="s">
        <v>1973</v>
      </c>
      <c r="C9">
        <v>45</v>
      </c>
      <c r="J9">
        <v>8</v>
      </c>
      <c r="K9" t="s">
        <v>1973</v>
      </c>
      <c r="L9">
        <v>45</v>
      </c>
    </row>
    <row r="10" spans="1:12" x14ac:dyDescent="0.25">
      <c r="A10">
        <v>9</v>
      </c>
      <c r="B10" t="s">
        <v>1974</v>
      </c>
      <c r="C10">
        <v>37</v>
      </c>
      <c r="J10">
        <v>9</v>
      </c>
      <c r="K10" t="s">
        <v>1974</v>
      </c>
      <c r="L10">
        <v>37</v>
      </c>
    </row>
    <row r="11" spans="1:12" x14ac:dyDescent="0.25">
      <c r="A11">
        <v>10</v>
      </c>
      <c r="B11" t="s">
        <v>1975</v>
      </c>
      <c r="C11">
        <v>40</v>
      </c>
      <c r="J11">
        <v>10</v>
      </c>
      <c r="K11" t="s">
        <v>1975</v>
      </c>
      <c r="L11">
        <v>40</v>
      </c>
    </row>
    <row r="12" spans="1:12" x14ac:dyDescent="0.25">
      <c r="A12">
        <v>11</v>
      </c>
      <c r="B12" t="s">
        <v>1976</v>
      </c>
      <c r="C12">
        <v>53</v>
      </c>
      <c r="J12">
        <v>11</v>
      </c>
      <c r="K12" t="s">
        <v>1976</v>
      </c>
      <c r="L12">
        <v>53</v>
      </c>
    </row>
    <row r="13" spans="1:12" x14ac:dyDescent="0.25">
      <c r="A13">
        <v>12</v>
      </c>
      <c r="B13" t="s">
        <v>1977</v>
      </c>
      <c r="C13">
        <v>38</v>
      </c>
      <c r="J13">
        <v>12</v>
      </c>
      <c r="K13" t="s">
        <v>1977</v>
      </c>
      <c r="L13">
        <v>38</v>
      </c>
    </row>
    <row r="14" spans="1:12" x14ac:dyDescent="0.25">
      <c r="A14">
        <v>13</v>
      </c>
      <c r="B14" t="s">
        <v>1978</v>
      </c>
      <c r="C14">
        <v>47</v>
      </c>
      <c r="J14">
        <v>13</v>
      </c>
      <c r="K14" t="s">
        <v>1978</v>
      </c>
      <c r="L14">
        <v>47</v>
      </c>
    </row>
    <row r="15" spans="1:12" x14ac:dyDescent="0.25">
      <c r="A15">
        <v>14</v>
      </c>
      <c r="B15" t="s">
        <v>1979</v>
      </c>
      <c r="C15">
        <v>48</v>
      </c>
      <c r="J15">
        <v>14</v>
      </c>
      <c r="K15" t="s">
        <v>1979</v>
      </c>
      <c r="L15">
        <v>48</v>
      </c>
    </row>
    <row r="16" spans="1:12" x14ac:dyDescent="0.25">
      <c r="A16">
        <v>15</v>
      </c>
      <c r="B16" t="s">
        <v>1980</v>
      </c>
      <c r="C16">
        <v>59</v>
      </c>
      <c r="J16">
        <v>15</v>
      </c>
      <c r="K16" t="s">
        <v>1980</v>
      </c>
      <c r="L16">
        <v>59</v>
      </c>
    </row>
    <row r="17" spans="1:12" x14ac:dyDescent="0.25">
      <c r="A17">
        <v>16</v>
      </c>
      <c r="B17" t="s">
        <v>1981</v>
      </c>
      <c r="C17">
        <v>49</v>
      </c>
      <c r="J17">
        <v>16</v>
      </c>
      <c r="K17" t="s">
        <v>1981</v>
      </c>
      <c r="L17">
        <v>49</v>
      </c>
    </row>
    <row r="18" spans="1:12" x14ac:dyDescent="0.25">
      <c r="A18">
        <v>17</v>
      </c>
      <c r="B18" t="s">
        <v>1982</v>
      </c>
      <c r="C18">
        <v>55</v>
      </c>
      <c r="J18">
        <v>17</v>
      </c>
      <c r="K18" t="s">
        <v>1982</v>
      </c>
      <c r="L18">
        <v>55</v>
      </c>
    </row>
    <row r="19" spans="1:12" x14ac:dyDescent="0.25">
      <c r="A19">
        <v>18</v>
      </c>
      <c r="B19" t="s">
        <v>1983</v>
      </c>
      <c r="C19">
        <v>51</v>
      </c>
      <c r="J19">
        <v>18</v>
      </c>
      <c r="K19" t="s">
        <v>1983</v>
      </c>
      <c r="L19">
        <v>51</v>
      </c>
    </row>
    <row r="20" spans="1:12" x14ac:dyDescent="0.25">
      <c r="A20">
        <v>19</v>
      </c>
      <c r="B20" t="s">
        <v>1984</v>
      </c>
      <c r="C20">
        <v>47</v>
      </c>
      <c r="J20">
        <v>19</v>
      </c>
      <c r="K20" t="s">
        <v>1984</v>
      </c>
      <c r="L20">
        <v>47</v>
      </c>
    </row>
    <row r="21" spans="1:12" x14ac:dyDescent="0.25">
      <c r="A21">
        <v>20</v>
      </c>
      <c r="B21" t="s">
        <v>1985</v>
      </c>
      <c r="C21">
        <v>77</v>
      </c>
      <c r="J21">
        <v>20</v>
      </c>
      <c r="K21" t="s">
        <v>1985</v>
      </c>
      <c r="L21">
        <v>77</v>
      </c>
    </row>
    <row r="22" spans="1:12" x14ac:dyDescent="0.25">
      <c r="A22">
        <v>21</v>
      </c>
      <c r="B22" t="s">
        <v>1986</v>
      </c>
      <c r="C22">
        <v>63</v>
      </c>
      <c r="J22">
        <v>21</v>
      </c>
      <c r="K22" t="s">
        <v>1986</v>
      </c>
      <c r="L22">
        <v>63</v>
      </c>
    </row>
    <row r="23" spans="1:12" x14ac:dyDescent="0.25">
      <c r="A23">
        <v>22</v>
      </c>
      <c r="B23" t="s">
        <v>1987</v>
      </c>
      <c r="C23">
        <v>46</v>
      </c>
      <c r="J23">
        <v>22</v>
      </c>
      <c r="K23" t="s">
        <v>1987</v>
      </c>
      <c r="L23">
        <v>46</v>
      </c>
    </row>
    <row r="24" spans="1:12" x14ac:dyDescent="0.25">
      <c r="A24">
        <v>23</v>
      </c>
      <c r="B24" t="s">
        <v>1988</v>
      </c>
      <c r="C24">
        <v>81</v>
      </c>
      <c r="J24">
        <v>23</v>
      </c>
      <c r="K24" t="s">
        <v>1988</v>
      </c>
      <c r="L24">
        <v>81</v>
      </c>
    </row>
    <row r="25" spans="1:12" x14ac:dyDescent="0.25">
      <c r="A25">
        <v>24</v>
      </c>
      <c r="B25" t="s">
        <v>1989</v>
      </c>
      <c r="C25">
        <v>58</v>
      </c>
      <c r="J25">
        <v>24</v>
      </c>
      <c r="K25" t="s">
        <v>1989</v>
      </c>
      <c r="L25">
        <v>58</v>
      </c>
    </row>
    <row r="26" spans="1:12" x14ac:dyDescent="0.25">
      <c r="A26">
        <v>25</v>
      </c>
      <c r="B26" t="s">
        <v>1990</v>
      </c>
      <c r="C26">
        <v>64</v>
      </c>
      <c r="J26">
        <v>25</v>
      </c>
      <c r="K26" t="s">
        <v>1990</v>
      </c>
      <c r="L26">
        <v>64</v>
      </c>
    </row>
    <row r="27" spans="1:12" x14ac:dyDescent="0.25">
      <c r="A27">
        <v>26</v>
      </c>
      <c r="B27" t="s">
        <v>1991</v>
      </c>
      <c r="C27">
        <v>61</v>
      </c>
      <c r="J27">
        <v>26</v>
      </c>
      <c r="K27" t="s">
        <v>1991</v>
      </c>
      <c r="L27">
        <v>61</v>
      </c>
    </row>
    <row r="28" spans="1:12" x14ac:dyDescent="0.25">
      <c r="A28">
        <v>27</v>
      </c>
      <c r="B28" t="s">
        <v>1992</v>
      </c>
      <c r="C28">
        <v>54</v>
      </c>
      <c r="J28">
        <v>27</v>
      </c>
      <c r="K28" t="s">
        <v>1992</v>
      </c>
      <c r="L28">
        <v>54</v>
      </c>
    </row>
    <row r="29" spans="1:12" x14ac:dyDescent="0.25">
      <c r="A29">
        <v>28</v>
      </c>
      <c r="B29" t="s">
        <v>1993</v>
      </c>
      <c r="C29">
        <v>48</v>
      </c>
      <c r="J29">
        <v>28</v>
      </c>
      <c r="K29" t="s">
        <v>1993</v>
      </c>
      <c r="L29">
        <v>48</v>
      </c>
    </row>
    <row r="30" spans="1:12" x14ac:dyDescent="0.25">
      <c r="A30">
        <v>29</v>
      </c>
      <c r="B30" t="s">
        <v>1994</v>
      </c>
      <c r="C30">
        <v>57</v>
      </c>
      <c r="J30">
        <v>29</v>
      </c>
      <c r="K30" t="s">
        <v>1994</v>
      </c>
      <c r="L30">
        <v>57</v>
      </c>
    </row>
    <row r="31" spans="1:12" x14ac:dyDescent="0.25">
      <c r="A31">
        <v>30</v>
      </c>
      <c r="B31" t="s">
        <v>1995</v>
      </c>
      <c r="C31">
        <v>53</v>
      </c>
      <c r="J31">
        <v>30</v>
      </c>
      <c r="K31" t="s">
        <v>1995</v>
      </c>
      <c r="L31">
        <v>53</v>
      </c>
    </row>
    <row r="32" spans="1:12" x14ac:dyDescent="0.25">
      <c r="A32">
        <v>31</v>
      </c>
      <c r="B32" t="s">
        <v>1996</v>
      </c>
      <c r="C32">
        <v>35</v>
      </c>
      <c r="J32">
        <v>31</v>
      </c>
      <c r="K32" t="s">
        <v>1996</v>
      </c>
      <c r="L32">
        <v>35</v>
      </c>
    </row>
    <row r="33" spans="1:12" x14ac:dyDescent="0.25">
      <c r="A33">
        <v>32</v>
      </c>
      <c r="B33" t="s">
        <v>1997</v>
      </c>
      <c r="C33">
        <v>39</v>
      </c>
      <c r="J33">
        <v>32</v>
      </c>
      <c r="K33" t="s">
        <v>1997</v>
      </c>
      <c r="L33">
        <v>39</v>
      </c>
    </row>
    <row r="34" spans="1:12" x14ac:dyDescent="0.25">
      <c r="A34">
        <v>33</v>
      </c>
      <c r="B34" t="s">
        <v>1998</v>
      </c>
      <c r="C34">
        <v>43</v>
      </c>
      <c r="J34">
        <v>33</v>
      </c>
      <c r="K34" t="s">
        <v>1998</v>
      </c>
      <c r="L34">
        <v>43</v>
      </c>
    </row>
    <row r="35" spans="1:12" x14ac:dyDescent="0.25">
      <c r="A35">
        <v>34</v>
      </c>
      <c r="B35" t="s">
        <v>1999</v>
      </c>
      <c r="C35">
        <v>44</v>
      </c>
      <c r="J35">
        <v>34</v>
      </c>
      <c r="K35" t="s">
        <v>1999</v>
      </c>
      <c r="L35">
        <v>44</v>
      </c>
    </row>
    <row r="36" spans="1:12" x14ac:dyDescent="0.25">
      <c r="A36">
        <v>35</v>
      </c>
      <c r="B36" t="s">
        <v>2000</v>
      </c>
      <c r="C36">
        <v>39</v>
      </c>
      <c r="J36">
        <v>35</v>
      </c>
      <c r="K36" t="s">
        <v>2000</v>
      </c>
      <c r="L36">
        <v>39</v>
      </c>
    </row>
    <row r="37" spans="1:12" x14ac:dyDescent="0.25">
      <c r="A37">
        <v>36</v>
      </c>
      <c r="B37" t="s">
        <v>2001</v>
      </c>
      <c r="C37">
        <v>53</v>
      </c>
      <c r="J37">
        <v>36</v>
      </c>
      <c r="K37" t="s">
        <v>2001</v>
      </c>
      <c r="L37">
        <v>53</v>
      </c>
    </row>
    <row r="38" spans="1:12" x14ac:dyDescent="0.25">
      <c r="A38">
        <v>37</v>
      </c>
      <c r="B38" t="s">
        <v>2002</v>
      </c>
      <c r="C38">
        <v>47</v>
      </c>
      <c r="J38">
        <v>37</v>
      </c>
      <c r="K38" t="s">
        <v>2002</v>
      </c>
      <c r="L38">
        <v>47</v>
      </c>
    </row>
    <row r="39" spans="1:12" x14ac:dyDescent="0.25">
      <c r="A39">
        <v>38</v>
      </c>
      <c r="B39" t="s">
        <v>2003</v>
      </c>
      <c r="C39">
        <v>26</v>
      </c>
      <c r="J39">
        <v>38</v>
      </c>
      <c r="K39" t="s">
        <v>2003</v>
      </c>
      <c r="L39">
        <v>26</v>
      </c>
    </row>
    <row r="40" spans="1:12" x14ac:dyDescent="0.25">
      <c r="A40">
        <v>39</v>
      </c>
      <c r="B40" t="s">
        <v>2004</v>
      </c>
      <c r="C40">
        <v>41</v>
      </c>
      <c r="J40">
        <v>39</v>
      </c>
      <c r="K40" t="s">
        <v>2004</v>
      </c>
      <c r="L40">
        <v>41</v>
      </c>
    </row>
    <row r="41" spans="1:12" x14ac:dyDescent="0.25">
      <c r="A41">
        <v>40</v>
      </c>
      <c r="B41" t="s">
        <v>2005</v>
      </c>
      <c r="C41">
        <v>42</v>
      </c>
      <c r="J41">
        <v>40</v>
      </c>
      <c r="K41" t="s">
        <v>2005</v>
      </c>
      <c r="L41">
        <v>42</v>
      </c>
    </row>
    <row r="42" spans="1:12" x14ac:dyDescent="0.25">
      <c r="A42">
        <v>41</v>
      </c>
      <c r="B42" t="s">
        <v>2006</v>
      </c>
      <c r="C42">
        <v>51</v>
      </c>
      <c r="J42">
        <v>41</v>
      </c>
      <c r="K42" t="s">
        <v>2006</v>
      </c>
      <c r="L42">
        <v>51</v>
      </c>
    </row>
    <row r="43" spans="1:12" x14ac:dyDescent="0.25">
      <c r="A43">
        <v>42</v>
      </c>
      <c r="B43" t="s">
        <v>2007</v>
      </c>
      <c r="C43">
        <v>44</v>
      </c>
      <c r="J43">
        <v>42</v>
      </c>
      <c r="K43" t="s">
        <v>2007</v>
      </c>
      <c r="L43">
        <v>44</v>
      </c>
    </row>
    <row r="44" spans="1:12" x14ac:dyDescent="0.25">
      <c r="A44">
        <v>43</v>
      </c>
      <c r="B44" t="s">
        <v>2008</v>
      </c>
      <c r="C44">
        <v>48</v>
      </c>
      <c r="J44">
        <v>43</v>
      </c>
      <c r="K44" t="s">
        <v>2008</v>
      </c>
      <c r="L44">
        <v>48</v>
      </c>
    </row>
    <row r="45" spans="1:12" x14ac:dyDescent="0.25">
      <c r="A45">
        <v>44</v>
      </c>
      <c r="B45" t="s">
        <v>2009</v>
      </c>
      <c r="C45">
        <v>39</v>
      </c>
      <c r="J45">
        <v>44</v>
      </c>
      <c r="K45" t="s">
        <v>2009</v>
      </c>
      <c r="L45">
        <v>39</v>
      </c>
    </row>
    <row r="46" spans="1:12" x14ac:dyDescent="0.25">
      <c r="A46">
        <v>45</v>
      </c>
      <c r="B46" t="s">
        <v>2010</v>
      </c>
      <c r="C46">
        <v>53</v>
      </c>
      <c r="J46">
        <v>45</v>
      </c>
      <c r="K46" t="s">
        <v>2010</v>
      </c>
      <c r="L46">
        <v>53</v>
      </c>
    </row>
    <row r="47" spans="1:12" x14ac:dyDescent="0.25">
      <c r="A47">
        <v>46</v>
      </c>
      <c r="B47" t="s">
        <v>2011</v>
      </c>
      <c r="C47">
        <v>43</v>
      </c>
      <c r="J47">
        <v>46</v>
      </c>
      <c r="K47" t="s">
        <v>2011</v>
      </c>
      <c r="L47">
        <v>43</v>
      </c>
    </row>
    <row r="48" spans="1:12" x14ac:dyDescent="0.25">
      <c r="A48">
        <v>47</v>
      </c>
      <c r="B48" t="s">
        <v>2012</v>
      </c>
      <c r="C48">
        <v>24</v>
      </c>
      <c r="J48">
        <v>47</v>
      </c>
      <c r="K48" t="s">
        <v>2012</v>
      </c>
      <c r="L48">
        <v>24</v>
      </c>
    </row>
    <row r="49" spans="1:12" x14ac:dyDescent="0.25">
      <c r="A49">
        <v>48</v>
      </c>
      <c r="B49" t="s">
        <v>2013</v>
      </c>
      <c r="C49">
        <v>34</v>
      </c>
      <c r="J49">
        <v>48</v>
      </c>
      <c r="K49" t="s">
        <v>2013</v>
      </c>
      <c r="L49">
        <v>34</v>
      </c>
    </row>
    <row r="50" spans="1:12" x14ac:dyDescent="0.25">
      <c r="A50">
        <v>49</v>
      </c>
      <c r="B50" t="s">
        <v>2014</v>
      </c>
      <c r="C50">
        <v>35</v>
      </c>
      <c r="J50">
        <v>49</v>
      </c>
      <c r="K50" t="s">
        <v>2014</v>
      </c>
      <c r="L50">
        <v>35</v>
      </c>
    </row>
    <row r="51" spans="1:12" x14ac:dyDescent="0.25">
      <c r="A51">
        <v>50</v>
      </c>
      <c r="B51" t="s">
        <v>2015</v>
      </c>
      <c r="C51">
        <v>38</v>
      </c>
      <c r="J51">
        <v>50</v>
      </c>
      <c r="K51" t="s">
        <v>2015</v>
      </c>
      <c r="L51">
        <v>38</v>
      </c>
    </row>
    <row r="52" spans="1:12" x14ac:dyDescent="0.25">
      <c r="A52">
        <v>51</v>
      </c>
      <c r="B52" t="s">
        <v>2016</v>
      </c>
      <c r="C52">
        <v>55</v>
      </c>
      <c r="J52">
        <v>51</v>
      </c>
      <c r="K52" t="s">
        <v>2016</v>
      </c>
      <c r="L52">
        <v>55</v>
      </c>
    </row>
    <row r="53" spans="1:12" x14ac:dyDescent="0.25">
      <c r="A53">
        <v>52</v>
      </c>
      <c r="B53" t="s">
        <v>2017</v>
      </c>
      <c r="C53">
        <v>52</v>
      </c>
      <c r="J53">
        <v>52</v>
      </c>
      <c r="K53" t="s">
        <v>2017</v>
      </c>
      <c r="L53">
        <v>52</v>
      </c>
    </row>
    <row r="54" spans="1:12" x14ac:dyDescent="0.25">
      <c r="A54">
        <v>53</v>
      </c>
      <c r="B54" t="s">
        <v>2018</v>
      </c>
      <c r="C54">
        <v>32</v>
      </c>
      <c r="J54">
        <v>53</v>
      </c>
      <c r="K54" t="s">
        <v>2018</v>
      </c>
      <c r="L54">
        <v>32</v>
      </c>
    </row>
    <row r="55" spans="1:12" x14ac:dyDescent="0.25">
      <c r="A55">
        <v>54</v>
      </c>
      <c r="B55" t="s">
        <v>2019</v>
      </c>
      <c r="C55">
        <v>38</v>
      </c>
      <c r="J55">
        <v>54</v>
      </c>
      <c r="K55" t="s">
        <v>2019</v>
      </c>
      <c r="L55">
        <v>38</v>
      </c>
    </row>
    <row r="56" spans="1:12" x14ac:dyDescent="0.25">
      <c r="A56">
        <v>55</v>
      </c>
      <c r="B56" t="s">
        <v>2020</v>
      </c>
      <c r="C56">
        <v>41</v>
      </c>
      <c r="J56">
        <v>55</v>
      </c>
      <c r="K56" t="s">
        <v>2020</v>
      </c>
      <c r="L56">
        <v>41</v>
      </c>
    </row>
    <row r="57" spans="1:12" x14ac:dyDescent="0.25">
      <c r="A57">
        <v>56</v>
      </c>
      <c r="B57" t="s">
        <v>2021</v>
      </c>
      <c r="C57">
        <v>47</v>
      </c>
      <c r="J57">
        <v>56</v>
      </c>
      <c r="K57" t="s">
        <v>2021</v>
      </c>
      <c r="L57">
        <v>47</v>
      </c>
    </row>
    <row r="58" spans="1:12" x14ac:dyDescent="0.25">
      <c r="A58">
        <v>57</v>
      </c>
      <c r="B58" t="s">
        <v>2022</v>
      </c>
      <c r="C58">
        <v>70</v>
      </c>
      <c r="J58">
        <v>57</v>
      </c>
      <c r="K58" t="s">
        <v>2022</v>
      </c>
      <c r="L58">
        <v>70</v>
      </c>
    </row>
    <row r="59" spans="1:12" x14ac:dyDescent="0.25">
      <c r="A59">
        <v>58</v>
      </c>
      <c r="B59" t="s">
        <v>2023</v>
      </c>
      <c r="C59">
        <v>72</v>
      </c>
      <c r="J59">
        <v>58</v>
      </c>
      <c r="K59" t="s">
        <v>2023</v>
      </c>
      <c r="L59">
        <v>72</v>
      </c>
    </row>
    <row r="60" spans="1:12" x14ac:dyDescent="0.25">
      <c r="A60">
        <v>59</v>
      </c>
      <c r="B60" t="s">
        <v>2024</v>
      </c>
      <c r="C60">
        <v>40</v>
      </c>
      <c r="J60">
        <v>59</v>
      </c>
      <c r="K60" t="s">
        <v>2024</v>
      </c>
      <c r="L60">
        <v>40</v>
      </c>
    </row>
    <row r="61" spans="1:12" x14ac:dyDescent="0.25">
      <c r="A61">
        <v>60</v>
      </c>
      <c r="B61" t="s">
        <v>2025</v>
      </c>
      <c r="C61">
        <v>45</v>
      </c>
      <c r="J61">
        <v>60</v>
      </c>
      <c r="K61" t="s">
        <v>2025</v>
      </c>
      <c r="L61">
        <v>45</v>
      </c>
    </row>
    <row r="62" spans="1:12" x14ac:dyDescent="0.25">
      <c r="A62">
        <v>61</v>
      </c>
      <c r="B62" t="s">
        <v>2026</v>
      </c>
      <c r="C62">
        <v>35</v>
      </c>
      <c r="J62">
        <v>61</v>
      </c>
      <c r="K62" t="s">
        <v>2026</v>
      </c>
      <c r="L62">
        <v>35</v>
      </c>
    </row>
    <row r="63" spans="1:12" x14ac:dyDescent="0.25">
      <c r="A63">
        <v>62</v>
      </c>
      <c r="B63" t="s">
        <v>2027</v>
      </c>
      <c r="C63">
        <v>25</v>
      </c>
      <c r="J63">
        <v>62</v>
      </c>
      <c r="K63" t="s">
        <v>2027</v>
      </c>
      <c r="L63">
        <v>25</v>
      </c>
    </row>
    <row r="64" spans="1:12" x14ac:dyDescent="0.25">
      <c r="A64">
        <v>63</v>
      </c>
      <c r="B64" t="s">
        <v>2028</v>
      </c>
      <c r="C64">
        <v>21</v>
      </c>
      <c r="J64">
        <v>63</v>
      </c>
      <c r="K64" t="s">
        <v>2028</v>
      </c>
      <c r="L64">
        <v>21</v>
      </c>
    </row>
    <row r="65" spans="1:12" x14ac:dyDescent="0.25">
      <c r="A65">
        <v>64</v>
      </c>
      <c r="B65" t="s">
        <v>2029</v>
      </c>
      <c r="C65">
        <v>36</v>
      </c>
      <c r="J65">
        <v>64</v>
      </c>
      <c r="K65" t="s">
        <v>2029</v>
      </c>
      <c r="L65">
        <v>36</v>
      </c>
    </row>
    <row r="66" spans="1:12" x14ac:dyDescent="0.25">
      <c r="A66">
        <v>65</v>
      </c>
      <c r="B66" t="s">
        <v>2030</v>
      </c>
      <c r="C66">
        <v>36</v>
      </c>
      <c r="J66">
        <v>65</v>
      </c>
      <c r="K66" t="s">
        <v>2030</v>
      </c>
      <c r="L66">
        <v>36</v>
      </c>
    </row>
    <row r="67" spans="1:12" x14ac:dyDescent="0.25">
      <c r="A67">
        <v>66</v>
      </c>
      <c r="B67" t="s">
        <v>2031</v>
      </c>
      <c r="C67">
        <v>35</v>
      </c>
      <c r="J67">
        <v>66</v>
      </c>
      <c r="K67" t="s">
        <v>2031</v>
      </c>
      <c r="L67">
        <v>35</v>
      </c>
    </row>
    <row r="68" spans="1:12" x14ac:dyDescent="0.25">
      <c r="A68">
        <v>67</v>
      </c>
      <c r="B68" t="s">
        <v>2032</v>
      </c>
      <c r="C68">
        <v>45</v>
      </c>
      <c r="J68">
        <v>67</v>
      </c>
      <c r="K68" t="s">
        <v>2032</v>
      </c>
      <c r="L68">
        <v>45</v>
      </c>
    </row>
    <row r="69" spans="1:12" x14ac:dyDescent="0.25">
      <c r="A69">
        <v>68</v>
      </c>
      <c r="B69" t="s">
        <v>2033</v>
      </c>
      <c r="C69">
        <v>19</v>
      </c>
      <c r="J69">
        <v>68</v>
      </c>
      <c r="K69" t="s">
        <v>2033</v>
      </c>
      <c r="L69">
        <v>19</v>
      </c>
    </row>
    <row r="70" spans="1:12" x14ac:dyDescent="0.25">
      <c r="A70">
        <v>69</v>
      </c>
      <c r="B70" t="s">
        <v>2034</v>
      </c>
      <c r="C70">
        <v>19</v>
      </c>
      <c r="J70">
        <v>69</v>
      </c>
      <c r="K70" t="s">
        <v>2034</v>
      </c>
      <c r="L70">
        <v>19</v>
      </c>
    </row>
    <row r="71" spans="1:12" x14ac:dyDescent="0.25">
      <c r="A71">
        <v>70</v>
      </c>
      <c r="B71" t="s">
        <v>2035</v>
      </c>
      <c r="C71">
        <v>23</v>
      </c>
      <c r="J71">
        <v>70</v>
      </c>
      <c r="K71" t="s">
        <v>2035</v>
      </c>
      <c r="L71">
        <v>23</v>
      </c>
    </row>
    <row r="72" spans="1:12" x14ac:dyDescent="0.25">
      <c r="A72">
        <v>71</v>
      </c>
      <c r="B72" t="s">
        <v>2036</v>
      </c>
      <c r="C72">
        <v>23</v>
      </c>
      <c r="J72">
        <v>71</v>
      </c>
      <c r="K72" t="s">
        <v>2036</v>
      </c>
      <c r="L72">
        <v>23</v>
      </c>
    </row>
    <row r="73" spans="1:12" x14ac:dyDescent="0.25">
      <c r="A73">
        <v>72</v>
      </c>
      <c r="B73" t="s">
        <v>2037</v>
      </c>
      <c r="C73">
        <v>44</v>
      </c>
      <c r="J73">
        <v>72</v>
      </c>
      <c r="K73" t="s">
        <v>2037</v>
      </c>
      <c r="L73">
        <v>44</v>
      </c>
    </row>
    <row r="74" spans="1:12" x14ac:dyDescent="0.25">
      <c r="A74">
        <v>73</v>
      </c>
      <c r="B74" t="s">
        <v>2038</v>
      </c>
      <c r="C74">
        <v>64</v>
      </c>
      <c r="J74">
        <v>73</v>
      </c>
      <c r="K74" t="s">
        <v>2038</v>
      </c>
      <c r="L74">
        <v>64</v>
      </c>
    </row>
    <row r="75" spans="1:12" x14ac:dyDescent="0.25">
      <c r="A75">
        <v>74</v>
      </c>
      <c r="B75" t="s">
        <v>2039</v>
      </c>
      <c r="C75">
        <v>58</v>
      </c>
      <c r="J75">
        <v>74</v>
      </c>
      <c r="K75" t="s">
        <v>2039</v>
      </c>
      <c r="L75">
        <v>58</v>
      </c>
    </row>
    <row r="76" spans="1:12" x14ac:dyDescent="0.25">
      <c r="A76">
        <v>75</v>
      </c>
      <c r="B76" t="s">
        <v>2040</v>
      </c>
      <c r="C76">
        <v>81</v>
      </c>
      <c r="J76">
        <v>75</v>
      </c>
      <c r="K76" t="s">
        <v>2040</v>
      </c>
      <c r="L76">
        <v>81</v>
      </c>
    </row>
    <row r="77" spans="1:12" x14ac:dyDescent="0.25">
      <c r="A77">
        <v>76</v>
      </c>
      <c r="B77" t="s">
        <v>2041</v>
      </c>
      <c r="C77">
        <v>75</v>
      </c>
      <c r="J77">
        <v>76</v>
      </c>
      <c r="K77" t="s">
        <v>2041</v>
      </c>
      <c r="L77">
        <v>75</v>
      </c>
    </row>
    <row r="78" spans="1:12" x14ac:dyDescent="0.25">
      <c r="A78">
        <v>77</v>
      </c>
      <c r="B78" t="s">
        <v>2042</v>
      </c>
      <c r="C78">
        <v>46</v>
      </c>
      <c r="J78">
        <v>77</v>
      </c>
      <c r="K78" t="s">
        <v>2042</v>
      </c>
      <c r="L78">
        <v>46</v>
      </c>
    </row>
    <row r="79" spans="1:12" x14ac:dyDescent="0.25">
      <c r="A79">
        <v>78</v>
      </c>
      <c r="B79" t="s">
        <v>2043</v>
      </c>
      <c r="C79">
        <v>96</v>
      </c>
      <c r="J79">
        <v>78</v>
      </c>
      <c r="K79" t="s">
        <v>2043</v>
      </c>
      <c r="L79">
        <v>96</v>
      </c>
    </row>
    <row r="80" spans="1:12" x14ac:dyDescent="0.25">
      <c r="A80">
        <v>79</v>
      </c>
      <c r="B80" t="s">
        <v>2044</v>
      </c>
      <c r="C80">
        <v>59</v>
      </c>
      <c r="J80">
        <v>79</v>
      </c>
      <c r="K80" t="s">
        <v>2044</v>
      </c>
      <c r="L80">
        <v>59</v>
      </c>
    </row>
    <row r="81" spans="1:12" x14ac:dyDescent="0.25">
      <c r="A81">
        <v>80</v>
      </c>
      <c r="B81" t="s">
        <v>2045</v>
      </c>
      <c r="C81">
        <v>48</v>
      </c>
      <c r="J81">
        <v>80</v>
      </c>
      <c r="K81" t="s">
        <v>2045</v>
      </c>
      <c r="L81">
        <v>48</v>
      </c>
    </row>
    <row r="82" spans="1:12" x14ac:dyDescent="0.25">
      <c r="A82">
        <v>81</v>
      </c>
      <c r="B82" t="s">
        <v>2046</v>
      </c>
      <c r="C82">
        <v>39</v>
      </c>
      <c r="J82">
        <v>81</v>
      </c>
      <c r="K82" t="s">
        <v>2046</v>
      </c>
      <c r="L82">
        <v>39</v>
      </c>
    </row>
    <row r="83" spans="1:12" x14ac:dyDescent="0.25">
      <c r="A83">
        <v>82</v>
      </c>
      <c r="B83" t="s">
        <v>2047</v>
      </c>
      <c r="C83">
        <v>28</v>
      </c>
      <c r="J83">
        <v>82</v>
      </c>
      <c r="K83" t="s">
        <v>2047</v>
      </c>
      <c r="L83">
        <v>28</v>
      </c>
    </row>
    <row r="84" spans="1:12" x14ac:dyDescent="0.25">
      <c r="A84">
        <v>83</v>
      </c>
      <c r="B84" t="s">
        <v>2048</v>
      </c>
      <c r="C84">
        <v>18</v>
      </c>
      <c r="J84">
        <v>83</v>
      </c>
      <c r="K84" t="s">
        <v>2048</v>
      </c>
      <c r="L84">
        <v>18</v>
      </c>
    </row>
    <row r="85" spans="1:12" x14ac:dyDescent="0.25">
      <c r="A85">
        <v>84</v>
      </c>
      <c r="B85" t="s">
        <v>2049</v>
      </c>
      <c r="C85">
        <v>21</v>
      </c>
      <c r="J85">
        <v>84</v>
      </c>
      <c r="K85" t="s">
        <v>2049</v>
      </c>
      <c r="L85">
        <v>21</v>
      </c>
    </row>
    <row r="86" spans="1:12" x14ac:dyDescent="0.25">
      <c r="A86">
        <v>85</v>
      </c>
      <c r="B86" t="s">
        <v>2050</v>
      </c>
      <c r="C86">
        <v>12</v>
      </c>
      <c r="J86">
        <v>85</v>
      </c>
      <c r="K86" t="s">
        <v>2050</v>
      </c>
      <c r="L86">
        <v>12</v>
      </c>
    </row>
    <row r="87" spans="1:12" x14ac:dyDescent="0.25">
      <c r="A87">
        <v>86</v>
      </c>
      <c r="B87" t="s">
        <v>2051</v>
      </c>
      <c r="C87">
        <v>19</v>
      </c>
      <c r="J87">
        <v>86</v>
      </c>
      <c r="K87" t="s">
        <v>2051</v>
      </c>
      <c r="L87">
        <v>19</v>
      </c>
    </row>
    <row r="88" spans="1:12" x14ac:dyDescent="0.25">
      <c r="A88">
        <v>87</v>
      </c>
      <c r="B88" t="s">
        <v>2052</v>
      </c>
      <c r="C88">
        <v>18</v>
      </c>
      <c r="J88">
        <v>87</v>
      </c>
      <c r="K88" t="s">
        <v>2052</v>
      </c>
      <c r="L88">
        <v>18</v>
      </c>
    </row>
    <row r="89" spans="1:12" x14ac:dyDescent="0.25">
      <c r="A89">
        <v>88</v>
      </c>
      <c r="B89" t="s">
        <v>2053</v>
      </c>
      <c r="C89">
        <v>14</v>
      </c>
      <c r="J89">
        <v>88</v>
      </c>
      <c r="K89" t="s">
        <v>2053</v>
      </c>
      <c r="L89">
        <v>14</v>
      </c>
    </row>
    <row r="90" spans="1:12" x14ac:dyDescent="0.25">
      <c r="A90">
        <v>89</v>
      </c>
      <c r="B90" t="s">
        <v>2054</v>
      </c>
      <c r="C90">
        <v>17</v>
      </c>
      <c r="J90">
        <v>89</v>
      </c>
      <c r="K90" t="s">
        <v>2054</v>
      </c>
      <c r="L90">
        <v>17</v>
      </c>
    </row>
    <row r="91" spans="1:12" x14ac:dyDescent="0.25">
      <c r="A91">
        <v>90</v>
      </c>
      <c r="B91" t="s">
        <v>2055</v>
      </c>
      <c r="C91">
        <v>13</v>
      </c>
      <c r="J91">
        <v>90</v>
      </c>
      <c r="K91" t="s">
        <v>2055</v>
      </c>
      <c r="L91">
        <v>13</v>
      </c>
    </row>
    <row r="92" spans="1:12" x14ac:dyDescent="0.25">
      <c r="A92">
        <v>91</v>
      </c>
      <c r="B92" t="s">
        <v>2056</v>
      </c>
      <c r="C92">
        <v>13</v>
      </c>
      <c r="J92">
        <v>91</v>
      </c>
      <c r="K92" t="s">
        <v>2056</v>
      </c>
      <c r="L92">
        <v>13</v>
      </c>
    </row>
    <row r="93" spans="1:12" x14ac:dyDescent="0.25">
      <c r="A93">
        <v>92</v>
      </c>
      <c r="B93" t="s">
        <v>2057</v>
      </c>
      <c r="C93">
        <v>29</v>
      </c>
      <c r="J93">
        <v>92</v>
      </c>
      <c r="K93" t="s">
        <v>2057</v>
      </c>
      <c r="L93">
        <v>29</v>
      </c>
    </row>
    <row r="94" spans="1:12" x14ac:dyDescent="0.25">
      <c r="A94">
        <v>93</v>
      </c>
      <c r="B94" t="s">
        <v>2058</v>
      </c>
      <c r="C94">
        <v>38</v>
      </c>
      <c r="J94">
        <v>93</v>
      </c>
      <c r="K94" t="s">
        <v>2058</v>
      </c>
      <c r="L94">
        <v>38</v>
      </c>
    </row>
    <row r="95" spans="1:12" x14ac:dyDescent="0.25">
      <c r="A95">
        <v>94</v>
      </c>
      <c r="B95" t="s">
        <v>2059</v>
      </c>
      <c r="C95">
        <v>61</v>
      </c>
      <c r="J95">
        <v>94</v>
      </c>
      <c r="K95" t="s">
        <v>2059</v>
      </c>
      <c r="L95">
        <v>61</v>
      </c>
    </row>
    <row r="96" spans="1:12" x14ac:dyDescent="0.25">
      <c r="A96">
        <v>95</v>
      </c>
      <c r="B96" t="s">
        <v>2060</v>
      </c>
      <c r="C96">
        <v>54</v>
      </c>
      <c r="J96">
        <v>95</v>
      </c>
      <c r="K96" t="s">
        <v>2060</v>
      </c>
      <c r="L96">
        <v>54</v>
      </c>
    </row>
    <row r="97" spans="1:12" x14ac:dyDescent="0.25">
      <c r="A97">
        <v>96</v>
      </c>
      <c r="B97" t="s">
        <v>2061</v>
      </c>
      <c r="C97">
        <v>64</v>
      </c>
      <c r="J97">
        <v>96</v>
      </c>
      <c r="K97" t="s">
        <v>2061</v>
      </c>
      <c r="L97">
        <v>64</v>
      </c>
    </row>
    <row r="98" spans="1:12" x14ac:dyDescent="0.25">
      <c r="A98">
        <v>97</v>
      </c>
      <c r="B98" t="s">
        <v>2062</v>
      </c>
      <c r="C98">
        <v>26</v>
      </c>
      <c r="J98">
        <v>97</v>
      </c>
      <c r="K98" t="s">
        <v>2062</v>
      </c>
      <c r="L98">
        <v>26</v>
      </c>
    </row>
    <row r="99" spans="1:12" x14ac:dyDescent="0.25">
      <c r="A99">
        <v>98</v>
      </c>
      <c r="B99" t="s">
        <v>2063</v>
      </c>
      <c r="C99">
        <v>29</v>
      </c>
      <c r="J99">
        <v>98</v>
      </c>
      <c r="K99" t="s">
        <v>2063</v>
      </c>
      <c r="L99">
        <v>29</v>
      </c>
    </row>
    <row r="100" spans="1:12" x14ac:dyDescent="0.25">
      <c r="A100">
        <v>99</v>
      </c>
      <c r="B100" t="s">
        <v>2064</v>
      </c>
      <c r="C100">
        <v>19</v>
      </c>
      <c r="J100">
        <v>99</v>
      </c>
      <c r="K100" t="s">
        <v>2064</v>
      </c>
      <c r="L100">
        <v>19</v>
      </c>
    </row>
    <row r="101" spans="1:12" x14ac:dyDescent="0.25">
      <c r="A101">
        <v>100</v>
      </c>
      <c r="B101" t="s">
        <v>2065</v>
      </c>
      <c r="C101">
        <v>22</v>
      </c>
      <c r="J101">
        <v>100</v>
      </c>
      <c r="K101" t="s">
        <v>2065</v>
      </c>
      <c r="L101">
        <v>22</v>
      </c>
    </row>
    <row r="102" spans="1:12" x14ac:dyDescent="0.25">
      <c r="A102">
        <v>101</v>
      </c>
      <c r="B102" t="s">
        <v>2066</v>
      </c>
      <c r="C102">
        <v>19</v>
      </c>
      <c r="J102">
        <v>101</v>
      </c>
      <c r="K102" t="s">
        <v>2066</v>
      </c>
      <c r="L102">
        <v>19</v>
      </c>
    </row>
    <row r="103" spans="1:12" x14ac:dyDescent="0.25">
      <c r="A103">
        <v>102</v>
      </c>
      <c r="B103" t="s">
        <v>2067</v>
      </c>
      <c r="C103">
        <v>21</v>
      </c>
      <c r="J103">
        <v>102</v>
      </c>
      <c r="K103" t="s">
        <v>2067</v>
      </c>
      <c r="L103">
        <v>21</v>
      </c>
    </row>
    <row r="104" spans="1:12" x14ac:dyDescent="0.25">
      <c r="A104">
        <v>103</v>
      </c>
      <c r="B104" t="s">
        <v>2068</v>
      </c>
      <c r="C104">
        <v>22</v>
      </c>
      <c r="J104">
        <v>103</v>
      </c>
      <c r="K104" t="s">
        <v>2068</v>
      </c>
      <c r="L104">
        <v>22</v>
      </c>
    </row>
    <row r="105" spans="1:12" x14ac:dyDescent="0.25">
      <c r="A105">
        <v>104</v>
      </c>
      <c r="B105" t="s">
        <v>2069</v>
      </c>
      <c r="C105">
        <v>31</v>
      </c>
      <c r="J105">
        <v>104</v>
      </c>
      <c r="K105" t="s">
        <v>2069</v>
      </c>
      <c r="L105">
        <v>31</v>
      </c>
    </row>
    <row r="106" spans="1:12" x14ac:dyDescent="0.25">
      <c r="A106">
        <v>105</v>
      </c>
      <c r="B106" t="s">
        <v>2070</v>
      </c>
      <c r="C106">
        <v>22</v>
      </c>
      <c r="J106">
        <v>105</v>
      </c>
      <c r="K106" t="s">
        <v>2070</v>
      </c>
      <c r="L106">
        <v>22</v>
      </c>
    </row>
    <row r="107" spans="1:12" x14ac:dyDescent="0.25">
      <c r="A107">
        <v>106</v>
      </c>
      <c r="B107" t="s">
        <v>2071</v>
      </c>
      <c r="C107">
        <v>19</v>
      </c>
      <c r="J107">
        <v>106</v>
      </c>
      <c r="K107" t="s">
        <v>2071</v>
      </c>
      <c r="L107">
        <v>19</v>
      </c>
    </row>
    <row r="108" spans="1:12" x14ac:dyDescent="0.25">
      <c r="A108">
        <v>107</v>
      </c>
      <c r="B108" t="s">
        <v>2072</v>
      </c>
      <c r="C108">
        <v>43</v>
      </c>
      <c r="J108">
        <v>107</v>
      </c>
      <c r="K108" t="s">
        <v>2072</v>
      </c>
      <c r="L108">
        <v>43</v>
      </c>
    </row>
    <row r="109" spans="1:12" x14ac:dyDescent="0.25">
      <c r="A109">
        <v>108</v>
      </c>
      <c r="B109" t="s">
        <v>2073</v>
      </c>
      <c r="C109">
        <v>47</v>
      </c>
      <c r="J109">
        <v>108</v>
      </c>
      <c r="K109" t="s">
        <v>2073</v>
      </c>
      <c r="L109">
        <v>47</v>
      </c>
    </row>
    <row r="110" spans="1:12" x14ac:dyDescent="0.25">
      <c r="A110">
        <v>109</v>
      </c>
      <c r="B110" t="s">
        <v>2074</v>
      </c>
      <c r="C110">
        <v>21</v>
      </c>
      <c r="J110">
        <v>109</v>
      </c>
      <c r="K110" t="s">
        <v>2074</v>
      </c>
      <c r="L110">
        <v>21</v>
      </c>
    </row>
    <row r="111" spans="1:12" x14ac:dyDescent="0.25">
      <c r="A111">
        <v>110</v>
      </c>
      <c r="B111" t="s">
        <v>2075</v>
      </c>
      <c r="C111">
        <v>25</v>
      </c>
      <c r="J111">
        <v>110</v>
      </c>
      <c r="K111" t="s">
        <v>2075</v>
      </c>
      <c r="L111">
        <v>25</v>
      </c>
    </row>
    <row r="112" spans="1:12" x14ac:dyDescent="0.25">
      <c r="A112">
        <v>111</v>
      </c>
      <c r="B112" t="s">
        <v>2076</v>
      </c>
      <c r="C112">
        <v>28</v>
      </c>
      <c r="J112">
        <v>111</v>
      </c>
      <c r="K112" t="s">
        <v>2076</v>
      </c>
      <c r="L112">
        <v>28</v>
      </c>
    </row>
    <row r="113" spans="1:12" x14ac:dyDescent="0.25">
      <c r="A113">
        <v>112</v>
      </c>
      <c r="B113" t="s">
        <v>2077</v>
      </c>
      <c r="C113">
        <v>26</v>
      </c>
      <c r="J113">
        <v>112</v>
      </c>
      <c r="K113" t="s">
        <v>2077</v>
      </c>
      <c r="L113">
        <v>26</v>
      </c>
    </row>
    <row r="114" spans="1:12" x14ac:dyDescent="0.25">
      <c r="A114">
        <v>113</v>
      </c>
      <c r="B114" t="s">
        <v>2078</v>
      </c>
      <c r="C114">
        <v>24</v>
      </c>
      <c r="J114">
        <v>113</v>
      </c>
      <c r="K114" t="s">
        <v>2078</v>
      </c>
      <c r="L114">
        <v>24</v>
      </c>
    </row>
    <row r="115" spans="1:12" x14ac:dyDescent="0.25">
      <c r="A115">
        <v>114</v>
      </c>
      <c r="B115" t="s">
        <v>2079</v>
      </c>
      <c r="C115">
        <v>42</v>
      </c>
      <c r="J115">
        <v>114</v>
      </c>
      <c r="K115" t="s">
        <v>2079</v>
      </c>
      <c r="L115">
        <v>42</v>
      </c>
    </row>
    <row r="116" spans="1:12" x14ac:dyDescent="0.25">
      <c r="A116">
        <v>115</v>
      </c>
      <c r="B116" t="s">
        <v>2080</v>
      </c>
      <c r="C116">
        <v>19</v>
      </c>
      <c r="J116">
        <v>115</v>
      </c>
      <c r="K116" t="s">
        <v>2080</v>
      </c>
      <c r="L116">
        <v>19</v>
      </c>
    </row>
    <row r="117" spans="1:12" x14ac:dyDescent="0.25">
      <c r="A117">
        <v>116</v>
      </c>
      <c r="B117" t="s">
        <v>2081</v>
      </c>
      <c r="C117">
        <v>31</v>
      </c>
      <c r="J117">
        <v>116</v>
      </c>
      <c r="K117" t="s">
        <v>2081</v>
      </c>
      <c r="L117">
        <v>31</v>
      </c>
    </row>
    <row r="118" spans="1:12" x14ac:dyDescent="0.25">
      <c r="A118">
        <v>117</v>
      </c>
      <c r="B118" t="s">
        <v>2082</v>
      </c>
      <c r="C118">
        <v>14</v>
      </c>
      <c r="J118">
        <v>117</v>
      </c>
      <c r="K118" t="s">
        <v>2082</v>
      </c>
      <c r="L118">
        <v>14</v>
      </c>
    </row>
    <row r="119" spans="1:12" x14ac:dyDescent="0.25">
      <c r="A119">
        <v>118</v>
      </c>
      <c r="B119" t="s">
        <v>2083</v>
      </c>
      <c r="C119">
        <v>42</v>
      </c>
      <c r="J119">
        <v>118</v>
      </c>
      <c r="K119" t="s">
        <v>2083</v>
      </c>
      <c r="L119">
        <v>42</v>
      </c>
    </row>
    <row r="120" spans="1:12" x14ac:dyDescent="0.25">
      <c r="A120">
        <v>119</v>
      </c>
      <c r="B120" t="s">
        <v>2084</v>
      </c>
      <c r="C120">
        <v>20</v>
      </c>
      <c r="J120">
        <v>119</v>
      </c>
      <c r="K120" t="s">
        <v>2084</v>
      </c>
      <c r="L120">
        <v>20</v>
      </c>
    </row>
    <row r="121" spans="1:12" x14ac:dyDescent="0.25">
      <c r="A121">
        <v>120</v>
      </c>
      <c r="B121" t="s">
        <v>2085</v>
      </c>
      <c r="C121">
        <v>35</v>
      </c>
      <c r="J121">
        <v>120</v>
      </c>
      <c r="K121" t="s">
        <v>2085</v>
      </c>
      <c r="L121">
        <v>35</v>
      </c>
    </row>
    <row r="122" spans="1:12" x14ac:dyDescent="0.25">
      <c r="A122">
        <v>121</v>
      </c>
      <c r="B122" t="s">
        <v>2086</v>
      </c>
      <c r="C122">
        <v>56</v>
      </c>
      <c r="J122">
        <v>121</v>
      </c>
      <c r="K122" t="s">
        <v>2086</v>
      </c>
      <c r="L122">
        <v>56</v>
      </c>
    </row>
    <row r="123" spans="1:12" x14ac:dyDescent="0.25">
      <c r="A123">
        <v>122</v>
      </c>
      <c r="B123" t="s">
        <v>2087</v>
      </c>
      <c r="C123">
        <v>54</v>
      </c>
      <c r="J123">
        <v>122</v>
      </c>
      <c r="K123" t="s">
        <v>2087</v>
      </c>
      <c r="L123">
        <v>54</v>
      </c>
    </row>
    <row r="124" spans="1:12" x14ac:dyDescent="0.25">
      <c r="A124">
        <v>123</v>
      </c>
      <c r="B124" t="s">
        <v>2088</v>
      </c>
      <c r="C124">
        <v>70</v>
      </c>
      <c r="J124">
        <v>123</v>
      </c>
      <c r="K124" t="s">
        <v>2088</v>
      </c>
      <c r="L124">
        <v>70</v>
      </c>
    </row>
    <row r="125" spans="1:12" x14ac:dyDescent="0.25">
      <c r="A125">
        <v>124</v>
      </c>
      <c r="B125" t="s">
        <v>2089</v>
      </c>
      <c r="C125">
        <v>70</v>
      </c>
      <c r="J125">
        <v>124</v>
      </c>
      <c r="K125" t="s">
        <v>2089</v>
      </c>
      <c r="L125">
        <v>70</v>
      </c>
    </row>
    <row r="126" spans="1:12" x14ac:dyDescent="0.25">
      <c r="A126">
        <v>125</v>
      </c>
      <c r="B126" t="s">
        <v>2090</v>
      </c>
      <c r="C126">
        <v>38</v>
      </c>
      <c r="J126">
        <v>125</v>
      </c>
      <c r="K126" t="s">
        <v>2090</v>
      </c>
      <c r="L126">
        <v>38</v>
      </c>
    </row>
    <row r="127" spans="1:12" x14ac:dyDescent="0.25">
      <c r="A127">
        <v>126</v>
      </c>
      <c r="B127" t="s">
        <v>2091</v>
      </c>
      <c r="C127">
        <v>67</v>
      </c>
      <c r="J127">
        <v>126</v>
      </c>
      <c r="K127" t="s">
        <v>2091</v>
      </c>
      <c r="L127">
        <v>67</v>
      </c>
    </row>
    <row r="128" spans="1:12" x14ac:dyDescent="0.25">
      <c r="A128">
        <v>127</v>
      </c>
      <c r="B128" t="s">
        <v>2092</v>
      </c>
      <c r="C128">
        <v>43</v>
      </c>
      <c r="J128">
        <v>127</v>
      </c>
      <c r="K128" t="s">
        <v>2092</v>
      </c>
      <c r="L128">
        <v>43</v>
      </c>
    </row>
    <row r="129" spans="1:12" x14ac:dyDescent="0.25">
      <c r="A129">
        <v>128</v>
      </c>
      <c r="B129" t="s">
        <v>2093</v>
      </c>
      <c r="C129">
        <v>89</v>
      </c>
      <c r="J129">
        <v>128</v>
      </c>
      <c r="K129" t="s">
        <v>2093</v>
      </c>
      <c r="L129">
        <v>89</v>
      </c>
    </row>
    <row r="130" spans="1:12" x14ac:dyDescent="0.25">
      <c r="A130">
        <v>129</v>
      </c>
      <c r="B130" t="s">
        <v>2094</v>
      </c>
      <c r="C130">
        <v>51</v>
      </c>
      <c r="J130">
        <v>129</v>
      </c>
      <c r="K130" t="s">
        <v>2094</v>
      </c>
      <c r="L130">
        <v>51</v>
      </c>
    </row>
    <row r="131" spans="1:12" x14ac:dyDescent="0.25">
      <c r="A131">
        <v>130</v>
      </c>
      <c r="B131" t="s">
        <v>2095</v>
      </c>
      <c r="C131">
        <v>61</v>
      </c>
      <c r="J131">
        <v>130</v>
      </c>
      <c r="K131" t="s">
        <v>2095</v>
      </c>
      <c r="L131">
        <v>61</v>
      </c>
    </row>
    <row r="132" spans="1:12" x14ac:dyDescent="0.25">
      <c r="A132">
        <v>131</v>
      </c>
      <c r="B132" t="s">
        <v>2096</v>
      </c>
      <c r="C132">
        <v>52</v>
      </c>
      <c r="J132">
        <v>131</v>
      </c>
      <c r="K132" t="s">
        <v>2096</v>
      </c>
      <c r="L132">
        <v>52</v>
      </c>
    </row>
    <row r="133" spans="1:12" x14ac:dyDescent="0.25">
      <c r="A133">
        <v>132</v>
      </c>
      <c r="B133" t="s">
        <v>2097</v>
      </c>
      <c r="C133">
        <v>47</v>
      </c>
      <c r="J133">
        <v>132</v>
      </c>
      <c r="K133" t="s">
        <v>2097</v>
      </c>
      <c r="L133">
        <v>47</v>
      </c>
    </row>
    <row r="134" spans="1:12" x14ac:dyDescent="0.25">
      <c r="A134">
        <v>133</v>
      </c>
      <c r="B134" t="s">
        <v>2098</v>
      </c>
      <c r="C134">
        <v>61</v>
      </c>
      <c r="J134">
        <v>133</v>
      </c>
      <c r="K134" t="s">
        <v>2098</v>
      </c>
      <c r="L134">
        <v>61</v>
      </c>
    </row>
    <row r="135" spans="1:12" x14ac:dyDescent="0.25">
      <c r="A135">
        <v>134</v>
      </c>
      <c r="B135" t="s">
        <v>2099</v>
      </c>
      <c r="C135">
        <v>60</v>
      </c>
      <c r="J135">
        <v>134</v>
      </c>
      <c r="K135" t="s">
        <v>2099</v>
      </c>
      <c r="L135">
        <v>60</v>
      </c>
    </row>
    <row r="136" spans="1:12" x14ac:dyDescent="0.25">
      <c r="A136">
        <v>135</v>
      </c>
      <c r="B136" t="s">
        <v>2100</v>
      </c>
      <c r="C136">
        <v>36</v>
      </c>
      <c r="J136">
        <v>135</v>
      </c>
      <c r="K136" t="s">
        <v>2100</v>
      </c>
      <c r="L136">
        <v>36</v>
      </c>
    </row>
    <row r="137" spans="1:12" x14ac:dyDescent="0.25">
      <c r="A137">
        <v>136</v>
      </c>
      <c r="B137" t="s">
        <v>2101</v>
      </c>
      <c r="C137">
        <v>59</v>
      </c>
      <c r="J137">
        <v>136</v>
      </c>
      <c r="K137" t="s">
        <v>2101</v>
      </c>
      <c r="L137">
        <v>59</v>
      </c>
    </row>
    <row r="138" spans="1:12" x14ac:dyDescent="0.25">
      <c r="A138">
        <v>137</v>
      </c>
      <c r="B138" t="s">
        <v>2102</v>
      </c>
      <c r="C138">
        <v>21</v>
      </c>
      <c r="J138">
        <v>137</v>
      </c>
      <c r="K138" t="s">
        <v>2102</v>
      </c>
      <c r="L138">
        <v>21</v>
      </c>
    </row>
    <row r="139" spans="1:12" x14ac:dyDescent="0.25">
      <c r="A139">
        <v>138</v>
      </c>
      <c r="B139" t="s">
        <v>2103</v>
      </c>
      <c r="C139">
        <v>27</v>
      </c>
      <c r="J139">
        <v>138</v>
      </c>
      <c r="K139" t="s">
        <v>2103</v>
      </c>
      <c r="L139">
        <v>27</v>
      </c>
    </row>
    <row r="140" spans="1:12" x14ac:dyDescent="0.25">
      <c r="A140">
        <v>139</v>
      </c>
      <c r="B140" t="s">
        <v>2104</v>
      </c>
      <c r="C140">
        <v>22</v>
      </c>
      <c r="J140">
        <v>139</v>
      </c>
      <c r="K140" t="s">
        <v>2104</v>
      </c>
      <c r="L140">
        <v>22</v>
      </c>
    </row>
    <row r="141" spans="1:12" x14ac:dyDescent="0.25">
      <c r="A141">
        <v>140</v>
      </c>
      <c r="B141" t="s">
        <v>2105</v>
      </c>
      <c r="C141">
        <v>15</v>
      </c>
      <c r="J141">
        <v>140</v>
      </c>
      <c r="K141" t="s">
        <v>2105</v>
      </c>
      <c r="L141">
        <v>15</v>
      </c>
    </row>
    <row r="142" spans="1:12" x14ac:dyDescent="0.25">
      <c r="A142">
        <v>141</v>
      </c>
      <c r="B142" t="s">
        <v>2106</v>
      </c>
      <c r="C142">
        <v>12</v>
      </c>
      <c r="J142">
        <v>141</v>
      </c>
      <c r="K142" t="s">
        <v>2106</v>
      </c>
      <c r="L142">
        <v>12</v>
      </c>
    </row>
    <row r="143" spans="1:12" x14ac:dyDescent="0.25">
      <c r="A143">
        <v>142</v>
      </c>
      <c r="B143" t="s">
        <v>2107</v>
      </c>
      <c r="C143">
        <v>14</v>
      </c>
      <c r="J143">
        <v>142</v>
      </c>
      <c r="K143" t="s">
        <v>2107</v>
      </c>
      <c r="L143">
        <v>14</v>
      </c>
    </row>
    <row r="144" spans="1:12" x14ac:dyDescent="0.25">
      <c r="A144">
        <v>143</v>
      </c>
      <c r="B144" t="s">
        <v>2108</v>
      </c>
      <c r="C144">
        <v>20</v>
      </c>
      <c r="J144">
        <v>143</v>
      </c>
      <c r="K144" t="s">
        <v>2108</v>
      </c>
      <c r="L144">
        <v>20</v>
      </c>
    </row>
    <row r="145" spans="1:12" x14ac:dyDescent="0.25">
      <c r="A145">
        <v>144</v>
      </c>
      <c r="B145" t="s">
        <v>2109</v>
      </c>
      <c r="C145">
        <v>11</v>
      </c>
      <c r="J145">
        <v>144</v>
      </c>
      <c r="K145" t="s">
        <v>2109</v>
      </c>
      <c r="L145">
        <v>11</v>
      </c>
    </row>
    <row r="146" spans="1:12" x14ac:dyDescent="0.25">
      <c r="A146">
        <v>145</v>
      </c>
      <c r="B146" t="s">
        <v>2110</v>
      </c>
      <c r="C146">
        <v>6</v>
      </c>
      <c r="J146">
        <v>145</v>
      </c>
      <c r="K146" t="s">
        <v>2110</v>
      </c>
      <c r="L146">
        <v>6</v>
      </c>
    </row>
    <row r="147" spans="1:12" x14ac:dyDescent="0.25">
      <c r="A147">
        <v>146</v>
      </c>
      <c r="B147" t="s">
        <v>2111</v>
      </c>
      <c r="C147">
        <v>6</v>
      </c>
      <c r="J147">
        <v>146</v>
      </c>
      <c r="K147" t="s">
        <v>2111</v>
      </c>
      <c r="L147">
        <v>6</v>
      </c>
    </row>
    <row r="148" spans="1:12" x14ac:dyDescent="0.25">
      <c r="A148">
        <v>147</v>
      </c>
      <c r="B148" t="s">
        <v>2112</v>
      </c>
      <c r="C148">
        <v>6</v>
      </c>
      <c r="J148">
        <v>147</v>
      </c>
      <c r="K148" t="s">
        <v>2112</v>
      </c>
      <c r="L148">
        <v>6</v>
      </c>
    </row>
    <row r="149" spans="1:12" x14ac:dyDescent="0.25">
      <c r="A149">
        <v>148</v>
      </c>
      <c r="B149" t="s">
        <v>2113</v>
      </c>
      <c r="C149">
        <v>6</v>
      </c>
      <c r="J149">
        <v>148</v>
      </c>
      <c r="K149" t="s">
        <v>2113</v>
      </c>
      <c r="L149">
        <v>6</v>
      </c>
    </row>
    <row r="150" spans="1:12" x14ac:dyDescent="0.25">
      <c r="A150">
        <v>149</v>
      </c>
      <c r="B150" t="s">
        <v>2114</v>
      </c>
      <c r="C150">
        <v>6</v>
      </c>
      <c r="J150">
        <v>149</v>
      </c>
      <c r="K150" t="s">
        <v>2114</v>
      </c>
      <c r="L150">
        <v>6</v>
      </c>
    </row>
    <row r="151" spans="1:12" x14ac:dyDescent="0.25">
      <c r="A151">
        <v>150</v>
      </c>
      <c r="B151" t="s">
        <v>2115</v>
      </c>
      <c r="C151">
        <v>6</v>
      </c>
      <c r="J151">
        <v>150</v>
      </c>
      <c r="K151" t="s">
        <v>2115</v>
      </c>
      <c r="L151">
        <v>6</v>
      </c>
    </row>
    <row r="152" spans="1:12" x14ac:dyDescent="0.25">
      <c r="A152">
        <v>151</v>
      </c>
      <c r="B152" t="s">
        <v>2116</v>
      </c>
      <c r="C152">
        <v>11</v>
      </c>
      <c r="J152">
        <v>151</v>
      </c>
      <c r="K152" t="s">
        <v>2116</v>
      </c>
      <c r="L152">
        <v>11</v>
      </c>
    </row>
    <row r="153" spans="1:12" x14ac:dyDescent="0.25">
      <c r="A153">
        <v>152</v>
      </c>
      <c r="B153" t="s">
        <v>2117</v>
      </c>
      <c r="C153">
        <v>6</v>
      </c>
      <c r="J153">
        <v>152</v>
      </c>
      <c r="K153" t="s">
        <v>2117</v>
      </c>
      <c r="L153">
        <v>6</v>
      </c>
    </row>
    <row r="154" spans="1:12" x14ac:dyDescent="0.25">
      <c r="A154">
        <v>153</v>
      </c>
      <c r="B154" t="s">
        <v>2118</v>
      </c>
      <c r="C154">
        <v>8</v>
      </c>
      <c r="J154">
        <v>153</v>
      </c>
      <c r="K154" t="s">
        <v>2118</v>
      </c>
      <c r="L154">
        <v>8</v>
      </c>
    </row>
    <row r="155" spans="1:12" x14ac:dyDescent="0.25">
      <c r="A155">
        <v>154</v>
      </c>
      <c r="B155" t="s">
        <v>2119</v>
      </c>
      <c r="C155">
        <v>55</v>
      </c>
      <c r="J155">
        <v>154</v>
      </c>
      <c r="K155" t="s">
        <v>2119</v>
      </c>
      <c r="L155">
        <v>55</v>
      </c>
    </row>
    <row r="156" spans="1:12" x14ac:dyDescent="0.25">
      <c r="A156">
        <v>155</v>
      </c>
      <c r="B156" t="s">
        <v>2120</v>
      </c>
      <c r="C156">
        <v>33</v>
      </c>
      <c r="J156">
        <v>155</v>
      </c>
      <c r="K156" t="s">
        <v>2120</v>
      </c>
      <c r="L156">
        <v>33</v>
      </c>
    </row>
    <row r="157" spans="1:12" x14ac:dyDescent="0.25">
      <c r="A157">
        <v>156</v>
      </c>
      <c r="B157" t="s">
        <v>2121</v>
      </c>
      <c r="C157">
        <v>47</v>
      </c>
      <c r="J157">
        <v>156</v>
      </c>
      <c r="K157" t="s">
        <v>2121</v>
      </c>
      <c r="L157">
        <v>47</v>
      </c>
    </row>
    <row r="158" spans="1:12" x14ac:dyDescent="0.25">
      <c r="A158">
        <v>157</v>
      </c>
      <c r="B158" t="s">
        <v>2122</v>
      </c>
      <c r="C158">
        <v>54</v>
      </c>
      <c r="J158">
        <v>157</v>
      </c>
      <c r="K158" t="s">
        <v>2122</v>
      </c>
      <c r="L158">
        <v>54</v>
      </c>
    </row>
    <row r="159" spans="1:12" x14ac:dyDescent="0.25">
      <c r="A159">
        <v>158</v>
      </c>
      <c r="B159" t="s">
        <v>2123</v>
      </c>
      <c r="C159">
        <v>47</v>
      </c>
      <c r="J159">
        <v>158</v>
      </c>
      <c r="K159" t="s">
        <v>2123</v>
      </c>
      <c r="L159">
        <v>47</v>
      </c>
    </row>
    <row r="160" spans="1:12" x14ac:dyDescent="0.25">
      <c r="A160">
        <v>159</v>
      </c>
      <c r="B160" t="s">
        <v>2124</v>
      </c>
      <c r="C160">
        <v>40</v>
      </c>
      <c r="J160">
        <v>159</v>
      </c>
      <c r="K160" t="s">
        <v>2124</v>
      </c>
      <c r="L160">
        <v>40</v>
      </c>
    </row>
    <row r="161" spans="1:12" x14ac:dyDescent="0.25">
      <c r="A161">
        <v>160</v>
      </c>
      <c r="B161" t="s">
        <v>2125</v>
      </c>
      <c r="C161">
        <v>58</v>
      </c>
      <c r="J161">
        <v>160</v>
      </c>
      <c r="K161" t="s">
        <v>2125</v>
      </c>
      <c r="L161">
        <v>58</v>
      </c>
    </row>
    <row r="162" spans="1:12" x14ac:dyDescent="0.25">
      <c r="A162">
        <v>161</v>
      </c>
      <c r="B162" t="s">
        <v>2126</v>
      </c>
      <c r="C162">
        <v>34</v>
      </c>
      <c r="J162">
        <v>161</v>
      </c>
      <c r="K162" t="s">
        <v>2126</v>
      </c>
      <c r="L162">
        <v>34</v>
      </c>
    </row>
    <row r="163" spans="1:12" x14ac:dyDescent="0.25">
      <c r="A163">
        <v>162</v>
      </c>
      <c r="B163" t="s">
        <v>2127</v>
      </c>
      <c r="C163">
        <v>47</v>
      </c>
      <c r="J163">
        <v>162</v>
      </c>
      <c r="K163" t="s">
        <v>2127</v>
      </c>
      <c r="L163">
        <v>47</v>
      </c>
    </row>
    <row r="164" spans="1:12" x14ac:dyDescent="0.25">
      <c r="A164">
        <v>163</v>
      </c>
      <c r="B164" t="s">
        <v>2128</v>
      </c>
      <c r="C164">
        <v>57</v>
      </c>
      <c r="J164">
        <v>163</v>
      </c>
      <c r="K164" t="s">
        <v>2128</v>
      </c>
      <c r="L164">
        <v>57</v>
      </c>
    </row>
    <row r="165" spans="1:12" x14ac:dyDescent="0.25">
      <c r="A165">
        <v>164</v>
      </c>
      <c r="B165" t="s">
        <v>2129</v>
      </c>
      <c r="C165">
        <v>47</v>
      </c>
      <c r="J165">
        <v>164</v>
      </c>
      <c r="K165" t="s">
        <v>2129</v>
      </c>
      <c r="L165">
        <v>47</v>
      </c>
    </row>
    <row r="166" spans="1:12" x14ac:dyDescent="0.25">
      <c r="A166">
        <v>165</v>
      </c>
      <c r="B166" t="s">
        <v>2130</v>
      </c>
      <c r="C166">
        <v>45</v>
      </c>
      <c r="J166">
        <v>165</v>
      </c>
      <c r="K166" t="s">
        <v>2130</v>
      </c>
      <c r="L166">
        <v>45</v>
      </c>
    </row>
    <row r="167" spans="1:12" x14ac:dyDescent="0.25">
      <c r="A167">
        <v>166</v>
      </c>
      <c r="B167" t="s">
        <v>2131</v>
      </c>
      <c r="C167">
        <v>35</v>
      </c>
      <c r="J167">
        <v>166</v>
      </c>
      <c r="K167" t="s">
        <v>2131</v>
      </c>
      <c r="L167">
        <v>35</v>
      </c>
    </row>
    <row r="168" spans="1:12" x14ac:dyDescent="0.25">
      <c r="A168">
        <v>167</v>
      </c>
      <c r="B168" t="s">
        <v>2132</v>
      </c>
      <c r="C168">
        <v>28</v>
      </c>
      <c r="J168">
        <v>167</v>
      </c>
      <c r="K168" t="s">
        <v>2132</v>
      </c>
      <c r="L168">
        <v>28</v>
      </c>
    </row>
    <row r="169" spans="1:12" x14ac:dyDescent="0.25">
      <c r="A169">
        <v>168</v>
      </c>
      <c r="B169" t="s">
        <v>2133</v>
      </c>
      <c r="C169">
        <v>40</v>
      </c>
      <c r="J169">
        <v>168</v>
      </c>
      <c r="K169" t="s">
        <v>2133</v>
      </c>
      <c r="L169">
        <v>40</v>
      </c>
    </row>
    <row r="170" spans="1:12" x14ac:dyDescent="0.25">
      <c r="A170">
        <v>169</v>
      </c>
      <c r="B170" t="s">
        <v>2134</v>
      </c>
      <c r="C170">
        <v>34</v>
      </c>
      <c r="J170">
        <v>169</v>
      </c>
      <c r="K170" t="s">
        <v>2134</v>
      </c>
      <c r="L170">
        <v>34</v>
      </c>
    </row>
    <row r="171" spans="1:12" x14ac:dyDescent="0.25">
      <c r="A171">
        <v>170</v>
      </c>
      <c r="B171" t="s">
        <v>2135</v>
      </c>
      <c r="C171">
        <v>41</v>
      </c>
      <c r="J171">
        <v>170</v>
      </c>
      <c r="K171" t="s">
        <v>2135</v>
      </c>
      <c r="L171">
        <v>41</v>
      </c>
    </row>
    <row r="172" spans="1:12" x14ac:dyDescent="0.25">
      <c r="A172">
        <v>171</v>
      </c>
      <c r="B172" t="s">
        <v>2136</v>
      </c>
      <c r="C172">
        <v>56</v>
      </c>
      <c r="J172">
        <v>171</v>
      </c>
      <c r="K172" t="s">
        <v>2136</v>
      </c>
      <c r="L172">
        <v>56</v>
      </c>
    </row>
    <row r="173" spans="1:12" x14ac:dyDescent="0.25">
      <c r="A173">
        <v>172</v>
      </c>
      <c r="B173" t="s">
        <v>2137</v>
      </c>
      <c r="C173">
        <v>54</v>
      </c>
      <c r="J173">
        <v>172</v>
      </c>
      <c r="K173" t="s">
        <v>2137</v>
      </c>
      <c r="L173">
        <v>54</v>
      </c>
    </row>
    <row r="174" spans="1:12" x14ac:dyDescent="0.25">
      <c r="A174">
        <v>173</v>
      </c>
      <c r="B174" t="s">
        <v>2138</v>
      </c>
      <c r="C174">
        <v>48</v>
      </c>
      <c r="J174">
        <v>173</v>
      </c>
      <c r="K174" t="s">
        <v>2138</v>
      </c>
      <c r="L174">
        <v>48</v>
      </c>
    </row>
    <row r="175" spans="1:12" x14ac:dyDescent="0.25">
      <c r="A175">
        <v>174</v>
      </c>
      <c r="B175" t="s">
        <v>2139</v>
      </c>
      <c r="C175">
        <v>53</v>
      </c>
      <c r="J175">
        <v>174</v>
      </c>
      <c r="K175" t="s">
        <v>2139</v>
      </c>
      <c r="L175">
        <v>53</v>
      </c>
    </row>
    <row r="176" spans="1:12" x14ac:dyDescent="0.25">
      <c r="A176">
        <v>175</v>
      </c>
      <c r="B176" t="s">
        <v>2140</v>
      </c>
      <c r="C176">
        <v>51</v>
      </c>
      <c r="J176">
        <v>175</v>
      </c>
      <c r="K176" t="s">
        <v>2140</v>
      </c>
      <c r="L176">
        <v>51</v>
      </c>
    </row>
    <row r="177" spans="1:12" x14ac:dyDescent="0.25">
      <c r="A177">
        <v>176</v>
      </c>
      <c r="B177" t="s">
        <v>2141</v>
      </c>
      <c r="C177">
        <v>57</v>
      </c>
      <c r="J177">
        <v>176</v>
      </c>
      <c r="K177" t="s">
        <v>2141</v>
      </c>
      <c r="L177">
        <v>57</v>
      </c>
    </row>
    <row r="178" spans="1:12" x14ac:dyDescent="0.25">
      <c r="A178">
        <v>177</v>
      </c>
      <c r="B178" t="s">
        <v>2142</v>
      </c>
      <c r="C178">
        <v>40</v>
      </c>
      <c r="J178">
        <v>177</v>
      </c>
      <c r="K178" t="s">
        <v>2142</v>
      </c>
      <c r="L178">
        <v>40</v>
      </c>
    </row>
    <row r="179" spans="1:12" x14ac:dyDescent="0.25">
      <c r="A179">
        <v>178</v>
      </c>
      <c r="B179" t="s">
        <v>2143</v>
      </c>
      <c r="C179">
        <v>44</v>
      </c>
      <c r="J179">
        <v>178</v>
      </c>
      <c r="K179" t="s">
        <v>2143</v>
      </c>
      <c r="L179">
        <v>44</v>
      </c>
    </row>
    <row r="180" spans="1:12" x14ac:dyDescent="0.25">
      <c r="A180">
        <v>179</v>
      </c>
      <c r="B180" t="s">
        <v>2144</v>
      </c>
      <c r="C180">
        <v>39</v>
      </c>
      <c r="J180">
        <v>179</v>
      </c>
      <c r="K180" t="s">
        <v>2144</v>
      </c>
      <c r="L180">
        <v>39</v>
      </c>
    </row>
    <row r="181" spans="1:12" x14ac:dyDescent="0.25">
      <c r="A181">
        <v>180</v>
      </c>
      <c r="B181" t="s">
        <v>2145</v>
      </c>
      <c r="C181">
        <v>36</v>
      </c>
      <c r="J181">
        <v>180</v>
      </c>
      <c r="K181" t="s">
        <v>2145</v>
      </c>
      <c r="L181">
        <v>36</v>
      </c>
    </row>
    <row r="182" spans="1:12" x14ac:dyDescent="0.25">
      <c r="A182">
        <v>181</v>
      </c>
      <c r="B182" t="s">
        <v>2146</v>
      </c>
      <c r="C182">
        <v>42</v>
      </c>
      <c r="J182">
        <v>181</v>
      </c>
      <c r="K182" t="s">
        <v>2146</v>
      </c>
      <c r="L182">
        <v>42</v>
      </c>
    </row>
    <row r="183" spans="1:12" x14ac:dyDescent="0.25">
      <c r="A183">
        <v>182</v>
      </c>
      <c r="B183" t="s">
        <v>2147</v>
      </c>
      <c r="C183">
        <v>45</v>
      </c>
      <c r="J183">
        <v>182</v>
      </c>
      <c r="K183" t="s">
        <v>2147</v>
      </c>
      <c r="L183">
        <v>45</v>
      </c>
    </row>
    <row r="184" spans="1:12" x14ac:dyDescent="0.25">
      <c r="A184">
        <v>183</v>
      </c>
      <c r="B184" t="s">
        <v>2148</v>
      </c>
      <c r="C184">
        <v>45</v>
      </c>
      <c r="J184">
        <v>183</v>
      </c>
      <c r="K184" t="s">
        <v>2148</v>
      </c>
      <c r="L184">
        <v>45</v>
      </c>
    </row>
    <row r="185" spans="1:12" x14ac:dyDescent="0.25">
      <c r="A185">
        <v>184</v>
      </c>
      <c r="B185" t="s">
        <v>2149</v>
      </c>
      <c r="C185">
        <v>49</v>
      </c>
      <c r="J185">
        <v>184</v>
      </c>
      <c r="K185" t="s">
        <v>2149</v>
      </c>
      <c r="L185">
        <v>49</v>
      </c>
    </row>
    <row r="186" spans="1:12" x14ac:dyDescent="0.25">
      <c r="A186">
        <v>185</v>
      </c>
      <c r="B186" t="s">
        <v>2150</v>
      </c>
      <c r="C186">
        <v>55</v>
      </c>
      <c r="J186">
        <v>185</v>
      </c>
      <c r="K186" t="s">
        <v>2150</v>
      </c>
      <c r="L186">
        <v>55</v>
      </c>
    </row>
    <row r="187" spans="1:12" x14ac:dyDescent="0.25">
      <c r="A187">
        <v>186</v>
      </c>
      <c r="B187" t="s">
        <v>2151</v>
      </c>
      <c r="C187">
        <v>15</v>
      </c>
      <c r="J187">
        <v>186</v>
      </c>
      <c r="K187" t="s">
        <v>2151</v>
      </c>
      <c r="L187">
        <v>15</v>
      </c>
    </row>
    <row r="188" spans="1:12" x14ac:dyDescent="0.25">
      <c r="A188">
        <v>187</v>
      </c>
      <c r="B188" t="s">
        <v>2152</v>
      </c>
      <c r="C188">
        <v>49</v>
      </c>
      <c r="J188">
        <v>187</v>
      </c>
      <c r="K188" t="s">
        <v>2152</v>
      </c>
      <c r="L188">
        <v>49</v>
      </c>
    </row>
    <row r="189" spans="1:12" x14ac:dyDescent="0.25">
      <c r="A189">
        <v>188</v>
      </c>
      <c r="B189" t="s">
        <v>2153</v>
      </c>
      <c r="C189">
        <v>46</v>
      </c>
      <c r="J189">
        <v>188</v>
      </c>
      <c r="K189" t="s">
        <v>2153</v>
      </c>
      <c r="L189">
        <v>46</v>
      </c>
    </row>
    <row r="190" spans="1:12" x14ac:dyDescent="0.25">
      <c r="A190">
        <v>189</v>
      </c>
      <c r="B190" t="s">
        <v>2154</v>
      </c>
      <c r="C190">
        <v>57</v>
      </c>
      <c r="J190">
        <v>189</v>
      </c>
      <c r="K190" t="s">
        <v>2154</v>
      </c>
      <c r="L190">
        <v>57</v>
      </c>
    </row>
    <row r="191" spans="1:12" x14ac:dyDescent="0.25">
      <c r="A191">
        <v>190</v>
      </c>
      <c r="B191" t="s">
        <v>2155</v>
      </c>
      <c r="C191">
        <v>36</v>
      </c>
      <c r="J191">
        <v>190</v>
      </c>
      <c r="K191" t="s">
        <v>2155</v>
      </c>
      <c r="L191">
        <v>36</v>
      </c>
    </row>
    <row r="192" spans="1:12" x14ac:dyDescent="0.25">
      <c r="A192">
        <v>191</v>
      </c>
      <c r="B192" t="s">
        <v>2156</v>
      </c>
      <c r="C192">
        <v>42</v>
      </c>
      <c r="J192">
        <v>191</v>
      </c>
      <c r="K192" t="s">
        <v>2156</v>
      </c>
      <c r="L192">
        <v>42</v>
      </c>
    </row>
    <row r="193" spans="1:12" x14ac:dyDescent="0.25">
      <c r="A193">
        <v>192</v>
      </c>
      <c r="B193" t="s">
        <v>2157</v>
      </c>
      <c r="C193">
        <v>55</v>
      </c>
      <c r="J193">
        <v>192</v>
      </c>
      <c r="K193" t="s">
        <v>2157</v>
      </c>
      <c r="L193">
        <v>55</v>
      </c>
    </row>
    <row r="194" spans="1:12" x14ac:dyDescent="0.25">
      <c r="A194">
        <v>193</v>
      </c>
      <c r="B194" t="s">
        <v>2158</v>
      </c>
      <c r="C194">
        <v>28</v>
      </c>
      <c r="J194">
        <v>193</v>
      </c>
      <c r="K194" t="s">
        <v>2158</v>
      </c>
      <c r="L194">
        <v>28</v>
      </c>
    </row>
    <row r="195" spans="1:12" x14ac:dyDescent="0.25">
      <c r="A195">
        <v>194</v>
      </c>
      <c r="B195" t="s">
        <v>2159</v>
      </c>
      <c r="C195">
        <v>40</v>
      </c>
      <c r="J195">
        <v>194</v>
      </c>
      <c r="K195" t="s">
        <v>2159</v>
      </c>
      <c r="L195">
        <v>40</v>
      </c>
    </row>
    <row r="196" spans="1:12" x14ac:dyDescent="0.25">
      <c r="A196">
        <v>195</v>
      </c>
      <c r="B196" t="s">
        <v>2160</v>
      </c>
      <c r="C196">
        <v>38</v>
      </c>
      <c r="J196">
        <v>195</v>
      </c>
      <c r="K196" t="s">
        <v>2160</v>
      </c>
      <c r="L196">
        <v>38</v>
      </c>
    </row>
    <row r="197" spans="1:12" x14ac:dyDescent="0.25">
      <c r="A197">
        <v>196</v>
      </c>
      <c r="B197" t="s">
        <v>2161</v>
      </c>
      <c r="C197">
        <v>34</v>
      </c>
      <c r="J197">
        <v>196</v>
      </c>
      <c r="K197" t="s">
        <v>2161</v>
      </c>
      <c r="L197">
        <v>34</v>
      </c>
    </row>
    <row r="198" spans="1:12" x14ac:dyDescent="0.25">
      <c r="A198">
        <v>197</v>
      </c>
      <c r="B198" t="s">
        <v>2162</v>
      </c>
      <c r="C198">
        <v>34</v>
      </c>
      <c r="J198">
        <v>197</v>
      </c>
      <c r="K198" t="s">
        <v>2162</v>
      </c>
      <c r="L198">
        <v>34</v>
      </c>
    </row>
    <row r="199" spans="1:12" x14ac:dyDescent="0.25">
      <c r="A199">
        <v>198</v>
      </c>
      <c r="B199" t="s">
        <v>2163</v>
      </c>
      <c r="C199">
        <v>48</v>
      </c>
      <c r="J199">
        <v>198</v>
      </c>
      <c r="K199" t="s">
        <v>2163</v>
      </c>
      <c r="L199">
        <v>48</v>
      </c>
    </row>
    <row r="200" spans="1:12" x14ac:dyDescent="0.25">
      <c r="A200">
        <v>199</v>
      </c>
      <c r="B200" t="s">
        <v>2164</v>
      </c>
      <c r="C200">
        <v>64</v>
      </c>
      <c r="J200">
        <v>199</v>
      </c>
      <c r="K200" t="s">
        <v>2164</v>
      </c>
      <c r="L200">
        <v>64</v>
      </c>
    </row>
    <row r="201" spans="1:12" x14ac:dyDescent="0.25">
      <c r="A201">
        <v>200</v>
      </c>
      <c r="B201" t="s">
        <v>2165</v>
      </c>
      <c r="C201">
        <v>36</v>
      </c>
      <c r="J201">
        <v>200</v>
      </c>
      <c r="K201" t="s">
        <v>2165</v>
      </c>
      <c r="L201">
        <v>36</v>
      </c>
    </row>
    <row r="202" spans="1:12" x14ac:dyDescent="0.25">
      <c r="A202">
        <v>201</v>
      </c>
      <c r="B202" t="s">
        <v>2166</v>
      </c>
      <c r="C202">
        <v>39</v>
      </c>
      <c r="J202">
        <v>201</v>
      </c>
      <c r="K202" t="s">
        <v>2166</v>
      </c>
      <c r="L202">
        <v>39</v>
      </c>
    </row>
    <row r="203" spans="1:12" x14ac:dyDescent="0.25">
      <c r="A203">
        <v>202</v>
      </c>
      <c r="B203" t="s">
        <v>2167</v>
      </c>
      <c r="C203">
        <v>39</v>
      </c>
      <c r="J203">
        <v>202</v>
      </c>
      <c r="K203" t="s">
        <v>2167</v>
      </c>
      <c r="L203">
        <v>39</v>
      </c>
    </row>
    <row r="204" spans="1:12" x14ac:dyDescent="0.25">
      <c r="A204">
        <v>203</v>
      </c>
      <c r="B204" t="s">
        <v>2168</v>
      </c>
      <c r="C204">
        <v>49</v>
      </c>
      <c r="J204">
        <v>203</v>
      </c>
      <c r="K204" t="s">
        <v>2168</v>
      </c>
      <c r="L204">
        <v>49</v>
      </c>
    </row>
    <row r="205" spans="1:12" x14ac:dyDescent="0.25">
      <c r="A205">
        <v>204</v>
      </c>
      <c r="B205" t="s">
        <v>2169</v>
      </c>
      <c r="C205">
        <v>58</v>
      </c>
      <c r="J205">
        <v>204</v>
      </c>
      <c r="K205" t="s">
        <v>2169</v>
      </c>
      <c r="L205">
        <v>58</v>
      </c>
    </row>
    <row r="206" spans="1:12" x14ac:dyDescent="0.25">
      <c r="A206">
        <v>205</v>
      </c>
      <c r="B206" t="s">
        <v>2170</v>
      </c>
      <c r="C206">
        <v>31</v>
      </c>
      <c r="J206">
        <v>205</v>
      </c>
      <c r="K206" t="s">
        <v>2170</v>
      </c>
      <c r="L206">
        <v>31</v>
      </c>
    </row>
    <row r="207" spans="1:12" x14ac:dyDescent="0.25">
      <c r="A207">
        <v>206</v>
      </c>
      <c r="B207" t="s">
        <v>2171</v>
      </c>
      <c r="C207">
        <v>32</v>
      </c>
      <c r="J207">
        <v>206</v>
      </c>
      <c r="K207" t="s">
        <v>2171</v>
      </c>
      <c r="L207">
        <v>32</v>
      </c>
    </row>
    <row r="208" spans="1:12" x14ac:dyDescent="0.25">
      <c r="A208">
        <v>207</v>
      </c>
      <c r="B208" t="s">
        <v>2172</v>
      </c>
      <c r="C208">
        <v>38</v>
      </c>
      <c r="J208">
        <v>207</v>
      </c>
      <c r="K208" t="s">
        <v>2172</v>
      </c>
      <c r="L208">
        <v>38</v>
      </c>
    </row>
    <row r="209" spans="1:12" x14ac:dyDescent="0.25">
      <c r="A209">
        <v>208</v>
      </c>
      <c r="B209" t="s">
        <v>2173</v>
      </c>
      <c r="C209">
        <v>41</v>
      </c>
      <c r="J209">
        <v>208</v>
      </c>
      <c r="K209" t="s">
        <v>2173</v>
      </c>
      <c r="L209">
        <v>41</v>
      </c>
    </row>
    <row r="210" spans="1:12" x14ac:dyDescent="0.25">
      <c r="A210">
        <v>209</v>
      </c>
      <c r="B210" t="s">
        <v>2174</v>
      </c>
      <c r="C210">
        <v>55</v>
      </c>
      <c r="J210">
        <v>209</v>
      </c>
      <c r="K210" t="s">
        <v>2174</v>
      </c>
      <c r="L210">
        <v>55</v>
      </c>
    </row>
    <row r="211" spans="1:12" x14ac:dyDescent="0.25">
      <c r="A211">
        <v>210</v>
      </c>
      <c r="B211" t="s">
        <v>2175</v>
      </c>
      <c r="C211">
        <v>70</v>
      </c>
      <c r="J211">
        <v>210</v>
      </c>
      <c r="K211" t="s">
        <v>2175</v>
      </c>
      <c r="L211">
        <v>70</v>
      </c>
    </row>
    <row r="212" spans="1:12" x14ac:dyDescent="0.25">
      <c r="A212">
        <v>211</v>
      </c>
      <c r="B212" t="s">
        <v>2176</v>
      </c>
      <c r="C212">
        <v>39</v>
      </c>
      <c r="J212">
        <v>211</v>
      </c>
      <c r="K212" t="s">
        <v>2176</v>
      </c>
      <c r="L212">
        <v>39</v>
      </c>
    </row>
    <row r="213" spans="1:12" x14ac:dyDescent="0.25">
      <c r="A213">
        <v>212</v>
      </c>
      <c r="B213" t="s">
        <v>2177</v>
      </c>
      <c r="C213">
        <v>52</v>
      </c>
      <c r="J213">
        <v>212</v>
      </c>
      <c r="K213" t="s">
        <v>2177</v>
      </c>
      <c r="L213">
        <v>52</v>
      </c>
    </row>
    <row r="214" spans="1:12" x14ac:dyDescent="0.25">
      <c r="A214">
        <v>213</v>
      </c>
      <c r="B214" t="s">
        <v>2178</v>
      </c>
      <c r="C214">
        <v>43</v>
      </c>
      <c r="J214">
        <v>213</v>
      </c>
      <c r="K214" t="s">
        <v>2178</v>
      </c>
      <c r="L214">
        <v>43</v>
      </c>
    </row>
    <row r="215" spans="1:12" x14ac:dyDescent="0.25">
      <c r="A215">
        <v>214</v>
      </c>
      <c r="B215" t="s">
        <v>2179</v>
      </c>
      <c r="C215">
        <v>54</v>
      </c>
      <c r="J215">
        <v>214</v>
      </c>
      <c r="K215" t="s">
        <v>2179</v>
      </c>
      <c r="L215">
        <v>54</v>
      </c>
    </row>
    <row r="216" spans="1:12" x14ac:dyDescent="0.25">
      <c r="A216">
        <v>215</v>
      </c>
      <c r="B216" t="s">
        <v>2180</v>
      </c>
      <c r="C216">
        <v>48</v>
      </c>
      <c r="J216">
        <v>215</v>
      </c>
      <c r="K216" t="s">
        <v>2180</v>
      </c>
      <c r="L216">
        <v>48</v>
      </c>
    </row>
    <row r="217" spans="1:12" x14ac:dyDescent="0.25">
      <c r="A217">
        <v>216</v>
      </c>
      <c r="B217" t="s">
        <v>2181</v>
      </c>
      <c r="C217">
        <v>67</v>
      </c>
      <c r="J217">
        <v>216</v>
      </c>
      <c r="K217" t="s">
        <v>2181</v>
      </c>
      <c r="L217">
        <v>67</v>
      </c>
    </row>
    <row r="218" spans="1:12" x14ac:dyDescent="0.25">
      <c r="A218">
        <v>217</v>
      </c>
      <c r="B218" t="s">
        <v>2182</v>
      </c>
      <c r="C218">
        <v>32</v>
      </c>
      <c r="J218">
        <v>217</v>
      </c>
      <c r="K218" t="s">
        <v>2182</v>
      </c>
      <c r="L218">
        <v>32</v>
      </c>
    </row>
    <row r="219" spans="1:12" x14ac:dyDescent="0.25">
      <c r="A219">
        <v>218</v>
      </c>
      <c r="B219" t="s">
        <v>2183</v>
      </c>
      <c r="C219">
        <v>41</v>
      </c>
      <c r="J219">
        <v>218</v>
      </c>
      <c r="K219" t="s">
        <v>2183</v>
      </c>
      <c r="L219">
        <v>41</v>
      </c>
    </row>
    <row r="220" spans="1:12" x14ac:dyDescent="0.25">
      <c r="A220">
        <v>219</v>
      </c>
      <c r="B220" t="s">
        <v>2184</v>
      </c>
      <c r="C220">
        <v>42</v>
      </c>
      <c r="J220">
        <v>219</v>
      </c>
      <c r="K220" t="s">
        <v>2184</v>
      </c>
      <c r="L220">
        <v>42</v>
      </c>
    </row>
    <row r="221" spans="1:12" x14ac:dyDescent="0.25">
      <c r="A221">
        <v>220</v>
      </c>
      <c r="B221" t="s">
        <v>2185</v>
      </c>
      <c r="C221">
        <v>46</v>
      </c>
      <c r="J221">
        <v>220</v>
      </c>
      <c r="K221" t="s">
        <v>2185</v>
      </c>
      <c r="L221">
        <v>46</v>
      </c>
    </row>
    <row r="222" spans="1:12" x14ac:dyDescent="0.25">
      <c r="A222">
        <v>221</v>
      </c>
      <c r="B222" t="s">
        <v>2186</v>
      </c>
      <c r="C222">
        <v>51</v>
      </c>
      <c r="J222">
        <v>221</v>
      </c>
      <c r="K222" t="s">
        <v>2186</v>
      </c>
      <c r="L222">
        <v>51</v>
      </c>
    </row>
    <row r="223" spans="1:12" x14ac:dyDescent="0.25">
      <c r="A223">
        <v>222</v>
      </c>
      <c r="B223" t="s">
        <v>2187</v>
      </c>
      <c r="C223">
        <v>34</v>
      </c>
      <c r="J223">
        <v>222</v>
      </c>
      <c r="K223" t="s">
        <v>2187</v>
      </c>
      <c r="L223">
        <v>34</v>
      </c>
    </row>
    <row r="224" spans="1:12" x14ac:dyDescent="0.25">
      <c r="A224">
        <v>223</v>
      </c>
      <c r="B224" t="s">
        <v>2188</v>
      </c>
      <c r="C224">
        <v>48</v>
      </c>
      <c r="J224">
        <v>223</v>
      </c>
      <c r="K224" t="s">
        <v>2188</v>
      </c>
      <c r="L224">
        <v>48</v>
      </c>
    </row>
    <row r="225" spans="1:12" x14ac:dyDescent="0.25">
      <c r="A225">
        <v>224</v>
      </c>
      <c r="B225" t="s">
        <v>2189</v>
      </c>
      <c r="C225">
        <v>52</v>
      </c>
      <c r="J225">
        <v>224</v>
      </c>
      <c r="K225" t="s">
        <v>2189</v>
      </c>
      <c r="L225">
        <v>52</v>
      </c>
    </row>
    <row r="226" spans="1:12" x14ac:dyDescent="0.25">
      <c r="A226">
        <v>225</v>
      </c>
      <c r="B226" t="s">
        <v>2190</v>
      </c>
      <c r="C226">
        <v>59</v>
      </c>
      <c r="J226">
        <v>225</v>
      </c>
      <c r="K226" t="s">
        <v>2190</v>
      </c>
      <c r="L226">
        <v>59</v>
      </c>
    </row>
    <row r="227" spans="1:12" x14ac:dyDescent="0.25">
      <c r="A227">
        <v>226</v>
      </c>
      <c r="B227" t="s">
        <v>2191</v>
      </c>
      <c r="C227">
        <v>50</v>
      </c>
      <c r="J227">
        <v>226</v>
      </c>
      <c r="K227" t="s">
        <v>2191</v>
      </c>
      <c r="L227">
        <v>50</v>
      </c>
    </row>
    <row r="228" spans="1:12" x14ac:dyDescent="0.25">
      <c r="A228">
        <v>227</v>
      </c>
      <c r="B228" t="s">
        <v>2192</v>
      </c>
      <c r="C228">
        <v>42</v>
      </c>
      <c r="J228">
        <v>227</v>
      </c>
      <c r="K228" t="s">
        <v>2192</v>
      </c>
      <c r="L228">
        <v>42</v>
      </c>
    </row>
    <row r="229" spans="1:12" x14ac:dyDescent="0.25">
      <c r="A229">
        <v>228</v>
      </c>
      <c r="B229" t="s">
        <v>2193</v>
      </c>
      <c r="C229">
        <v>59</v>
      </c>
      <c r="J229">
        <v>228</v>
      </c>
      <c r="K229" t="s">
        <v>2193</v>
      </c>
      <c r="L229">
        <v>59</v>
      </c>
    </row>
    <row r="230" spans="1:12" x14ac:dyDescent="0.25">
      <c r="A230">
        <v>229</v>
      </c>
      <c r="B230" t="s">
        <v>2194</v>
      </c>
      <c r="C230">
        <v>38</v>
      </c>
      <c r="J230">
        <v>229</v>
      </c>
      <c r="K230" t="s">
        <v>2194</v>
      </c>
      <c r="L230">
        <v>38</v>
      </c>
    </row>
    <row r="231" spans="1:12" x14ac:dyDescent="0.25">
      <c r="A231">
        <v>230</v>
      </c>
      <c r="B231" t="s">
        <v>2195</v>
      </c>
      <c r="C231">
        <v>14</v>
      </c>
      <c r="J231">
        <v>230</v>
      </c>
      <c r="K231" t="s">
        <v>2195</v>
      </c>
      <c r="L231">
        <v>14</v>
      </c>
    </row>
    <row r="232" spans="1:12" x14ac:dyDescent="0.25">
      <c r="A232">
        <v>231</v>
      </c>
      <c r="B232" t="s">
        <v>2196</v>
      </c>
      <c r="C232">
        <v>20</v>
      </c>
      <c r="J232">
        <v>231</v>
      </c>
      <c r="K232" t="s">
        <v>2196</v>
      </c>
      <c r="L232">
        <v>20</v>
      </c>
    </row>
    <row r="233" spans="1:12" x14ac:dyDescent="0.25">
      <c r="A233">
        <v>232</v>
      </c>
      <c r="B233" t="s">
        <v>2197</v>
      </c>
      <c r="C233">
        <v>14</v>
      </c>
      <c r="J233">
        <v>232</v>
      </c>
      <c r="K233" t="s">
        <v>2197</v>
      </c>
      <c r="L233">
        <v>14</v>
      </c>
    </row>
    <row r="234" spans="1:12" x14ac:dyDescent="0.25">
      <c r="A234">
        <v>233</v>
      </c>
      <c r="B234" t="s">
        <v>2198</v>
      </c>
      <c r="C234">
        <v>12</v>
      </c>
      <c r="J234">
        <v>233</v>
      </c>
      <c r="K234" t="s">
        <v>2198</v>
      </c>
      <c r="L234">
        <v>12</v>
      </c>
    </row>
    <row r="235" spans="1:12" x14ac:dyDescent="0.25">
      <c r="A235">
        <v>234</v>
      </c>
      <c r="B235" t="s">
        <v>2199</v>
      </c>
      <c r="C235">
        <v>13</v>
      </c>
      <c r="J235">
        <v>234</v>
      </c>
      <c r="K235" t="s">
        <v>2199</v>
      </c>
      <c r="L235">
        <v>13</v>
      </c>
    </row>
    <row r="236" spans="1:12" x14ac:dyDescent="0.25">
      <c r="A236">
        <v>235</v>
      </c>
      <c r="B236" t="s">
        <v>2200</v>
      </c>
      <c r="C236">
        <v>20</v>
      </c>
      <c r="J236">
        <v>235</v>
      </c>
      <c r="K236" t="s">
        <v>2200</v>
      </c>
      <c r="L236">
        <v>20</v>
      </c>
    </row>
    <row r="237" spans="1:12" x14ac:dyDescent="0.25">
      <c r="A237">
        <v>236</v>
      </c>
      <c r="B237" t="s">
        <v>2201</v>
      </c>
      <c r="C237">
        <v>26</v>
      </c>
      <c r="J237">
        <v>236</v>
      </c>
      <c r="K237" t="s">
        <v>2201</v>
      </c>
      <c r="L237">
        <v>26</v>
      </c>
    </row>
    <row r="238" spans="1:12" x14ac:dyDescent="0.25">
      <c r="A238">
        <v>237</v>
      </c>
      <c r="B238" t="s">
        <v>2202</v>
      </c>
      <c r="C238">
        <v>20</v>
      </c>
      <c r="J238">
        <v>237</v>
      </c>
      <c r="K238" t="s">
        <v>2202</v>
      </c>
      <c r="L238">
        <v>20</v>
      </c>
    </row>
    <row r="239" spans="1:12" x14ac:dyDescent="0.25">
      <c r="A239">
        <v>238</v>
      </c>
      <c r="B239" t="s">
        <v>2203</v>
      </c>
      <c r="C239">
        <v>10</v>
      </c>
      <c r="J239">
        <v>238</v>
      </c>
      <c r="K239" t="s">
        <v>2203</v>
      </c>
      <c r="L239">
        <v>10</v>
      </c>
    </row>
    <row r="240" spans="1:12" x14ac:dyDescent="0.25">
      <c r="A240">
        <v>239</v>
      </c>
      <c r="B240" t="s">
        <v>2204</v>
      </c>
      <c r="C240">
        <v>11</v>
      </c>
      <c r="J240">
        <v>239</v>
      </c>
      <c r="K240" t="s">
        <v>2204</v>
      </c>
      <c r="L240">
        <v>11</v>
      </c>
    </row>
    <row r="241" spans="1:12" x14ac:dyDescent="0.25">
      <c r="A241">
        <v>240</v>
      </c>
      <c r="B241" t="s">
        <v>2205</v>
      </c>
      <c r="C241">
        <v>13</v>
      </c>
      <c r="J241">
        <v>240</v>
      </c>
      <c r="K241" t="s">
        <v>2205</v>
      </c>
      <c r="L241">
        <v>13</v>
      </c>
    </row>
    <row r="242" spans="1:12" x14ac:dyDescent="0.25">
      <c r="A242">
        <v>241</v>
      </c>
      <c r="B242" t="s">
        <v>2206</v>
      </c>
      <c r="C242">
        <v>12</v>
      </c>
      <c r="J242">
        <v>241</v>
      </c>
      <c r="K242" t="s">
        <v>2206</v>
      </c>
      <c r="L242">
        <v>12</v>
      </c>
    </row>
    <row r="243" spans="1:12" x14ac:dyDescent="0.25">
      <c r="A243">
        <v>242</v>
      </c>
      <c r="B243" t="s">
        <v>2207</v>
      </c>
      <c r="C243">
        <v>11</v>
      </c>
      <c r="J243">
        <v>242</v>
      </c>
      <c r="K243" t="s">
        <v>2207</v>
      </c>
      <c r="L243">
        <v>11</v>
      </c>
    </row>
    <row r="244" spans="1:12" x14ac:dyDescent="0.25">
      <c r="A244">
        <v>243</v>
      </c>
      <c r="B244" t="s">
        <v>2208</v>
      </c>
      <c r="C244">
        <v>20</v>
      </c>
      <c r="J244">
        <v>243</v>
      </c>
      <c r="K244" t="s">
        <v>2208</v>
      </c>
      <c r="L244">
        <v>20</v>
      </c>
    </row>
    <row r="245" spans="1:12" x14ac:dyDescent="0.25">
      <c r="A245">
        <v>244</v>
      </c>
      <c r="B245" t="s">
        <v>2209</v>
      </c>
      <c r="C245">
        <v>14</v>
      </c>
      <c r="J245">
        <v>244</v>
      </c>
      <c r="K245" t="s">
        <v>2209</v>
      </c>
      <c r="L245">
        <v>14</v>
      </c>
    </row>
    <row r="246" spans="1:12" x14ac:dyDescent="0.25">
      <c r="A246">
        <v>245</v>
      </c>
      <c r="B246" t="s">
        <v>2210</v>
      </c>
      <c r="C246">
        <v>13</v>
      </c>
      <c r="J246">
        <v>245</v>
      </c>
      <c r="K246" t="s">
        <v>2210</v>
      </c>
      <c r="L246">
        <v>13</v>
      </c>
    </row>
    <row r="247" spans="1:12" x14ac:dyDescent="0.25">
      <c r="A247">
        <v>246</v>
      </c>
      <c r="B247" t="s">
        <v>2211</v>
      </c>
      <c r="C247">
        <v>10</v>
      </c>
      <c r="J247">
        <v>246</v>
      </c>
      <c r="K247" t="s">
        <v>2211</v>
      </c>
      <c r="L247">
        <v>10</v>
      </c>
    </row>
    <row r="248" spans="1:12" x14ac:dyDescent="0.25">
      <c r="A248">
        <v>247</v>
      </c>
      <c r="B248" t="s">
        <v>2212</v>
      </c>
      <c r="C248">
        <v>14</v>
      </c>
      <c r="J248">
        <v>247</v>
      </c>
      <c r="K248" t="s">
        <v>2212</v>
      </c>
      <c r="L248">
        <v>14</v>
      </c>
    </row>
    <row r="249" spans="1:12" x14ac:dyDescent="0.25">
      <c r="A249">
        <v>248</v>
      </c>
      <c r="B249" t="s">
        <v>2213</v>
      </c>
      <c r="C249">
        <v>13</v>
      </c>
      <c r="J249">
        <v>248</v>
      </c>
      <c r="K249" t="s">
        <v>2213</v>
      </c>
      <c r="L249">
        <v>13</v>
      </c>
    </row>
    <row r="250" spans="1:12" x14ac:dyDescent="0.25">
      <c r="A250">
        <v>249</v>
      </c>
      <c r="B250" t="s">
        <v>2214</v>
      </c>
      <c r="C250">
        <v>11</v>
      </c>
      <c r="J250">
        <v>249</v>
      </c>
      <c r="K250" t="s">
        <v>2214</v>
      </c>
      <c r="L250">
        <v>11</v>
      </c>
    </row>
    <row r="251" spans="1:12" x14ac:dyDescent="0.25">
      <c r="A251">
        <v>250</v>
      </c>
      <c r="B251" t="s">
        <v>2215</v>
      </c>
      <c r="C251">
        <v>15</v>
      </c>
      <c r="J251">
        <v>250</v>
      </c>
      <c r="K251" t="s">
        <v>2215</v>
      </c>
      <c r="L251">
        <v>15</v>
      </c>
    </row>
    <row r="252" spans="1:12" x14ac:dyDescent="0.25">
      <c r="A252">
        <v>251</v>
      </c>
      <c r="B252" t="s">
        <v>2216</v>
      </c>
      <c r="C252">
        <v>16</v>
      </c>
      <c r="J252">
        <v>251</v>
      </c>
      <c r="K252" t="s">
        <v>2216</v>
      </c>
      <c r="L252">
        <v>16</v>
      </c>
    </row>
    <row r="253" spans="1:12" x14ac:dyDescent="0.25">
      <c r="A253">
        <v>252</v>
      </c>
      <c r="B253" t="s">
        <v>2217</v>
      </c>
      <c r="C253">
        <v>26</v>
      </c>
      <c r="J253">
        <v>252</v>
      </c>
      <c r="K253" t="s">
        <v>2217</v>
      </c>
      <c r="L253">
        <v>26</v>
      </c>
    </row>
    <row r="254" spans="1:12" x14ac:dyDescent="0.25">
      <c r="A254">
        <v>253</v>
      </c>
      <c r="B254" t="s">
        <v>2218</v>
      </c>
      <c r="C254">
        <v>31</v>
      </c>
      <c r="J254">
        <v>253</v>
      </c>
      <c r="K254" t="s">
        <v>2218</v>
      </c>
      <c r="L254">
        <v>31</v>
      </c>
    </row>
    <row r="255" spans="1:12" x14ac:dyDescent="0.25">
      <c r="A255">
        <v>254</v>
      </c>
      <c r="B255" t="s">
        <v>2219</v>
      </c>
      <c r="C255">
        <v>34</v>
      </c>
      <c r="J255">
        <v>254</v>
      </c>
      <c r="K255" t="s">
        <v>2219</v>
      </c>
      <c r="L255">
        <v>34</v>
      </c>
    </row>
    <row r="256" spans="1:12" x14ac:dyDescent="0.25">
      <c r="A256">
        <v>255</v>
      </c>
      <c r="B256" t="s">
        <v>2220</v>
      </c>
      <c r="C256">
        <v>40</v>
      </c>
      <c r="J256">
        <v>255</v>
      </c>
      <c r="K256" t="s">
        <v>2220</v>
      </c>
      <c r="L256">
        <v>40</v>
      </c>
    </row>
    <row r="257" spans="1:12" x14ac:dyDescent="0.25">
      <c r="A257">
        <v>256</v>
      </c>
      <c r="B257" t="s">
        <v>2221</v>
      </c>
      <c r="C257">
        <v>43</v>
      </c>
      <c r="J257">
        <v>256</v>
      </c>
      <c r="K257" t="s">
        <v>2221</v>
      </c>
      <c r="L257">
        <v>43</v>
      </c>
    </row>
    <row r="258" spans="1:12" x14ac:dyDescent="0.25">
      <c r="A258">
        <v>257</v>
      </c>
      <c r="B258" t="s">
        <v>2222</v>
      </c>
      <c r="C258">
        <v>36</v>
      </c>
      <c r="J258">
        <v>257</v>
      </c>
      <c r="K258" t="s">
        <v>2222</v>
      </c>
      <c r="L258">
        <v>36</v>
      </c>
    </row>
    <row r="259" spans="1:12" x14ac:dyDescent="0.25">
      <c r="A259">
        <v>258</v>
      </c>
      <c r="B259" t="s">
        <v>2223</v>
      </c>
      <c r="C259">
        <v>37</v>
      </c>
      <c r="J259">
        <v>258</v>
      </c>
      <c r="K259" t="s">
        <v>2223</v>
      </c>
      <c r="L259">
        <v>37</v>
      </c>
    </row>
    <row r="260" spans="1:12" x14ac:dyDescent="0.25">
      <c r="A260">
        <v>259</v>
      </c>
      <c r="B260" t="s">
        <v>2224</v>
      </c>
      <c r="C260">
        <v>29</v>
      </c>
      <c r="J260">
        <v>259</v>
      </c>
      <c r="K260" t="s">
        <v>2224</v>
      </c>
      <c r="L260">
        <v>29</v>
      </c>
    </row>
    <row r="261" spans="1:12" x14ac:dyDescent="0.25">
      <c r="A261">
        <v>260</v>
      </c>
      <c r="B261" t="s">
        <v>2225</v>
      </c>
      <c r="C261">
        <v>41</v>
      </c>
      <c r="J261">
        <v>260</v>
      </c>
      <c r="K261" t="s">
        <v>2225</v>
      </c>
      <c r="L261">
        <v>41</v>
      </c>
    </row>
    <row r="262" spans="1:12" x14ac:dyDescent="0.25">
      <c r="A262">
        <v>261</v>
      </c>
      <c r="B262" t="s">
        <v>2226</v>
      </c>
      <c r="C262">
        <v>41</v>
      </c>
      <c r="J262">
        <v>261</v>
      </c>
      <c r="K262" t="s">
        <v>2226</v>
      </c>
      <c r="L262">
        <v>41</v>
      </c>
    </row>
    <row r="263" spans="1:12" x14ac:dyDescent="0.25">
      <c r="A263">
        <v>262</v>
      </c>
      <c r="B263" t="s">
        <v>2227</v>
      </c>
      <c r="C263">
        <v>82</v>
      </c>
      <c r="J263">
        <v>262</v>
      </c>
      <c r="K263" t="s">
        <v>2227</v>
      </c>
      <c r="L263">
        <v>82</v>
      </c>
    </row>
    <row r="264" spans="1:12" x14ac:dyDescent="0.25">
      <c r="A264">
        <v>263</v>
      </c>
      <c r="B264" t="s">
        <v>2228</v>
      </c>
      <c r="C264">
        <v>50</v>
      </c>
      <c r="J264">
        <v>263</v>
      </c>
      <c r="K264" t="s">
        <v>2228</v>
      </c>
      <c r="L264">
        <v>50</v>
      </c>
    </row>
    <row r="265" spans="1:12" x14ac:dyDescent="0.25">
      <c r="A265">
        <v>264</v>
      </c>
      <c r="B265" t="s">
        <v>2229</v>
      </c>
      <c r="C265">
        <v>30</v>
      </c>
      <c r="J265">
        <v>264</v>
      </c>
      <c r="K265" t="s">
        <v>2229</v>
      </c>
      <c r="L265">
        <v>30</v>
      </c>
    </row>
    <row r="266" spans="1:12" x14ac:dyDescent="0.25">
      <c r="A266">
        <v>265</v>
      </c>
      <c r="B266" t="s">
        <v>2230</v>
      </c>
      <c r="C266">
        <v>25</v>
      </c>
      <c r="J266">
        <v>265</v>
      </c>
      <c r="K266" t="s">
        <v>2230</v>
      </c>
      <c r="L266">
        <v>25</v>
      </c>
    </row>
    <row r="267" spans="1:12" x14ac:dyDescent="0.25">
      <c r="A267">
        <v>266</v>
      </c>
      <c r="B267" t="s">
        <v>2231</v>
      </c>
      <c r="C267">
        <v>36</v>
      </c>
      <c r="J267">
        <v>266</v>
      </c>
      <c r="K267" t="s">
        <v>2231</v>
      </c>
      <c r="L267">
        <v>36</v>
      </c>
    </row>
    <row r="268" spans="1:12" x14ac:dyDescent="0.25">
      <c r="A268">
        <v>267</v>
      </c>
      <c r="B268" t="s">
        <v>2232</v>
      </c>
      <c r="C268">
        <v>65</v>
      </c>
      <c r="J268">
        <v>267</v>
      </c>
      <c r="K268" t="s">
        <v>2232</v>
      </c>
      <c r="L268">
        <v>65</v>
      </c>
    </row>
    <row r="269" spans="1:12" x14ac:dyDescent="0.25">
      <c r="A269">
        <v>268</v>
      </c>
      <c r="B269" t="s">
        <v>2233</v>
      </c>
      <c r="C269">
        <v>77</v>
      </c>
      <c r="J269">
        <v>268</v>
      </c>
      <c r="K269" t="s">
        <v>2233</v>
      </c>
      <c r="L269">
        <v>77</v>
      </c>
    </row>
    <row r="270" spans="1:12" x14ac:dyDescent="0.25">
      <c r="A270">
        <v>269</v>
      </c>
      <c r="B270" t="s">
        <v>2234</v>
      </c>
      <c r="C270">
        <v>102</v>
      </c>
      <c r="J270">
        <v>269</v>
      </c>
      <c r="K270" t="s">
        <v>2234</v>
      </c>
      <c r="L270">
        <v>102</v>
      </c>
    </row>
    <row r="271" spans="1:12" x14ac:dyDescent="0.25">
      <c r="A271">
        <v>270</v>
      </c>
      <c r="B271" t="s">
        <v>2235</v>
      </c>
      <c r="C271">
        <v>47</v>
      </c>
      <c r="J271">
        <v>270</v>
      </c>
      <c r="K271" t="s">
        <v>2235</v>
      </c>
      <c r="L271">
        <v>47</v>
      </c>
    </row>
    <row r="272" spans="1:12" x14ac:dyDescent="0.25">
      <c r="A272">
        <v>271</v>
      </c>
      <c r="B272" t="s">
        <v>2236</v>
      </c>
      <c r="C272">
        <v>104</v>
      </c>
      <c r="J272">
        <v>271</v>
      </c>
      <c r="K272" t="s">
        <v>2236</v>
      </c>
      <c r="L272">
        <v>104</v>
      </c>
    </row>
    <row r="273" spans="1:12" x14ac:dyDescent="0.25">
      <c r="A273">
        <v>272</v>
      </c>
      <c r="B273" t="s">
        <v>2237</v>
      </c>
      <c r="C273">
        <v>48</v>
      </c>
      <c r="J273">
        <v>272</v>
      </c>
      <c r="K273" t="s">
        <v>2237</v>
      </c>
      <c r="L273">
        <v>48</v>
      </c>
    </row>
    <row r="274" spans="1:12" x14ac:dyDescent="0.25">
      <c r="A274">
        <v>273</v>
      </c>
      <c r="B274" t="s">
        <v>2238</v>
      </c>
      <c r="C274">
        <v>33</v>
      </c>
      <c r="J274">
        <v>273</v>
      </c>
      <c r="K274" t="s">
        <v>2238</v>
      </c>
      <c r="L274">
        <v>33</v>
      </c>
    </row>
    <row r="275" spans="1:12" x14ac:dyDescent="0.25">
      <c r="A275">
        <v>274</v>
      </c>
      <c r="B275" t="s">
        <v>2239</v>
      </c>
      <c r="C275">
        <v>42</v>
      </c>
      <c r="J275">
        <v>274</v>
      </c>
      <c r="K275" t="s">
        <v>2239</v>
      </c>
      <c r="L275">
        <v>42</v>
      </c>
    </row>
    <row r="276" spans="1:12" x14ac:dyDescent="0.25">
      <c r="A276">
        <v>275</v>
      </c>
      <c r="B276" t="s">
        <v>2240</v>
      </c>
      <c r="C276">
        <v>17</v>
      </c>
      <c r="J276">
        <v>275</v>
      </c>
      <c r="K276" t="s">
        <v>2240</v>
      </c>
      <c r="L276">
        <v>17</v>
      </c>
    </row>
    <row r="277" spans="1:12" x14ac:dyDescent="0.25">
      <c r="A277">
        <v>276</v>
      </c>
      <c r="B277" t="s">
        <v>2241</v>
      </c>
      <c r="C277">
        <v>19</v>
      </c>
      <c r="J277">
        <v>276</v>
      </c>
      <c r="K277" t="s">
        <v>2241</v>
      </c>
      <c r="L277">
        <v>19</v>
      </c>
    </row>
    <row r="278" spans="1:12" x14ac:dyDescent="0.25">
      <c r="A278">
        <v>277</v>
      </c>
      <c r="B278" t="s">
        <v>2242</v>
      </c>
      <c r="C278">
        <v>20</v>
      </c>
      <c r="J278">
        <v>277</v>
      </c>
      <c r="K278" t="s">
        <v>2242</v>
      </c>
      <c r="L278">
        <v>20</v>
      </c>
    </row>
    <row r="279" spans="1:12" x14ac:dyDescent="0.25">
      <c r="A279">
        <v>278</v>
      </c>
      <c r="B279" t="s">
        <v>2243</v>
      </c>
      <c r="C279">
        <v>28</v>
      </c>
      <c r="J279">
        <v>278</v>
      </c>
      <c r="K279" t="s">
        <v>2243</v>
      </c>
      <c r="L279">
        <v>28</v>
      </c>
    </row>
    <row r="280" spans="1:12" x14ac:dyDescent="0.25">
      <c r="A280">
        <v>279</v>
      </c>
      <c r="B280" t="s">
        <v>2244</v>
      </c>
      <c r="C280">
        <v>38</v>
      </c>
      <c r="J280">
        <v>279</v>
      </c>
      <c r="K280" t="s">
        <v>2244</v>
      </c>
      <c r="L280">
        <v>38</v>
      </c>
    </row>
    <row r="281" spans="1:12" x14ac:dyDescent="0.25">
      <c r="A281">
        <v>280</v>
      </c>
      <c r="B281" t="s">
        <v>2245</v>
      </c>
      <c r="C281">
        <v>33</v>
      </c>
      <c r="J281">
        <v>280</v>
      </c>
      <c r="K281" t="s">
        <v>2245</v>
      </c>
      <c r="L281">
        <v>33</v>
      </c>
    </row>
    <row r="282" spans="1:12" x14ac:dyDescent="0.25">
      <c r="A282">
        <v>281</v>
      </c>
      <c r="B282" t="s">
        <v>2246</v>
      </c>
      <c r="C282">
        <v>23</v>
      </c>
      <c r="J282">
        <v>281</v>
      </c>
      <c r="K282" t="s">
        <v>2246</v>
      </c>
      <c r="L282">
        <v>23</v>
      </c>
    </row>
    <row r="283" spans="1:12" x14ac:dyDescent="0.25">
      <c r="A283">
        <v>282</v>
      </c>
      <c r="B283" t="s">
        <v>2247</v>
      </c>
      <c r="C283">
        <v>24</v>
      </c>
      <c r="J283">
        <v>282</v>
      </c>
      <c r="K283" t="s">
        <v>2247</v>
      </c>
      <c r="L283">
        <v>24</v>
      </c>
    </row>
    <row r="284" spans="1:12" x14ac:dyDescent="0.25">
      <c r="A284">
        <v>283</v>
      </c>
      <c r="B284" t="s">
        <v>2248</v>
      </c>
      <c r="C284">
        <v>24</v>
      </c>
      <c r="J284">
        <v>283</v>
      </c>
      <c r="K284" t="s">
        <v>2248</v>
      </c>
      <c r="L284">
        <v>24</v>
      </c>
    </row>
    <row r="285" spans="1:12" x14ac:dyDescent="0.25">
      <c r="A285">
        <v>284</v>
      </c>
      <c r="B285" t="s">
        <v>2249</v>
      </c>
      <c r="C285">
        <v>35</v>
      </c>
      <c r="J285">
        <v>284</v>
      </c>
      <c r="K285" t="s">
        <v>2249</v>
      </c>
      <c r="L285">
        <v>35</v>
      </c>
    </row>
    <row r="286" spans="1:12" x14ac:dyDescent="0.25">
      <c r="A286">
        <v>285</v>
      </c>
      <c r="B286" t="s">
        <v>2250</v>
      </c>
      <c r="C286">
        <v>29</v>
      </c>
      <c r="J286">
        <v>285</v>
      </c>
      <c r="K286" t="s">
        <v>2250</v>
      </c>
      <c r="L286">
        <v>29</v>
      </c>
    </row>
    <row r="287" spans="1:12" x14ac:dyDescent="0.25">
      <c r="A287">
        <v>286</v>
      </c>
      <c r="B287" t="s">
        <v>2251</v>
      </c>
      <c r="C287">
        <v>47</v>
      </c>
      <c r="J287">
        <v>286</v>
      </c>
      <c r="K287" t="s">
        <v>2251</v>
      </c>
      <c r="L287">
        <v>47</v>
      </c>
    </row>
    <row r="288" spans="1:12" x14ac:dyDescent="0.25">
      <c r="A288">
        <v>287</v>
      </c>
      <c r="B288" t="s">
        <v>2252</v>
      </c>
      <c r="C288">
        <v>36</v>
      </c>
      <c r="J288">
        <v>287</v>
      </c>
      <c r="K288" t="s">
        <v>2252</v>
      </c>
      <c r="L288">
        <v>36</v>
      </c>
    </row>
    <row r="289" spans="1:12" x14ac:dyDescent="0.25">
      <c r="A289">
        <v>288</v>
      </c>
      <c r="B289" t="s">
        <v>2253</v>
      </c>
      <c r="C289">
        <v>40</v>
      </c>
      <c r="J289">
        <v>288</v>
      </c>
      <c r="K289" t="s">
        <v>2253</v>
      </c>
      <c r="L289">
        <v>40</v>
      </c>
    </row>
    <row r="290" spans="1:12" x14ac:dyDescent="0.25">
      <c r="A290">
        <v>289</v>
      </c>
      <c r="B290" t="s">
        <v>2254</v>
      </c>
      <c r="C290">
        <v>26</v>
      </c>
      <c r="J290">
        <v>289</v>
      </c>
      <c r="K290" t="s">
        <v>2254</v>
      </c>
      <c r="L290">
        <v>26</v>
      </c>
    </row>
    <row r="291" spans="1:12" x14ac:dyDescent="0.25">
      <c r="A291">
        <v>290</v>
      </c>
      <c r="B291" t="s">
        <v>2255</v>
      </c>
      <c r="C291">
        <v>20</v>
      </c>
      <c r="J291">
        <v>290</v>
      </c>
      <c r="K291" t="s">
        <v>2255</v>
      </c>
      <c r="L291">
        <v>20</v>
      </c>
    </row>
    <row r="292" spans="1:12" x14ac:dyDescent="0.25">
      <c r="A292">
        <v>291</v>
      </c>
      <c r="B292" t="s">
        <v>2256</v>
      </c>
      <c r="C292">
        <v>23</v>
      </c>
      <c r="J292">
        <v>291</v>
      </c>
      <c r="K292" t="s">
        <v>2256</v>
      </c>
      <c r="L292">
        <v>23</v>
      </c>
    </row>
    <row r="293" spans="1:12" x14ac:dyDescent="0.25">
      <c r="A293">
        <v>292</v>
      </c>
      <c r="B293" t="s">
        <v>2257</v>
      </c>
      <c r="C293">
        <v>31</v>
      </c>
      <c r="J293">
        <v>292</v>
      </c>
      <c r="K293" t="s">
        <v>2257</v>
      </c>
      <c r="L293">
        <v>31</v>
      </c>
    </row>
    <row r="294" spans="1:12" x14ac:dyDescent="0.25">
      <c r="A294">
        <v>293</v>
      </c>
      <c r="B294" t="s">
        <v>2258</v>
      </c>
      <c r="C294">
        <v>32</v>
      </c>
      <c r="J294">
        <v>293</v>
      </c>
      <c r="K294" t="s">
        <v>2258</v>
      </c>
      <c r="L294">
        <v>32</v>
      </c>
    </row>
    <row r="295" spans="1:12" x14ac:dyDescent="0.25">
      <c r="A295">
        <v>294</v>
      </c>
      <c r="B295" t="s">
        <v>2259</v>
      </c>
      <c r="C295">
        <v>32</v>
      </c>
      <c r="J295">
        <v>294</v>
      </c>
      <c r="K295" t="s">
        <v>2259</v>
      </c>
      <c r="L295">
        <v>32</v>
      </c>
    </row>
    <row r="296" spans="1:12" x14ac:dyDescent="0.25">
      <c r="A296">
        <v>295</v>
      </c>
      <c r="B296" t="s">
        <v>2260</v>
      </c>
      <c r="C296">
        <v>45</v>
      </c>
      <c r="J296">
        <v>295</v>
      </c>
      <c r="K296" t="s">
        <v>2260</v>
      </c>
      <c r="L296">
        <v>45</v>
      </c>
    </row>
    <row r="297" spans="1:12" x14ac:dyDescent="0.25">
      <c r="A297">
        <v>296</v>
      </c>
      <c r="B297" t="s">
        <v>2261</v>
      </c>
      <c r="C297">
        <v>32</v>
      </c>
      <c r="J297">
        <v>296</v>
      </c>
      <c r="K297" t="s">
        <v>2261</v>
      </c>
      <c r="L297">
        <v>32</v>
      </c>
    </row>
    <row r="298" spans="1:12" x14ac:dyDescent="0.25">
      <c r="A298">
        <v>297</v>
      </c>
      <c r="B298" t="s">
        <v>2262</v>
      </c>
      <c r="C298">
        <v>31</v>
      </c>
      <c r="J298">
        <v>297</v>
      </c>
      <c r="K298" t="s">
        <v>2262</v>
      </c>
      <c r="L298">
        <v>31</v>
      </c>
    </row>
    <row r="299" spans="1:12" x14ac:dyDescent="0.25">
      <c r="A299">
        <v>298</v>
      </c>
      <c r="B299" t="s">
        <v>2263</v>
      </c>
      <c r="C299">
        <v>40</v>
      </c>
      <c r="J299">
        <v>298</v>
      </c>
      <c r="K299" t="s">
        <v>2263</v>
      </c>
      <c r="L299">
        <v>40</v>
      </c>
    </row>
    <row r="300" spans="1:12" x14ac:dyDescent="0.25">
      <c r="A300">
        <v>299</v>
      </c>
      <c r="B300" t="s">
        <v>2264</v>
      </c>
      <c r="C300">
        <v>23</v>
      </c>
      <c r="J300">
        <v>299</v>
      </c>
      <c r="K300" t="s">
        <v>2264</v>
      </c>
      <c r="L300">
        <v>23</v>
      </c>
    </row>
    <row r="301" spans="1:12" x14ac:dyDescent="0.25">
      <c r="A301">
        <v>300</v>
      </c>
      <c r="B301" t="s">
        <v>2265</v>
      </c>
      <c r="C301">
        <v>32</v>
      </c>
      <c r="J301">
        <v>300</v>
      </c>
      <c r="K301" t="s">
        <v>2265</v>
      </c>
      <c r="L301">
        <v>32</v>
      </c>
    </row>
    <row r="302" spans="1:12" x14ac:dyDescent="0.25">
      <c r="A302">
        <v>301</v>
      </c>
      <c r="B302" t="s">
        <v>2266</v>
      </c>
      <c r="C302">
        <v>15</v>
      </c>
      <c r="J302">
        <v>301</v>
      </c>
      <c r="K302" t="s">
        <v>2266</v>
      </c>
      <c r="L302">
        <v>15</v>
      </c>
    </row>
    <row r="303" spans="1:12" x14ac:dyDescent="0.25">
      <c r="A303">
        <v>302</v>
      </c>
      <c r="B303" t="s">
        <v>2267</v>
      </c>
      <c r="C303">
        <v>16</v>
      </c>
      <c r="J303">
        <v>302</v>
      </c>
      <c r="K303" t="s">
        <v>2267</v>
      </c>
      <c r="L303">
        <v>16</v>
      </c>
    </row>
    <row r="304" spans="1:12" x14ac:dyDescent="0.25">
      <c r="A304">
        <v>303</v>
      </c>
      <c r="B304" t="s">
        <v>2268</v>
      </c>
      <c r="C304">
        <v>32</v>
      </c>
      <c r="J304">
        <v>303</v>
      </c>
      <c r="K304" t="s">
        <v>2268</v>
      </c>
      <c r="L304">
        <v>32</v>
      </c>
    </row>
    <row r="305" spans="1:12" x14ac:dyDescent="0.25">
      <c r="A305">
        <v>304</v>
      </c>
      <c r="B305" t="s">
        <v>2269</v>
      </c>
      <c r="C305">
        <v>14</v>
      </c>
      <c r="J305">
        <v>304</v>
      </c>
      <c r="K305" t="s">
        <v>2269</v>
      </c>
      <c r="L305">
        <v>14</v>
      </c>
    </row>
    <row r="306" spans="1:12" x14ac:dyDescent="0.25">
      <c r="A306">
        <v>305</v>
      </c>
      <c r="B306" t="s">
        <v>2270</v>
      </c>
      <c r="C306">
        <v>11</v>
      </c>
      <c r="J306">
        <v>305</v>
      </c>
      <c r="K306" t="s">
        <v>2270</v>
      </c>
      <c r="L306">
        <v>11</v>
      </c>
    </row>
    <row r="307" spans="1:12" x14ac:dyDescent="0.25">
      <c r="A307">
        <v>306</v>
      </c>
      <c r="B307" t="s">
        <v>2271</v>
      </c>
      <c r="C307">
        <v>12</v>
      </c>
      <c r="J307">
        <v>306</v>
      </c>
      <c r="K307" t="s">
        <v>2271</v>
      </c>
      <c r="L307">
        <v>12</v>
      </c>
    </row>
    <row r="308" spans="1:12" x14ac:dyDescent="0.25">
      <c r="A308">
        <v>307</v>
      </c>
      <c r="B308" t="s">
        <v>2272</v>
      </c>
      <c r="C308">
        <v>8</v>
      </c>
      <c r="J308">
        <v>307</v>
      </c>
      <c r="K308" t="s">
        <v>2272</v>
      </c>
      <c r="L308">
        <v>8</v>
      </c>
    </row>
    <row r="309" spans="1:12" x14ac:dyDescent="0.25">
      <c r="A309">
        <v>308</v>
      </c>
      <c r="B309" t="s">
        <v>2273</v>
      </c>
      <c r="C309">
        <v>6</v>
      </c>
      <c r="J309">
        <v>308</v>
      </c>
      <c r="K309" t="s">
        <v>2273</v>
      </c>
      <c r="L309">
        <v>6</v>
      </c>
    </row>
    <row r="310" spans="1:12" x14ac:dyDescent="0.25">
      <c r="A310">
        <v>309</v>
      </c>
      <c r="B310" t="s">
        <v>2274</v>
      </c>
      <c r="C310">
        <v>19</v>
      </c>
      <c r="J310">
        <v>309</v>
      </c>
      <c r="K310" t="s">
        <v>2274</v>
      </c>
      <c r="L310">
        <v>19</v>
      </c>
    </row>
    <row r="311" spans="1:12" x14ac:dyDescent="0.25">
      <c r="A311">
        <v>310</v>
      </c>
      <c r="B311" t="s">
        <v>2275</v>
      </c>
      <c r="C311">
        <v>13</v>
      </c>
      <c r="J311">
        <v>310</v>
      </c>
      <c r="K311" t="s">
        <v>2275</v>
      </c>
      <c r="L311">
        <v>13</v>
      </c>
    </row>
    <row r="312" spans="1:12" x14ac:dyDescent="0.25">
      <c r="A312">
        <v>311</v>
      </c>
      <c r="B312" t="s">
        <v>2276</v>
      </c>
      <c r="C312">
        <v>18</v>
      </c>
      <c r="J312">
        <v>311</v>
      </c>
      <c r="K312" t="s">
        <v>2276</v>
      </c>
      <c r="L312">
        <v>18</v>
      </c>
    </row>
    <row r="313" spans="1:12" x14ac:dyDescent="0.25">
      <c r="A313">
        <v>312</v>
      </c>
      <c r="B313" t="s">
        <v>2277</v>
      </c>
      <c r="C313">
        <v>22</v>
      </c>
      <c r="J313">
        <v>312</v>
      </c>
      <c r="K313" t="s">
        <v>2277</v>
      </c>
      <c r="L313">
        <v>22</v>
      </c>
    </row>
    <row r="314" spans="1:12" x14ac:dyDescent="0.25">
      <c r="A314">
        <v>313</v>
      </c>
      <c r="B314" t="s">
        <v>2278</v>
      </c>
      <c r="C314">
        <v>15</v>
      </c>
      <c r="J314">
        <v>313</v>
      </c>
      <c r="K314" t="s">
        <v>2278</v>
      </c>
      <c r="L314">
        <v>15</v>
      </c>
    </row>
    <row r="315" spans="1:12" x14ac:dyDescent="0.25">
      <c r="A315">
        <v>314</v>
      </c>
      <c r="B315" t="s">
        <v>2279</v>
      </c>
      <c r="C315">
        <v>21</v>
      </c>
      <c r="J315">
        <v>314</v>
      </c>
      <c r="K315" t="s">
        <v>2279</v>
      </c>
      <c r="L315">
        <v>21</v>
      </c>
    </row>
    <row r="316" spans="1:12" x14ac:dyDescent="0.25">
      <c r="A316">
        <v>315</v>
      </c>
      <c r="B316" t="s">
        <v>2280</v>
      </c>
      <c r="C316">
        <v>17</v>
      </c>
      <c r="J316">
        <v>315</v>
      </c>
      <c r="K316" t="s">
        <v>2280</v>
      </c>
      <c r="L316">
        <v>17</v>
      </c>
    </row>
    <row r="317" spans="1:12" x14ac:dyDescent="0.25">
      <c r="A317">
        <v>316</v>
      </c>
      <c r="B317" t="s">
        <v>2281</v>
      </c>
      <c r="C317">
        <v>25</v>
      </c>
      <c r="J317">
        <v>316</v>
      </c>
      <c r="K317" t="s">
        <v>2281</v>
      </c>
      <c r="L317">
        <v>25</v>
      </c>
    </row>
    <row r="318" spans="1:12" x14ac:dyDescent="0.25">
      <c r="A318">
        <v>317</v>
      </c>
      <c r="B318" t="s">
        <v>2282</v>
      </c>
      <c r="C318">
        <v>28</v>
      </c>
      <c r="J318">
        <v>317</v>
      </c>
      <c r="K318" t="s">
        <v>2282</v>
      </c>
      <c r="L318">
        <v>28</v>
      </c>
    </row>
    <row r="319" spans="1:12" x14ac:dyDescent="0.25">
      <c r="A319">
        <v>318</v>
      </c>
      <c r="B319" t="s">
        <v>2283</v>
      </c>
      <c r="C319">
        <v>28</v>
      </c>
      <c r="J319">
        <v>318</v>
      </c>
      <c r="K319" t="s">
        <v>2283</v>
      </c>
      <c r="L319">
        <v>28</v>
      </c>
    </row>
    <row r="320" spans="1:12" x14ac:dyDescent="0.25">
      <c r="A320">
        <v>319</v>
      </c>
      <c r="B320" t="s">
        <v>2284</v>
      </c>
      <c r="C320">
        <v>22</v>
      </c>
      <c r="J320">
        <v>319</v>
      </c>
      <c r="K320" t="s">
        <v>2284</v>
      </c>
      <c r="L320">
        <v>22</v>
      </c>
    </row>
    <row r="321" spans="1:12" x14ac:dyDescent="0.25">
      <c r="A321">
        <v>320</v>
      </c>
      <c r="B321" t="s">
        <v>2285</v>
      </c>
      <c r="C321">
        <v>24</v>
      </c>
      <c r="J321">
        <v>320</v>
      </c>
      <c r="K321" t="s">
        <v>2285</v>
      </c>
      <c r="L321">
        <v>24</v>
      </c>
    </row>
    <row r="322" spans="1:12" x14ac:dyDescent="0.25">
      <c r="A322">
        <v>321</v>
      </c>
      <c r="B322" t="s">
        <v>2286</v>
      </c>
      <c r="C322">
        <v>25</v>
      </c>
      <c r="J322">
        <v>321</v>
      </c>
      <c r="K322" t="s">
        <v>2286</v>
      </c>
      <c r="L322">
        <v>25</v>
      </c>
    </row>
    <row r="323" spans="1:12" x14ac:dyDescent="0.25">
      <c r="A323">
        <v>322</v>
      </c>
      <c r="B323" t="s">
        <v>2287</v>
      </c>
      <c r="C323">
        <v>33</v>
      </c>
      <c r="J323">
        <v>322</v>
      </c>
      <c r="K323" t="s">
        <v>2287</v>
      </c>
      <c r="L323">
        <v>33</v>
      </c>
    </row>
    <row r="324" spans="1:12" x14ac:dyDescent="0.25">
      <c r="A324">
        <v>323</v>
      </c>
      <c r="B324" t="s">
        <v>2288</v>
      </c>
      <c r="C324">
        <v>38</v>
      </c>
      <c r="J324">
        <v>323</v>
      </c>
      <c r="K324" t="s">
        <v>2288</v>
      </c>
      <c r="L324">
        <v>38</v>
      </c>
    </row>
    <row r="325" spans="1:12" x14ac:dyDescent="0.25">
      <c r="A325">
        <v>324</v>
      </c>
      <c r="B325" t="s">
        <v>2289</v>
      </c>
      <c r="C325">
        <v>33</v>
      </c>
      <c r="J325">
        <v>324</v>
      </c>
      <c r="K325" t="s">
        <v>2289</v>
      </c>
      <c r="L325">
        <v>33</v>
      </c>
    </row>
    <row r="326" spans="1:12" x14ac:dyDescent="0.25">
      <c r="A326">
        <v>325</v>
      </c>
      <c r="B326" t="s">
        <v>2290</v>
      </c>
      <c r="C326">
        <v>32</v>
      </c>
      <c r="J326">
        <v>325</v>
      </c>
      <c r="K326" t="s">
        <v>2290</v>
      </c>
      <c r="L326">
        <v>32</v>
      </c>
    </row>
    <row r="327" spans="1:12" x14ac:dyDescent="0.25">
      <c r="A327">
        <v>326</v>
      </c>
      <c r="B327" t="s">
        <v>2291</v>
      </c>
      <c r="C327">
        <v>13</v>
      </c>
      <c r="J327">
        <v>326</v>
      </c>
      <c r="K327" t="s">
        <v>2291</v>
      </c>
      <c r="L327">
        <v>13</v>
      </c>
    </row>
    <row r="328" spans="1:12" x14ac:dyDescent="0.25">
      <c r="A328">
        <v>327</v>
      </c>
      <c r="B328" t="s">
        <v>2292</v>
      </c>
      <c r="C328">
        <v>13</v>
      </c>
      <c r="J328">
        <v>327</v>
      </c>
      <c r="K328" t="s">
        <v>2292</v>
      </c>
      <c r="L328">
        <v>13</v>
      </c>
    </row>
    <row r="329" spans="1:12" x14ac:dyDescent="0.25">
      <c r="A329">
        <v>328</v>
      </c>
      <c r="B329" t="s">
        <v>2293</v>
      </c>
      <c r="C329">
        <v>24</v>
      </c>
      <c r="J329">
        <v>328</v>
      </c>
      <c r="K329" t="s">
        <v>2293</v>
      </c>
      <c r="L329">
        <v>24</v>
      </c>
    </row>
    <row r="330" spans="1:12" x14ac:dyDescent="0.25">
      <c r="A330">
        <v>329</v>
      </c>
      <c r="B330" t="s">
        <v>2294</v>
      </c>
      <c r="C330">
        <v>19</v>
      </c>
      <c r="J330">
        <v>329</v>
      </c>
      <c r="K330" t="s">
        <v>2294</v>
      </c>
      <c r="L330">
        <v>19</v>
      </c>
    </row>
    <row r="331" spans="1:12" x14ac:dyDescent="0.25">
      <c r="A331">
        <v>330</v>
      </c>
      <c r="B331" t="s">
        <v>2295</v>
      </c>
      <c r="C331">
        <v>16</v>
      </c>
      <c r="J331">
        <v>330</v>
      </c>
      <c r="K331" t="s">
        <v>2295</v>
      </c>
      <c r="L331">
        <v>16</v>
      </c>
    </row>
    <row r="332" spans="1:12" x14ac:dyDescent="0.25">
      <c r="A332">
        <v>331</v>
      </c>
      <c r="B332" t="s">
        <v>2296</v>
      </c>
      <c r="C332">
        <v>17</v>
      </c>
      <c r="J332">
        <v>331</v>
      </c>
      <c r="K332" t="s">
        <v>2296</v>
      </c>
      <c r="L332">
        <v>17</v>
      </c>
    </row>
    <row r="333" spans="1:12" x14ac:dyDescent="0.25">
      <c r="A333">
        <v>332</v>
      </c>
      <c r="B333" t="s">
        <v>2297</v>
      </c>
      <c r="C333">
        <v>16</v>
      </c>
      <c r="J333">
        <v>332</v>
      </c>
      <c r="K333" t="s">
        <v>2297</v>
      </c>
      <c r="L333">
        <v>16</v>
      </c>
    </row>
    <row r="334" spans="1:12" x14ac:dyDescent="0.25">
      <c r="A334">
        <v>333</v>
      </c>
      <c r="B334" t="s">
        <v>2298</v>
      </c>
      <c r="C334">
        <v>14</v>
      </c>
      <c r="J334">
        <v>333</v>
      </c>
      <c r="K334" t="s">
        <v>2298</v>
      </c>
      <c r="L334">
        <v>14</v>
      </c>
    </row>
    <row r="335" spans="1:12" x14ac:dyDescent="0.25">
      <c r="A335">
        <v>334</v>
      </c>
      <c r="B335" t="s">
        <v>2299</v>
      </c>
      <c r="C335">
        <v>11</v>
      </c>
      <c r="J335">
        <v>334</v>
      </c>
      <c r="K335" t="s">
        <v>2299</v>
      </c>
      <c r="L335">
        <v>11</v>
      </c>
    </row>
    <row r="336" spans="1:12" x14ac:dyDescent="0.25">
      <c r="A336">
        <v>335</v>
      </c>
      <c r="B336" t="s">
        <v>2300</v>
      </c>
      <c r="C336">
        <v>14</v>
      </c>
      <c r="J336">
        <v>335</v>
      </c>
      <c r="K336" t="s">
        <v>2300</v>
      </c>
      <c r="L336">
        <v>14</v>
      </c>
    </row>
    <row r="337" spans="1:12" x14ac:dyDescent="0.25">
      <c r="A337">
        <v>336</v>
      </c>
      <c r="B337" t="s">
        <v>2301</v>
      </c>
      <c r="C337">
        <v>11</v>
      </c>
      <c r="J337">
        <v>336</v>
      </c>
      <c r="K337" t="s">
        <v>2301</v>
      </c>
      <c r="L337">
        <v>11</v>
      </c>
    </row>
    <row r="338" spans="1:12" x14ac:dyDescent="0.25">
      <c r="A338">
        <v>337</v>
      </c>
      <c r="B338" t="s">
        <v>2302</v>
      </c>
      <c r="C338">
        <v>10</v>
      </c>
      <c r="J338">
        <v>337</v>
      </c>
      <c r="K338" t="s">
        <v>2302</v>
      </c>
      <c r="L338">
        <v>10</v>
      </c>
    </row>
    <row r="339" spans="1:12" x14ac:dyDescent="0.25">
      <c r="A339">
        <v>338</v>
      </c>
      <c r="B339" t="s">
        <v>2303</v>
      </c>
      <c r="C339">
        <v>11</v>
      </c>
      <c r="J339">
        <v>338</v>
      </c>
      <c r="K339" t="s">
        <v>2303</v>
      </c>
      <c r="L339">
        <v>11</v>
      </c>
    </row>
    <row r="340" spans="1:12" x14ac:dyDescent="0.25">
      <c r="A340">
        <v>339</v>
      </c>
      <c r="B340" t="s">
        <v>2304</v>
      </c>
      <c r="C340">
        <v>12</v>
      </c>
      <c r="J340">
        <v>339</v>
      </c>
      <c r="K340" t="s">
        <v>2304</v>
      </c>
      <c r="L340">
        <v>12</v>
      </c>
    </row>
    <row r="341" spans="1:12" x14ac:dyDescent="0.25">
      <c r="A341">
        <v>340</v>
      </c>
      <c r="B341" t="s">
        <v>2305</v>
      </c>
      <c r="C341">
        <v>13</v>
      </c>
      <c r="J341">
        <v>340</v>
      </c>
      <c r="K341" t="s">
        <v>2305</v>
      </c>
      <c r="L341">
        <v>13</v>
      </c>
    </row>
    <row r="342" spans="1:12" x14ac:dyDescent="0.25">
      <c r="A342">
        <v>341</v>
      </c>
      <c r="B342" t="s">
        <v>2306</v>
      </c>
      <c r="C342">
        <v>33</v>
      </c>
      <c r="J342">
        <v>341</v>
      </c>
      <c r="K342" t="s">
        <v>2306</v>
      </c>
      <c r="L342">
        <v>33</v>
      </c>
    </row>
    <row r="343" spans="1:12" x14ac:dyDescent="0.25">
      <c r="A343">
        <v>342</v>
      </c>
      <c r="B343" t="s">
        <v>2307</v>
      </c>
      <c r="C343">
        <v>36</v>
      </c>
      <c r="J343">
        <v>342</v>
      </c>
      <c r="K343" t="s">
        <v>2307</v>
      </c>
      <c r="L343">
        <v>36</v>
      </c>
    </row>
    <row r="344" spans="1:12" x14ac:dyDescent="0.25">
      <c r="A344">
        <v>343</v>
      </c>
      <c r="B344" t="s">
        <v>2308</v>
      </c>
      <c r="C344">
        <v>12</v>
      </c>
      <c r="J344">
        <v>343</v>
      </c>
      <c r="K344" t="s">
        <v>2308</v>
      </c>
      <c r="L344">
        <v>12</v>
      </c>
    </row>
    <row r="345" spans="1:12" x14ac:dyDescent="0.25">
      <c r="A345">
        <v>344</v>
      </c>
      <c r="B345" t="s">
        <v>2309</v>
      </c>
      <c r="C345">
        <v>9</v>
      </c>
      <c r="J345">
        <v>344</v>
      </c>
      <c r="K345" t="s">
        <v>2309</v>
      </c>
      <c r="L345">
        <v>9</v>
      </c>
    </row>
    <row r="346" spans="1:12" x14ac:dyDescent="0.25">
      <c r="A346">
        <v>345</v>
      </c>
      <c r="B346" t="s">
        <v>2310</v>
      </c>
      <c r="C346">
        <v>12</v>
      </c>
      <c r="J346">
        <v>345</v>
      </c>
      <c r="K346" t="s">
        <v>2310</v>
      </c>
      <c r="L346">
        <v>12</v>
      </c>
    </row>
    <row r="347" spans="1:12" x14ac:dyDescent="0.25">
      <c r="A347">
        <v>346</v>
      </c>
      <c r="B347" t="s">
        <v>2311</v>
      </c>
      <c r="C347">
        <v>15</v>
      </c>
      <c r="J347">
        <v>346</v>
      </c>
      <c r="K347" t="s">
        <v>2311</v>
      </c>
      <c r="L347">
        <v>15</v>
      </c>
    </row>
    <row r="348" spans="1:12" x14ac:dyDescent="0.25">
      <c r="A348">
        <v>347</v>
      </c>
      <c r="B348" t="s">
        <v>2312</v>
      </c>
      <c r="C348">
        <v>20</v>
      </c>
      <c r="J348">
        <v>347</v>
      </c>
      <c r="K348" t="s">
        <v>2312</v>
      </c>
      <c r="L348">
        <v>20</v>
      </c>
    </row>
    <row r="349" spans="1:12" x14ac:dyDescent="0.25">
      <c r="A349">
        <v>348</v>
      </c>
      <c r="B349" t="s">
        <v>2313</v>
      </c>
      <c r="C349">
        <v>17</v>
      </c>
      <c r="J349">
        <v>348</v>
      </c>
      <c r="K349" t="s">
        <v>2313</v>
      </c>
      <c r="L349">
        <v>17</v>
      </c>
    </row>
    <row r="350" spans="1:12" x14ac:dyDescent="0.25">
      <c r="A350">
        <v>349</v>
      </c>
      <c r="B350" t="s">
        <v>2314</v>
      </c>
      <c r="C350">
        <v>17</v>
      </c>
      <c r="J350">
        <v>349</v>
      </c>
      <c r="K350" t="s">
        <v>2314</v>
      </c>
      <c r="L350">
        <v>17</v>
      </c>
    </row>
    <row r="351" spans="1:12" x14ac:dyDescent="0.25">
      <c r="A351">
        <v>350</v>
      </c>
      <c r="B351" t="s">
        <v>2315</v>
      </c>
      <c r="C351">
        <v>14</v>
      </c>
      <c r="J351">
        <v>350</v>
      </c>
      <c r="K351" t="s">
        <v>2315</v>
      </c>
      <c r="L351">
        <v>14</v>
      </c>
    </row>
    <row r="352" spans="1:12" x14ac:dyDescent="0.25">
      <c r="A352">
        <v>351</v>
      </c>
      <c r="B352" t="s">
        <v>2316</v>
      </c>
      <c r="C352">
        <v>13</v>
      </c>
      <c r="J352">
        <v>351</v>
      </c>
      <c r="K352" t="s">
        <v>2316</v>
      </c>
      <c r="L352">
        <v>13</v>
      </c>
    </row>
    <row r="353" spans="1:12" x14ac:dyDescent="0.25">
      <c r="A353">
        <v>352</v>
      </c>
      <c r="B353" t="s">
        <v>2317</v>
      </c>
      <c r="C353">
        <v>14</v>
      </c>
      <c r="J353">
        <v>352</v>
      </c>
      <c r="K353" t="s">
        <v>2317</v>
      </c>
      <c r="L353">
        <v>14</v>
      </c>
    </row>
    <row r="354" spans="1:12" x14ac:dyDescent="0.25">
      <c r="A354">
        <v>353</v>
      </c>
      <c r="B354" t="s">
        <v>2318</v>
      </c>
      <c r="C354">
        <v>25</v>
      </c>
      <c r="J354">
        <v>353</v>
      </c>
      <c r="K354" t="s">
        <v>2318</v>
      </c>
      <c r="L354">
        <v>25</v>
      </c>
    </row>
    <row r="355" spans="1:12" x14ac:dyDescent="0.25">
      <c r="A355">
        <v>354</v>
      </c>
      <c r="B355" t="s">
        <v>2319</v>
      </c>
      <c r="C355">
        <v>23</v>
      </c>
      <c r="J355">
        <v>354</v>
      </c>
      <c r="K355" t="s">
        <v>2319</v>
      </c>
      <c r="L355">
        <v>23</v>
      </c>
    </row>
    <row r="356" spans="1:12" x14ac:dyDescent="0.25">
      <c r="A356">
        <v>355</v>
      </c>
      <c r="B356" t="s">
        <v>2320</v>
      </c>
      <c r="C356">
        <v>24</v>
      </c>
      <c r="J356">
        <v>355</v>
      </c>
      <c r="K356" t="s">
        <v>2320</v>
      </c>
      <c r="L356">
        <v>24</v>
      </c>
    </row>
    <row r="357" spans="1:12" x14ac:dyDescent="0.25">
      <c r="A357">
        <v>356</v>
      </c>
      <c r="B357" t="s">
        <v>2321</v>
      </c>
      <c r="C357">
        <v>24</v>
      </c>
      <c r="J357">
        <v>356</v>
      </c>
      <c r="K357" t="s">
        <v>2321</v>
      </c>
      <c r="L357">
        <v>24</v>
      </c>
    </row>
    <row r="358" spans="1:12" x14ac:dyDescent="0.25">
      <c r="A358">
        <v>357</v>
      </c>
      <c r="B358" t="s">
        <v>2322</v>
      </c>
      <c r="C358">
        <v>24</v>
      </c>
      <c r="J358">
        <v>357</v>
      </c>
      <c r="K358" t="s">
        <v>2322</v>
      </c>
      <c r="L358">
        <v>24</v>
      </c>
    </row>
    <row r="359" spans="1:12" x14ac:dyDescent="0.25">
      <c r="A359">
        <v>358</v>
      </c>
      <c r="B359" t="s">
        <v>2323</v>
      </c>
      <c r="C359">
        <v>25</v>
      </c>
      <c r="J359">
        <v>358</v>
      </c>
      <c r="K359" t="s">
        <v>2323</v>
      </c>
      <c r="L359">
        <v>25</v>
      </c>
    </row>
    <row r="360" spans="1:12" x14ac:dyDescent="0.25">
      <c r="A360">
        <v>359</v>
      </c>
      <c r="B360" t="s">
        <v>2324</v>
      </c>
      <c r="C360">
        <v>20</v>
      </c>
      <c r="J360">
        <v>359</v>
      </c>
      <c r="K360" t="s">
        <v>2324</v>
      </c>
      <c r="L360">
        <v>20</v>
      </c>
    </row>
    <row r="361" spans="1:12" x14ac:dyDescent="0.25">
      <c r="A361">
        <v>360</v>
      </c>
      <c r="B361" t="s">
        <v>2325</v>
      </c>
      <c r="C361">
        <v>15</v>
      </c>
      <c r="J361">
        <v>360</v>
      </c>
      <c r="K361" t="s">
        <v>2325</v>
      </c>
      <c r="L361">
        <v>15</v>
      </c>
    </row>
    <row r="362" spans="1:12" x14ac:dyDescent="0.25">
      <c r="A362">
        <v>361</v>
      </c>
      <c r="B362" t="s">
        <v>2326</v>
      </c>
      <c r="C362">
        <v>14</v>
      </c>
      <c r="J362">
        <v>361</v>
      </c>
      <c r="K362" t="s">
        <v>2326</v>
      </c>
      <c r="L362">
        <v>14</v>
      </c>
    </row>
    <row r="363" spans="1:12" x14ac:dyDescent="0.25">
      <c r="A363">
        <v>362</v>
      </c>
      <c r="B363" t="s">
        <v>2327</v>
      </c>
      <c r="C363">
        <v>12</v>
      </c>
      <c r="J363">
        <v>362</v>
      </c>
      <c r="K363" t="s">
        <v>2327</v>
      </c>
      <c r="L363">
        <v>12</v>
      </c>
    </row>
    <row r="364" spans="1:12" x14ac:dyDescent="0.25">
      <c r="A364">
        <v>363</v>
      </c>
      <c r="B364" t="s">
        <v>2328</v>
      </c>
      <c r="C364">
        <v>23</v>
      </c>
      <c r="J364">
        <v>363</v>
      </c>
      <c r="K364" t="s">
        <v>2328</v>
      </c>
      <c r="L364">
        <v>23</v>
      </c>
    </row>
    <row r="365" spans="1:12" x14ac:dyDescent="0.25">
      <c r="A365">
        <v>364</v>
      </c>
      <c r="B365" t="s">
        <v>2329</v>
      </c>
      <c r="C365">
        <v>24</v>
      </c>
      <c r="J365">
        <v>364</v>
      </c>
      <c r="K365" t="s">
        <v>2329</v>
      </c>
      <c r="L365">
        <v>24</v>
      </c>
    </row>
    <row r="366" spans="1:12" x14ac:dyDescent="0.25">
      <c r="A366">
        <v>365</v>
      </c>
      <c r="B366" t="s">
        <v>2330</v>
      </c>
      <c r="C366">
        <v>18</v>
      </c>
      <c r="J366">
        <v>365</v>
      </c>
      <c r="K366" t="s">
        <v>2330</v>
      </c>
      <c r="L366">
        <v>18</v>
      </c>
    </row>
    <row r="367" spans="1:12" x14ac:dyDescent="0.25">
      <c r="A367">
        <v>366</v>
      </c>
      <c r="B367" t="s">
        <v>2331</v>
      </c>
      <c r="C367">
        <v>31</v>
      </c>
      <c r="J367">
        <v>366</v>
      </c>
      <c r="K367" t="s">
        <v>2331</v>
      </c>
      <c r="L367">
        <v>31</v>
      </c>
    </row>
    <row r="368" spans="1:12" x14ac:dyDescent="0.25">
      <c r="A368">
        <v>367</v>
      </c>
      <c r="B368" t="s">
        <v>2332</v>
      </c>
      <c r="C368">
        <v>17</v>
      </c>
      <c r="J368">
        <v>367</v>
      </c>
      <c r="K368" t="s">
        <v>2332</v>
      </c>
      <c r="L368">
        <v>17</v>
      </c>
    </row>
    <row r="369" spans="1:12" x14ac:dyDescent="0.25">
      <c r="A369">
        <v>368</v>
      </c>
      <c r="B369" t="s">
        <v>2333</v>
      </c>
      <c r="C369">
        <v>21</v>
      </c>
      <c r="J369">
        <v>368</v>
      </c>
      <c r="K369" t="s">
        <v>2333</v>
      </c>
      <c r="L369">
        <v>21</v>
      </c>
    </row>
    <row r="370" spans="1:12" x14ac:dyDescent="0.25">
      <c r="A370">
        <v>369</v>
      </c>
      <c r="B370" t="s">
        <v>2334</v>
      </c>
      <c r="C370">
        <v>20</v>
      </c>
      <c r="J370">
        <v>369</v>
      </c>
      <c r="K370" t="s">
        <v>2334</v>
      </c>
      <c r="L370">
        <v>20</v>
      </c>
    </row>
    <row r="371" spans="1:12" x14ac:dyDescent="0.25">
      <c r="A371">
        <v>370</v>
      </c>
      <c r="B371" t="s">
        <v>2335</v>
      </c>
      <c r="C371">
        <v>17</v>
      </c>
      <c r="J371">
        <v>370</v>
      </c>
      <c r="K371" t="s">
        <v>2335</v>
      </c>
      <c r="L371">
        <v>17</v>
      </c>
    </row>
    <row r="372" spans="1:12" x14ac:dyDescent="0.25">
      <c r="A372">
        <v>371</v>
      </c>
      <c r="B372" t="s">
        <v>2336</v>
      </c>
      <c r="C372">
        <v>24</v>
      </c>
      <c r="J372">
        <v>371</v>
      </c>
      <c r="K372" t="s">
        <v>2336</v>
      </c>
      <c r="L372">
        <v>24</v>
      </c>
    </row>
    <row r="373" spans="1:12" x14ac:dyDescent="0.25">
      <c r="A373">
        <v>372</v>
      </c>
      <c r="B373" t="s">
        <v>2337</v>
      </c>
      <c r="C373">
        <v>20</v>
      </c>
      <c r="J373">
        <v>372</v>
      </c>
      <c r="K373" t="s">
        <v>2337</v>
      </c>
      <c r="L373">
        <v>20</v>
      </c>
    </row>
    <row r="374" spans="1:12" x14ac:dyDescent="0.25">
      <c r="A374">
        <v>373</v>
      </c>
      <c r="B374" t="s">
        <v>2338</v>
      </c>
      <c r="C374">
        <v>17</v>
      </c>
      <c r="J374">
        <v>373</v>
      </c>
      <c r="K374" t="s">
        <v>2338</v>
      </c>
      <c r="L374">
        <v>17</v>
      </c>
    </row>
    <row r="375" spans="1:12" x14ac:dyDescent="0.25">
      <c r="A375">
        <v>374</v>
      </c>
      <c r="B375" t="s">
        <v>2339</v>
      </c>
      <c r="C375">
        <v>17</v>
      </c>
      <c r="J375">
        <v>374</v>
      </c>
      <c r="K375" t="s">
        <v>2339</v>
      </c>
      <c r="L375">
        <v>17</v>
      </c>
    </row>
    <row r="376" spans="1:12" x14ac:dyDescent="0.25">
      <c r="A376">
        <v>375</v>
      </c>
      <c r="B376" t="s">
        <v>2340</v>
      </c>
      <c r="C376">
        <v>12</v>
      </c>
      <c r="J376">
        <v>375</v>
      </c>
      <c r="K376" t="s">
        <v>2340</v>
      </c>
      <c r="L376">
        <v>12</v>
      </c>
    </row>
    <row r="377" spans="1:12" x14ac:dyDescent="0.25">
      <c r="A377">
        <v>376</v>
      </c>
      <c r="B377" t="s">
        <v>2341</v>
      </c>
      <c r="C377">
        <v>12</v>
      </c>
      <c r="J377">
        <v>376</v>
      </c>
      <c r="K377" t="s">
        <v>2341</v>
      </c>
      <c r="L377">
        <v>12</v>
      </c>
    </row>
    <row r="378" spans="1:12" x14ac:dyDescent="0.25">
      <c r="A378">
        <v>377</v>
      </c>
      <c r="B378" t="s">
        <v>2342</v>
      </c>
      <c r="C378">
        <v>10</v>
      </c>
      <c r="J378">
        <v>377</v>
      </c>
      <c r="K378" t="s">
        <v>2342</v>
      </c>
      <c r="L378">
        <v>10</v>
      </c>
    </row>
    <row r="379" spans="1:12" x14ac:dyDescent="0.25">
      <c r="A379">
        <v>378</v>
      </c>
      <c r="B379" t="s">
        <v>2343</v>
      </c>
      <c r="C379">
        <v>9</v>
      </c>
      <c r="J379">
        <v>378</v>
      </c>
      <c r="K379" t="s">
        <v>2343</v>
      </c>
      <c r="L379">
        <v>9</v>
      </c>
    </row>
    <row r="380" spans="1:12" x14ac:dyDescent="0.25">
      <c r="A380">
        <v>379</v>
      </c>
      <c r="B380" t="s">
        <v>2344</v>
      </c>
      <c r="C380">
        <v>8</v>
      </c>
      <c r="J380">
        <v>379</v>
      </c>
      <c r="K380" t="s">
        <v>2344</v>
      </c>
      <c r="L380">
        <v>8</v>
      </c>
    </row>
    <row r="381" spans="1:12" x14ac:dyDescent="0.25">
      <c r="A381">
        <v>380</v>
      </c>
      <c r="B381" t="s">
        <v>2345</v>
      </c>
      <c r="C381">
        <v>13</v>
      </c>
      <c r="J381">
        <v>380</v>
      </c>
      <c r="K381" t="s">
        <v>2345</v>
      </c>
      <c r="L381">
        <v>13</v>
      </c>
    </row>
    <row r="382" spans="1:12" x14ac:dyDescent="0.25">
      <c r="A382">
        <v>381</v>
      </c>
      <c r="B382" t="s">
        <v>2346</v>
      </c>
      <c r="C382">
        <v>37</v>
      </c>
      <c r="J382">
        <v>381</v>
      </c>
      <c r="K382" t="s">
        <v>2346</v>
      </c>
      <c r="L382">
        <v>37</v>
      </c>
    </row>
    <row r="383" spans="1:12" x14ac:dyDescent="0.25">
      <c r="A383">
        <v>382</v>
      </c>
      <c r="B383" t="s">
        <v>2347</v>
      </c>
      <c r="C383">
        <v>10</v>
      </c>
      <c r="J383">
        <v>382</v>
      </c>
      <c r="K383" t="s">
        <v>2347</v>
      </c>
      <c r="L383">
        <v>10</v>
      </c>
    </row>
    <row r="384" spans="1:12" x14ac:dyDescent="0.25">
      <c r="A384">
        <v>383</v>
      </c>
      <c r="B384" t="s">
        <v>2348</v>
      </c>
      <c r="C384">
        <v>8</v>
      </c>
      <c r="J384">
        <v>383</v>
      </c>
      <c r="K384" t="s">
        <v>2348</v>
      </c>
      <c r="L384">
        <v>8</v>
      </c>
    </row>
    <row r="385" spans="1:12" x14ac:dyDescent="0.25">
      <c r="A385">
        <v>384</v>
      </c>
      <c r="B385" t="s">
        <v>2349</v>
      </c>
      <c r="C385">
        <v>12</v>
      </c>
      <c r="J385">
        <v>384</v>
      </c>
      <c r="K385" t="s">
        <v>2349</v>
      </c>
      <c r="L385">
        <v>12</v>
      </c>
    </row>
    <row r="386" spans="1:12" x14ac:dyDescent="0.25">
      <c r="A386">
        <v>385</v>
      </c>
      <c r="B386" t="s">
        <v>2350</v>
      </c>
      <c r="C386">
        <v>13</v>
      </c>
      <c r="J386">
        <v>385</v>
      </c>
      <c r="K386" t="s">
        <v>2350</v>
      </c>
      <c r="L386">
        <v>13</v>
      </c>
    </row>
    <row r="387" spans="1:12" x14ac:dyDescent="0.25">
      <c r="A387">
        <v>386</v>
      </c>
      <c r="B387" t="s">
        <v>2351</v>
      </c>
      <c r="C387">
        <v>19</v>
      </c>
      <c r="J387">
        <v>386</v>
      </c>
      <c r="K387" t="s">
        <v>2351</v>
      </c>
      <c r="L387">
        <v>19</v>
      </c>
    </row>
    <row r="388" spans="1:12" x14ac:dyDescent="0.25">
      <c r="A388">
        <v>387</v>
      </c>
      <c r="B388" t="s">
        <v>2352</v>
      </c>
      <c r="C388">
        <v>15</v>
      </c>
      <c r="J388">
        <v>387</v>
      </c>
      <c r="K388" t="s">
        <v>2352</v>
      </c>
      <c r="L388">
        <v>15</v>
      </c>
    </row>
    <row r="389" spans="1:12" x14ac:dyDescent="0.25">
      <c r="A389">
        <v>388</v>
      </c>
      <c r="B389" t="s">
        <v>2353</v>
      </c>
      <c r="C389">
        <v>18</v>
      </c>
      <c r="J389">
        <v>388</v>
      </c>
      <c r="K389" t="s">
        <v>2353</v>
      </c>
      <c r="L389">
        <v>18</v>
      </c>
    </row>
    <row r="390" spans="1:12" x14ac:dyDescent="0.25">
      <c r="A390">
        <v>389</v>
      </c>
      <c r="B390" t="s">
        <v>2354</v>
      </c>
      <c r="C390">
        <v>19</v>
      </c>
      <c r="J390">
        <v>389</v>
      </c>
      <c r="K390" t="s">
        <v>2354</v>
      </c>
      <c r="L390">
        <v>19</v>
      </c>
    </row>
    <row r="391" spans="1:12" x14ac:dyDescent="0.25">
      <c r="A391">
        <v>390</v>
      </c>
      <c r="B391" t="s">
        <v>2355</v>
      </c>
      <c r="C391">
        <v>14</v>
      </c>
      <c r="J391">
        <v>390</v>
      </c>
      <c r="K391" t="s">
        <v>2355</v>
      </c>
      <c r="L391">
        <v>14</v>
      </c>
    </row>
    <row r="392" spans="1:12" x14ac:dyDescent="0.25">
      <c r="A392">
        <v>391</v>
      </c>
      <c r="B392" t="s">
        <v>2356</v>
      </c>
      <c r="C392">
        <v>13</v>
      </c>
      <c r="J392">
        <v>391</v>
      </c>
      <c r="K392" t="s">
        <v>2356</v>
      </c>
      <c r="L392">
        <v>13</v>
      </c>
    </row>
    <row r="393" spans="1:12" x14ac:dyDescent="0.25">
      <c r="A393">
        <v>392</v>
      </c>
      <c r="B393" t="s">
        <v>2357</v>
      </c>
      <c r="C393">
        <v>21</v>
      </c>
      <c r="J393">
        <v>392</v>
      </c>
      <c r="K393" t="s">
        <v>2357</v>
      </c>
      <c r="L393">
        <v>21</v>
      </c>
    </row>
    <row r="394" spans="1:12" x14ac:dyDescent="0.25">
      <c r="A394">
        <v>393</v>
      </c>
      <c r="B394" t="s">
        <v>2358</v>
      </c>
      <c r="C394">
        <v>30</v>
      </c>
      <c r="J394">
        <v>393</v>
      </c>
      <c r="K394" t="s">
        <v>2358</v>
      </c>
      <c r="L394">
        <v>30</v>
      </c>
    </row>
    <row r="395" spans="1:12" x14ac:dyDescent="0.25">
      <c r="A395">
        <v>394</v>
      </c>
      <c r="B395" t="s">
        <v>2359</v>
      </c>
      <c r="C395">
        <v>40</v>
      </c>
      <c r="J395">
        <v>394</v>
      </c>
      <c r="K395" t="s">
        <v>2359</v>
      </c>
      <c r="L395">
        <v>40</v>
      </c>
    </row>
    <row r="396" spans="1:12" x14ac:dyDescent="0.25">
      <c r="A396">
        <v>395</v>
      </c>
      <c r="B396" t="s">
        <v>2360</v>
      </c>
      <c r="C396">
        <v>13</v>
      </c>
      <c r="J396">
        <v>395</v>
      </c>
      <c r="K396" t="s">
        <v>2360</v>
      </c>
      <c r="L396">
        <v>13</v>
      </c>
    </row>
    <row r="397" spans="1:12" x14ac:dyDescent="0.25">
      <c r="A397">
        <v>396</v>
      </c>
      <c r="B397" t="s">
        <v>2361</v>
      </c>
      <c r="C397">
        <v>11</v>
      </c>
      <c r="J397">
        <v>396</v>
      </c>
      <c r="K397" t="s">
        <v>2361</v>
      </c>
      <c r="L397">
        <v>11</v>
      </c>
    </row>
    <row r="398" spans="1:12" x14ac:dyDescent="0.25">
      <c r="A398">
        <v>397</v>
      </c>
      <c r="B398" t="s">
        <v>2362</v>
      </c>
      <c r="C398">
        <v>11</v>
      </c>
      <c r="J398">
        <v>397</v>
      </c>
      <c r="K398" t="s">
        <v>2362</v>
      </c>
      <c r="L398">
        <v>11</v>
      </c>
    </row>
    <row r="399" spans="1:12" x14ac:dyDescent="0.25">
      <c r="A399">
        <v>398</v>
      </c>
      <c r="B399" t="s">
        <v>2363</v>
      </c>
      <c r="C399">
        <v>7</v>
      </c>
      <c r="J399">
        <v>398</v>
      </c>
      <c r="K399" t="s">
        <v>2363</v>
      </c>
      <c r="L399">
        <v>7</v>
      </c>
    </row>
    <row r="400" spans="1:12" x14ac:dyDescent="0.25">
      <c r="A400">
        <v>399</v>
      </c>
      <c r="B400" t="s">
        <v>2364</v>
      </c>
      <c r="C400">
        <v>16</v>
      </c>
      <c r="J400">
        <v>399</v>
      </c>
      <c r="K400" t="s">
        <v>2364</v>
      </c>
      <c r="L400">
        <v>16</v>
      </c>
    </row>
    <row r="401" spans="1:12" x14ac:dyDescent="0.25">
      <c r="A401">
        <v>400</v>
      </c>
      <c r="B401" t="s">
        <v>2365</v>
      </c>
      <c r="C401">
        <v>14</v>
      </c>
      <c r="J401">
        <v>400</v>
      </c>
      <c r="K401" t="s">
        <v>2365</v>
      </c>
      <c r="L401">
        <v>14</v>
      </c>
    </row>
    <row r="402" spans="1:12" x14ac:dyDescent="0.25">
      <c r="A402">
        <v>401</v>
      </c>
      <c r="B402" t="s">
        <v>2366</v>
      </c>
      <c r="C402">
        <v>12</v>
      </c>
      <c r="J402">
        <v>401</v>
      </c>
      <c r="K402" t="s">
        <v>2366</v>
      </c>
      <c r="L402">
        <v>12</v>
      </c>
    </row>
    <row r="403" spans="1:12" x14ac:dyDescent="0.25">
      <c r="A403">
        <v>402</v>
      </c>
      <c r="B403" t="s">
        <v>2367</v>
      </c>
      <c r="C403">
        <v>12</v>
      </c>
      <c r="J403">
        <v>402</v>
      </c>
      <c r="K403" t="s">
        <v>2367</v>
      </c>
      <c r="L403">
        <v>12</v>
      </c>
    </row>
    <row r="404" spans="1:12" x14ac:dyDescent="0.25">
      <c r="A404">
        <v>403</v>
      </c>
      <c r="B404" t="s">
        <v>2368</v>
      </c>
      <c r="C404">
        <v>11</v>
      </c>
      <c r="J404">
        <v>403</v>
      </c>
      <c r="K404" t="s">
        <v>2368</v>
      </c>
      <c r="L404">
        <v>11</v>
      </c>
    </row>
    <row r="405" spans="1:12" x14ac:dyDescent="0.25">
      <c r="A405">
        <v>404</v>
      </c>
      <c r="B405" t="s">
        <v>2369</v>
      </c>
      <c r="C405">
        <v>18</v>
      </c>
      <c r="J405">
        <v>404</v>
      </c>
      <c r="K405" t="s">
        <v>2369</v>
      </c>
      <c r="L405">
        <v>18</v>
      </c>
    </row>
    <row r="406" spans="1:12" x14ac:dyDescent="0.25">
      <c r="A406">
        <v>405</v>
      </c>
      <c r="B406" t="s">
        <v>2370</v>
      </c>
      <c r="C406">
        <v>16</v>
      </c>
      <c r="J406">
        <v>405</v>
      </c>
      <c r="K406" t="s">
        <v>2370</v>
      </c>
      <c r="L406">
        <v>16</v>
      </c>
    </row>
    <row r="407" spans="1:12" x14ac:dyDescent="0.25">
      <c r="A407">
        <v>406</v>
      </c>
      <c r="B407" t="s">
        <v>2371</v>
      </c>
      <c r="C407">
        <v>15</v>
      </c>
      <c r="J407">
        <v>406</v>
      </c>
      <c r="K407" t="s">
        <v>2371</v>
      </c>
      <c r="L407">
        <v>15</v>
      </c>
    </row>
    <row r="408" spans="1:12" x14ac:dyDescent="0.25">
      <c r="A408">
        <v>407</v>
      </c>
      <c r="B408" t="s">
        <v>2372</v>
      </c>
      <c r="C408">
        <v>16</v>
      </c>
      <c r="J408">
        <v>407</v>
      </c>
      <c r="K408" t="s">
        <v>2372</v>
      </c>
      <c r="L408">
        <v>16</v>
      </c>
    </row>
    <row r="409" spans="1:12" x14ac:dyDescent="0.25">
      <c r="A409">
        <v>408</v>
      </c>
      <c r="B409" t="s">
        <v>2373</v>
      </c>
      <c r="C409">
        <v>23</v>
      </c>
      <c r="J409">
        <v>408</v>
      </c>
      <c r="K409" t="s">
        <v>2373</v>
      </c>
      <c r="L409">
        <v>23</v>
      </c>
    </row>
    <row r="410" spans="1:12" x14ac:dyDescent="0.25">
      <c r="A410">
        <v>409</v>
      </c>
      <c r="B410" t="s">
        <v>2374</v>
      </c>
      <c r="C410">
        <v>23</v>
      </c>
      <c r="J410">
        <v>409</v>
      </c>
      <c r="K410" t="s">
        <v>2374</v>
      </c>
      <c r="L410">
        <v>23</v>
      </c>
    </row>
    <row r="411" spans="1:12" x14ac:dyDescent="0.25">
      <c r="A411">
        <v>410</v>
      </c>
      <c r="B411" t="s">
        <v>2375</v>
      </c>
      <c r="C411">
        <v>21</v>
      </c>
      <c r="J411">
        <v>410</v>
      </c>
      <c r="K411" t="s">
        <v>2375</v>
      </c>
      <c r="L411">
        <v>21</v>
      </c>
    </row>
    <row r="412" spans="1:12" x14ac:dyDescent="0.25">
      <c r="A412">
        <v>411</v>
      </c>
      <c r="B412" t="s">
        <v>2376</v>
      </c>
      <c r="C412">
        <v>25</v>
      </c>
      <c r="J412">
        <v>411</v>
      </c>
      <c r="K412" t="s">
        <v>2376</v>
      </c>
      <c r="L412">
        <v>25</v>
      </c>
    </row>
    <row r="413" spans="1:12" x14ac:dyDescent="0.25">
      <c r="A413">
        <v>412</v>
      </c>
      <c r="B413" t="s">
        <v>2377</v>
      </c>
      <c r="C413">
        <v>18</v>
      </c>
      <c r="J413">
        <v>412</v>
      </c>
      <c r="K413" t="s">
        <v>2377</v>
      </c>
      <c r="L413">
        <v>18</v>
      </c>
    </row>
    <row r="414" spans="1:12" x14ac:dyDescent="0.25">
      <c r="A414">
        <v>413</v>
      </c>
      <c r="B414" t="s">
        <v>2378</v>
      </c>
      <c r="C414">
        <v>16</v>
      </c>
      <c r="J414">
        <v>413</v>
      </c>
      <c r="K414" t="s">
        <v>2378</v>
      </c>
      <c r="L414">
        <v>16</v>
      </c>
    </row>
    <row r="415" spans="1:12" x14ac:dyDescent="0.25">
      <c r="A415">
        <v>414</v>
      </c>
      <c r="B415" t="s">
        <v>2379</v>
      </c>
      <c r="C415">
        <v>15</v>
      </c>
      <c r="J415">
        <v>414</v>
      </c>
      <c r="K415" t="s">
        <v>2379</v>
      </c>
      <c r="L415">
        <v>15</v>
      </c>
    </row>
    <row r="416" spans="1:12" x14ac:dyDescent="0.25">
      <c r="A416">
        <v>415</v>
      </c>
      <c r="B416" t="s">
        <v>2380</v>
      </c>
      <c r="C416">
        <v>13</v>
      </c>
      <c r="J416">
        <v>415</v>
      </c>
      <c r="K416" t="s">
        <v>2380</v>
      </c>
      <c r="L416">
        <v>13</v>
      </c>
    </row>
    <row r="417" spans="1:12" x14ac:dyDescent="0.25">
      <c r="A417">
        <v>416</v>
      </c>
      <c r="B417" t="s">
        <v>2381</v>
      </c>
      <c r="C417">
        <v>13</v>
      </c>
      <c r="J417">
        <v>416</v>
      </c>
      <c r="K417" t="s">
        <v>2381</v>
      </c>
      <c r="L417">
        <v>13</v>
      </c>
    </row>
    <row r="418" spans="1:12" x14ac:dyDescent="0.25">
      <c r="A418">
        <v>417</v>
      </c>
      <c r="B418" t="s">
        <v>2382</v>
      </c>
      <c r="C418">
        <v>13</v>
      </c>
      <c r="J418">
        <v>417</v>
      </c>
      <c r="K418" t="s">
        <v>2382</v>
      </c>
      <c r="L418">
        <v>13</v>
      </c>
    </row>
    <row r="419" spans="1:12" x14ac:dyDescent="0.25">
      <c r="A419">
        <v>418</v>
      </c>
      <c r="B419" t="s">
        <v>2383</v>
      </c>
      <c r="C419">
        <v>17</v>
      </c>
      <c r="J419">
        <v>418</v>
      </c>
      <c r="K419" t="s">
        <v>2383</v>
      </c>
      <c r="L419">
        <v>17</v>
      </c>
    </row>
    <row r="420" spans="1:12" x14ac:dyDescent="0.25">
      <c r="A420">
        <v>419</v>
      </c>
      <c r="B420" t="s">
        <v>2384</v>
      </c>
      <c r="C420">
        <v>13</v>
      </c>
      <c r="J420">
        <v>419</v>
      </c>
      <c r="K420" t="s">
        <v>2384</v>
      </c>
      <c r="L420">
        <v>13</v>
      </c>
    </row>
    <row r="421" spans="1:12" x14ac:dyDescent="0.25">
      <c r="A421">
        <v>420</v>
      </c>
      <c r="B421" t="s">
        <v>2385</v>
      </c>
      <c r="C421">
        <v>14</v>
      </c>
      <c r="J421">
        <v>420</v>
      </c>
      <c r="K421" t="s">
        <v>2385</v>
      </c>
      <c r="L421">
        <v>14</v>
      </c>
    </row>
    <row r="422" spans="1:12" x14ac:dyDescent="0.25">
      <c r="A422">
        <v>421</v>
      </c>
      <c r="B422" t="s">
        <v>2386</v>
      </c>
      <c r="C422">
        <v>15</v>
      </c>
      <c r="J422">
        <v>421</v>
      </c>
      <c r="K422" t="s">
        <v>2386</v>
      </c>
      <c r="L422">
        <v>15</v>
      </c>
    </row>
    <row r="423" spans="1:12" x14ac:dyDescent="0.25">
      <c r="A423">
        <v>422</v>
      </c>
      <c r="B423" t="s">
        <v>2387</v>
      </c>
      <c r="C423">
        <v>16</v>
      </c>
      <c r="J423">
        <v>422</v>
      </c>
      <c r="K423" t="s">
        <v>2387</v>
      </c>
      <c r="L423">
        <v>16</v>
      </c>
    </row>
    <row r="424" spans="1:12" x14ac:dyDescent="0.25">
      <c r="A424">
        <v>423</v>
      </c>
      <c r="B424" t="s">
        <v>2388</v>
      </c>
      <c r="C424">
        <v>21</v>
      </c>
      <c r="J424">
        <v>423</v>
      </c>
      <c r="K424" t="s">
        <v>2388</v>
      </c>
      <c r="L424">
        <v>21</v>
      </c>
    </row>
    <row r="425" spans="1:12" x14ac:dyDescent="0.25">
      <c r="A425">
        <v>424</v>
      </c>
      <c r="B425" t="s">
        <v>2389</v>
      </c>
      <c r="C425">
        <v>22</v>
      </c>
      <c r="J425">
        <v>424</v>
      </c>
      <c r="K425" t="s">
        <v>2389</v>
      </c>
      <c r="L425">
        <v>22</v>
      </c>
    </row>
    <row r="426" spans="1:12" x14ac:dyDescent="0.25">
      <c r="A426">
        <v>425</v>
      </c>
      <c r="B426" t="s">
        <v>2390</v>
      </c>
      <c r="C426">
        <v>13</v>
      </c>
      <c r="J426">
        <v>425</v>
      </c>
      <c r="K426" t="s">
        <v>2390</v>
      </c>
      <c r="L426">
        <v>13</v>
      </c>
    </row>
    <row r="427" spans="1:12" x14ac:dyDescent="0.25">
      <c r="A427">
        <v>426</v>
      </c>
      <c r="B427" t="s">
        <v>2391</v>
      </c>
      <c r="C427">
        <v>14</v>
      </c>
      <c r="J427">
        <v>426</v>
      </c>
      <c r="K427" t="s">
        <v>2391</v>
      </c>
      <c r="L427">
        <v>14</v>
      </c>
    </row>
    <row r="428" spans="1:12" x14ac:dyDescent="0.25">
      <c r="A428">
        <v>427</v>
      </c>
      <c r="B428" t="s">
        <v>2392</v>
      </c>
      <c r="C428">
        <v>23</v>
      </c>
      <c r="J428">
        <v>427</v>
      </c>
      <c r="K428" t="s">
        <v>2392</v>
      </c>
      <c r="L428">
        <v>23</v>
      </c>
    </row>
    <row r="429" spans="1:12" x14ac:dyDescent="0.25">
      <c r="A429">
        <v>428</v>
      </c>
      <c r="B429" t="s">
        <v>2393</v>
      </c>
      <c r="C429">
        <v>14</v>
      </c>
      <c r="J429">
        <v>428</v>
      </c>
      <c r="K429" t="s">
        <v>2393</v>
      </c>
      <c r="L429">
        <v>14</v>
      </c>
    </row>
    <row r="430" spans="1:12" x14ac:dyDescent="0.25">
      <c r="A430">
        <v>429</v>
      </c>
      <c r="B430" t="s">
        <v>2394</v>
      </c>
      <c r="C430">
        <v>31</v>
      </c>
      <c r="J430">
        <v>429</v>
      </c>
      <c r="K430" t="s">
        <v>2394</v>
      </c>
      <c r="L430">
        <v>31</v>
      </c>
    </row>
    <row r="431" spans="1:12" x14ac:dyDescent="0.25">
      <c r="A431">
        <v>430</v>
      </c>
      <c r="B431" t="s">
        <v>2395</v>
      </c>
      <c r="C431">
        <v>31</v>
      </c>
      <c r="J431">
        <v>430</v>
      </c>
      <c r="K431" t="s">
        <v>2395</v>
      </c>
      <c r="L431">
        <v>31</v>
      </c>
    </row>
    <row r="432" spans="1:12" x14ac:dyDescent="0.25">
      <c r="A432">
        <v>431</v>
      </c>
      <c r="B432" t="s">
        <v>2396</v>
      </c>
      <c r="C432">
        <v>32</v>
      </c>
      <c r="J432">
        <v>431</v>
      </c>
      <c r="K432" t="s">
        <v>2396</v>
      </c>
      <c r="L432">
        <v>32</v>
      </c>
    </row>
    <row r="433" spans="1:12" x14ac:dyDescent="0.25">
      <c r="A433">
        <v>432</v>
      </c>
      <c r="B433" t="s">
        <v>2397</v>
      </c>
      <c r="C433">
        <v>26</v>
      </c>
      <c r="J433">
        <v>432</v>
      </c>
      <c r="K433" t="s">
        <v>2397</v>
      </c>
      <c r="L433">
        <v>26</v>
      </c>
    </row>
    <row r="434" spans="1:12" x14ac:dyDescent="0.25">
      <c r="A434">
        <v>433</v>
      </c>
      <c r="B434" t="s">
        <v>2398</v>
      </c>
      <c r="C434">
        <v>30</v>
      </c>
      <c r="J434">
        <v>433</v>
      </c>
      <c r="K434" t="s">
        <v>2398</v>
      </c>
      <c r="L434">
        <v>30</v>
      </c>
    </row>
    <row r="435" spans="1:12" x14ac:dyDescent="0.25">
      <c r="A435">
        <v>434</v>
      </c>
      <c r="B435" t="s">
        <v>2399</v>
      </c>
      <c r="C435">
        <v>30</v>
      </c>
      <c r="J435">
        <v>434</v>
      </c>
      <c r="K435" t="s">
        <v>2399</v>
      </c>
      <c r="L435">
        <v>30</v>
      </c>
    </row>
    <row r="436" spans="1:12" x14ac:dyDescent="0.25">
      <c r="A436">
        <v>435</v>
      </c>
      <c r="B436" t="s">
        <v>2400</v>
      </c>
      <c r="C436">
        <v>33</v>
      </c>
      <c r="J436">
        <v>435</v>
      </c>
      <c r="K436" t="s">
        <v>2400</v>
      </c>
      <c r="L436">
        <v>33</v>
      </c>
    </row>
    <row r="437" spans="1:12" x14ac:dyDescent="0.25">
      <c r="A437">
        <v>436</v>
      </c>
      <c r="B437" t="s">
        <v>2401</v>
      </c>
      <c r="C437">
        <v>37</v>
      </c>
      <c r="J437">
        <v>436</v>
      </c>
      <c r="K437" t="s">
        <v>2401</v>
      </c>
      <c r="L437">
        <v>37</v>
      </c>
    </row>
    <row r="438" spans="1:12" x14ac:dyDescent="0.25">
      <c r="A438">
        <v>437</v>
      </c>
      <c r="B438" t="s">
        <v>2402</v>
      </c>
      <c r="C438">
        <v>27</v>
      </c>
      <c r="J438">
        <v>437</v>
      </c>
      <c r="K438" t="s">
        <v>2402</v>
      </c>
      <c r="L438">
        <v>27</v>
      </c>
    </row>
    <row r="439" spans="1:12" x14ac:dyDescent="0.25">
      <c r="A439">
        <v>438</v>
      </c>
      <c r="B439" t="s">
        <v>2403</v>
      </c>
      <c r="C439">
        <v>25</v>
      </c>
      <c r="J439">
        <v>438</v>
      </c>
      <c r="K439" t="s">
        <v>2403</v>
      </c>
      <c r="L439">
        <v>25</v>
      </c>
    </row>
    <row r="440" spans="1:12" x14ac:dyDescent="0.25">
      <c r="A440">
        <v>439</v>
      </c>
      <c r="B440" t="s">
        <v>2404</v>
      </c>
      <c r="C440">
        <v>28</v>
      </c>
      <c r="J440">
        <v>439</v>
      </c>
      <c r="K440" t="s">
        <v>2404</v>
      </c>
      <c r="L440">
        <v>28</v>
      </c>
    </row>
    <row r="441" spans="1:12" x14ac:dyDescent="0.25">
      <c r="A441">
        <v>440</v>
      </c>
      <c r="B441" t="s">
        <v>2405</v>
      </c>
      <c r="C441">
        <v>35</v>
      </c>
      <c r="J441">
        <v>440</v>
      </c>
      <c r="K441" t="s">
        <v>2405</v>
      </c>
      <c r="L441">
        <v>35</v>
      </c>
    </row>
    <row r="442" spans="1:12" x14ac:dyDescent="0.25">
      <c r="A442">
        <v>441</v>
      </c>
      <c r="B442" t="s">
        <v>2406</v>
      </c>
      <c r="C442">
        <v>23</v>
      </c>
      <c r="J442">
        <v>441</v>
      </c>
      <c r="K442" t="s">
        <v>2406</v>
      </c>
      <c r="L442">
        <v>23</v>
      </c>
    </row>
    <row r="443" spans="1:12" x14ac:dyDescent="0.25">
      <c r="A443">
        <v>442</v>
      </c>
      <c r="B443" t="s">
        <v>2407</v>
      </c>
      <c r="C443">
        <v>33</v>
      </c>
      <c r="J443">
        <v>442</v>
      </c>
      <c r="K443" t="s">
        <v>2407</v>
      </c>
      <c r="L443">
        <v>33</v>
      </c>
    </row>
    <row r="444" spans="1:12" x14ac:dyDescent="0.25">
      <c r="A444">
        <v>443</v>
      </c>
      <c r="B444" t="s">
        <v>2408</v>
      </c>
      <c r="C444">
        <v>29</v>
      </c>
      <c r="J444">
        <v>443</v>
      </c>
      <c r="K444" t="s">
        <v>2408</v>
      </c>
      <c r="L444">
        <v>29</v>
      </c>
    </row>
    <row r="445" spans="1:12" x14ac:dyDescent="0.25">
      <c r="A445">
        <v>444</v>
      </c>
      <c r="B445" t="s">
        <v>2409</v>
      </c>
      <c r="C445">
        <v>31</v>
      </c>
      <c r="J445">
        <v>444</v>
      </c>
      <c r="K445" t="s">
        <v>2409</v>
      </c>
      <c r="L445">
        <v>31</v>
      </c>
    </row>
    <row r="446" spans="1:12" x14ac:dyDescent="0.25">
      <c r="A446">
        <v>445</v>
      </c>
      <c r="B446" t="s">
        <v>2410</v>
      </c>
      <c r="C446">
        <v>11</v>
      </c>
      <c r="J446">
        <v>445</v>
      </c>
      <c r="K446" t="s">
        <v>2410</v>
      </c>
      <c r="L446">
        <v>11</v>
      </c>
    </row>
    <row r="447" spans="1:12" x14ac:dyDescent="0.25">
      <c r="A447">
        <v>446</v>
      </c>
      <c r="B447" t="s">
        <v>2411</v>
      </c>
      <c r="C447">
        <v>114</v>
      </c>
      <c r="J447">
        <v>446</v>
      </c>
      <c r="K447" t="s">
        <v>2411</v>
      </c>
      <c r="L447">
        <v>114</v>
      </c>
    </row>
    <row r="448" spans="1:12" x14ac:dyDescent="0.25">
      <c r="A448">
        <v>447</v>
      </c>
      <c r="B448" t="s">
        <v>2412</v>
      </c>
      <c r="C448">
        <v>41</v>
      </c>
      <c r="J448">
        <v>447</v>
      </c>
      <c r="K448" t="s">
        <v>2412</v>
      </c>
      <c r="L448">
        <v>41</v>
      </c>
    </row>
    <row r="449" spans="1:12" x14ac:dyDescent="0.25">
      <c r="A449">
        <v>448</v>
      </c>
      <c r="B449" t="s">
        <v>2413</v>
      </c>
      <c r="C449">
        <v>42</v>
      </c>
      <c r="J449">
        <v>448</v>
      </c>
      <c r="K449" t="s">
        <v>2413</v>
      </c>
      <c r="L449">
        <v>42</v>
      </c>
    </row>
    <row r="450" spans="1:12" x14ac:dyDescent="0.25">
      <c r="A450">
        <v>449</v>
      </c>
      <c r="B450" t="s">
        <v>2414</v>
      </c>
      <c r="C450">
        <v>55</v>
      </c>
      <c r="J450">
        <v>449</v>
      </c>
      <c r="K450" t="s">
        <v>2414</v>
      </c>
      <c r="L450">
        <v>55</v>
      </c>
    </row>
    <row r="451" spans="1:12" x14ac:dyDescent="0.25">
      <c r="A451">
        <v>450</v>
      </c>
      <c r="B451" t="s">
        <v>2415</v>
      </c>
      <c r="C451">
        <v>51</v>
      </c>
      <c r="J451">
        <v>450</v>
      </c>
      <c r="K451" t="s">
        <v>2415</v>
      </c>
      <c r="L451">
        <v>51</v>
      </c>
    </row>
    <row r="452" spans="1:12" x14ac:dyDescent="0.25">
      <c r="A452">
        <v>451</v>
      </c>
      <c r="B452" t="s">
        <v>2416</v>
      </c>
      <c r="C452">
        <v>58</v>
      </c>
      <c r="J452">
        <v>451</v>
      </c>
      <c r="K452" t="s">
        <v>2416</v>
      </c>
      <c r="L452">
        <v>58</v>
      </c>
    </row>
    <row r="453" spans="1:12" x14ac:dyDescent="0.25">
      <c r="A453">
        <v>452</v>
      </c>
      <c r="B453" t="s">
        <v>2417</v>
      </c>
      <c r="C453">
        <v>39</v>
      </c>
      <c r="J453">
        <v>452</v>
      </c>
      <c r="K453" t="s">
        <v>2417</v>
      </c>
      <c r="L453">
        <v>39</v>
      </c>
    </row>
    <row r="454" spans="1:12" x14ac:dyDescent="0.25">
      <c r="A454">
        <v>453</v>
      </c>
      <c r="B454" t="s">
        <v>2418</v>
      </c>
      <c r="C454">
        <v>83</v>
      </c>
      <c r="J454">
        <v>453</v>
      </c>
      <c r="K454" t="s">
        <v>2418</v>
      </c>
      <c r="L454">
        <v>83</v>
      </c>
    </row>
    <row r="455" spans="1:12" x14ac:dyDescent="0.25">
      <c r="A455">
        <v>454</v>
      </c>
      <c r="B455" t="s">
        <v>2419</v>
      </c>
      <c r="C455">
        <v>93</v>
      </c>
      <c r="J455">
        <v>454</v>
      </c>
      <c r="K455" t="s">
        <v>2419</v>
      </c>
      <c r="L455">
        <v>93</v>
      </c>
    </row>
    <row r="456" spans="1:12" x14ac:dyDescent="0.25">
      <c r="A456">
        <v>455</v>
      </c>
      <c r="B456" t="s">
        <v>2420</v>
      </c>
      <c r="C456">
        <v>104</v>
      </c>
      <c r="J456">
        <v>455</v>
      </c>
      <c r="K456" t="s">
        <v>2420</v>
      </c>
      <c r="L456">
        <v>104</v>
      </c>
    </row>
    <row r="457" spans="1:12" x14ac:dyDescent="0.25">
      <c r="A457">
        <v>456</v>
      </c>
      <c r="B457" t="s">
        <v>2421</v>
      </c>
      <c r="C457">
        <v>83</v>
      </c>
      <c r="J457">
        <v>456</v>
      </c>
      <c r="K457" t="s">
        <v>2421</v>
      </c>
      <c r="L457">
        <v>83</v>
      </c>
    </row>
    <row r="458" spans="1:12" x14ac:dyDescent="0.25">
      <c r="A458">
        <v>457</v>
      </c>
      <c r="B458" t="s">
        <v>2422</v>
      </c>
      <c r="C458">
        <v>87</v>
      </c>
      <c r="J458">
        <v>457</v>
      </c>
      <c r="K458" t="s">
        <v>2422</v>
      </c>
      <c r="L458">
        <v>87</v>
      </c>
    </row>
    <row r="459" spans="1:12" x14ac:dyDescent="0.25">
      <c r="A459">
        <v>458</v>
      </c>
      <c r="B459" t="s">
        <v>2423</v>
      </c>
      <c r="C459">
        <v>76</v>
      </c>
      <c r="J459">
        <v>458</v>
      </c>
      <c r="K459" t="s">
        <v>2423</v>
      </c>
      <c r="L459">
        <v>76</v>
      </c>
    </row>
    <row r="460" spans="1:12" x14ac:dyDescent="0.25">
      <c r="A460">
        <v>459</v>
      </c>
      <c r="B460" t="s">
        <v>2424</v>
      </c>
      <c r="C460">
        <v>51</v>
      </c>
      <c r="J460">
        <v>459</v>
      </c>
      <c r="K460" t="s">
        <v>2424</v>
      </c>
      <c r="L460">
        <v>51</v>
      </c>
    </row>
    <row r="461" spans="1:12" x14ac:dyDescent="0.25">
      <c r="A461">
        <v>460</v>
      </c>
      <c r="B461" t="s">
        <v>2425</v>
      </c>
      <c r="C461">
        <v>51</v>
      </c>
      <c r="J461">
        <v>460</v>
      </c>
      <c r="K461" t="s">
        <v>2425</v>
      </c>
      <c r="L461">
        <v>51</v>
      </c>
    </row>
    <row r="462" spans="1:12" x14ac:dyDescent="0.25">
      <c r="A462">
        <v>461</v>
      </c>
      <c r="B462" t="s">
        <v>2426</v>
      </c>
      <c r="C462">
        <v>40</v>
      </c>
      <c r="J462">
        <v>461</v>
      </c>
      <c r="K462" t="s">
        <v>2426</v>
      </c>
      <c r="L462">
        <v>40</v>
      </c>
    </row>
    <row r="463" spans="1:12" x14ac:dyDescent="0.25">
      <c r="A463">
        <v>462</v>
      </c>
      <c r="B463" t="s">
        <v>2427</v>
      </c>
      <c r="C463">
        <v>40</v>
      </c>
      <c r="J463">
        <v>462</v>
      </c>
      <c r="K463" t="s">
        <v>2427</v>
      </c>
      <c r="L463">
        <v>40</v>
      </c>
    </row>
    <row r="464" spans="1:12" x14ac:dyDescent="0.25">
      <c r="A464">
        <v>463</v>
      </c>
      <c r="B464" t="s">
        <v>2428</v>
      </c>
      <c r="C464">
        <v>29</v>
      </c>
      <c r="J464">
        <v>463</v>
      </c>
      <c r="K464" t="s">
        <v>2428</v>
      </c>
      <c r="L464">
        <v>29</v>
      </c>
    </row>
    <row r="465" spans="1:12" x14ac:dyDescent="0.25">
      <c r="A465">
        <v>464</v>
      </c>
      <c r="B465" t="s">
        <v>2429</v>
      </c>
      <c r="C465">
        <v>16</v>
      </c>
      <c r="J465">
        <v>464</v>
      </c>
      <c r="K465" t="s">
        <v>2429</v>
      </c>
      <c r="L465">
        <v>16</v>
      </c>
    </row>
    <row r="466" spans="1:12" x14ac:dyDescent="0.25">
      <c r="A466">
        <v>465</v>
      </c>
      <c r="B466" t="s">
        <v>2430</v>
      </c>
      <c r="C466">
        <v>32</v>
      </c>
      <c r="J466">
        <v>465</v>
      </c>
      <c r="K466" t="s">
        <v>2430</v>
      </c>
      <c r="L466">
        <v>32</v>
      </c>
    </row>
    <row r="467" spans="1:12" x14ac:dyDescent="0.25">
      <c r="A467">
        <v>466</v>
      </c>
      <c r="B467" t="s">
        <v>2431</v>
      </c>
      <c r="C467">
        <v>23</v>
      </c>
      <c r="J467">
        <v>466</v>
      </c>
      <c r="K467" t="s">
        <v>2431</v>
      </c>
      <c r="L467">
        <v>23</v>
      </c>
    </row>
    <row r="468" spans="1:12" x14ac:dyDescent="0.25">
      <c r="A468">
        <v>467</v>
      </c>
      <c r="B468" t="s">
        <v>2432</v>
      </c>
      <c r="C468">
        <v>35</v>
      </c>
      <c r="J468">
        <v>467</v>
      </c>
      <c r="K468" t="s">
        <v>2432</v>
      </c>
      <c r="L468">
        <v>35</v>
      </c>
    </row>
    <row r="469" spans="1:12" x14ac:dyDescent="0.25">
      <c r="A469">
        <v>468</v>
      </c>
      <c r="B469" t="s">
        <v>2433</v>
      </c>
      <c r="C469">
        <v>37</v>
      </c>
      <c r="J469">
        <v>468</v>
      </c>
      <c r="K469" t="s">
        <v>2433</v>
      </c>
      <c r="L469">
        <v>37</v>
      </c>
    </row>
    <row r="470" spans="1:12" x14ac:dyDescent="0.25">
      <c r="A470">
        <v>469</v>
      </c>
      <c r="B470" t="s">
        <v>2434</v>
      </c>
      <c r="C470">
        <v>26</v>
      </c>
      <c r="J470">
        <v>469</v>
      </c>
      <c r="K470" t="s">
        <v>2434</v>
      </c>
      <c r="L470">
        <v>26</v>
      </c>
    </row>
    <row r="471" spans="1:12" x14ac:dyDescent="0.25">
      <c r="A471">
        <v>470</v>
      </c>
      <c r="B471" t="s">
        <v>2435</v>
      </c>
      <c r="C471">
        <v>29</v>
      </c>
      <c r="J471">
        <v>470</v>
      </c>
      <c r="K471" t="s">
        <v>2435</v>
      </c>
      <c r="L471">
        <v>29</v>
      </c>
    </row>
    <row r="472" spans="1:12" x14ac:dyDescent="0.25">
      <c r="A472">
        <v>471</v>
      </c>
      <c r="B472" t="s">
        <v>2436</v>
      </c>
      <c r="C472">
        <v>53</v>
      </c>
      <c r="J472">
        <v>471</v>
      </c>
      <c r="K472" t="s">
        <v>2436</v>
      </c>
      <c r="L472">
        <v>53</v>
      </c>
    </row>
    <row r="473" spans="1:12" x14ac:dyDescent="0.25">
      <c r="A473">
        <v>472</v>
      </c>
      <c r="B473" t="s">
        <v>2437</v>
      </c>
      <c r="C473">
        <v>32</v>
      </c>
      <c r="J473">
        <v>472</v>
      </c>
      <c r="K473" t="s">
        <v>2437</v>
      </c>
      <c r="L473">
        <v>32</v>
      </c>
    </row>
    <row r="474" spans="1:12" x14ac:dyDescent="0.25">
      <c r="A474">
        <v>473</v>
      </c>
      <c r="B474" t="s">
        <v>2438</v>
      </c>
      <c r="C474">
        <v>34</v>
      </c>
      <c r="J474">
        <v>473</v>
      </c>
      <c r="K474" t="s">
        <v>2438</v>
      </c>
      <c r="L474">
        <v>34</v>
      </c>
    </row>
    <row r="475" spans="1:12" x14ac:dyDescent="0.25">
      <c r="A475">
        <v>474</v>
      </c>
      <c r="B475" t="s">
        <v>2439</v>
      </c>
      <c r="C475">
        <v>44</v>
      </c>
      <c r="J475">
        <v>474</v>
      </c>
      <c r="K475" t="s">
        <v>2439</v>
      </c>
      <c r="L475">
        <v>44</v>
      </c>
    </row>
    <row r="476" spans="1:12" x14ac:dyDescent="0.25">
      <c r="A476">
        <v>475</v>
      </c>
      <c r="B476" t="s">
        <v>2440</v>
      </c>
      <c r="C476">
        <v>31</v>
      </c>
      <c r="J476">
        <v>475</v>
      </c>
      <c r="K476" t="s">
        <v>2440</v>
      </c>
      <c r="L476">
        <v>31</v>
      </c>
    </row>
    <row r="477" spans="1:12" x14ac:dyDescent="0.25">
      <c r="A477">
        <v>476</v>
      </c>
      <c r="B477" t="s">
        <v>2441</v>
      </c>
      <c r="C477">
        <v>33</v>
      </c>
      <c r="J477">
        <v>476</v>
      </c>
      <c r="K477" t="s">
        <v>2441</v>
      </c>
      <c r="L477">
        <v>33</v>
      </c>
    </row>
    <row r="478" spans="1:12" x14ac:dyDescent="0.25">
      <c r="A478">
        <v>477</v>
      </c>
      <c r="B478" t="s">
        <v>2442</v>
      </c>
      <c r="C478">
        <v>37</v>
      </c>
      <c r="J478">
        <v>477</v>
      </c>
      <c r="K478" t="s">
        <v>2442</v>
      </c>
      <c r="L478">
        <v>37</v>
      </c>
    </row>
    <row r="479" spans="1:12" x14ac:dyDescent="0.25">
      <c r="A479">
        <v>478</v>
      </c>
      <c r="B479" t="s">
        <v>2443</v>
      </c>
      <c r="C479">
        <v>35</v>
      </c>
      <c r="J479">
        <v>478</v>
      </c>
      <c r="K479" t="s">
        <v>2443</v>
      </c>
      <c r="L479">
        <v>35</v>
      </c>
    </row>
    <row r="480" spans="1:12" x14ac:dyDescent="0.25">
      <c r="A480">
        <v>479</v>
      </c>
      <c r="B480" t="s">
        <v>2444</v>
      </c>
      <c r="C480">
        <v>6</v>
      </c>
      <c r="J480">
        <v>479</v>
      </c>
      <c r="K480" t="s">
        <v>2444</v>
      </c>
      <c r="L480">
        <v>6</v>
      </c>
    </row>
    <row r="481" spans="1:12" x14ac:dyDescent="0.25">
      <c r="A481">
        <v>480</v>
      </c>
      <c r="B481" t="s">
        <v>2445</v>
      </c>
      <c r="C481">
        <v>8</v>
      </c>
      <c r="J481">
        <v>480</v>
      </c>
      <c r="K481" t="s">
        <v>2445</v>
      </c>
      <c r="L481">
        <v>8</v>
      </c>
    </row>
    <row r="482" spans="1:12" x14ac:dyDescent="0.25">
      <c r="A482">
        <v>481</v>
      </c>
      <c r="B482" t="s">
        <v>2446</v>
      </c>
      <c r="C482">
        <v>6</v>
      </c>
      <c r="J482">
        <v>481</v>
      </c>
      <c r="K482" t="s">
        <v>2446</v>
      </c>
      <c r="L482">
        <v>6</v>
      </c>
    </row>
    <row r="483" spans="1:12" x14ac:dyDescent="0.25">
      <c r="A483">
        <v>482</v>
      </c>
      <c r="B483" t="s">
        <v>2447</v>
      </c>
      <c r="C483">
        <v>31</v>
      </c>
      <c r="J483">
        <v>482</v>
      </c>
      <c r="K483" t="s">
        <v>2447</v>
      </c>
      <c r="L483">
        <v>31</v>
      </c>
    </row>
    <row r="484" spans="1:12" x14ac:dyDescent="0.25">
      <c r="A484">
        <v>483</v>
      </c>
      <c r="B484" t="s">
        <v>2448</v>
      </c>
      <c r="C484">
        <v>24</v>
      </c>
      <c r="J484">
        <v>483</v>
      </c>
      <c r="K484" t="s">
        <v>2448</v>
      </c>
      <c r="L484">
        <v>24</v>
      </c>
    </row>
    <row r="485" spans="1:12" x14ac:dyDescent="0.25">
      <c r="A485">
        <v>484</v>
      </c>
      <c r="B485" t="s">
        <v>2449</v>
      </c>
      <c r="C485">
        <v>8</v>
      </c>
      <c r="J485">
        <v>484</v>
      </c>
      <c r="K485" t="s">
        <v>2449</v>
      </c>
      <c r="L485">
        <v>8</v>
      </c>
    </row>
    <row r="486" spans="1:12" x14ac:dyDescent="0.25">
      <c r="A486">
        <v>485</v>
      </c>
      <c r="B486" t="s">
        <v>2450</v>
      </c>
      <c r="C486">
        <v>34</v>
      </c>
      <c r="J486">
        <v>485</v>
      </c>
      <c r="K486" t="s">
        <v>2450</v>
      </c>
      <c r="L486">
        <v>34</v>
      </c>
    </row>
    <row r="487" spans="1:12" x14ac:dyDescent="0.25">
      <c r="A487">
        <v>486</v>
      </c>
      <c r="B487" t="s">
        <v>2451</v>
      </c>
      <c r="C487">
        <v>37</v>
      </c>
      <c r="J487">
        <v>486</v>
      </c>
      <c r="K487" t="s">
        <v>2451</v>
      </c>
      <c r="L487">
        <v>37</v>
      </c>
    </row>
    <row r="488" spans="1:12" x14ac:dyDescent="0.25">
      <c r="A488">
        <v>487</v>
      </c>
      <c r="B488" t="s">
        <v>2452</v>
      </c>
      <c r="C488">
        <v>56</v>
      </c>
      <c r="J488">
        <v>487</v>
      </c>
      <c r="K488" t="s">
        <v>2452</v>
      </c>
      <c r="L488">
        <v>56</v>
      </c>
    </row>
    <row r="489" spans="1:12" x14ac:dyDescent="0.25">
      <c r="A489">
        <v>488</v>
      </c>
      <c r="B489" t="s">
        <v>2453</v>
      </c>
      <c r="C489">
        <v>84</v>
      </c>
      <c r="J489">
        <v>488</v>
      </c>
      <c r="K489" t="s">
        <v>2453</v>
      </c>
      <c r="L489">
        <v>84</v>
      </c>
    </row>
    <row r="490" spans="1:12" x14ac:dyDescent="0.25">
      <c r="A490">
        <v>489</v>
      </c>
      <c r="B490" t="s">
        <v>2454</v>
      </c>
      <c r="C490">
        <v>93</v>
      </c>
      <c r="J490">
        <v>489</v>
      </c>
      <c r="K490" t="s">
        <v>2454</v>
      </c>
      <c r="L490">
        <v>93</v>
      </c>
    </row>
    <row r="491" spans="1:12" x14ac:dyDescent="0.25">
      <c r="A491">
        <v>490</v>
      </c>
      <c r="B491" t="s">
        <v>2455</v>
      </c>
      <c r="C491">
        <v>56</v>
      </c>
      <c r="J491">
        <v>490</v>
      </c>
      <c r="K491" t="s">
        <v>2455</v>
      </c>
      <c r="L491">
        <v>56</v>
      </c>
    </row>
    <row r="492" spans="1:12" x14ac:dyDescent="0.25">
      <c r="A492">
        <v>491</v>
      </c>
      <c r="B492" t="s">
        <v>2456</v>
      </c>
      <c r="C492">
        <v>29</v>
      </c>
      <c r="J492">
        <v>491</v>
      </c>
      <c r="K492" t="s">
        <v>2456</v>
      </c>
      <c r="L492">
        <v>29</v>
      </c>
    </row>
    <row r="493" spans="1:12" x14ac:dyDescent="0.25">
      <c r="A493">
        <v>492</v>
      </c>
      <c r="B493" t="s">
        <v>2457</v>
      </c>
      <c r="C493">
        <v>23</v>
      </c>
      <c r="J493">
        <v>492</v>
      </c>
      <c r="K493" t="s">
        <v>2457</v>
      </c>
      <c r="L493">
        <v>23</v>
      </c>
    </row>
    <row r="494" spans="1:12" x14ac:dyDescent="0.25">
      <c r="A494">
        <v>493</v>
      </c>
      <c r="B494" t="s">
        <v>2458</v>
      </c>
      <c r="C494">
        <v>31</v>
      </c>
      <c r="J494">
        <v>493</v>
      </c>
      <c r="K494" t="s">
        <v>2458</v>
      </c>
      <c r="L494">
        <v>31</v>
      </c>
    </row>
    <row r="495" spans="1:12" x14ac:dyDescent="0.25">
      <c r="A495">
        <v>494</v>
      </c>
      <c r="B495" t="s">
        <v>2459</v>
      </c>
      <c r="C495">
        <v>37</v>
      </c>
      <c r="J495">
        <v>494</v>
      </c>
      <c r="K495" t="s">
        <v>2459</v>
      </c>
      <c r="L495">
        <v>37</v>
      </c>
    </row>
    <row r="496" spans="1:12" x14ac:dyDescent="0.25">
      <c r="A496">
        <v>495</v>
      </c>
      <c r="B496" t="s">
        <v>2460</v>
      </c>
      <c r="C496">
        <v>69</v>
      </c>
      <c r="J496">
        <v>495</v>
      </c>
      <c r="K496" t="s">
        <v>2460</v>
      </c>
      <c r="L496">
        <v>69</v>
      </c>
    </row>
    <row r="497" spans="1:12" x14ac:dyDescent="0.25">
      <c r="A497">
        <v>496</v>
      </c>
      <c r="B497" t="s">
        <v>2461</v>
      </c>
      <c r="C497">
        <v>47</v>
      </c>
      <c r="J497">
        <v>496</v>
      </c>
      <c r="K497" t="s">
        <v>2461</v>
      </c>
      <c r="L497">
        <v>47</v>
      </c>
    </row>
    <row r="498" spans="1:12" x14ac:dyDescent="0.25">
      <c r="A498">
        <v>497</v>
      </c>
      <c r="B498" t="s">
        <v>2462</v>
      </c>
      <c r="C498">
        <v>44</v>
      </c>
      <c r="J498">
        <v>497</v>
      </c>
      <c r="K498" t="s">
        <v>2462</v>
      </c>
      <c r="L498">
        <v>44</v>
      </c>
    </row>
    <row r="499" spans="1:12" x14ac:dyDescent="0.25">
      <c r="A499">
        <v>498</v>
      </c>
      <c r="B499" t="s">
        <v>2463</v>
      </c>
      <c r="C499">
        <v>36</v>
      </c>
      <c r="J499">
        <v>498</v>
      </c>
      <c r="K499" t="s">
        <v>2463</v>
      </c>
      <c r="L499">
        <v>36</v>
      </c>
    </row>
    <row r="500" spans="1:12" x14ac:dyDescent="0.25">
      <c r="A500">
        <v>499</v>
      </c>
      <c r="B500" t="s">
        <v>2464</v>
      </c>
      <c r="C500">
        <v>45</v>
      </c>
      <c r="J500">
        <v>499</v>
      </c>
      <c r="K500" t="s">
        <v>2464</v>
      </c>
      <c r="L500">
        <v>45</v>
      </c>
    </row>
    <row r="501" spans="1:12" x14ac:dyDescent="0.25">
      <c r="A501">
        <v>500</v>
      </c>
      <c r="B501" t="s">
        <v>2465</v>
      </c>
      <c r="C501">
        <v>54</v>
      </c>
      <c r="J501">
        <v>500</v>
      </c>
      <c r="K501" t="s">
        <v>2465</v>
      </c>
      <c r="L501">
        <v>54</v>
      </c>
    </row>
    <row r="502" spans="1:12" x14ac:dyDescent="0.25">
      <c r="A502">
        <v>501</v>
      </c>
      <c r="B502" t="s">
        <v>2466</v>
      </c>
      <c r="C502">
        <v>34</v>
      </c>
      <c r="J502">
        <v>501</v>
      </c>
      <c r="K502" t="s">
        <v>2466</v>
      </c>
      <c r="L502">
        <v>34</v>
      </c>
    </row>
    <row r="503" spans="1:12" x14ac:dyDescent="0.25">
      <c r="A503">
        <v>502</v>
      </c>
      <c r="B503" t="s">
        <v>2467</v>
      </c>
      <c r="C503">
        <v>35</v>
      </c>
      <c r="J503">
        <v>502</v>
      </c>
      <c r="K503" t="s">
        <v>2467</v>
      </c>
      <c r="L503">
        <v>35</v>
      </c>
    </row>
    <row r="504" spans="1:12" x14ac:dyDescent="0.25">
      <c r="A504">
        <v>503</v>
      </c>
      <c r="B504" t="s">
        <v>2468</v>
      </c>
      <c r="C504">
        <v>46</v>
      </c>
      <c r="J504">
        <v>503</v>
      </c>
      <c r="K504" t="s">
        <v>2468</v>
      </c>
      <c r="L504">
        <v>46</v>
      </c>
    </row>
    <row r="505" spans="1:12" x14ac:dyDescent="0.25">
      <c r="A505">
        <v>504</v>
      </c>
      <c r="B505" t="s">
        <v>2469</v>
      </c>
      <c r="C505">
        <v>47</v>
      </c>
      <c r="J505">
        <v>504</v>
      </c>
      <c r="K505" t="s">
        <v>2469</v>
      </c>
      <c r="L505">
        <v>47</v>
      </c>
    </row>
    <row r="506" spans="1:12" x14ac:dyDescent="0.25">
      <c r="A506">
        <v>505</v>
      </c>
      <c r="B506" t="s">
        <v>2470</v>
      </c>
      <c r="C506">
        <v>44</v>
      </c>
      <c r="J506">
        <v>505</v>
      </c>
      <c r="K506" t="s">
        <v>2470</v>
      </c>
      <c r="L506">
        <v>44</v>
      </c>
    </row>
    <row r="507" spans="1:12" x14ac:dyDescent="0.25">
      <c r="A507">
        <v>506</v>
      </c>
      <c r="B507" t="s">
        <v>2471</v>
      </c>
      <c r="C507">
        <v>47</v>
      </c>
      <c r="J507">
        <v>506</v>
      </c>
      <c r="K507" t="s">
        <v>2471</v>
      </c>
      <c r="L507">
        <v>47</v>
      </c>
    </row>
    <row r="508" spans="1:12" x14ac:dyDescent="0.25">
      <c r="A508">
        <v>507</v>
      </c>
      <c r="B508" t="s">
        <v>2472</v>
      </c>
      <c r="C508">
        <v>41</v>
      </c>
      <c r="J508">
        <v>507</v>
      </c>
      <c r="K508" t="s">
        <v>2472</v>
      </c>
      <c r="L508">
        <v>41</v>
      </c>
    </row>
    <row r="509" spans="1:12" x14ac:dyDescent="0.25">
      <c r="A509">
        <v>508</v>
      </c>
      <c r="B509" t="s">
        <v>2473</v>
      </c>
      <c r="C509">
        <v>49</v>
      </c>
      <c r="J509">
        <v>508</v>
      </c>
      <c r="K509" t="s">
        <v>2473</v>
      </c>
      <c r="L509">
        <v>49</v>
      </c>
    </row>
    <row r="510" spans="1:12" x14ac:dyDescent="0.25">
      <c r="A510">
        <v>509</v>
      </c>
      <c r="B510" t="s">
        <v>2474</v>
      </c>
      <c r="C510">
        <v>15</v>
      </c>
      <c r="J510">
        <v>509</v>
      </c>
      <c r="K510" t="s">
        <v>2474</v>
      </c>
      <c r="L510">
        <v>15</v>
      </c>
    </row>
    <row r="511" spans="1:12" x14ac:dyDescent="0.25">
      <c r="A511">
        <v>510</v>
      </c>
      <c r="B511" t="s">
        <v>2475</v>
      </c>
      <c r="C511">
        <v>60</v>
      </c>
      <c r="J511">
        <v>510</v>
      </c>
      <c r="K511" t="s">
        <v>2475</v>
      </c>
      <c r="L511">
        <v>60</v>
      </c>
    </row>
    <row r="512" spans="1:12" x14ac:dyDescent="0.25">
      <c r="A512">
        <v>511</v>
      </c>
      <c r="B512" t="s">
        <v>2476</v>
      </c>
      <c r="C512">
        <v>40</v>
      </c>
      <c r="J512">
        <v>511</v>
      </c>
      <c r="K512" t="s">
        <v>2476</v>
      </c>
      <c r="L512">
        <v>40</v>
      </c>
    </row>
    <row r="513" spans="1:12" x14ac:dyDescent="0.25">
      <c r="A513">
        <v>512</v>
      </c>
      <c r="B513" t="s">
        <v>2477</v>
      </c>
      <c r="C513">
        <v>49</v>
      </c>
      <c r="J513">
        <v>512</v>
      </c>
      <c r="K513" t="s">
        <v>2477</v>
      </c>
      <c r="L513">
        <v>49</v>
      </c>
    </row>
    <row r="514" spans="1:12" x14ac:dyDescent="0.25">
      <c r="A514">
        <v>513</v>
      </c>
      <c r="B514" t="s">
        <v>2478</v>
      </c>
      <c r="C514">
        <v>43</v>
      </c>
      <c r="J514">
        <v>513</v>
      </c>
      <c r="K514" t="s">
        <v>2478</v>
      </c>
      <c r="L514">
        <v>43</v>
      </c>
    </row>
    <row r="515" spans="1:12" x14ac:dyDescent="0.25">
      <c r="A515">
        <v>514</v>
      </c>
      <c r="B515" t="s">
        <v>2479</v>
      </c>
      <c r="C515">
        <v>49</v>
      </c>
      <c r="J515">
        <v>514</v>
      </c>
      <c r="K515" t="s">
        <v>2479</v>
      </c>
      <c r="L515">
        <v>49</v>
      </c>
    </row>
    <row r="516" spans="1:12" x14ac:dyDescent="0.25">
      <c r="A516">
        <v>515</v>
      </c>
      <c r="B516" t="s">
        <v>2480</v>
      </c>
      <c r="C516">
        <v>71</v>
      </c>
      <c r="J516">
        <v>515</v>
      </c>
      <c r="K516" t="s">
        <v>2480</v>
      </c>
      <c r="L516">
        <v>71</v>
      </c>
    </row>
    <row r="517" spans="1:12" x14ac:dyDescent="0.25">
      <c r="A517">
        <v>516</v>
      </c>
      <c r="B517" t="s">
        <v>2481</v>
      </c>
      <c r="C517">
        <v>61</v>
      </c>
      <c r="J517">
        <v>516</v>
      </c>
      <c r="K517" t="s">
        <v>2481</v>
      </c>
      <c r="L517">
        <v>61</v>
      </c>
    </row>
    <row r="518" spans="1:12" x14ac:dyDescent="0.25">
      <c r="A518">
        <v>517</v>
      </c>
      <c r="B518" t="s">
        <v>2482</v>
      </c>
      <c r="C518">
        <v>38</v>
      </c>
      <c r="J518">
        <v>517</v>
      </c>
      <c r="K518" t="s">
        <v>2482</v>
      </c>
      <c r="L518">
        <v>38</v>
      </c>
    </row>
    <row r="519" spans="1:12" x14ac:dyDescent="0.25">
      <c r="A519">
        <v>518</v>
      </c>
      <c r="B519" t="s">
        <v>2483</v>
      </c>
      <c r="C519">
        <v>83</v>
      </c>
      <c r="J519">
        <v>518</v>
      </c>
      <c r="K519" t="s">
        <v>2483</v>
      </c>
      <c r="L519">
        <v>83</v>
      </c>
    </row>
    <row r="520" spans="1:12" x14ac:dyDescent="0.25">
      <c r="A520">
        <v>519</v>
      </c>
      <c r="B520" t="s">
        <v>2484</v>
      </c>
      <c r="C520">
        <v>79</v>
      </c>
      <c r="J520">
        <v>519</v>
      </c>
      <c r="K520" t="s">
        <v>2484</v>
      </c>
      <c r="L520">
        <v>79</v>
      </c>
    </row>
    <row r="521" spans="1:12" x14ac:dyDescent="0.25">
      <c r="A521">
        <v>520</v>
      </c>
      <c r="B521" t="s">
        <v>2485</v>
      </c>
      <c r="C521">
        <v>58</v>
      </c>
      <c r="J521">
        <v>520</v>
      </c>
      <c r="K521" t="s">
        <v>2485</v>
      </c>
      <c r="L521">
        <v>58</v>
      </c>
    </row>
    <row r="522" spans="1:12" x14ac:dyDescent="0.25">
      <c r="A522">
        <v>521</v>
      </c>
      <c r="B522" t="s">
        <v>2486</v>
      </c>
      <c r="C522">
        <v>63</v>
      </c>
      <c r="J522">
        <v>521</v>
      </c>
      <c r="K522" t="s">
        <v>2486</v>
      </c>
      <c r="L522">
        <v>63</v>
      </c>
    </row>
    <row r="523" spans="1:12" x14ac:dyDescent="0.25">
      <c r="A523">
        <v>522</v>
      </c>
      <c r="B523" t="s">
        <v>2487</v>
      </c>
      <c r="C523">
        <v>44</v>
      </c>
      <c r="J523">
        <v>522</v>
      </c>
      <c r="K523" t="s">
        <v>2487</v>
      </c>
      <c r="L523">
        <v>44</v>
      </c>
    </row>
    <row r="524" spans="1:12" x14ac:dyDescent="0.25">
      <c r="A524">
        <v>523</v>
      </c>
      <c r="B524" t="s">
        <v>2488</v>
      </c>
      <c r="C524">
        <v>53</v>
      </c>
      <c r="J524">
        <v>523</v>
      </c>
      <c r="K524" t="s">
        <v>2488</v>
      </c>
      <c r="L524">
        <v>53</v>
      </c>
    </row>
    <row r="525" spans="1:12" x14ac:dyDescent="0.25">
      <c r="A525">
        <v>524</v>
      </c>
      <c r="B525" t="s">
        <v>2489</v>
      </c>
      <c r="C525">
        <v>30</v>
      </c>
      <c r="J525">
        <v>524</v>
      </c>
      <c r="K525" t="s">
        <v>2489</v>
      </c>
      <c r="L525">
        <v>30</v>
      </c>
    </row>
    <row r="526" spans="1:12" x14ac:dyDescent="0.25">
      <c r="A526">
        <v>525</v>
      </c>
      <c r="B526" t="s">
        <v>2490</v>
      </c>
      <c r="C526">
        <v>30</v>
      </c>
      <c r="J526">
        <v>525</v>
      </c>
      <c r="K526" t="s">
        <v>2490</v>
      </c>
      <c r="L526">
        <v>30</v>
      </c>
    </row>
    <row r="527" spans="1:12" x14ac:dyDescent="0.25">
      <c r="A527">
        <v>526</v>
      </c>
      <c r="B527" t="s">
        <v>2491</v>
      </c>
      <c r="C527">
        <v>41</v>
      </c>
      <c r="J527">
        <v>526</v>
      </c>
      <c r="K527" t="s">
        <v>2491</v>
      </c>
      <c r="L527">
        <v>41</v>
      </c>
    </row>
    <row r="528" spans="1:12" x14ac:dyDescent="0.25">
      <c r="A528">
        <v>527</v>
      </c>
      <c r="B528" t="s">
        <v>2492</v>
      </c>
      <c r="C528">
        <v>34</v>
      </c>
      <c r="J528">
        <v>527</v>
      </c>
      <c r="K528" t="s">
        <v>2492</v>
      </c>
      <c r="L528">
        <v>34</v>
      </c>
    </row>
    <row r="529" spans="1:12" x14ac:dyDescent="0.25">
      <c r="A529">
        <v>528</v>
      </c>
      <c r="B529" t="s">
        <v>2493</v>
      </c>
      <c r="C529">
        <v>43</v>
      </c>
      <c r="J529">
        <v>528</v>
      </c>
      <c r="K529" t="s">
        <v>2493</v>
      </c>
      <c r="L529">
        <v>43</v>
      </c>
    </row>
    <row r="530" spans="1:12" x14ac:dyDescent="0.25">
      <c r="A530">
        <v>529</v>
      </c>
      <c r="B530" t="s">
        <v>2494</v>
      </c>
      <c r="C530">
        <v>43</v>
      </c>
      <c r="J530">
        <v>529</v>
      </c>
      <c r="K530" t="s">
        <v>2494</v>
      </c>
      <c r="L530">
        <v>43</v>
      </c>
    </row>
    <row r="531" spans="1:12" x14ac:dyDescent="0.25">
      <c r="A531">
        <v>530</v>
      </c>
      <c r="B531" t="s">
        <v>2495</v>
      </c>
      <c r="C531">
        <v>55</v>
      </c>
      <c r="J531">
        <v>530</v>
      </c>
      <c r="K531" t="s">
        <v>2495</v>
      </c>
      <c r="L531">
        <v>55</v>
      </c>
    </row>
    <row r="532" spans="1:12" x14ac:dyDescent="0.25">
      <c r="A532">
        <v>531</v>
      </c>
      <c r="B532" t="s">
        <v>2496</v>
      </c>
      <c r="C532">
        <v>71</v>
      </c>
      <c r="J532">
        <v>531</v>
      </c>
      <c r="K532" t="s">
        <v>2496</v>
      </c>
      <c r="L532">
        <v>71</v>
      </c>
    </row>
    <row r="533" spans="1:12" x14ac:dyDescent="0.25">
      <c r="A533">
        <v>532</v>
      </c>
      <c r="B533" t="s">
        <v>2497</v>
      </c>
      <c r="C533">
        <v>40</v>
      </c>
      <c r="J533">
        <v>532</v>
      </c>
      <c r="K533" t="s">
        <v>2497</v>
      </c>
      <c r="L533">
        <v>40</v>
      </c>
    </row>
    <row r="534" spans="1:12" x14ac:dyDescent="0.25">
      <c r="A534">
        <v>533</v>
      </c>
      <c r="B534" t="s">
        <v>2498</v>
      </c>
      <c r="C534">
        <v>37</v>
      </c>
      <c r="J534">
        <v>533</v>
      </c>
      <c r="K534" t="s">
        <v>2498</v>
      </c>
      <c r="L534">
        <v>37</v>
      </c>
    </row>
    <row r="535" spans="1:12" x14ac:dyDescent="0.25">
      <c r="A535">
        <v>534</v>
      </c>
      <c r="B535" t="s">
        <v>2499</v>
      </c>
      <c r="C535">
        <v>46</v>
      </c>
      <c r="J535">
        <v>534</v>
      </c>
      <c r="K535" t="s">
        <v>2499</v>
      </c>
      <c r="L535">
        <v>46</v>
      </c>
    </row>
    <row r="536" spans="1:12" x14ac:dyDescent="0.25">
      <c r="A536">
        <v>535</v>
      </c>
      <c r="B536" t="s">
        <v>2500</v>
      </c>
      <c r="C536">
        <v>62</v>
      </c>
      <c r="J536">
        <v>535</v>
      </c>
      <c r="K536" t="s">
        <v>2500</v>
      </c>
      <c r="L536">
        <v>62</v>
      </c>
    </row>
    <row r="537" spans="1:12" x14ac:dyDescent="0.25">
      <c r="A537">
        <v>536</v>
      </c>
      <c r="B537" t="s">
        <v>2501</v>
      </c>
      <c r="C537">
        <v>64</v>
      </c>
      <c r="J537">
        <v>536</v>
      </c>
      <c r="K537" t="s">
        <v>2501</v>
      </c>
      <c r="L537">
        <v>64</v>
      </c>
    </row>
    <row r="538" spans="1:12" x14ac:dyDescent="0.25">
      <c r="A538">
        <v>537</v>
      </c>
      <c r="B538" t="s">
        <v>2502</v>
      </c>
      <c r="C538">
        <v>50</v>
      </c>
      <c r="J538">
        <v>537</v>
      </c>
      <c r="K538" t="s">
        <v>2502</v>
      </c>
      <c r="L538">
        <v>50</v>
      </c>
    </row>
    <row r="539" spans="1:12" x14ac:dyDescent="0.25">
      <c r="A539">
        <v>538</v>
      </c>
      <c r="B539" t="s">
        <v>2503</v>
      </c>
      <c r="C539">
        <v>41</v>
      </c>
      <c r="J539">
        <v>538</v>
      </c>
      <c r="K539" t="s">
        <v>2503</v>
      </c>
      <c r="L539">
        <v>41</v>
      </c>
    </row>
    <row r="540" spans="1:12" x14ac:dyDescent="0.25">
      <c r="A540">
        <v>539</v>
      </c>
      <c r="B540" t="s">
        <v>2504</v>
      </c>
      <c r="C540">
        <v>48</v>
      </c>
      <c r="J540">
        <v>539</v>
      </c>
      <c r="K540" t="s">
        <v>2504</v>
      </c>
      <c r="L540">
        <v>48</v>
      </c>
    </row>
    <row r="541" spans="1:12" x14ac:dyDescent="0.25">
      <c r="A541">
        <v>540</v>
      </c>
      <c r="B541" t="s">
        <v>2505</v>
      </c>
      <c r="C541">
        <v>36</v>
      </c>
      <c r="J541">
        <v>540</v>
      </c>
      <c r="K541" t="s">
        <v>2505</v>
      </c>
      <c r="L541">
        <v>36</v>
      </c>
    </row>
    <row r="542" spans="1:12" x14ac:dyDescent="0.25">
      <c r="A542">
        <v>541</v>
      </c>
      <c r="B542" t="s">
        <v>2506</v>
      </c>
      <c r="C542">
        <v>40</v>
      </c>
      <c r="J542">
        <v>541</v>
      </c>
      <c r="K542" t="s">
        <v>2506</v>
      </c>
      <c r="L542">
        <v>40</v>
      </c>
    </row>
    <row r="543" spans="1:12" x14ac:dyDescent="0.25">
      <c r="A543">
        <v>542</v>
      </c>
      <c r="B543" t="s">
        <v>2507</v>
      </c>
      <c r="C543">
        <v>50</v>
      </c>
      <c r="J543">
        <v>542</v>
      </c>
      <c r="K543" t="s">
        <v>2507</v>
      </c>
      <c r="L543">
        <v>50</v>
      </c>
    </row>
    <row r="544" spans="1:12" x14ac:dyDescent="0.25">
      <c r="A544">
        <v>543</v>
      </c>
      <c r="B544" t="s">
        <v>2508</v>
      </c>
      <c r="C544">
        <v>44</v>
      </c>
      <c r="J544">
        <v>543</v>
      </c>
      <c r="K544" t="s">
        <v>2508</v>
      </c>
      <c r="L544">
        <v>44</v>
      </c>
    </row>
    <row r="545" spans="1:12" x14ac:dyDescent="0.25">
      <c r="A545">
        <v>544</v>
      </c>
      <c r="B545" t="s">
        <v>2509</v>
      </c>
      <c r="C545">
        <v>43</v>
      </c>
      <c r="J545">
        <v>544</v>
      </c>
      <c r="K545" t="s">
        <v>2509</v>
      </c>
      <c r="L545">
        <v>43</v>
      </c>
    </row>
    <row r="546" spans="1:12" x14ac:dyDescent="0.25">
      <c r="A546">
        <v>545</v>
      </c>
      <c r="B546" t="s">
        <v>2510</v>
      </c>
      <c r="C546">
        <v>37</v>
      </c>
      <c r="J546">
        <v>545</v>
      </c>
      <c r="K546" t="s">
        <v>2510</v>
      </c>
      <c r="L546">
        <v>37</v>
      </c>
    </row>
    <row r="547" spans="1:12" x14ac:dyDescent="0.25">
      <c r="A547">
        <v>546</v>
      </c>
      <c r="B547" t="s">
        <v>2511</v>
      </c>
      <c r="C547">
        <v>39</v>
      </c>
      <c r="J547">
        <v>546</v>
      </c>
      <c r="K547" t="s">
        <v>2511</v>
      </c>
      <c r="L547">
        <v>39</v>
      </c>
    </row>
    <row r="548" spans="1:12" x14ac:dyDescent="0.25">
      <c r="A548">
        <v>547</v>
      </c>
      <c r="B548" t="s">
        <v>2512</v>
      </c>
      <c r="C548">
        <v>25</v>
      </c>
      <c r="J548">
        <v>547</v>
      </c>
      <c r="K548" t="s">
        <v>2512</v>
      </c>
      <c r="L548">
        <v>25</v>
      </c>
    </row>
    <row r="549" spans="1:12" x14ac:dyDescent="0.25">
      <c r="A549">
        <v>548</v>
      </c>
      <c r="B549" t="s">
        <v>2513</v>
      </c>
      <c r="C549">
        <v>21</v>
      </c>
      <c r="J549">
        <v>548</v>
      </c>
      <c r="K549" t="s">
        <v>2513</v>
      </c>
      <c r="L549">
        <v>21</v>
      </c>
    </row>
    <row r="550" spans="1:12" x14ac:dyDescent="0.25">
      <c r="A550">
        <v>549</v>
      </c>
      <c r="B550" t="s">
        <v>2514</v>
      </c>
      <c r="C550">
        <v>28</v>
      </c>
      <c r="J550">
        <v>549</v>
      </c>
      <c r="K550" t="s">
        <v>2514</v>
      </c>
      <c r="L550">
        <v>28</v>
      </c>
    </row>
    <row r="551" spans="1:12" x14ac:dyDescent="0.25">
      <c r="A551">
        <v>550</v>
      </c>
      <c r="B551" t="s">
        <v>2515</v>
      </c>
      <c r="C551">
        <v>30</v>
      </c>
      <c r="J551">
        <v>550</v>
      </c>
      <c r="K551" t="s">
        <v>2515</v>
      </c>
      <c r="L551">
        <v>30</v>
      </c>
    </row>
    <row r="552" spans="1:12" x14ac:dyDescent="0.25">
      <c r="A552">
        <v>551</v>
      </c>
      <c r="B552" t="s">
        <v>2516</v>
      </c>
      <c r="C552">
        <v>40</v>
      </c>
      <c r="J552">
        <v>551</v>
      </c>
      <c r="K552" t="s">
        <v>2516</v>
      </c>
      <c r="L552">
        <v>40</v>
      </c>
    </row>
    <row r="553" spans="1:12" x14ac:dyDescent="0.25">
      <c r="A553">
        <v>552</v>
      </c>
      <c r="B553" t="s">
        <v>2517</v>
      </c>
      <c r="C553">
        <v>49</v>
      </c>
      <c r="J553">
        <v>552</v>
      </c>
      <c r="K553" t="s">
        <v>2517</v>
      </c>
      <c r="L553">
        <v>49</v>
      </c>
    </row>
    <row r="554" spans="1:12" x14ac:dyDescent="0.25">
      <c r="A554">
        <v>553</v>
      </c>
      <c r="B554" t="s">
        <v>2518</v>
      </c>
      <c r="C554">
        <v>56</v>
      </c>
      <c r="J554">
        <v>553</v>
      </c>
      <c r="K554" t="s">
        <v>2518</v>
      </c>
      <c r="L554">
        <v>56</v>
      </c>
    </row>
    <row r="555" spans="1:12" x14ac:dyDescent="0.25">
      <c r="A555">
        <v>554</v>
      </c>
      <c r="B555" t="s">
        <v>2519</v>
      </c>
      <c r="C555">
        <v>39</v>
      </c>
      <c r="J555">
        <v>554</v>
      </c>
      <c r="K555" t="s">
        <v>2519</v>
      </c>
      <c r="L555">
        <v>39</v>
      </c>
    </row>
    <row r="556" spans="1:12" x14ac:dyDescent="0.25">
      <c r="A556">
        <v>555</v>
      </c>
      <c r="B556" t="s">
        <v>2520</v>
      </c>
      <c r="C556">
        <v>46</v>
      </c>
      <c r="J556">
        <v>555</v>
      </c>
      <c r="K556" t="s">
        <v>2520</v>
      </c>
      <c r="L556">
        <v>46</v>
      </c>
    </row>
    <row r="557" spans="1:12" x14ac:dyDescent="0.25">
      <c r="A557">
        <v>556</v>
      </c>
      <c r="B557" t="s">
        <v>2521</v>
      </c>
      <c r="C557">
        <v>47</v>
      </c>
      <c r="J557">
        <v>556</v>
      </c>
      <c r="K557" t="s">
        <v>2521</v>
      </c>
      <c r="L557">
        <v>47</v>
      </c>
    </row>
    <row r="558" spans="1:12" x14ac:dyDescent="0.25">
      <c r="A558">
        <v>557</v>
      </c>
      <c r="B558" t="s">
        <v>2522</v>
      </c>
      <c r="C558">
        <v>19</v>
      </c>
      <c r="J558">
        <v>557</v>
      </c>
      <c r="K558" t="s">
        <v>2522</v>
      </c>
      <c r="L558">
        <v>19</v>
      </c>
    </row>
    <row r="559" spans="1:12" x14ac:dyDescent="0.25">
      <c r="A559">
        <v>558</v>
      </c>
      <c r="B559" t="s">
        <v>2523</v>
      </c>
      <c r="C559">
        <v>29</v>
      </c>
      <c r="J559">
        <v>558</v>
      </c>
      <c r="K559" t="s">
        <v>2523</v>
      </c>
      <c r="L559">
        <v>29</v>
      </c>
    </row>
    <row r="560" spans="1:12" x14ac:dyDescent="0.25">
      <c r="A560">
        <v>559</v>
      </c>
      <c r="B560" t="s">
        <v>2524</v>
      </c>
      <c r="C560">
        <v>36</v>
      </c>
      <c r="J560">
        <v>559</v>
      </c>
      <c r="K560" t="s">
        <v>2524</v>
      </c>
      <c r="L560">
        <v>36</v>
      </c>
    </row>
    <row r="561" spans="1:12" x14ac:dyDescent="0.25">
      <c r="A561">
        <v>560</v>
      </c>
      <c r="B561" t="s">
        <v>2525</v>
      </c>
      <c r="C561">
        <v>26</v>
      </c>
      <c r="J561">
        <v>560</v>
      </c>
      <c r="K561" t="s">
        <v>2525</v>
      </c>
      <c r="L561">
        <v>26</v>
      </c>
    </row>
    <row r="562" spans="1:12" x14ac:dyDescent="0.25">
      <c r="A562">
        <v>561</v>
      </c>
      <c r="B562" t="s">
        <v>2526</v>
      </c>
      <c r="C562">
        <v>26</v>
      </c>
      <c r="J562">
        <v>561</v>
      </c>
      <c r="K562" t="s">
        <v>2526</v>
      </c>
      <c r="L562">
        <v>26</v>
      </c>
    </row>
    <row r="563" spans="1:12" x14ac:dyDescent="0.25">
      <c r="A563">
        <v>562</v>
      </c>
      <c r="B563" t="s">
        <v>2527</v>
      </c>
      <c r="C563">
        <v>40</v>
      </c>
      <c r="J563">
        <v>562</v>
      </c>
      <c r="K563" t="s">
        <v>2527</v>
      </c>
      <c r="L563">
        <v>40</v>
      </c>
    </row>
    <row r="564" spans="1:12" x14ac:dyDescent="0.25">
      <c r="A564">
        <v>563</v>
      </c>
      <c r="B564" t="s">
        <v>2528</v>
      </c>
      <c r="C564">
        <v>40</v>
      </c>
      <c r="J564">
        <v>563</v>
      </c>
      <c r="K564" t="s">
        <v>2528</v>
      </c>
      <c r="L564">
        <v>40</v>
      </c>
    </row>
    <row r="565" spans="1:12" x14ac:dyDescent="0.25">
      <c r="A565">
        <v>564</v>
      </c>
      <c r="B565" t="s">
        <v>2529</v>
      </c>
      <c r="C565">
        <v>28</v>
      </c>
      <c r="J565">
        <v>564</v>
      </c>
      <c r="K565" t="s">
        <v>2529</v>
      </c>
      <c r="L565">
        <v>28</v>
      </c>
    </row>
    <row r="566" spans="1:12" x14ac:dyDescent="0.25">
      <c r="A566">
        <v>565</v>
      </c>
      <c r="B566" t="s">
        <v>2530</v>
      </c>
      <c r="C566">
        <v>31</v>
      </c>
      <c r="J566">
        <v>565</v>
      </c>
      <c r="K566" t="s">
        <v>2530</v>
      </c>
      <c r="L566">
        <v>31</v>
      </c>
    </row>
    <row r="567" spans="1:12" x14ac:dyDescent="0.25">
      <c r="A567">
        <v>566</v>
      </c>
      <c r="B567" t="s">
        <v>2531</v>
      </c>
      <c r="C567">
        <v>34</v>
      </c>
      <c r="J567">
        <v>566</v>
      </c>
      <c r="K567" t="s">
        <v>2531</v>
      </c>
      <c r="L567">
        <v>34</v>
      </c>
    </row>
    <row r="568" spans="1:12" x14ac:dyDescent="0.25">
      <c r="A568">
        <v>567</v>
      </c>
      <c r="B568" t="s">
        <v>2532</v>
      </c>
      <c r="C568">
        <v>35</v>
      </c>
      <c r="J568">
        <v>567</v>
      </c>
      <c r="K568" t="s">
        <v>2532</v>
      </c>
      <c r="L568">
        <v>35</v>
      </c>
    </row>
    <row r="569" spans="1:12" x14ac:dyDescent="0.25">
      <c r="A569">
        <v>568</v>
      </c>
      <c r="B569" t="s">
        <v>2533</v>
      </c>
      <c r="C569">
        <v>25</v>
      </c>
      <c r="J569">
        <v>568</v>
      </c>
      <c r="K569" t="s">
        <v>2533</v>
      </c>
      <c r="L569">
        <v>25</v>
      </c>
    </row>
    <row r="570" spans="1:12" x14ac:dyDescent="0.25">
      <c r="A570">
        <v>569</v>
      </c>
      <c r="B570" t="s">
        <v>2534</v>
      </c>
      <c r="C570">
        <v>19</v>
      </c>
      <c r="J570">
        <v>569</v>
      </c>
      <c r="K570" t="s">
        <v>2534</v>
      </c>
      <c r="L570">
        <v>19</v>
      </c>
    </row>
    <row r="571" spans="1:12" x14ac:dyDescent="0.25">
      <c r="A571">
        <v>570</v>
      </c>
      <c r="B571" t="s">
        <v>2535</v>
      </c>
      <c r="C571">
        <v>32</v>
      </c>
      <c r="J571">
        <v>570</v>
      </c>
      <c r="K571" t="s">
        <v>2535</v>
      </c>
      <c r="L571">
        <v>32</v>
      </c>
    </row>
    <row r="572" spans="1:12" x14ac:dyDescent="0.25">
      <c r="A572">
        <v>571</v>
      </c>
      <c r="B572" t="s">
        <v>2536</v>
      </c>
      <c r="C572">
        <v>27</v>
      </c>
      <c r="J572">
        <v>571</v>
      </c>
      <c r="K572" t="s">
        <v>2536</v>
      </c>
      <c r="L572">
        <v>27</v>
      </c>
    </row>
    <row r="573" spans="1:12" x14ac:dyDescent="0.25">
      <c r="A573">
        <v>572</v>
      </c>
      <c r="B573" t="s">
        <v>2537</v>
      </c>
      <c r="C573">
        <v>27</v>
      </c>
      <c r="J573">
        <v>572</v>
      </c>
      <c r="K573" t="s">
        <v>2537</v>
      </c>
      <c r="L573">
        <v>27</v>
      </c>
    </row>
    <row r="574" spans="1:12" x14ac:dyDescent="0.25">
      <c r="A574">
        <v>573</v>
      </c>
      <c r="B574" t="s">
        <v>2538</v>
      </c>
      <c r="C574">
        <v>25</v>
      </c>
      <c r="J574">
        <v>573</v>
      </c>
      <c r="K574" t="s">
        <v>2538</v>
      </c>
      <c r="L574">
        <v>25</v>
      </c>
    </row>
    <row r="575" spans="1:12" x14ac:dyDescent="0.25">
      <c r="A575">
        <v>574</v>
      </c>
      <c r="B575" t="s">
        <v>2539</v>
      </c>
      <c r="C575">
        <v>23</v>
      </c>
      <c r="J575">
        <v>574</v>
      </c>
      <c r="K575" t="s">
        <v>2539</v>
      </c>
      <c r="L575">
        <v>23</v>
      </c>
    </row>
    <row r="576" spans="1:12" x14ac:dyDescent="0.25">
      <c r="A576">
        <v>575</v>
      </c>
      <c r="B576" t="s">
        <v>2540</v>
      </c>
      <c r="C576">
        <v>25</v>
      </c>
      <c r="J576">
        <v>575</v>
      </c>
      <c r="K576" t="s">
        <v>2540</v>
      </c>
      <c r="L576">
        <v>25</v>
      </c>
    </row>
    <row r="577" spans="1:12" x14ac:dyDescent="0.25">
      <c r="A577">
        <v>576</v>
      </c>
      <c r="B577" t="s">
        <v>2541</v>
      </c>
      <c r="C577">
        <v>19</v>
      </c>
      <c r="J577">
        <v>576</v>
      </c>
      <c r="K577" t="s">
        <v>2541</v>
      </c>
      <c r="L577">
        <v>19</v>
      </c>
    </row>
    <row r="578" spans="1:12" x14ac:dyDescent="0.25">
      <c r="A578">
        <v>577</v>
      </c>
      <c r="B578" t="s">
        <v>2542</v>
      </c>
      <c r="C578">
        <v>15</v>
      </c>
      <c r="J578">
        <v>577</v>
      </c>
      <c r="K578" t="s">
        <v>2542</v>
      </c>
      <c r="L578">
        <v>15</v>
      </c>
    </row>
    <row r="579" spans="1:12" x14ac:dyDescent="0.25">
      <c r="A579">
        <v>578</v>
      </c>
      <c r="B579" t="s">
        <v>2543</v>
      </c>
      <c r="C579">
        <v>44</v>
      </c>
      <c r="J579">
        <v>578</v>
      </c>
      <c r="K579" t="s">
        <v>2543</v>
      </c>
      <c r="L579">
        <v>44</v>
      </c>
    </row>
    <row r="580" spans="1:12" x14ac:dyDescent="0.25">
      <c r="A580">
        <v>579</v>
      </c>
      <c r="B580" t="s">
        <v>2544</v>
      </c>
      <c r="C580">
        <v>32</v>
      </c>
      <c r="J580">
        <v>579</v>
      </c>
      <c r="K580" t="s">
        <v>2544</v>
      </c>
      <c r="L580">
        <v>32</v>
      </c>
    </row>
    <row r="581" spans="1:12" x14ac:dyDescent="0.25">
      <c r="A581">
        <v>580</v>
      </c>
      <c r="B581" t="s">
        <v>2545</v>
      </c>
      <c r="C581">
        <v>40</v>
      </c>
      <c r="J581">
        <v>580</v>
      </c>
      <c r="K581" t="s">
        <v>2545</v>
      </c>
      <c r="L581">
        <v>40</v>
      </c>
    </row>
    <row r="582" spans="1:12" x14ac:dyDescent="0.25">
      <c r="A582">
        <v>581</v>
      </c>
      <c r="B582" t="s">
        <v>2546</v>
      </c>
      <c r="C582">
        <v>48</v>
      </c>
      <c r="J582">
        <v>581</v>
      </c>
      <c r="K582" t="s">
        <v>2546</v>
      </c>
      <c r="L582">
        <v>48</v>
      </c>
    </row>
    <row r="583" spans="1:12" x14ac:dyDescent="0.25">
      <c r="A583">
        <v>582</v>
      </c>
      <c r="B583" t="s">
        <v>2547</v>
      </c>
      <c r="C583">
        <v>29</v>
      </c>
      <c r="J583">
        <v>582</v>
      </c>
      <c r="K583" t="s">
        <v>2547</v>
      </c>
      <c r="L583">
        <v>29</v>
      </c>
    </row>
    <row r="584" spans="1:12" x14ac:dyDescent="0.25">
      <c r="A584">
        <v>583</v>
      </c>
      <c r="B584" t="s">
        <v>2548</v>
      </c>
      <c r="C584">
        <v>66</v>
      </c>
      <c r="J584">
        <v>583</v>
      </c>
      <c r="K584" t="s">
        <v>2548</v>
      </c>
      <c r="L584">
        <v>66</v>
      </c>
    </row>
    <row r="585" spans="1:12" x14ac:dyDescent="0.25">
      <c r="A585">
        <v>584</v>
      </c>
      <c r="B585" t="s">
        <v>2549</v>
      </c>
      <c r="C585">
        <v>86</v>
      </c>
      <c r="J585">
        <v>584</v>
      </c>
      <c r="K585" t="s">
        <v>2549</v>
      </c>
      <c r="L585">
        <v>86</v>
      </c>
    </row>
    <row r="586" spans="1:12" x14ac:dyDescent="0.25">
      <c r="A586">
        <v>585</v>
      </c>
      <c r="B586" t="s">
        <v>2550</v>
      </c>
      <c r="C586">
        <v>85</v>
      </c>
      <c r="J586">
        <v>585</v>
      </c>
      <c r="K586" t="s">
        <v>2550</v>
      </c>
      <c r="L586">
        <v>85</v>
      </c>
    </row>
    <row r="587" spans="1:12" x14ac:dyDescent="0.25">
      <c r="A587">
        <v>586</v>
      </c>
      <c r="B587" t="s">
        <v>2551</v>
      </c>
      <c r="C587">
        <v>63</v>
      </c>
      <c r="J587">
        <v>586</v>
      </c>
      <c r="K587" t="s">
        <v>2551</v>
      </c>
      <c r="L587">
        <v>63</v>
      </c>
    </row>
    <row r="588" spans="1:12" x14ac:dyDescent="0.25">
      <c r="A588">
        <v>587</v>
      </c>
      <c r="B588" t="s">
        <v>2552</v>
      </c>
      <c r="C588">
        <v>111</v>
      </c>
      <c r="J588">
        <v>587</v>
      </c>
      <c r="K588" t="s">
        <v>2552</v>
      </c>
      <c r="L588">
        <v>111</v>
      </c>
    </row>
    <row r="589" spans="1:12" x14ac:dyDescent="0.25">
      <c r="A589">
        <v>588</v>
      </c>
      <c r="B589" t="s">
        <v>2553</v>
      </c>
      <c r="C589">
        <v>108</v>
      </c>
      <c r="J589">
        <v>588</v>
      </c>
      <c r="K589" t="s">
        <v>2553</v>
      </c>
      <c r="L589">
        <v>108</v>
      </c>
    </row>
    <row r="590" spans="1:12" x14ac:dyDescent="0.25">
      <c r="A590">
        <v>589</v>
      </c>
      <c r="B590" t="s">
        <v>2554</v>
      </c>
      <c r="C590">
        <v>101</v>
      </c>
      <c r="J590">
        <v>589</v>
      </c>
      <c r="K590" t="s">
        <v>2554</v>
      </c>
      <c r="L590">
        <v>101</v>
      </c>
    </row>
    <row r="591" spans="1:12" x14ac:dyDescent="0.25">
      <c r="A591">
        <v>590</v>
      </c>
      <c r="B591" t="s">
        <v>2555</v>
      </c>
      <c r="C591">
        <v>89</v>
      </c>
      <c r="J591">
        <v>590</v>
      </c>
      <c r="K591" t="s">
        <v>2555</v>
      </c>
      <c r="L591">
        <v>89</v>
      </c>
    </row>
    <row r="592" spans="1:12" x14ac:dyDescent="0.25">
      <c r="A592">
        <v>591</v>
      </c>
      <c r="B592" t="s">
        <v>2556</v>
      </c>
      <c r="C592">
        <v>79</v>
      </c>
      <c r="J592">
        <v>591</v>
      </c>
      <c r="K592" t="s">
        <v>2556</v>
      </c>
      <c r="L592">
        <v>79</v>
      </c>
    </row>
    <row r="593" spans="1:12" x14ac:dyDescent="0.25">
      <c r="A593">
        <v>592</v>
      </c>
      <c r="B593" t="s">
        <v>2557</v>
      </c>
      <c r="C593">
        <v>66</v>
      </c>
      <c r="J593">
        <v>592</v>
      </c>
      <c r="K593" t="s">
        <v>2557</v>
      </c>
      <c r="L593">
        <v>66</v>
      </c>
    </row>
    <row r="594" spans="1:12" x14ac:dyDescent="0.25">
      <c r="A594">
        <v>593</v>
      </c>
      <c r="B594" t="s">
        <v>2558</v>
      </c>
      <c r="C594">
        <v>68</v>
      </c>
      <c r="J594">
        <v>593</v>
      </c>
      <c r="K594" t="s">
        <v>2558</v>
      </c>
      <c r="L594">
        <v>68</v>
      </c>
    </row>
    <row r="595" spans="1:12" x14ac:dyDescent="0.25">
      <c r="A595">
        <v>594</v>
      </c>
      <c r="B595" t="s">
        <v>2559</v>
      </c>
      <c r="C595">
        <v>87</v>
      </c>
      <c r="J595">
        <v>594</v>
      </c>
      <c r="K595" t="s">
        <v>2559</v>
      </c>
      <c r="L595">
        <v>87</v>
      </c>
    </row>
    <row r="596" spans="1:12" x14ac:dyDescent="0.25">
      <c r="A596">
        <v>595</v>
      </c>
      <c r="B596" t="s">
        <v>2560</v>
      </c>
      <c r="C596">
        <v>75</v>
      </c>
      <c r="J596">
        <v>595</v>
      </c>
      <c r="K596" t="s">
        <v>2560</v>
      </c>
      <c r="L596">
        <v>75</v>
      </c>
    </row>
    <row r="597" spans="1:12" x14ac:dyDescent="0.25">
      <c r="A597">
        <v>596</v>
      </c>
      <c r="B597" t="s">
        <v>2561</v>
      </c>
      <c r="C597">
        <v>86</v>
      </c>
      <c r="J597">
        <v>596</v>
      </c>
      <c r="K597" t="s">
        <v>2561</v>
      </c>
      <c r="L597">
        <v>86</v>
      </c>
    </row>
    <row r="598" spans="1:12" x14ac:dyDescent="0.25">
      <c r="A598">
        <v>597</v>
      </c>
      <c r="B598" t="s">
        <v>2562</v>
      </c>
      <c r="C598">
        <v>98</v>
      </c>
      <c r="J598">
        <v>597</v>
      </c>
      <c r="K598" t="s">
        <v>2562</v>
      </c>
      <c r="L598">
        <v>98</v>
      </c>
    </row>
    <row r="599" spans="1:12" x14ac:dyDescent="0.25">
      <c r="A599">
        <v>598</v>
      </c>
      <c r="B599" t="s">
        <v>2563</v>
      </c>
      <c r="C599">
        <v>60</v>
      </c>
      <c r="J599">
        <v>598</v>
      </c>
      <c r="K599" t="s">
        <v>2563</v>
      </c>
      <c r="L599">
        <v>60</v>
      </c>
    </row>
    <row r="600" spans="1:12" x14ac:dyDescent="0.25">
      <c r="A600">
        <v>599</v>
      </c>
      <c r="B600" t="s">
        <v>2564</v>
      </c>
      <c r="C600">
        <v>64</v>
      </c>
      <c r="J600">
        <v>599</v>
      </c>
      <c r="K600" t="s">
        <v>2564</v>
      </c>
      <c r="L600">
        <v>64</v>
      </c>
    </row>
    <row r="601" spans="1:12" x14ac:dyDescent="0.25">
      <c r="A601">
        <v>600</v>
      </c>
      <c r="B601" t="s">
        <v>2565</v>
      </c>
      <c r="C601">
        <v>82</v>
      </c>
      <c r="J601">
        <v>600</v>
      </c>
      <c r="K601" t="s">
        <v>2565</v>
      </c>
      <c r="L601">
        <v>82</v>
      </c>
    </row>
    <row r="602" spans="1:12" x14ac:dyDescent="0.25">
      <c r="A602">
        <v>601</v>
      </c>
      <c r="B602" t="s">
        <v>2566</v>
      </c>
      <c r="C602">
        <v>70</v>
      </c>
      <c r="J602">
        <v>601</v>
      </c>
      <c r="K602" t="s">
        <v>2566</v>
      </c>
      <c r="L602">
        <v>70</v>
      </c>
    </row>
    <row r="603" spans="1:12" x14ac:dyDescent="0.25">
      <c r="A603">
        <v>602</v>
      </c>
      <c r="B603" t="s">
        <v>2567</v>
      </c>
      <c r="C603">
        <v>77</v>
      </c>
      <c r="J603">
        <v>602</v>
      </c>
      <c r="K603" t="s">
        <v>2567</v>
      </c>
      <c r="L603">
        <v>77</v>
      </c>
    </row>
    <row r="604" spans="1:12" x14ac:dyDescent="0.25">
      <c r="A604">
        <v>603</v>
      </c>
      <c r="B604" t="s">
        <v>2568</v>
      </c>
      <c r="C604">
        <v>65</v>
      </c>
      <c r="J604">
        <v>603</v>
      </c>
      <c r="K604" t="s">
        <v>2568</v>
      </c>
      <c r="L604">
        <v>65</v>
      </c>
    </row>
    <row r="605" spans="1:12" x14ac:dyDescent="0.25">
      <c r="A605">
        <v>604</v>
      </c>
      <c r="B605" t="s">
        <v>2569</v>
      </c>
      <c r="C605">
        <v>82</v>
      </c>
      <c r="J605">
        <v>604</v>
      </c>
      <c r="K605" t="s">
        <v>2569</v>
      </c>
      <c r="L605">
        <v>82</v>
      </c>
    </row>
    <row r="606" spans="1:12" x14ac:dyDescent="0.25">
      <c r="A606">
        <v>605</v>
      </c>
      <c r="B606" t="s">
        <v>2570</v>
      </c>
      <c r="C606">
        <v>77</v>
      </c>
      <c r="J606">
        <v>605</v>
      </c>
      <c r="K606" t="s">
        <v>2570</v>
      </c>
      <c r="L606">
        <v>77</v>
      </c>
    </row>
    <row r="607" spans="1:12" x14ac:dyDescent="0.25">
      <c r="A607">
        <v>606</v>
      </c>
      <c r="B607" t="s">
        <v>2571</v>
      </c>
      <c r="C607">
        <v>70</v>
      </c>
      <c r="J607">
        <v>606</v>
      </c>
      <c r="K607" t="s">
        <v>2571</v>
      </c>
      <c r="L607">
        <v>70</v>
      </c>
    </row>
    <row r="608" spans="1:12" x14ac:dyDescent="0.25">
      <c r="A608">
        <v>607</v>
      </c>
      <c r="B608" t="s">
        <v>2572</v>
      </c>
      <c r="C608">
        <v>73</v>
      </c>
      <c r="J608">
        <v>607</v>
      </c>
      <c r="K608" t="s">
        <v>2572</v>
      </c>
      <c r="L608">
        <v>73</v>
      </c>
    </row>
    <row r="609" spans="1:12" x14ac:dyDescent="0.25">
      <c r="A609">
        <v>608</v>
      </c>
      <c r="B609" t="s">
        <v>2573</v>
      </c>
      <c r="C609">
        <v>67</v>
      </c>
      <c r="J609">
        <v>608</v>
      </c>
      <c r="K609" t="s">
        <v>2573</v>
      </c>
      <c r="L609">
        <v>67</v>
      </c>
    </row>
    <row r="610" spans="1:12" x14ac:dyDescent="0.25">
      <c r="A610">
        <v>609</v>
      </c>
      <c r="B610" t="s">
        <v>2574</v>
      </c>
      <c r="C610">
        <v>64</v>
      </c>
      <c r="J610">
        <v>609</v>
      </c>
      <c r="K610" t="s">
        <v>2574</v>
      </c>
      <c r="L610">
        <v>64</v>
      </c>
    </row>
    <row r="611" spans="1:12" x14ac:dyDescent="0.25">
      <c r="A611">
        <v>610</v>
      </c>
      <c r="B611" t="s">
        <v>2575</v>
      </c>
      <c r="C611">
        <v>89</v>
      </c>
      <c r="J611">
        <v>610</v>
      </c>
      <c r="K611" t="s">
        <v>2575</v>
      </c>
      <c r="L611">
        <v>89</v>
      </c>
    </row>
    <row r="612" spans="1:12" x14ac:dyDescent="0.25">
      <c r="A612">
        <v>611</v>
      </c>
      <c r="B612" t="s">
        <v>2576</v>
      </c>
      <c r="C612">
        <v>46</v>
      </c>
      <c r="J612">
        <v>611</v>
      </c>
      <c r="K612" t="s">
        <v>2576</v>
      </c>
      <c r="L612">
        <v>46</v>
      </c>
    </row>
    <row r="613" spans="1:12" x14ac:dyDescent="0.25">
      <c r="A613">
        <v>612</v>
      </c>
      <c r="B613" t="s">
        <v>2577</v>
      </c>
      <c r="C613">
        <v>76</v>
      </c>
      <c r="J613">
        <v>612</v>
      </c>
      <c r="K613" t="s">
        <v>2577</v>
      </c>
      <c r="L613">
        <v>76</v>
      </c>
    </row>
    <row r="614" spans="1:12" x14ac:dyDescent="0.25">
      <c r="A614">
        <v>613</v>
      </c>
      <c r="B614" t="s">
        <v>2578</v>
      </c>
      <c r="C614">
        <v>74</v>
      </c>
      <c r="J614">
        <v>613</v>
      </c>
      <c r="K614" t="s">
        <v>2578</v>
      </c>
      <c r="L614">
        <v>74</v>
      </c>
    </row>
    <row r="615" spans="1:12" x14ac:dyDescent="0.25">
      <c r="A615">
        <v>614</v>
      </c>
      <c r="B615" t="s">
        <v>2579</v>
      </c>
      <c r="C615">
        <v>70</v>
      </c>
      <c r="J615">
        <v>614</v>
      </c>
      <c r="K615" t="s">
        <v>2579</v>
      </c>
      <c r="L615">
        <v>70</v>
      </c>
    </row>
    <row r="616" spans="1:12" x14ac:dyDescent="0.25">
      <c r="A616">
        <v>615</v>
      </c>
      <c r="B616" t="s">
        <v>2580</v>
      </c>
      <c r="C616">
        <v>45</v>
      </c>
      <c r="J616">
        <v>615</v>
      </c>
      <c r="K616" t="s">
        <v>2580</v>
      </c>
      <c r="L616">
        <v>45</v>
      </c>
    </row>
    <row r="617" spans="1:12" x14ac:dyDescent="0.25">
      <c r="A617">
        <v>616</v>
      </c>
      <c r="B617" t="s">
        <v>2581</v>
      </c>
      <c r="C617">
        <v>47</v>
      </c>
      <c r="J617">
        <v>616</v>
      </c>
      <c r="K617" t="s">
        <v>2581</v>
      </c>
      <c r="L617">
        <v>47</v>
      </c>
    </row>
    <row r="618" spans="1:12" x14ac:dyDescent="0.25">
      <c r="A618">
        <v>617</v>
      </c>
      <c r="B618" t="s">
        <v>2582</v>
      </c>
      <c r="C618">
        <v>47</v>
      </c>
      <c r="J618">
        <v>617</v>
      </c>
      <c r="K618" t="s">
        <v>2582</v>
      </c>
      <c r="L618">
        <v>47</v>
      </c>
    </row>
    <row r="619" spans="1:12" x14ac:dyDescent="0.25">
      <c r="A619">
        <v>618</v>
      </c>
      <c r="B619" t="s">
        <v>2583</v>
      </c>
      <c r="C619">
        <v>71</v>
      </c>
      <c r="J619">
        <v>618</v>
      </c>
      <c r="K619" t="s">
        <v>2583</v>
      </c>
      <c r="L619">
        <v>71</v>
      </c>
    </row>
    <row r="620" spans="1:12" x14ac:dyDescent="0.25">
      <c r="A620">
        <v>619</v>
      </c>
      <c r="B620" t="s">
        <v>2584</v>
      </c>
      <c r="C620">
        <v>55</v>
      </c>
      <c r="J620">
        <v>619</v>
      </c>
      <c r="K620" t="s">
        <v>2584</v>
      </c>
      <c r="L620">
        <v>55</v>
      </c>
    </row>
    <row r="621" spans="1:12" x14ac:dyDescent="0.25">
      <c r="A621">
        <v>620</v>
      </c>
      <c r="B621" t="s">
        <v>2585</v>
      </c>
      <c r="C621">
        <v>58</v>
      </c>
      <c r="J621">
        <v>620</v>
      </c>
      <c r="K621" t="s">
        <v>2585</v>
      </c>
      <c r="L621">
        <v>58</v>
      </c>
    </row>
    <row r="622" spans="1:12" x14ac:dyDescent="0.25">
      <c r="A622">
        <v>621</v>
      </c>
      <c r="B622" t="s">
        <v>2586</v>
      </c>
      <c r="C622">
        <v>54</v>
      </c>
      <c r="J622">
        <v>621</v>
      </c>
      <c r="K622" t="s">
        <v>2586</v>
      </c>
      <c r="L622">
        <v>54</v>
      </c>
    </row>
    <row r="623" spans="1:12" x14ac:dyDescent="0.25">
      <c r="A623">
        <v>622</v>
      </c>
      <c r="B623" t="s">
        <v>2587</v>
      </c>
      <c r="C623">
        <v>52</v>
      </c>
      <c r="J623">
        <v>622</v>
      </c>
      <c r="K623" t="s">
        <v>2587</v>
      </c>
      <c r="L623">
        <v>52</v>
      </c>
    </row>
    <row r="624" spans="1:12" x14ac:dyDescent="0.25">
      <c r="A624">
        <v>623</v>
      </c>
      <c r="B624" t="s">
        <v>2588</v>
      </c>
      <c r="C624">
        <v>39</v>
      </c>
      <c r="J624">
        <v>623</v>
      </c>
      <c r="K624" t="s">
        <v>2588</v>
      </c>
      <c r="L624">
        <v>39</v>
      </c>
    </row>
    <row r="625" spans="1:12" x14ac:dyDescent="0.25">
      <c r="A625">
        <v>624</v>
      </c>
      <c r="B625" t="s">
        <v>2589</v>
      </c>
      <c r="C625">
        <v>54</v>
      </c>
      <c r="J625">
        <v>624</v>
      </c>
      <c r="K625" t="s">
        <v>2589</v>
      </c>
      <c r="L625">
        <v>54</v>
      </c>
    </row>
    <row r="626" spans="1:12" x14ac:dyDescent="0.25">
      <c r="A626">
        <v>625</v>
      </c>
      <c r="B626" t="s">
        <v>2590</v>
      </c>
      <c r="C626">
        <v>33</v>
      </c>
      <c r="J626">
        <v>625</v>
      </c>
      <c r="K626" t="s">
        <v>2590</v>
      </c>
      <c r="L626">
        <v>33</v>
      </c>
    </row>
    <row r="627" spans="1:12" x14ac:dyDescent="0.25">
      <c r="A627">
        <v>626</v>
      </c>
      <c r="B627" t="s">
        <v>2591</v>
      </c>
      <c r="C627">
        <v>47</v>
      </c>
      <c r="J627">
        <v>626</v>
      </c>
      <c r="K627" t="s">
        <v>2591</v>
      </c>
      <c r="L627">
        <v>47</v>
      </c>
    </row>
    <row r="628" spans="1:12" x14ac:dyDescent="0.25">
      <c r="A628">
        <v>627</v>
      </c>
      <c r="B628" t="s">
        <v>2592</v>
      </c>
      <c r="C628">
        <v>57</v>
      </c>
      <c r="J628">
        <v>627</v>
      </c>
      <c r="K628" t="s">
        <v>2592</v>
      </c>
      <c r="L628">
        <v>57</v>
      </c>
    </row>
    <row r="629" spans="1:12" x14ac:dyDescent="0.25">
      <c r="A629">
        <v>628</v>
      </c>
      <c r="B629" t="s">
        <v>2593</v>
      </c>
      <c r="C629">
        <v>47</v>
      </c>
      <c r="J629">
        <v>628</v>
      </c>
      <c r="K629" t="s">
        <v>2593</v>
      </c>
      <c r="L629">
        <v>47</v>
      </c>
    </row>
    <row r="630" spans="1:12" x14ac:dyDescent="0.25">
      <c r="A630">
        <v>629</v>
      </c>
      <c r="B630" t="s">
        <v>2594</v>
      </c>
      <c r="C630">
        <v>49</v>
      </c>
      <c r="J630">
        <v>629</v>
      </c>
      <c r="K630" t="s">
        <v>2594</v>
      </c>
      <c r="L630">
        <v>49</v>
      </c>
    </row>
    <row r="631" spans="1:12" x14ac:dyDescent="0.25">
      <c r="A631">
        <v>630</v>
      </c>
      <c r="B631" t="s">
        <v>2595</v>
      </c>
      <c r="C631">
        <v>39</v>
      </c>
      <c r="J631">
        <v>630</v>
      </c>
      <c r="K631" t="s">
        <v>2595</v>
      </c>
      <c r="L631">
        <v>39</v>
      </c>
    </row>
    <row r="632" spans="1:12" x14ac:dyDescent="0.25">
      <c r="A632">
        <v>631</v>
      </c>
      <c r="B632" t="s">
        <v>2596</v>
      </c>
      <c r="C632">
        <v>44</v>
      </c>
      <c r="J632">
        <v>631</v>
      </c>
      <c r="K632" t="s">
        <v>2596</v>
      </c>
      <c r="L632">
        <v>44</v>
      </c>
    </row>
    <row r="633" spans="1:12" x14ac:dyDescent="0.25">
      <c r="A633">
        <v>632</v>
      </c>
      <c r="B633" t="s">
        <v>2597</v>
      </c>
      <c r="C633">
        <v>47</v>
      </c>
      <c r="J633">
        <v>632</v>
      </c>
      <c r="K633" t="s">
        <v>2597</v>
      </c>
      <c r="L633">
        <v>47</v>
      </c>
    </row>
    <row r="634" spans="1:12" x14ac:dyDescent="0.25">
      <c r="A634">
        <v>633</v>
      </c>
      <c r="B634" t="s">
        <v>2598</v>
      </c>
      <c r="C634">
        <v>52</v>
      </c>
      <c r="J634">
        <v>633</v>
      </c>
      <c r="K634" t="s">
        <v>2598</v>
      </c>
      <c r="L634">
        <v>52</v>
      </c>
    </row>
    <row r="635" spans="1:12" x14ac:dyDescent="0.25">
      <c r="A635">
        <v>634</v>
      </c>
      <c r="B635" t="s">
        <v>2599</v>
      </c>
      <c r="C635">
        <v>45</v>
      </c>
      <c r="J635">
        <v>634</v>
      </c>
      <c r="K635" t="s">
        <v>2599</v>
      </c>
      <c r="L635">
        <v>45</v>
      </c>
    </row>
    <row r="636" spans="1:12" x14ac:dyDescent="0.25">
      <c r="A636">
        <v>635</v>
      </c>
      <c r="B636" t="s">
        <v>2600</v>
      </c>
      <c r="C636">
        <v>57</v>
      </c>
      <c r="J636">
        <v>635</v>
      </c>
      <c r="K636" t="s">
        <v>2600</v>
      </c>
      <c r="L636">
        <v>57</v>
      </c>
    </row>
    <row r="637" spans="1:12" x14ac:dyDescent="0.25">
      <c r="A637">
        <v>636</v>
      </c>
      <c r="B637" t="s">
        <v>2601</v>
      </c>
      <c r="C637">
        <v>50</v>
      </c>
      <c r="J637">
        <v>636</v>
      </c>
      <c r="K637" t="s">
        <v>2601</v>
      </c>
      <c r="L637">
        <v>50</v>
      </c>
    </row>
    <row r="638" spans="1:12" x14ac:dyDescent="0.25">
      <c r="A638">
        <v>637</v>
      </c>
      <c r="B638" t="s">
        <v>2602</v>
      </c>
      <c r="C638">
        <v>44</v>
      </c>
      <c r="J638">
        <v>637</v>
      </c>
      <c r="K638" t="s">
        <v>2602</v>
      </c>
      <c r="L638">
        <v>44</v>
      </c>
    </row>
    <row r="639" spans="1:12" x14ac:dyDescent="0.25">
      <c r="A639">
        <v>638</v>
      </c>
      <c r="B639" t="s">
        <v>2603</v>
      </c>
      <c r="C639">
        <v>37</v>
      </c>
      <c r="J639">
        <v>638</v>
      </c>
      <c r="K639" t="s">
        <v>2603</v>
      </c>
      <c r="L639">
        <v>37</v>
      </c>
    </row>
    <row r="640" spans="1:12" x14ac:dyDescent="0.25">
      <c r="A640">
        <v>639</v>
      </c>
      <c r="B640" t="s">
        <v>2604</v>
      </c>
      <c r="C640">
        <v>52</v>
      </c>
      <c r="J640">
        <v>639</v>
      </c>
      <c r="K640" t="s">
        <v>2604</v>
      </c>
      <c r="L640">
        <v>52</v>
      </c>
    </row>
    <row r="641" spans="1:12" x14ac:dyDescent="0.25">
      <c r="A641">
        <v>640</v>
      </c>
      <c r="B641" t="s">
        <v>2605</v>
      </c>
      <c r="C641">
        <v>49</v>
      </c>
      <c r="J641">
        <v>640</v>
      </c>
      <c r="K641" t="s">
        <v>2605</v>
      </c>
      <c r="L641">
        <v>49</v>
      </c>
    </row>
    <row r="642" spans="1:12" x14ac:dyDescent="0.25">
      <c r="A642">
        <v>641</v>
      </c>
      <c r="B642" t="s">
        <v>2606</v>
      </c>
      <c r="C642">
        <v>31</v>
      </c>
      <c r="J642">
        <v>641</v>
      </c>
      <c r="K642" t="s">
        <v>2606</v>
      </c>
      <c r="L642">
        <v>31</v>
      </c>
    </row>
    <row r="643" spans="1:12" x14ac:dyDescent="0.25">
      <c r="A643">
        <v>642</v>
      </c>
      <c r="B643" t="s">
        <v>2607</v>
      </c>
      <c r="C643">
        <v>44</v>
      </c>
      <c r="J643">
        <v>642</v>
      </c>
      <c r="K643" t="s">
        <v>2607</v>
      </c>
      <c r="L643">
        <v>44</v>
      </c>
    </row>
    <row r="644" spans="1:12" x14ac:dyDescent="0.25">
      <c r="A644">
        <v>643</v>
      </c>
      <c r="B644" t="s">
        <v>2608</v>
      </c>
      <c r="C644">
        <v>57</v>
      </c>
      <c r="J644">
        <v>643</v>
      </c>
      <c r="K644" t="s">
        <v>2608</v>
      </c>
      <c r="L644">
        <v>57</v>
      </c>
    </row>
    <row r="645" spans="1:12" x14ac:dyDescent="0.25">
      <c r="A645">
        <v>644</v>
      </c>
      <c r="B645" t="s">
        <v>2609</v>
      </c>
      <c r="C645">
        <v>46</v>
      </c>
      <c r="J645">
        <v>644</v>
      </c>
      <c r="K645" t="s">
        <v>2609</v>
      </c>
      <c r="L645">
        <v>46</v>
      </c>
    </row>
    <row r="646" spans="1:12" x14ac:dyDescent="0.25">
      <c r="A646">
        <v>645</v>
      </c>
      <c r="B646" t="s">
        <v>2610</v>
      </c>
      <c r="C646">
        <v>44</v>
      </c>
      <c r="J646">
        <v>645</v>
      </c>
      <c r="K646" t="s">
        <v>2610</v>
      </c>
      <c r="L646">
        <v>44</v>
      </c>
    </row>
    <row r="647" spans="1:12" x14ac:dyDescent="0.25">
      <c r="A647">
        <v>646</v>
      </c>
      <c r="B647" t="s">
        <v>2611</v>
      </c>
      <c r="C647">
        <v>40</v>
      </c>
      <c r="J647">
        <v>646</v>
      </c>
      <c r="K647" t="s">
        <v>2611</v>
      </c>
      <c r="L647">
        <v>40</v>
      </c>
    </row>
    <row r="648" spans="1:12" x14ac:dyDescent="0.25">
      <c r="A648">
        <v>647</v>
      </c>
      <c r="B648" t="s">
        <v>2612</v>
      </c>
      <c r="C648">
        <v>37</v>
      </c>
      <c r="J648">
        <v>647</v>
      </c>
      <c r="K648" t="s">
        <v>2612</v>
      </c>
      <c r="L648">
        <v>37</v>
      </c>
    </row>
    <row r="649" spans="1:12" x14ac:dyDescent="0.25">
      <c r="A649">
        <v>648</v>
      </c>
      <c r="B649" t="s">
        <v>2613</v>
      </c>
      <c r="C649">
        <v>42</v>
      </c>
      <c r="J649">
        <v>648</v>
      </c>
      <c r="K649" t="s">
        <v>2613</v>
      </c>
      <c r="L649">
        <v>42</v>
      </c>
    </row>
    <row r="650" spans="1:12" x14ac:dyDescent="0.25">
      <c r="A650">
        <v>649</v>
      </c>
      <c r="B650" t="s">
        <v>2614</v>
      </c>
      <c r="C650">
        <v>46</v>
      </c>
      <c r="J650">
        <v>649</v>
      </c>
      <c r="K650" t="s">
        <v>2614</v>
      </c>
      <c r="L650">
        <v>46</v>
      </c>
    </row>
    <row r="651" spans="1:12" x14ac:dyDescent="0.25">
      <c r="A651">
        <v>650</v>
      </c>
      <c r="B651" t="s">
        <v>2615</v>
      </c>
      <c r="C651">
        <v>53</v>
      </c>
      <c r="J651">
        <v>650</v>
      </c>
      <c r="K651" t="s">
        <v>2615</v>
      </c>
      <c r="L651">
        <v>53</v>
      </c>
    </row>
    <row r="652" spans="1:12" x14ac:dyDescent="0.25">
      <c r="A652">
        <v>651</v>
      </c>
      <c r="B652" t="s">
        <v>2616</v>
      </c>
      <c r="C652">
        <v>35</v>
      </c>
      <c r="J652">
        <v>651</v>
      </c>
      <c r="K652" t="s">
        <v>2616</v>
      </c>
      <c r="L652">
        <v>35</v>
      </c>
    </row>
    <row r="653" spans="1:12" x14ac:dyDescent="0.25">
      <c r="A653">
        <v>652</v>
      </c>
      <c r="B653" t="s">
        <v>2617</v>
      </c>
      <c r="C653">
        <v>33</v>
      </c>
      <c r="J653">
        <v>652</v>
      </c>
      <c r="K653" t="s">
        <v>2617</v>
      </c>
      <c r="L653">
        <v>33</v>
      </c>
    </row>
    <row r="654" spans="1:12" x14ac:dyDescent="0.25">
      <c r="A654">
        <v>653</v>
      </c>
      <c r="B654" t="s">
        <v>2618</v>
      </c>
      <c r="C654">
        <v>34</v>
      </c>
      <c r="J654">
        <v>653</v>
      </c>
      <c r="K654" t="s">
        <v>2618</v>
      </c>
      <c r="L654">
        <v>34</v>
      </c>
    </row>
    <row r="655" spans="1:12" x14ac:dyDescent="0.25">
      <c r="A655">
        <v>654</v>
      </c>
      <c r="B655" t="s">
        <v>2619</v>
      </c>
      <c r="C655">
        <v>44</v>
      </c>
      <c r="J655">
        <v>654</v>
      </c>
      <c r="K655" t="s">
        <v>2619</v>
      </c>
      <c r="L655">
        <v>44</v>
      </c>
    </row>
    <row r="656" spans="1:12" x14ac:dyDescent="0.25">
      <c r="A656">
        <v>655</v>
      </c>
      <c r="B656" t="s">
        <v>2620</v>
      </c>
      <c r="C656">
        <v>38</v>
      </c>
      <c r="J656">
        <v>655</v>
      </c>
      <c r="K656" t="s">
        <v>2620</v>
      </c>
      <c r="L656">
        <v>38</v>
      </c>
    </row>
    <row r="657" spans="1:12" x14ac:dyDescent="0.25">
      <c r="A657">
        <v>656</v>
      </c>
      <c r="B657" t="s">
        <v>2621</v>
      </c>
      <c r="C657">
        <v>44</v>
      </c>
      <c r="J657">
        <v>656</v>
      </c>
      <c r="K657" t="s">
        <v>2621</v>
      </c>
      <c r="L657">
        <v>44</v>
      </c>
    </row>
    <row r="658" spans="1:12" x14ac:dyDescent="0.25">
      <c r="A658">
        <v>657</v>
      </c>
      <c r="B658" t="s">
        <v>2622</v>
      </c>
      <c r="C658">
        <v>36</v>
      </c>
      <c r="J658">
        <v>657</v>
      </c>
      <c r="K658" t="s">
        <v>2622</v>
      </c>
      <c r="L658">
        <v>36</v>
      </c>
    </row>
    <row r="659" spans="1:12" x14ac:dyDescent="0.25">
      <c r="A659">
        <v>658</v>
      </c>
      <c r="B659" t="s">
        <v>2623</v>
      </c>
      <c r="C659">
        <v>34</v>
      </c>
      <c r="J659">
        <v>658</v>
      </c>
      <c r="K659" t="s">
        <v>2623</v>
      </c>
      <c r="L659">
        <v>34</v>
      </c>
    </row>
    <row r="660" spans="1:12" x14ac:dyDescent="0.25">
      <c r="A660">
        <v>659</v>
      </c>
      <c r="B660" t="s">
        <v>2624</v>
      </c>
      <c r="C660">
        <v>40</v>
      </c>
      <c r="J660">
        <v>659</v>
      </c>
      <c r="K660" t="s">
        <v>2624</v>
      </c>
      <c r="L660">
        <v>40</v>
      </c>
    </row>
    <row r="661" spans="1:12" x14ac:dyDescent="0.25">
      <c r="A661">
        <v>660</v>
      </c>
      <c r="B661" t="s">
        <v>2625</v>
      </c>
      <c r="C661">
        <v>14</v>
      </c>
      <c r="J661">
        <v>660</v>
      </c>
      <c r="K661" t="s">
        <v>2625</v>
      </c>
      <c r="L661">
        <v>14</v>
      </c>
    </row>
    <row r="662" spans="1:12" x14ac:dyDescent="0.25">
      <c r="A662">
        <v>661</v>
      </c>
      <c r="B662" t="s">
        <v>2626</v>
      </c>
      <c r="C662">
        <v>35</v>
      </c>
      <c r="J662">
        <v>661</v>
      </c>
      <c r="K662" t="s">
        <v>2626</v>
      </c>
      <c r="L662">
        <v>35</v>
      </c>
    </row>
    <row r="663" spans="1:12" x14ac:dyDescent="0.25">
      <c r="A663">
        <v>662</v>
      </c>
      <c r="B663" t="s">
        <v>2627</v>
      </c>
      <c r="C663">
        <v>30</v>
      </c>
      <c r="J663">
        <v>662</v>
      </c>
      <c r="K663" t="s">
        <v>2627</v>
      </c>
      <c r="L663">
        <v>30</v>
      </c>
    </row>
    <row r="664" spans="1:12" x14ac:dyDescent="0.25">
      <c r="A664">
        <v>663</v>
      </c>
      <c r="B664" t="s">
        <v>2628</v>
      </c>
      <c r="C664">
        <v>36</v>
      </c>
      <c r="J664">
        <v>663</v>
      </c>
      <c r="K664" t="s">
        <v>2628</v>
      </c>
      <c r="L664">
        <v>36</v>
      </c>
    </row>
    <row r="665" spans="1:12" x14ac:dyDescent="0.25">
      <c r="A665">
        <v>664</v>
      </c>
      <c r="B665" t="s">
        <v>2629</v>
      </c>
      <c r="C665">
        <v>56</v>
      </c>
      <c r="J665">
        <v>664</v>
      </c>
      <c r="K665" t="s">
        <v>2629</v>
      </c>
      <c r="L665">
        <v>56</v>
      </c>
    </row>
    <row r="666" spans="1:12" x14ac:dyDescent="0.25">
      <c r="A666">
        <v>665</v>
      </c>
      <c r="B666" t="s">
        <v>2630</v>
      </c>
      <c r="C666">
        <v>46</v>
      </c>
      <c r="J666">
        <v>665</v>
      </c>
      <c r="K666" t="s">
        <v>2630</v>
      </c>
      <c r="L666">
        <v>46</v>
      </c>
    </row>
    <row r="667" spans="1:12" x14ac:dyDescent="0.25">
      <c r="A667">
        <v>666</v>
      </c>
      <c r="B667" t="s">
        <v>2631</v>
      </c>
      <c r="C667">
        <v>28</v>
      </c>
      <c r="J667">
        <v>666</v>
      </c>
      <c r="K667" t="s">
        <v>2631</v>
      </c>
      <c r="L667">
        <v>28</v>
      </c>
    </row>
    <row r="668" spans="1:12" x14ac:dyDescent="0.25">
      <c r="A668">
        <v>667</v>
      </c>
      <c r="B668" t="s">
        <v>2632</v>
      </c>
      <c r="C668">
        <v>35</v>
      </c>
      <c r="J668">
        <v>667</v>
      </c>
      <c r="K668" t="s">
        <v>2632</v>
      </c>
      <c r="L668">
        <v>35</v>
      </c>
    </row>
    <row r="669" spans="1:12" x14ac:dyDescent="0.25">
      <c r="A669">
        <v>668</v>
      </c>
      <c r="B669" t="s">
        <v>2633</v>
      </c>
      <c r="C669">
        <v>55</v>
      </c>
      <c r="J669">
        <v>668</v>
      </c>
      <c r="K669" t="s">
        <v>2633</v>
      </c>
      <c r="L669">
        <v>55</v>
      </c>
    </row>
    <row r="670" spans="1:12" x14ac:dyDescent="0.25">
      <c r="A670">
        <v>669</v>
      </c>
      <c r="B670" t="s">
        <v>2634</v>
      </c>
      <c r="C670">
        <v>49</v>
      </c>
      <c r="J670">
        <v>669</v>
      </c>
      <c r="K670" t="s">
        <v>2634</v>
      </c>
      <c r="L670">
        <v>49</v>
      </c>
    </row>
    <row r="671" spans="1:12" x14ac:dyDescent="0.25">
      <c r="A671">
        <v>670</v>
      </c>
      <c r="B671" t="s">
        <v>2635</v>
      </c>
      <c r="C671">
        <v>44</v>
      </c>
      <c r="J671">
        <v>670</v>
      </c>
      <c r="K671" t="s">
        <v>2635</v>
      </c>
      <c r="L671">
        <v>44</v>
      </c>
    </row>
    <row r="672" spans="1:12" x14ac:dyDescent="0.25">
      <c r="A672">
        <v>671</v>
      </c>
      <c r="B672" t="s">
        <v>2636</v>
      </c>
      <c r="C672">
        <v>32</v>
      </c>
      <c r="J672">
        <v>671</v>
      </c>
      <c r="K672" t="s">
        <v>2636</v>
      </c>
      <c r="L672">
        <v>32</v>
      </c>
    </row>
    <row r="673" spans="1:12" x14ac:dyDescent="0.25">
      <c r="A673">
        <v>672</v>
      </c>
      <c r="B673" t="s">
        <v>2637</v>
      </c>
      <c r="C673">
        <v>37</v>
      </c>
      <c r="J673">
        <v>672</v>
      </c>
      <c r="K673" t="s">
        <v>2637</v>
      </c>
      <c r="L673">
        <v>37</v>
      </c>
    </row>
    <row r="674" spans="1:12" x14ac:dyDescent="0.25">
      <c r="A674">
        <v>673</v>
      </c>
      <c r="B674" t="s">
        <v>2638</v>
      </c>
      <c r="C674">
        <v>43</v>
      </c>
      <c r="J674">
        <v>673</v>
      </c>
      <c r="K674" t="s">
        <v>2638</v>
      </c>
      <c r="L674">
        <v>43</v>
      </c>
    </row>
    <row r="675" spans="1:12" x14ac:dyDescent="0.25">
      <c r="A675">
        <v>674</v>
      </c>
      <c r="B675" t="s">
        <v>2639</v>
      </c>
      <c r="C675">
        <v>34</v>
      </c>
      <c r="J675">
        <v>674</v>
      </c>
      <c r="K675" t="s">
        <v>2639</v>
      </c>
      <c r="L675">
        <v>34</v>
      </c>
    </row>
    <row r="676" spans="1:12" x14ac:dyDescent="0.25">
      <c r="A676">
        <v>675</v>
      </c>
      <c r="B676" t="s">
        <v>2640</v>
      </c>
      <c r="C676">
        <v>32</v>
      </c>
      <c r="J676">
        <v>675</v>
      </c>
      <c r="K676" t="s">
        <v>2640</v>
      </c>
      <c r="L676">
        <v>32</v>
      </c>
    </row>
    <row r="677" spans="1:12" x14ac:dyDescent="0.25">
      <c r="A677">
        <v>676</v>
      </c>
      <c r="B677" t="s">
        <v>2641</v>
      </c>
      <c r="C677">
        <v>33</v>
      </c>
      <c r="J677">
        <v>676</v>
      </c>
      <c r="K677" t="s">
        <v>2641</v>
      </c>
      <c r="L677">
        <v>33</v>
      </c>
    </row>
    <row r="678" spans="1:12" x14ac:dyDescent="0.25">
      <c r="A678">
        <v>677</v>
      </c>
      <c r="B678" t="s">
        <v>2642</v>
      </c>
      <c r="C678">
        <v>27</v>
      </c>
      <c r="J678">
        <v>677</v>
      </c>
      <c r="K678" t="s">
        <v>2642</v>
      </c>
      <c r="L678">
        <v>27</v>
      </c>
    </row>
    <row r="679" spans="1:12" x14ac:dyDescent="0.25">
      <c r="A679">
        <v>678</v>
      </c>
      <c r="B679" t="s">
        <v>2643</v>
      </c>
      <c r="C679">
        <v>23</v>
      </c>
      <c r="J679">
        <v>678</v>
      </c>
      <c r="K679" t="s">
        <v>2643</v>
      </c>
      <c r="L679">
        <v>23</v>
      </c>
    </row>
    <row r="680" spans="1:12" x14ac:dyDescent="0.25">
      <c r="A680">
        <v>679</v>
      </c>
      <c r="B680" t="s">
        <v>2644</v>
      </c>
      <c r="C680">
        <v>31</v>
      </c>
      <c r="J680">
        <v>679</v>
      </c>
      <c r="K680" t="s">
        <v>2644</v>
      </c>
      <c r="L680">
        <v>31</v>
      </c>
    </row>
    <row r="681" spans="1:12" x14ac:dyDescent="0.25">
      <c r="A681">
        <v>680</v>
      </c>
      <c r="B681" t="s">
        <v>2645</v>
      </c>
      <c r="C681">
        <v>54</v>
      </c>
      <c r="J681">
        <v>680</v>
      </c>
      <c r="K681" t="s">
        <v>2645</v>
      </c>
      <c r="L681">
        <v>54</v>
      </c>
    </row>
    <row r="682" spans="1:12" x14ac:dyDescent="0.25">
      <c r="A682">
        <v>681</v>
      </c>
      <c r="B682" t="s">
        <v>2646</v>
      </c>
      <c r="C682">
        <v>60</v>
      </c>
      <c r="J682">
        <v>681</v>
      </c>
      <c r="K682" t="s">
        <v>2646</v>
      </c>
      <c r="L682">
        <v>60</v>
      </c>
    </row>
    <row r="683" spans="1:12" x14ac:dyDescent="0.25">
      <c r="A683">
        <v>682</v>
      </c>
      <c r="B683" t="s">
        <v>2647</v>
      </c>
      <c r="C683">
        <v>41</v>
      </c>
      <c r="J683">
        <v>682</v>
      </c>
      <c r="K683" t="s">
        <v>2647</v>
      </c>
      <c r="L683">
        <v>41</v>
      </c>
    </row>
    <row r="684" spans="1:12" x14ac:dyDescent="0.25">
      <c r="A684">
        <v>683</v>
      </c>
      <c r="B684" t="s">
        <v>2648</v>
      </c>
      <c r="C684">
        <v>37</v>
      </c>
      <c r="J684">
        <v>683</v>
      </c>
      <c r="K684" t="s">
        <v>2648</v>
      </c>
      <c r="L684">
        <v>37</v>
      </c>
    </row>
    <row r="685" spans="1:12" x14ac:dyDescent="0.25">
      <c r="A685">
        <v>684</v>
      </c>
      <c r="B685" t="s">
        <v>2649</v>
      </c>
      <c r="C685">
        <v>34</v>
      </c>
      <c r="J685">
        <v>684</v>
      </c>
      <c r="K685" t="s">
        <v>2649</v>
      </c>
      <c r="L685">
        <v>34</v>
      </c>
    </row>
    <row r="686" spans="1:12" x14ac:dyDescent="0.25">
      <c r="A686">
        <v>685</v>
      </c>
      <c r="B686" t="s">
        <v>2650</v>
      </c>
      <c r="C686">
        <v>22</v>
      </c>
      <c r="J686">
        <v>685</v>
      </c>
      <c r="K686" t="s">
        <v>2650</v>
      </c>
      <c r="L686">
        <v>22</v>
      </c>
    </row>
    <row r="687" spans="1:12" x14ac:dyDescent="0.25">
      <c r="A687">
        <v>686</v>
      </c>
      <c r="B687" t="s">
        <v>2651</v>
      </c>
      <c r="C687">
        <v>22</v>
      </c>
      <c r="J687">
        <v>686</v>
      </c>
      <c r="K687" t="s">
        <v>2651</v>
      </c>
      <c r="L687">
        <v>22</v>
      </c>
    </row>
    <row r="688" spans="1:12" x14ac:dyDescent="0.25">
      <c r="A688">
        <v>687</v>
      </c>
      <c r="B688" t="s">
        <v>2652</v>
      </c>
      <c r="C688">
        <v>18</v>
      </c>
      <c r="J688">
        <v>687</v>
      </c>
      <c r="K688" t="s">
        <v>2652</v>
      </c>
      <c r="L688">
        <v>18</v>
      </c>
    </row>
    <row r="689" spans="1:12" x14ac:dyDescent="0.25">
      <c r="A689">
        <v>688</v>
      </c>
      <c r="B689" t="s">
        <v>2653</v>
      </c>
      <c r="C689">
        <v>28</v>
      </c>
      <c r="J689">
        <v>688</v>
      </c>
      <c r="K689" t="s">
        <v>2653</v>
      </c>
      <c r="L689">
        <v>28</v>
      </c>
    </row>
    <row r="690" spans="1:12" x14ac:dyDescent="0.25">
      <c r="A690">
        <v>689</v>
      </c>
      <c r="B690" t="s">
        <v>2654</v>
      </c>
      <c r="C690">
        <v>25</v>
      </c>
      <c r="J690">
        <v>689</v>
      </c>
      <c r="K690" t="s">
        <v>2654</v>
      </c>
      <c r="L690">
        <v>25</v>
      </c>
    </row>
    <row r="691" spans="1:12" x14ac:dyDescent="0.25">
      <c r="A691">
        <v>690</v>
      </c>
      <c r="B691" t="s">
        <v>2655</v>
      </c>
      <c r="C691">
        <v>42</v>
      </c>
      <c r="J691">
        <v>690</v>
      </c>
      <c r="K691" t="s">
        <v>2655</v>
      </c>
      <c r="L691">
        <v>42</v>
      </c>
    </row>
    <row r="692" spans="1:12" x14ac:dyDescent="0.25">
      <c r="A692">
        <v>691</v>
      </c>
      <c r="B692" t="s">
        <v>2656</v>
      </c>
      <c r="C692">
        <v>33</v>
      </c>
      <c r="J692">
        <v>691</v>
      </c>
      <c r="K692" t="s">
        <v>2656</v>
      </c>
      <c r="L692">
        <v>33</v>
      </c>
    </row>
    <row r="693" spans="1:12" x14ac:dyDescent="0.25">
      <c r="A693">
        <v>692</v>
      </c>
      <c r="B693" t="s">
        <v>2657</v>
      </c>
      <c r="C693">
        <v>21</v>
      </c>
      <c r="J693">
        <v>692</v>
      </c>
      <c r="K693" t="s">
        <v>2657</v>
      </c>
      <c r="L693">
        <v>21</v>
      </c>
    </row>
    <row r="694" spans="1:12" x14ac:dyDescent="0.25">
      <c r="A694">
        <v>693</v>
      </c>
      <c r="B694" t="s">
        <v>2658</v>
      </c>
      <c r="C694">
        <v>57</v>
      </c>
      <c r="J694">
        <v>693</v>
      </c>
      <c r="K694" t="s">
        <v>2658</v>
      </c>
      <c r="L694">
        <v>57</v>
      </c>
    </row>
    <row r="695" spans="1:12" x14ac:dyDescent="0.25">
      <c r="A695">
        <v>694</v>
      </c>
      <c r="B695" t="s">
        <v>2659</v>
      </c>
      <c r="C695">
        <v>14</v>
      </c>
      <c r="J695">
        <v>694</v>
      </c>
      <c r="K695" t="s">
        <v>2659</v>
      </c>
      <c r="L695">
        <v>14</v>
      </c>
    </row>
    <row r="696" spans="1:12" x14ac:dyDescent="0.25">
      <c r="A696">
        <v>695</v>
      </c>
      <c r="B696" t="s">
        <v>2660</v>
      </c>
      <c r="C696">
        <v>54</v>
      </c>
      <c r="J696">
        <v>695</v>
      </c>
      <c r="K696" t="s">
        <v>2660</v>
      </c>
      <c r="L696">
        <v>54</v>
      </c>
    </row>
    <row r="697" spans="1:12" x14ac:dyDescent="0.25">
      <c r="A697">
        <v>696</v>
      </c>
      <c r="B697" t="s">
        <v>2661</v>
      </c>
      <c r="C697">
        <v>33</v>
      </c>
      <c r="J697">
        <v>696</v>
      </c>
      <c r="K697" t="s">
        <v>2661</v>
      </c>
      <c r="L697">
        <v>33</v>
      </c>
    </row>
    <row r="698" spans="1:12" x14ac:dyDescent="0.25">
      <c r="A698">
        <v>697</v>
      </c>
      <c r="B698" t="s">
        <v>2662</v>
      </c>
      <c r="C698">
        <v>49</v>
      </c>
      <c r="J698">
        <v>697</v>
      </c>
      <c r="K698" t="s">
        <v>2662</v>
      </c>
      <c r="L698">
        <v>49</v>
      </c>
    </row>
    <row r="699" spans="1:12" x14ac:dyDescent="0.25">
      <c r="A699">
        <v>698</v>
      </c>
      <c r="B699" t="s">
        <v>2663</v>
      </c>
      <c r="C699">
        <v>49</v>
      </c>
      <c r="J699">
        <v>698</v>
      </c>
      <c r="K699" t="s">
        <v>2663</v>
      </c>
      <c r="L699">
        <v>49</v>
      </c>
    </row>
    <row r="700" spans="1:12" x14ac:dyDescent="0.25">
      <c r="A700">
        <v>699</v>
      </c>
      <c r="B700" t="s">
        <v>2664</v>
      </c>
      <c r="C700">
        <v>44</v>
      </c>
      <c r="J700">
        <v>699</v>
      </c>
      <c r="K700" t="s">
        <v>2664</v>
      </c>
      <c r="L700">
        <v>44</v>
      </c>
    </row>
    <row r="701" spans="1:12" x14ac:dyDescent="0.25">
      <c r="A701">
        <v>700</v>
      </c>
      <c r="B701" t="s">
        <v>2665</v>
      </c>
      <c r="C701">
        <v>39</v>
      </c>
      <c r="J701">
        <v>700</v>
      </c>
      <c r="K701" t="s">
        <v>2665</v>
      </c>
      <c r="L701">
        <v>39</v>
      </c>
    </row>
    <row r="702" spans="1:12" x14ac:dyDescent="0.25">
      <c r="A702">
        <v>701</v>
      </c>
      <c r="B702" t="s">
        <v>2666</v>
      </c>
      <c r="C702">
        <v>15</v>
      </c>
      <c r="J702">
        <v>701</v>
      </c>
      <c r="K702" t="s">
        <v>2666</v>
      </c>
      <c r="L702">
        <v>15</v>
      </c>
    </row>
    <row r="703" spans="1:12" x14ac:dyDescent="0.25">
      <c r="A703">
        <v>702</v>
      </c>
      <c r="B703" t="s">
        <v>2667</v>
      </c>
      <c r="C703">
        <v>14</v>
      </c>
      <c r="J703">
        <v>702</v>
      </c>
      <c r="K703" t="s">
        <v>2667</v>
      </c>
      <c r="L703">
        <v>14</v>
      </c>
    </row>
    <row r="704" spans="1:12" x14ac:dyDescent="0.25">
      <c r="A704">
        <v>703</v>
      </c>
      <c r="B704" t="s">
        <v>2668</v>
      </c>
      <c r="C704">
        <v>16</v>
      </c>
      <c r="J704">
        <v>703</v>
      </c>
      <c r="K704" t="s">
        <v>2668</v>
      </c>
      <c r="L704">
        <v>16</v>
      </c>
    </row>
    <row r="705" spans="1:12" x14ac:dyDescent="0.25">
      <c r="A705">
        <v>704</v>
      </c>
      <c r="B705" t="s">
        <v>2669</v>
      </c>
      <c r="C705">
        <v>35</v>
      </c>
      <c r="J705">
        <v>704</v>
      </c>
      <c r="K705" t="s">
        <v>2669</v>
      </c>
      <c r="L705">
        <v>35</v>
      </c>
    </row>
    <row r="706" spans="1:12" x14ac:dyDescent="0.25">
      <c r="A706">
        <v>705</v>
      </c>
      <c r="B706" t="s">
        <v>2670</v>
      </c>
      <c r="C706">
        <v>8</v>
      </c>
      <c r="J706">
        <v>705</v>
      </c>
      <c r="K706" t="s">
        <v>2670</v>
      </c>
      <c r="L706">
        <v>8</v>
      </c>
    </row>
    <row r="707" spans="1:12" x14ac:dyDescent="0.25">
      <c r="A707">
        <v>706</v>
      </c>
      <c r="B707" t="s">
        <v>2671</v>
      </c>
      <c r="C707">
        <v>36</v>
      </c>
      <c r="J707">
        <v>706</v>
      </c>
      <c r="K707" t="s">
        <v>2671</v>
      </c>
      <c r="L707">
        <v>36</v>
      </c>
    </row>
    <row r="708" spans="1:12" x14ac:dyDescent="0.25">
      <c r="A708">
        <v>707</v>
      </c>
      <c r="B708" t="s">
        <v>2672</v>
      </c>
      <c r="C708">
        <v>33</v>
      </c>
      <c r="J708">
        <v>707</v>
      </c>
      <c r="K708" t="s">
        <v>2672</v>
      </c>
      <c r="L708">
        <v>33</v>
      </c>
    </row>
    <row r="709" spans="1:12" x14ac:dyDescent="0.25">
      <c r="A709">
        <v>708</v>
      </c>
      <c r="B709" t="s">
        <v>2673</v>
      </c>
      <c r="C709">
        <v>21</v>
      </c>
      <c r="J709">
        <v>708</v>
      </c>
      <c r="K709" t="s">
        <v>2673</v>
      </c>
      <c r="L709">
        <v>21</v>
      </c>
    </row>
    <row r="710" spans="1:12" x14ac:dyDescent="0.25">
      <c r="A710">
        <v>709</v>
      </c>
      <c r="B710" t="s">
        <v>2674</v>
      </c>
      <c r="C710">
        <v>29</v>
      </c>
      <c r="J710">
        <v>709</v>
      </c>
      <c r="K710" t="s">
        <v>2674</v>
      </c>
      <c r="L710">
        <v>29</v>
      </c>
    </row>
    <row r="711" spans="1:12" x14ac:dyDescent="0.25">
      <c r="A711">
        <v>710</v>
      </c>
      <c r="B711" t="s">
        <v>2675</v>
      </c>
      <c r="C711">
        <v>8</v>
      </c>
      <c r="J711">
        <v>710</v>
      </c>
      <c r="K711" t="s">
        <v>2675</v>
      </c>
      <c r="L711">
        <v>8</v>
      </c>
    </row>
    <row r="712" spans="1:12" x14ac:dyDescent="0.25">
      <c r="A712">
        <v>711</v>
      </c>
      <c r="B712" t="s">
        <v>2676</v>
      </c>
      <c r="C712">
        <v>15</v>
      </c>
      <c r="J712">
        <v>711</v>
      </c>
      <c r="K712" t="s">
        <v>2676</v>
      </c>
      <c r="L712">
        <v>15</v>
      </c>
    </row>
    <row r="713" spans="1:12" x14ac:dyDescent="0.25">
      <c r="A713">
        <v>712</v>
      </c>
      <c r="B713" t="s">
        <v>2677</v>
      </c>
      <c r="C713">
        <v>30</v>
      </c>
      <c r="J713">
        <v>712</v>
      </c>
      <c r="K713" t="s">
        <v>2677</v>
      </c>
      <c r="L713">
        <v>30</v>
      </c>
    </row>
    <row r="714" spans="1:12" x14ac:dyDescent="0.25">
      <c r="A714">
        <v>713</v>
      </c>
      <c r="B714" t="s">
        <v>2678</v>
      </c>
      <c r="C714">
        <v>18</v>
      </c>
      <c r="J714">
        <v>713</v>
      </c>
      <c r="K714" t="s">
        <v>2678</v>
      </c>
      <c r="L714">
        <v>18</v>
      </c>
    </row>
    <row r="715" spans="1:12" x14ac:dyDescent="0.25">
      <c r="A715">
        <v>714</v>
      </c>
      <c r="B715" t="s">
        <v>2679</v>
      </c>
      <c r="C715">
        <v>9</v>
      </c>
      <c r="J715">
        <v>714</v>
      </c>
      <c r="K715" t="s">
        <v>2679</v>
      </c>
      <c r="L715">
        <v>9</v>
      </c>
    </row>
    <row r="716" spans="1:12" x14ac:dyDescent="0.25">
      <c r="A716">
        <v>715</v>
      </c>
      <c r="B716" t="s">
        <v>2680</v>
      </c>
      <c r="C716">
        <v>15</v>
      </c>
      <c r="J716">
        <v>715</v>
      </c>
      <c r="K716" t="s">
        <v>2680</v>
      </c>
      <c r="L716">
        <v>15</v>
      </c>
    </row>
    <row r="717" spans="1:12" x14ac:dyDescent="0.25">
      <c r="A717">
        <v>716</v>
      </c>
      <c r="B717" t="s">
        <v>2681</v>
      </c>
      <c r="C717">
        <v>51</v>
      </c>
      <c r="J717">
        <v>716</v>
      </c>
      <c r="K717" t="s">
        <v>2681</v>
      </c>
      <c r="L717">
        <v>51</v>
      </c>
    </row>
    <row r="718" spans="1:12" x14ac:dyDescent="0.25">
      <c r="A718">
        <v>717</v>
      </c>
      <c r="B718" t="s">
        <v>2682</v>
      </c>
      <c r="C718">
        <v>41</v>
      </c>
      <c r="J718">
        <v>717</v>
      </c>
      <c r="K718" t="s">
        <v>2682</v>
      </c>
      <c r="L718">
        <v>41</v>
      </c>
    </row>
    <row r="719" spans="1:12" x14ac:dyDescent="0.25">
      <c r="A719">
        <v>718</v>
      </c>
      <c r="B719" t="s">
        <v>2683</v>
      </c>
      <c r="C719">
        <v>24</v>
      </c>
      <c r="J719">
        <v>718</v>
      </c>
      <c r="K719" t="s">
        <v>2683</v>
      </c>
      <c r="L719">
        <v>24</v>
      </c>
    </row>
    <row r="720" spans="1:12" x14ac:dyDescent="0.25">
      <c r="A720">
        <v>719</v>
      </c>
      <c r="B720" t="s">
        <v>2684</v>
      </c>
      <c r="C720">
        <v>21</v>
      </c>
      <c r="J720">
        <v>719</v>
      </c>
      <c r="K720" t="s">
        <v>2684</v>
      </c>
      <c r="L720">
        <v>21</v>
      </c>
    </row>
    <row r="721" spans="1:12" x14ac:dyDescent="0.25">
      <c r="A721">
        <v>720</v>
      </c>
      <c r="B721" t="s">
        <v>2685</v>
      </c>
      <c r="C721">
        <v>62</v>
      </c>
      <c r="J721">
        <v>720</v>
      </c>
      <c r="K721" t="s">
        <v>2685</v>
      </c>
      <c r="L721">
        <v>62</v>
      </c>
    </row>
    <row r="722" spans="1:12" x14ac:dyDescent="0.25">
      <c r="A722">
        <v>721</v>
      </c>
      <c r="B722" t="s">
        <v>2686</v>
      </c>
      <c r="C722">
        <v>81</v>
      </c>
      <c r="J722">
        <v>721</v>
      </c>
      <c r="K722" t="s">
        <v>2686</v>
      </c>
      <c r="L722">
        <v>81</v>
      </c>
    </row>
    <row r="723" spans="1:12" x14ac:dyDescent="0.25">
      <c r="A723">
        <v>722</v>
      </c>
      <c r="B723" t="s">
        <v>2687</v>
      </c>
      <c r="C723">
        <v>57</v>
      </c>
      <c r="J723">
        <v>722</v>
      </c>
      <c r="K723" t="s">
        <v>2687</v>
      </c>
      <c r="L723">
        <v>57</v>
      </c>
    </row>
    <row r="724" spans="1:12" x14ac:dyDescent="0.25">
      <c r="A724">
        <v>723</v>
      </c>
      <c r="B724" t="s">
        <v>2688</v>
      </c>
      <c r="C724">
        <v>54</v>
      </c>
      <c r="J724">
        <v>723</v>
      </c>
      <c r="K724" t="s">
        <v>2688</v>
      </c>
      <c r="L724">
        <v>54</v>
      </c>
    </row>
    <row r="725" spans="1:12" x14ac:dyDescent="0.25">
      <c r="A725">
        <v>724</v>
      </c>
      <c r="B725" t="s">
        <v>2689</v>
      </c>
      <c r="C725">
        <v>65</v>
      </c>
      <c r="J725">
        <v>724</v>
      </c>
      <c r="K725" t="s">
        <v>2689</v>
      </c>
      <c r="L725">
        <v>65</v>
      </c>
    </row>
    <row r="726" spans="1:12" x14ac:dyDescent="0.25">
      <c r="A726">
        <v>725</v>
      </c>
      <c r="B726" t="s">
        <v>2690</v>
      </c>
      <c r="C726">
        <v>63</v>
      </c>
      <c r="J726">
        <v>725</v>
      </c>
      <c r="K726" t="s">
        <v>2690</v>
      </c>
      <c r="L726">
        <v>63</v>
      </c>
    </row>
    <row r="727" spans="1:12" x14ac:dyDescent="0.25">
      <c r="A727">
        <v>726</v>
      </c>
      <c r="B727" t="s">
        <v>2691</v>
      </c>
      <c r="C727">
        <v>67</v>
      </c>
      <c r="J727">
        <v>726</v>
      </c>
      <c r="K727" t="s">
        <v>2691</v>
      </c>
      <c r="L727">
        <v>67</v>
      </c>
    </row>
    <row r="728" spans="1:12" x14ac:dyDescent="0.25">
      <c r="A728">
        <v>727</v>
      </c>
      <c r="B728" t="s">
        <v>2692</v>
      </c>
      <c r="C728">
        <v>36</v>
      </c>
      <c r="J728">
        <v>727</v>
      </c>
      <c r="K728" t="s">
        <v>2692</v>
      </c>
      <c r="L728">
        <v>36</v>
      </c>
    </row>
    <row r="729" spans="1:12" x14ac:dyDescent="0.25">
      <c r="A729">
        <v>728</v>
      </c>
      <c r="B729" t="s">
        <v>2693</v>
      </c>
      <c r="C729">
        <v>49</v>
      </c>
      <c r="J729">
        <v>728</v>
      </c>
      <c r="K729" t="s">
        <v>2693</v>
      </c>
      <c r="L729">
        <v>49</v>
      </c>
    </row>
    <row r="730" spans="1:12" x14ac:dyDescent="0.25">
      <c r="A730">
        <v>729</v>
      </c>
      <c r="B730" t="s">
        <v>2694</v>
      </c>
      <c r="C730">
        <v>34</v>
      </c>
      <c r="J730">
        <v>729</v>
      </c>
      <c r="K730" t="s">
        <v>2694</v>
      </c>
      <c r="L730">
        <v>34</v>
      </c>
    </row>
    <row r="731" spans="1:12" x14ac:dyDescent="0.25">
      <c r="A731">
        <v>730</v>
      </c>
      <c r="B731" t="s">
        <v>2695</v>
      </c>
      <c r="C731">
        <v>48</v>
      </c>
      <c r="J731">
        <v>730</v>
      </c>
      <c r="K731" t="s">
        <v>2695</v>
      </c>
      <c r="L731">
        <v>48</v>
      </c>
    </row>
    <row r="732" spans="1:12" x14ac:dyDescent="0.25">
      <c r="A732">
        <v>731</v>
      </c>
      <c r="B732" t="s">
        <v>2696</v>
      </c>
      <c r="C732">
        <v>36</v>
      </c>
      <c r="J732">
        <v>731</v>
      </c>
      <c r="K732" t="s">
        <v>2696</v>
      </c>
      <c r="L732">
        <v>36</v>
      </c>
    </row>
    <row r="733" spans="1:12" x14ac:dyDescent="0.25">
      <c r="A733">
        <v>732</v>
      </c>
      <c r="B733" t="s">
        <v>2697</v>
      </c>
      <c r="C733">
        <v>16</v>
      </c>
      <c r="J733">
        <v>732</v>
      </c>
      <c r="K733" t="s">
        <v>2697</v>
      </c>
      <c r="L733">
        <v>16</v>
      </c>
    </row>
    <row r="734" spans="1:12" x14ac:dyDescent="0.25">
      <c r="A734">
        <v>733</v>
      </c>
      <c r="B734" t="s">
        <v>2698</v>
      </c>
      <c r="C734">
        <v>72</v>
      </c>
      <c r="J734">
        <v>733</v>
      </c>
      <c r="K734" t="s">
        <v>2698</v>
      </c>
      <c r="L734">
        <v>72</v>
      </c>
    </row>
    <row r="735" spans="1:12" x14ac:dyDescent="0.25">
      <c r="A735">
        <v>734</v>
      </c>
      <c r="B735" t="s">
        <v>2699</v>
      </c>
      <c r="C735">
        <v>38</v>
      </c>
      <c r="J735">
        <v>734</v>
      </c>
      <c r="K735" t="s">
        <v>2699</v>
      </c>
      <c r="L735">
        <v>38</v>
      </c>
    </row>
    <row r="736" spans="1:12" x14ac:dyDescent="0.25">
      <c r="A736">
        <v>735</v>
      </c>
      <c r="B736" t="s">
        <v>2700</v>
      </c>
      <c r="C736">
        <v>50</v>
      </c>
      <c r="J736">
        <v>735</v>
      </c>
      <c r="K736" t="s">
        <v>2700</v>
      </c>
      <c r="L736">
        <v>50</v>
      </c>
    </row>
    <row r="737" spans="1:12" x14ac:dyDescent="0.25">
      <c r="A737">
        <v>736</v>
      </c>
      <c r="B737" t="s">
        <v>2701</v>
      </c>
      <c r="C737">
        <v>49</v>
      </c>
      <c r="J737">
        <v>736</v>
      </c>
      <c r="K737" t="s">
        <v>2701</v>
      </c>
      <c r="L737">
        <v>49</v>
      </c>
    </row>
    <row r="738" spans="1:12" x14ac:dyDescent="0.25">
      <c r="A738">
        <v>737</v>
      </c>
      <c r="B738" t="s">
        <v>2702</v>
      </c>
      <c r="C738">
        <v>31</v>
      </c>
      <c r="J738">
        <v>737</v>
      </c>
      <c r="K738" t="s">
        <v>2702</v>
      </c>
      <c r="L738">
        <v>31</v>
      </c>
    </row>
    <row r="739" spans="1:12" x14ac:dyDescent="0.25">
      <c r="A739">
        <v>738</v>
      </c>
      <c r="B739" t="s">
        <v>2703</v>
      </c>
      <c r="C739">
        <v>33</v>
      </c>
      <c r="J739">
        <v>738</v>
      </c>
      <c r="K739" t="s">
        <v>2703</v>
      </c>
      <c r="L739">
        <v>33</v>
      </c>
    </row>
    <row r="740" spans="1:12" x14ac:dyDescent="0.25">
      <c r="A740">
        <v>739</v>
      </c>
      <c r="B740" t="s">
        <v>2704</v>
      </c>
      <c r="C740">
        <v>42</v>
      </c>
      <c r="J740">
        <v>739</v>
      </c>
      <c r="K740" t="s">
        <v>2704</v>
      </c>
      <c r="L740">
        <v>42</v>
      </c>
    </row>
    <row r="741" spans="1:12" x14ac:dyDescent="0.25">
      <c r="A741">
        <v>740</v>
      </c>
      <c r="B741" t="s">
        <v>2705</v>
      </c>
      <c r="C741">
        <v>61</v>
      </c>
      <c r="J741">
        <v>740</v>
      </c>
      <c r="K741" t="s">
        <v>2705</v>
      </c>
      <c r="L741">
        <v>61</v>
      </c>
    </row>
    <row r="742" spans="1:12" x14ac:dyDescent="0.25">
      <c r="A742">
        <v>741</v>
      </c>
      <c r="B742" t="s">
        <v>2706</v>
      </c>
      <c r="C742">
        <v>77</v>
      </c>
      <c r="J742">
        <v>741</v>
      </c>
      <c r="K742" t="s">
        <v>2706</v>
      </c>
      <c r="L742">
        <v>77</v>
      </c>
    </row>
    <row r="743" spans="1:12" x14ac:dyDescent="0.25">
      <c r="A743">
        <v>742</v>
      </c>
      <c r="B743" t="s">
        <v>2707</v>
      </c>
      <c r="C743">
        <v>59</v>
      </c>
      <c r="J743">
        <v>742</v>
      </c>
      <c r="K743" t="s">
        <v>2707</v>
      </c>
      <c r="L743">
        <v>59</v>
      </c>
    </row>
    <row r="744" spans="1:12" x14ac:dyDescent="0.25">
      <c r="A744">
        <v>743</v>
      </c>
      <c r="B744" t="s">
        <v>2708</v>
      </c>
      <c r="C744">
        <v>41</v>
      </c>
      <c r="J744">
        <v>743</v>
      </c>
      <c r="K744" t="s">
        <v>2708</v>
      </c>
      <c r="L744">
        <v>41</v>
      </c>
    </row>
    <row r="745" spans="1:12" x14ac:dyDescent="0.25">
      <c r="A745">
        <v>744</v>
      </c>
      <c r="B745" t="s">
        <v>2709</v>
      </c>
      <c r="C745">
        <v>29</v>
      </c>
      <c r="J745">
        <v>744</v>
      </c>
      <c r="K745" t="s">
        <v>2709</v>
      </c>
      <c r="L745">
        <v>29</v>
      </c>
    </row>
    <row r="746" spans="1:12" x14ac:dyDescent="0.25">
      <c r="A746">
        <v>745</v>
      </c>
      <c r="B746" t="s">
        <v>2710</v>
      </c>
      <c r="C746">
        <v>22</v>
      </c>
      <c r="J746">
        <v>745</v>
      </c>
      <c r="K746" t="s">
        <v>2710</v>
      </c>
      <c r="L746">
        <v>22</v>
      </c>
    </row>
    <row r="747" spans="1:12" x14ac:dyDescent="0.25">
      <c r="A747">
        <v>746</v>
      </c>
      <c r="B747" t="s">
        <v>2711</v>
      </c>
      <c r="C747">
        <v>24</v>
      </c>
      <c r="J747">
        <v>746</v>
      </c>
      <c r="K747" t="s">
        <v>2711</v>
      </c>
      <c r="L747">
        <v>24</v>
      </c>
    </row>
    <row r="748" spans="1:12" x14ac:dyDescent="0.25">
      <c r="A748">
        <v>747</v>
      </c>
      <c r="B748" t="s">
        <v>2712</v>
      </c>
      <c r="C748">
        <v>43</v>
      </c>
      <c r="J748">
        <v>747</v>
      </c>
      <c r="K748" t="s">
        <v>2712</v>
      </c>
      <c r="L748">
        <v>43</v>
      </c>
    </row>
    <row r="749" spans="1:12" x14ac:dyDescent="0.25">
      <c r="A749">
        <v>748</v>
      </c>
      <c r="B749" t="s">
        <v>2713</v>
      </c>
      <c r="C749">
        <v>61</v>
      </c>
      <c r="J749">
        <v>748</v>
      </c>
      <c r="K749" t="s">
        <v>2713</v>
      </c>
      <c r="L749">
        <v>61</v>
      </c>
    </row>
    <row r="750" spans="1:12" x14ac:dyDescent="0.25">
      <c r="A750">
        <v>749</v>
      </c>
      <c r="B750" t="s">
        <v>2714</v>
      </c>
      <c r="C750">
        <v>44</v>
      </c>
      <c r="J750">
        <v>749</v>
      </c>
      <c r="K750" t="s">
        <v>2714</v>
      </c>
      <c r="L750">
        <v>44</v>
      </c>
    </row>
    <row r="751" spans="1:12" x14ac:dyDescent="0.25">
      <c r="A751">
        <v>750</v>
      </c>
      <c r="B751" t="s">
        <v>2715</v>
      </c>
      <c r="C751">
        <v>56</v>
      </c>
      <c r="J751">
        <v>750</v>
      </c>
      <c r="K751" t="s">
        <v>2715</v>
      </c>
      <c r="L751">
        <v>56</v>
      </c>
    </row>
    <row r="752" spans="1:12" x14ac:dyDescent="0.25">
      <c r="A752">
        <v>751</v>
      </c>
      <c r="B752" t="s">
        <v>2716</v>
      </c>
      <c r="C752">
        <v>64</v>
      </c>
      <c r="J752">
        <v>751</v>
      </c>
      <c r="K752" t="s">
        <v>2716</v>
      </c>
      <c r="L752">
        <v>64</v>
      </c>
    </row>
    <row r="753" spans="1:12" x14ac:dyDescent="0.25">
      <c r="A753">
        <v>752</v>
      </c>
      <c r="B753" t="s">
        <v>2717</v>
      </c>
      <c r="C753">
        <v>66</v>
      </c>
      <c r="J753">
        <v>752</v>
      </c>
      <c r="K753" t="s">
        <v>2717</v>
      </c>
      <c r="L753">
        <v>66</v>
      </c>
    </row>
    <row r="754" spans="1:12" x14ac:dyDescent="0.25">
      <c r="A754">
        <v>753</v>
      </c>
      <c r="B754" t="s">
        <v>2718</v>
      </c>
      <c r="C754">
        <v>45</v>
      </c>
      <c r="J754">
        <v>753</v>
      </c>
      <c r="K754" t="s">
        <v>2718</v>
      </c>
      <c r="L754">
        <v>45</v>
      </c>
    </row>
    <row r="755" spans="1:12" x14ac:dyDescent="0.25">
      <c r="A755">
        <v>754</v>
      </c>
      <c r="B755" t="s">
        <v>2719</v>
      </c>
      <c r="C755">
        <v>44</v>
      </c>
      <c r="J755">
        <v>754</v>
      </c>
      <c r="K755" t="s">
        <v>2719</v>
      </c>
      <c r="L755">
        <v>44</v>
      </c>
    </row>
    <row r="756" spans="1:12" x14ac:dyDescent="0.25">
      <c r="A756">
        <v>755</v>
      </c>
      <c r="B756" t="s">
        <v>2720</v>
      </c>
      <c r="C756">
        <v>31</v>
      </c>
      <c r="J756">
        <v>755</v>
      </c>
      <c r="K756" t="s">
        <v>2720</v>
      </c>
      <c r="L756">
        <v>31</v>
      </c>
    </row>
    <row r="757" spans="1:12" x14ac:dyDescent="0.25">
      <c r="A757">
        <v>756</v>
      </c>
      <c r="B757" t="s">
        <v>2721</v>
      </c>
      <c r="C757">
        <v>12</v>
      </c>
      <c r="J757">
        <v>756</v>
      </c>
      <c r="K757" t="s">
        <v>2721</v>
      </c>
      <c r="L757">
        <v>12</v>
      </c>
    </row>
    <row r="758" spans="1:12" x14ac:dyDescent="0.25">
      <c r="A758">
        <v>757</v>
      </c>
      <c r="B758" t="s">
        <v>2722</v>
      </c>
      <c r="C758">
        <v>43</v>
      </c>
      <c r="J758">
        <v>757</v>
      </c>
      <c r="K758" t="s">
        <v>2722</v>
      </c>
      <c r="L758">
        <v>43</v>
      </c>
    </row>
    <row r="759" spans="1:12" x14ac:dyDescent="0.25">
      <c r="A759">
        <v>758</v>
      </c>
      <c r="B759" t="s">
        <v>2723</v>
      </c>
      <c r="C759">
        <v>35</v>
      </c>
      <c r="J759">
        <v>758</v>
      </c>
      <c r="K759" t="s">
        <v>2723</v>
      </c>
      <c r="L759">
        <v>35</v>
      </c>
    </row>
    <row r="760" spans="1:12" x14ac:dyDescent="0.25">
      <c r="A760">
        <v>759</v>
      </c>
      <c r="B760" t="s">
        <v>2724</v>
      </c>
      <c r="C760">
        <v>33</v>
      </c>
      <c r="J760">
        <v>759</v>
      </c>
      <c r="K760" t="s">
        <v>2724</v>
      </c>
      <c r="L760">
        <v>33</v>
      </c>
    </row>
    <row r="761" spans="1:12" x14ac:dyDescent="0.25">
      <c r="A761">
        <v>760</v>
      </c>
      <c r="B761" t="s">
        <v>2725</v>
      </c>
      <c r="C761">
        <v>36</v>
      </c>
      <c r="J761">
        <v>760</v>
      </c>
      <c r="K761" t="s">
        <v>2725</v>
      </c>
      <c r="L761">
        <v>36</v>
      </c>
    </row>
    <row r="762" spans="1:12" x14ac:dyDescent="0.25">
      <c r="A762">
        <v>761</v>
      </c>
      <c r="B762" t="s">
        <v>2726</v>
      </c>
      <c r="C762">
        <v>37</v>
      </c>
      <c r="J762">
        <v>761</v>
      </c>
      <c r="K762" t="s">
        <v>2726</v>
      </c>
      <c r="L762">
        <v>37</v>
      </c>
    </row>
    <row r="763" spans="1:12" x14ac:dyDescent="0.25">
      <c r="A763">
        <v>762</v>
      </c>
      <c r="B763" t="s">
        <v>2727</v>
      </c>
      <c r="C763">
        <v>36</v>
      </c>
      <c r="J763">
        <v>762</v>
      </c>
      <c r="K763" t="s">
        <v>2727</v>
      </c>
      <c r="L763">
        <v>36</v>
      </c>
    </row>
    <row r="764" spans="1:12" x14ac:dyDescent="0.25">
      <c r="A764">
        <v>763</v>
      </c>
      <c r="B764" t="s">
        <v>2728</v>
      </c>
      <c r="C764">
        <v>33</v>
      </c>
      <c r="J764">
        <v>763</v>
      </c>
      <c r="K764" t="s">
        <v>2728</v>
      </c>
      <c r="L764">
        <v>33</v>
      </c>
    </row>
    <row r="765" spans="1:12" x14ac:dyDescent="0.25">
      <c r="A765">
        <v>764</v>
      </c>
      <c r="B765" t="s">
        <v>2729</v>
      </c>
      <c r="C765">
        <v>38</v>
      </c>
      <c r="J765">
        <v>764</v>
      </c>
      <c r="K765" t="s">
        <v>2729</v>
      </c>
      <c r="L765">
        <v>38</v>
      </c>
    </row>
    <row r="766" spans="1:12" x14ac:dyDescent="0.25">
      <c r="A766">
        <v>765</v>
      </c>
      <c r="B766" t="s">
        <v>2730</v>
      </c>
      <c r="C766">
        <v>6</v>
      </c>
      <c r="J766">
        <v>765</v>
      </c>
      <c r="K766" t="s">
        <v>2730</v>
      </c>
      <c r="L766">
        <v>6</v>
      </c>
    </row>
    <row r="767" spans="1:12" x14ac:dyDescent="0.25">
      <c r="A767">
        <v>766</v>
      </c>
      <c r="B767" t="s">
        <v>2731</v>
      </c>
      <c r="C767">
        <v>44</v>
      </c>
      <c r="J767">
        <v>766</v>
      </c>
      <c r="K767" t="s">
        <v>2731</v>
      </c>
      <c r="L767">
        <v>44</v>
      </c>
    </row>
    <row r="768" spans="1:12" x14ac:dyDescent="0.25">
      <c r="A768">
        <v>767</v>
      </c>
      <c r="B768" t="s">
        <v>2732</v>
      </c>
      <c r="C768">
        <v>69</v>
      </c>
      <c r="J768">
        <v>767</v>
      </c>
      <c r="K768" t="s">
        <v>2732</v>
      </c>
      <c r="L768">
        <v>69</v>
      </c>
    </row>
    <row r="769" spans="1:12" x14ac:dyDescent="0.25">
      <c r="A769">
        <v>768</v>
      </c>
      <c r="B769" t="s">
        <v>2733</v>
      </c>
      <c r="C769">
        <v>49</v>
      </c>
      <c r="J769">
        <v>768</v>
      </c>
      <c r="K769" t="s">
        <v>2733</v>
      </c>
      <c r="L769">
        <v>49</v>
      </c>
    </row>
    <row r="770" spans="1:12" x14ac:dyDescent="0.25">
      <c r="A770">
        <v>769</v>
      </c>
      <c r="B770" t="s">
        <v>2734</v>
      </c>
      <c r="C770">
        <v>45</v>
      </c>
      <c r="J770">
        <v>769</v>
      </c>
      <c r="K770" t="s">
        <v>2734</v>
      </c>
      <c r="L770">
        <v>45</v>
      </c>
    </row>
    <row r="771" spans="1:12" x14ac:dyDescent="0.25">
      <c r="A771">
        <v>770</v>
      </c>
      <c r="B771" t="s">
        <v>2735</v>
      </c>
      <c r="C771">
        <v>41</v>
      </c>
      <c r="J771">
        <v>770</v>
      </c>
      <c r="K771" t="s">
        <v>2735</v>
      </c>
      <c r="L771">
        <v>41</v>
      </c>
    </row>
    <row r="772" spans="1:12" x14ac:dyDescent="0.25">
      <c r="A772">
        <v>771</v>
      </c>
      <c r="B772" t="s">
        <v>2736</v>
      </c>
      <c r="C772">
        <v>43</v>
      </c>
      <c r="J772">
        <v>771</v>
      </c>
      <c r="K772" t="s">
        <v>2736</v>
      </c>
      <c r="L772">
        <v>43</v>
      </c>
    </row>
    <row r="773" spans="1:12" x14ac:dyDescent="0.25">
      <c r="A773">
        <v>772</v>
      </c>
      <c r="B773" t="s">
        <v>2737</v>
      </c>
      <c r="C773">
        <v>42</v>
      </c>
      <c r="J773">
        <v>772</v>
      </c>
      <c r="K773" t="s">
        <v>2737</v>
      </c>
      <c r="L773">
        <v>42</v>
      </c>
    </row>
    <row r="774" spans="1:12" x14ac:dyDescent="0.25">
      <c r="A774">
        <v>773</v>
      </c>
      <c r="B774" t="s">
        <v>2738</v>
      </c>
      <c r="C774">
        <v>69</v>
      </c>
      <c r="J774">
        <v>773</v>
      </c>
      <c r="K774" t="s">
        <v>2738</v>
      </c>
      <c r="L774">
        <v>69</v>
      </c>
    </row>
    <row r="775" spans="1:12" x14ac:dyDescent="0.25">
      <c r="A775">
        <v>774</v>
      </c>
      <c r="B775" t="s">
        <v>2739</v>
      </c>
      <c r="C775">
        <v>55</v>
      </c>
      <c r="J775">
        <v>774</v>
      </c>
      <c r="K775" t="s">
        <v>2739</v>
      </c>
      <c r="L775">
        <v>55</v>
      </c>
    </row>
    <row r="776" spans="1:12" x14ac:dyDescent="0.25">
      <c r="A776">
        <v>775</v>
      </c>
      <c r="B776" t="s">
        <v>2740</v>
      </c>
      <c r="C776">
        <v>42</v>
      </c>
      <c r="J776">
        <v>775</v>
      </c>
      <c r="K776" t="s">
        <v>2740</v>
      </c>
      <c r="L776">
        <v>42</v>
      </c>
    </row>
    <row r="777" spans="1:12" x14ac:dyDescent="0.25">
      <c r="A777">
        <v>776</v>
      </c>
      <c r="B777" t="s">
        <v>2741</v>
      </c>
      <c r="C777">
        <v>51</v>
      </c>
      <c r="J777">
        <v>776</v>
      </c>
      <c r="K777" t="s">
        <v>2741</v>
      </c>
      <c r="L777">
        <v>51</v>
      </c>
    </row>
    <row r="778" spans="1:12" x14ac:dyDescent="0.25">
      <c r="A778">
        <v>777</v>
      </c>
      <c r="B778" t="s">
        <v>2742</v>
      </c>
      <c r="C778">
        <v>33</v>
      </c>
      <c r="J778">
        <v>777</v>
      </c>
      <c r="K778" t="s">
        <v>2742</v>
      </c>
      <c r="L778">
        <v>33</v>
      </c>
    </row>
    <row r="779" spans="1:12" x14ac:dyDescent="0.25">
      <c r="A779">
        <v>778</v>
      </c>
      <c r="B779" t="s">
        <v>2743</v>
      </c>
      <c r="C779">
        <v>31</v>
      </c>
      <c r="J779">
        <v>778</v>
      </c>
      <c r="K779" t="s">
        <v>2743</v>
      </c>
      <c r="L779">
        <v>31</v>
      </c>
    </row>
    <row r="780" spans="1:12" x14ac:dyDescent="0.25">
      <c r="A780">
        <v>779</v>
      </c>
      <c r="B780" t="s">
        <v>2744</v>
      </c>
      <c r="C780">
        <v>30</v>
      </c>
      <c r="J780">
        <v>779</v>
      </c>
      <c r="K780" t="s">
        <v>2744</v>
      </c>
      <c r="L780">
        <v>30</v>
      </c>
    </row>
    <row r="781" spans="1:12" x14ac:dyDescent="0.25">
      <c r="A781">
        <v>780</v>
      </c>
      <c r="B781" t="s">
        <v>2745</v>
      </c>
      <c r="C781">
        <v>42</v>
      </c>
      <c r="J781">
        <v>780</v>
      </c>
      <c r="K781" t="s">
        <v>2745</v>
      </c>
      <c r="L781">
        <v>42</v>
      </c>
    </row>
    <row r="782" spans="1:12" x14ac:dyDescent="0.25">
      <c r="A782">
        <v>781</v>
      </c>
      <c r="B782" t="s">
        <v>2746</v>
      </c>
      <c r="C782">
        <v>49</v>
      </c>
      <c r="J782">
        <v>781</v>
      </c>
      <c r="K782" t="s">
        <v>2746</v>
      </c>
      <c r="L782">
        <v>49</v>
      </c>
    </row>
    <row r="783" spans="1:12" x14ac:dyDescent="0.25">
      <c r="A783">
        <v>782</v>
      </c>
      <c r="B783" t="s">
        <v>2747</v>
      </c>
      <c r="C783">
        <v>40</v>
      </c>
      <c r="J783">
        <v>782</v>
      </c>
      <c r="K783" t="s">
        <v>2747</v>
      </c>
      <c r="L783">
        <v>40</v>
      </c>
    </row>
    <row r="784" spans="1:12" x14ac:dyDescent="0.25">
      <c r="A784">
        <v>783</v>
      </c>
      <c r="B784" t="s">
        <v>2748</v>
      </c>
      <c r="C784">
        <v>40</v>
      </c>
      <c r="J784">
        <v>783</v>
      </c>
      <c r="K784" t="s">
        <v>2748</v>
      </c>
      <c r="L784">
        <v>40</v>
      </c>
    </row>
    <row r="785" spans="1:12" x14ac:dyDescent="0.25">
      <c r="A785">
        <v>784</v>
      </c>
      <c r="B785" t="s">
        <v>2749</v>
      </c>
      <c r="C785">
        <v>38</v>
      </c>
      <c r="J785">
        <v>784</v>
      </c>
      <c r="K785" t="s">
        <v>2749</v>
      </c>
      <c r="L785">
        <v>38</v>
      </c>
    </row>
    <row r="786" spans="1:12" x14ac:dyDescent="0.25">
      <c r="A786">
        <v>785</v>
      </c>
      <c r="B786" t="s">
        <v>2750</v>
      </c>
      <c r="C786">
        <v>62</v>
      </c>
      <c r="J786">
        <v>785</v>
      </c>
      <c r="K786" t="s">
        <v>2750</v>
      </c>
      <c r="L786">
        <v>62</v>
      </c>
    </row>
    <row r="787" spans="1:12" x14ac:dyDescent="0.25">
      <c r="A787">
        <v>786</v>
      </c>
      <c r="B787" t="s">
        <v>2751</v>
      </c>
      <c r="C787">
        <v>38</v>
      </c>
      <c r="J787">
        <v>786</v>
      </c>
      <c r="K787" t="s">
        <v>2751</v>
      </c>
      <c r="L787">
        <v>38</v>
      </c>
    </row>
    <row r="788" spans="1:12" x14ac:dyDescent="0.25">
      <c r="A788">
        <v>787</v>
      </c>
      <c r="B788" t="s">
        <v>2752</v>
      </c>
      <c r="C788">
        <v>32</v>
      </c>
      <c r="J788">
        <v>787</v>
      </c>
      <c r="K788" t="s">
        <v>2752</v>
      </c>
      <c r="L788">
        <v>32</v>
      </c>
    </row>
    <row r="789" spans="1:12" x14ac:dyDescent="0.25">
      <c r="A789">
        <v>788</v>
      </c>
      <c r="B789" t="s">
        <v>2753</v>
      </c>
      <c r="C789">
        <v>31</v>
      </c>
      <c r="J789">
        <v>788</v>
      </c>
      <c r="K789" t="s">
        <v>2753</v>
      </c>
      <c r="L789">
        <v>31</v>
      </c>
    </row>
    <row r="790" spans="1:12" x14ac:dyDescent="0.25">
      <c r="A790">
        <v>789</v>
      </c>
      <c r="B790" t="s">
        <v>2754</v>
      </c>
      <c r="C790">
        <v>45</v>
      </c>
      <c r="J790">
        <v>789</v>
      </c>
      <c r="K790" t="s">
        <v>2754</v>
      </c>
      <c r="L790">
        <v>45</v>
      </c>
    </row>
    <row r="791" spans="1:12" x14ac:dyDescent="0.25">
      <c r="A791">
        <v>790</v>
      </c>
      <c r="B791" t="s">
        <v>2755</v>
      </c>
      <c r="C791">
        <v>35</v>
      </c>
      <c r="J791">
        <v>790</v>
      </c>
      <c r="K791" t="s">
        <v>2755</v>
      </c>
      <c r="L791">
        <v>35</v>
      </c>
    </row>
    <row r="792" spans="1:12" x14ac:dyDescent="0.25">
      <c r="A792">
        <v>791</v>
      </c>
      <c r="B792" t="s">
        <v>2756</v>
      </c>
      <c r="C792">
        <v>32</v>
      </c>
      <c r="J792">
        <v>791</v>
      </c>
      <c r="K792" t="s">
        <v>2756</v>
      </c>
      <c r="L792">
        <v>32</v>
      </c>
    </row>
    <row r="793" spans="1:12" x14ac:dyDescent="0.25">
      <c r="A793">
        <v>792</v>
      </c>
      <c r="B793" t="s">
        <v>2757</v>
      </c>
      <c r="C793">
        <v>23</v>
      </c>
      <c r="J793">
        <v>792</v>
      </c>
      <c r="K793" t="s">
        <v>2757</v>
      </c>
      <c r="L793">
        <v>23</v>
      </c>
    </row>
    <row r="794" spans="1:12" x14ac:dyDescent="0.25">
      <c r="A794">
        <v>793</v>
      </c>
      <c r="B794" t="s">
        <v>2758</v>
      </c>
      <c r="C794">
        <v>27</v>
      </c>
      <c r="J794">
        <v>793</v>
      </c>
      <c r="K794" t="s">
        <v>2758</v>
      </c>
      <c r="L794">
        <v>27</v>
      </c>
    </row>
    <row r="795" spans="1:12" x14ac:dyDescent="0.25">
      <c r="A795">
        <v>794</v>
      </c>
      <c r="B795" t="s">
        <v>2759</v>
      </c>
      <c r="C795">
        <v>42</v>
      </c>
      <c r="J795">
        <v>794</v>
      </c>
      <c r="K795" t="s">
        <v>2759</v>
      </c>
      <c r="L795">
        <v>42</v>
      </c>
    </row>
    <row r="796" spans="1:12" x14ac:dyDescent="0.25">
      <c r="A796">
        <v>795</v>
      </c>
      <c r="B796" t="s">
        <v>2760</v>
      </c>
      <c r="C796">
        <v>38</v>
      </c>
      <c r="J796">
        <v>795</v>
      </c>
      <c r="K796" t="s">
        <v>2760</v>
      </c>
      <c r="L796">
        <v>38</v>
      </c>
    </row>
    <row r="797" spans="1:12" x14ac:dyDescent="0.25">
      <c r="A797">
        <v>796</v>
      </c>
      <c r="B797" t="s">
        <v>2761</v>
      </c>
      <c r="C797">
        <v>38</v>
      </c>
      <c r="J797">
        <v>796</v>
      </c>
      <c r="K797" t="s">
        <v>2761</v>
      </c>
      <c r="L797">
        <v>38</v>
      </c>
    </row>
    <row r="798" spans="1:12" x14ac:dyDescent="0.25">
      <c r="A798">
        <v>797</v>
      </c>
      <c r="B798" t="s">
        <v>2762</v>
      </c>
      <c r="C798">
        <v>32</v>
      </c>
      <c r="J798">
        <v>797</v>
      </c>
      <c r="K798" t="s">
        <v>2762</v>
      </c>
      <c r="L798">
        <v>32</v>
      </c>
    </row>
    <row r="799" spans="1:12" x14ac:dyDescent="0.25">
      <c r="A799">
        <v>798</v>
      </c>
      <c r="B799" t="s">
        <v>2763</v>
      </c>
      <c r="C799">
        <v>33</v>
      </c>
      <c r="J799">
        <v>798</v>
      </c>
      <c r="K799" t="s">
        <v>2763</v>
      </c>
      <c r="L799">
        <v>33</v>
      </c>
    </row>
    <row r="800" spans="1:12" x14ac:dyDescent="0.25">
      <c r="A800">
        <v>799</v>
      </c>
      <c r="B800" t="s">
        <v>2764</v>
      </c>
      <c r="C800">
        <v>43</v>
      </c>
      <c r="J800">
        <v>799</v>
      </c>
      <c r="K800" t="s">
        <v>2764</v>
      </c>
      <c r="L800">
        <v>43</v>
      </c>
    </row>
    <row r="801" spans="1:12" x14ac:dyDescent="0.25">
      <c r="A801">
        <v>800</v>
      </c>
      <c r="B801" t="s">
        <v>2765</v>
      </c>
      <c r="C801">
        <v>33</v>
      </c>
      <c r="J801">
        <v>800</v>
      </c>
      <c r="K801" t="s">
        <v>2765</v>
      </c>
      <c r="L801">
        <v>33</v>
      </c>
    </row>
    <row r="802" spans="1:12" x14ac:dyDescent="0.25">
      <c r="A802">
        <v>801</v>
      </c>
      <c r="B802" t="s">
        <v>2766</v>
      </c>
      <c r="C802">
        <v>34</v>
      </c>
      <c r="J802">
        <v>801</v>
      </c>
      <c r="K802" t="s">
        <v>2766</v>
      </c>
      <c r="L802">
        <v>34</v>
      </c>
    </row>
    <row r="803" spans="1:12" x14ac:dyDescent="0.25">
      <c r="A803">
        <v>802</v>
      </c>
      <c r="B803" t="s">
        <v>2767</v>
      </c>
      <c r="C803">
        <v>50</v>
      </c>
      <c r="J803">
        <v>802</v>
      </c>
      <c r="K803" t="s">
        <v>2767</v>
      </c>
      <c r="L803">
        <v>50</v>
      </c>
    </row>
    <row r="804" spans="1:12" x14ac:dyDescent="0.25">
      <c r="A804">
        <v>803</v>
      </c>
      <c r="B804" t="s">
        <v>2768</v>
      </c>
      <c r="C804">
        <v>54</v>
      </c>
      <c r="J804">
        <v>803</v>
      </c>
      <c r="K804" t="s">
        <v>2768</v>
      </c>
      <c r="L804">
        <v>54</v>
      </c>
    </row>
    <row r="805" spans="1:12" x14ac:dyDescent="0.25">
      <c r="A805">
        <v>804</v>
      </c>
      <c r="B805" t="s">
        <v>2769</v>
      </c>
      <c r="C805">
        <v>46</v>
      </c>
      <c r="J805">
        <v>804</v>
      </c>
      <c r="K805" t="s">
        <v>2769</v>
      </c>
      <c r="L805">
        <v>46</v>
      </c>
    </row>
    <row r="806" spans="1:12" x14ac:dyDescent="0.25">
      <c r="A806">
        <v>805</v>
      </c>
      <c r="B806" t="s">
        <v>2770</v>
      </c>
      <c r="C806">
        <v>43</v>
      </c>
      <c r="J806">
        <v>805</v>
      </c>
      <c r="K806" t="s">
        <v>2770</v>
      </c>
      <c r="L806">
        <v>43</v>
      </c>
    </row>
    <row r="807" spans="1:12" x14ac:dyDescent="0.25">
      <c r="A807">
        <v>806</v>
      </c>
      <c r="B807" t="s">
        <v>2771</v>
      </c>
      <c r="C807">
        <v>68</v>
      </c>
      <c r="J807">
        <v>806</v>
      </c>
      <c r="K807" t="s">
        <v>2771</v>
      </c>
      <c r="L807">
        <v>68</v>
      </c>
    </row>
    <row r="808" spans="1:12" x14ac:dyDescent="0.25">
      <c r="A808">
        <v>807</v>
      </c>
      <c r="B808" t="s">
        <v>2772</v>
      </c>
      <c r="C808">
        <v>52</v>
      </c>
      <c r="J808">
        <v>807</v>
      </c>
      <c r="K808" t="s">
        <v>2772</v>
      </c>
      <c r="L808">
        <v>52</v>
      </c>
    </row>
    <row r="809" spans="1:12" x14ac:dyDescent="0.25">
      <c r="A809">
        <v>808</v>
      </c>
      <c r="B809" t="s">
        <v>2773</v>
      </c>
      <c r="C809">
        <v>57</v>
      </c>
      <c r="J809">
        <v>808</v>
      </c>
      <c r="K809" t="s">
        <v>2773</v>
      </c>
      <c r="L809">
        <v>57</v>
      </c>
    </row>
    <row r="810" spans="1:12" x14ac:dyDescent="0.25">
      <c r="A810">
        <v>809</v>
      </c>
      <c r="B810" t="s">
        <v>2774</v>
      </c>
      <c r="C810">
        <v>6</v>
      </c>
      <c r="J810">
        <v>809</v>
      </c>
      <c r="K810" t="s">
        <v>2774</v>
      </c>
      <c r="L810">
        <v>6</v>
      </c>
    </row>
    <row r="811" spans="1:12" x14ac:dyDescent="0.25">
      <c r="A811">
        <v>810</v>
      </c>
      <c r="B811" t="s">
        <v>2775</v>
      </c>
      <c r="C811">
        <v>6</v>
      </c>
      <c r="J811">
        <v>810</v>
      </c>
      <c r="K811" t="s">
        <v>2775</v>
      </c>
      <c r="L811">
        <v>6</v>
      </c>
    </row>
    <row r="812" spans="1:12" x14ac:dyDescent="0.25">
      <c r="A812">
        <v>811</v>
      </c>
      <c r="B812" t="s">
        <v>2776</v>
      </c>
      <c r="C812">
        <v>6</v>
      </c>
      <c r="J812">
        <v>811</v>
      </c>
      <c r="K812" t="s">
        <v>2776</v>
      </c>
      <c r="L812">
        <v>6</v>
      </c>
    </row>
    <row r="813" spans="1:12" x14ac:dyDescent="0.25">
      <c r="A813">
        <v>812</v>
      </c>
      <c r="B813" t="s">
        <v>2777</v>
      </c>
      <c r="C813">
        <v>12</v>
      </c>
      <c r="J813">
        <v>812</v>
      </c>
      <c r="K813" t="s">
        <v>2777</v>
      </c>
      <c r="L813">
        <v>12</v>
      </c>
    </row>
    <row r="814" spans="1:12" x14ac:dyDescent="0.25">
      <c r="A814">
        <v>813</v>
      </c>
      <c r="B814" t="s">
        <v>2778</v>
      </c>
      <c r="C814">
        <v>15</v>
      </c>
      <c r="J814">
        <v>813</v>
      </c>
      <c r="K814" t="s">
        <v>2778</v>
      </c>
      <c r="L814">
        <v>15</v>
      </c>
    </row>
    <row r="815" spans="1:12" x14ac:dyDescent="0.25">
      <c r="A815">
        <v>814</v>
      </c>
      <c r="B815" t="s">
        <v>2779</v>
      </c>
      <c r="C815">
        <v>9</v>
      </c>
      <c r="J815">
        <v>814</v>
      </c>
      <c r="K815" t="s">
        <v>2779</v>
      </c>
      <c r="L815">
        <v>9</v>
      </c>
    </row>
    <row r="816" spans="1:12" x14ac:dyDescent="0.25">
      <c r="A816">
        <v>815</v>
      </c>
      <c r="B816" t="s">
        <v>2780</v>
      </c>
      <c r="C816">
        <v>9</v>
      </c>
      <c r="J816">
        <v>815</v>
      </c>
      <c r="K816" t="s">
        <v>2780</v>
      </c>
      <c r="L816">
        <v>9</v>
      </c>
    </row>
    <row r="817" spans="1:12" x14ac:dyDescent="0.25">
      <c r="A817">
        <v>816</v>
      </c>
      <c r="B817" t="s">
        <v>2781</v>
      </c>
      <c r="C817">
        <v>6</v>
      </c>
      <c r="J817">
        <v>816</v>
      </c>
      <c r="K817" t="s">
        <v>2781</v>
      </c>
      <c r="L817">
        <v>6</v>
      </c>
    </row>
    <row r="818" spans="1:12" x14ac:dyDescent="0.25">
      <c r="A818">
        <v>817</v>
      </c>
      <c r="B818" t="s">
        <v>2782</v>
      </c>
      <c r="C818">
        <v>12</v>
      </c>
      <c r="J818">
        <v>817</v>
      </c>
      <c r="K818" t="s">
        <v>2782</v>
      </c>
      <c r="L818">
        <v>12</v>
      </c>
    </row>
    <row r="819" spans="1:12" x14ac:dyDescent="0.25">
      <c r="A819">
        <v>818</v>
      </c>
      <c r="B819" t="s">
        <v>2783</v>
      </c>
      <c r="C819">
        <v>6</v>
      </c>
      <c r="J819">
        <v>818</v>
      </c>
      <c r="K819" t="s">
        <v>2783</v>
      </c>
      <c r="L819">
        <v>6</v>
      </c>
    </row>
    <row r="820" spans="1:12" x14ac:dyDescent="0.25">
      <c r="A820">
        <v>819</v>
      </c>
      <c r="B820" t="s">
        <v>2784</v>
      </c>
      <c r="C820">
        <v>6</v>
      </c>
      <c r="J820">
        <v>819</v>
      </c>
      <c r="K820" t="s">
        <v>2784</v>
      </c>
      <c r="L820">
        <v>6</v>
      </c>
    </row>
    <row r="821" spans="1:12" x14ac:dyDescent="0.25">
      <c r="A821">
        <v>820</v>
      </c>
      <c r="B821" t="s">
        <v>2785</v>
      </c>
      <c r="C821">
        <v>6</v>
      </c>
      <c r="J821">
        <v>820</v>
      </c>
      <c r="K821" t="s">
        <v>2785</v>
      </c>
      <c r="L821">
        <v>6</v>
      </c>
    </row>
    <row r="822" spans="1:12" x14ac:dyDescent="0.25">
      <c r="A822">
        <v>821</v>
      </c>
      <c r="B822" t="s">
        <v>2786</v>
      </c>
      <c r="C822">
        <v>14</v>
      </c>
      <c r="J822">
        <v>821</v>
      </c>
      <c r="K822" t="s">
        <v>2786</v>
      </c>
      <c r="L822">
        <v>14</v>
      </c>
    </row>
    <row r="823" spans="1:12" x14ac:dyDescent="0.25">
      <c r="A823">
        <v>822</v>
      </c>
      <c r="B823" t="s">
        <v>2787</v>
      </c>
      <c r="C823">
        <v>28</v>
      </c>
      <c r="J823">
        <v>822</v>
      </c>
      <c r="K823" t="s">
        <v>2787</v>
      </c>
      <c r="L823">
        <v>28</v>
      </c>
    </row>
    <row r="824" spans="1:12" x14ac:dyDescent="0.25">
      <c r="A824">
        <v>823</v>
      </c>
      <c r="B824" t="s">
        <v>2788</v>
      </c>
      <c r="C824">
        <v>6</v>
      </c>
      <c r="J824">
        <v>823</v>
      </c>
      <c r="K824" t="s">
        <v>2788</v>
      </c>
      <c r="L824">
        <v>6</v>
      </c>
    </row>
    <row r="825" spans="1:12" x14ac:dyDescent="0.25">
      <c r="A825">
        <v>824</v>
      </c>
      <c r="B825" t="s">
        <v>2789</v>
      </c>
      <c r="C825">
        <v>6</v>
      </c>
      <c r="J825">
        <v>824</v>
      </c>
      <c r="K825" t="s">
        <v>2789</v>
      </c>
      <c r="L825">
        <v>6</v>
      </c>
    </row>
    <row r="826" spans="1:12" x14ac:dyDescent="0.25">
      <c r="A826">
        <v>825</v>
      </c>
      <c r="B826" t="s">
        <v>2790</v>
      </c>
      <c r="C826">
        <v>628</v>
      </c>
      <c r="J826">
        <v>825</v>
      </c>
      <c r="K826" t="s">
        <v>2790</v>
      </c>
      <c r="L826">
        <v>628</v>
      </c>
    </row>
    <row r="827" spans="1:12" x14ac:dyDescent="0.25">
      <c r="A827">
        <v>826</v>
      </c>
      <c r="B827" t="s">
        <v>2791</v>
      </c>
      <c r="C827">
        <v>419</v>
      </c>
      <c r="J827">
        <v>826</v>
      </c>
      <c r="K827" t="s">
        <v>2791</v>
      </c>
      <c r="L827">
        <v>419</v>
      </c>
    </row>
    <row r="828" spans="1:12" x14ac:dyDescent="0.25">
      <c r="A828">
        <v>827</v>
      </c>
      <c r="B828" t="s">
        <v>2792</v>
      </c>
      <c r="C828">
        <v>190</v>
      </c>
      <c r="J828">
        <v>827</v>
      </c>
      <c r="K828" t="s">
        <v>2792</v>
      </c>
      <c r="L828">
        <v>190</v>
      </c>
    </row>
    <row r="829" spans="1:12" x14ac:dyDescent="0.25">
      <c r="A829">
        <v>828</v>
      </c>
      <c r="B829" t="s">
        <v>2793</v>
      </c>
      <c r="C829">
        <v>218</v>
      </c>
      <c r="J829">
        <v>828</v>
      </c>
      <c r="K829" t="s">
        <v>2793</v>
      </c>
      <c r="L829">
        <v>218</v>
      </c>
    </row>
    <row r="830" spans="1:12" x14ac:dyDescent="0.25">
      <c r="A830">
        <v>829</v>
      </c>
      <c r="B830" t="s">
        <v>2794</v>
      </c>
      <c r="C830">
        <v>353</v>
      </c>
      <c r="J830">
        <v>829</v>
      </c>
      <c r="K830" t="s">
        <v>2794</v>
      </c>
      <c r="L830">
        <v>353</v>
      </c>
    </row>
    <row r="831" spans="1:12" x14ac:dyDescent="0.25">
      <c r="A831">
        <v>830</v>
      </c>
      <c r="B831" t="s">
        <v>2795</v>
      </c>
      <c r="C831">
        <v>242</v>
      </c>
      <c r="J831">
        <v>830</v>
      </c>
      <c r="K831" t="s">
        <v>2795</v>
      </c>
      <c r="L831">
        <v>242</v>
      </c>
    </row>
    <row r="832" spans="1:12" x14ac:dyDescent="0.25">
      <c r="A832">
        <v>831</v>
      </c>
      <c r="B832" t="s">
        <v>2796</v>
      </c>
      <c r="C832">
        <v>350</v>
      </c>
      <c r="J832">
        <v>831</v>
      </c>
      <c r="K832" t="s">
        <v>2796</v>
      </c>
      <c r="L832">
        <v>350</v>
      </c>
    </row>
    <row r="833" spans="1:12" x14ac:dyDescent="0.25">
      <c r="A833">
        <v>832</v>
      </c>
      <c r="B833" t="s">
        <v>2797</v>
      </c>
      <c r="C833">
        <v>233</v>
      </c>
      <c r="J833">
        <v>832</v>
      </c>
      <c r="K833" t="s">
        <v>2797</v>
      </c>
      <c r="L833">
        <v>233</v>
      </c>
    </row>
    <row r="834" spans="1:12" x14ac:dyDescent="0.25">
      <c r="A834">
        <v>833</v>
      </c>
      <c r="B834" t="s">
        <v>2798</v>
      </c>
      <c r="C834">
        <v>101</v>
      </c>
      <c r="J834">
        <v>833</v>
      </c>
      <c r="K834" t="s">
        <v>2798</v>
      </c>
      <c r="L834">
        <v>101</v>
      </c>
    </row>
    <row r="835" spans="1:12" x14ac:dyDescent="0.25">
      <c r="A835">
        <v>834</v>
      </c>
      <c r="B835" t="s">
        <v>2799</v>
      </c>
      <c r="C835">
        <v>354</v>
      </c>
      <c r="J835">
        <v>834</v>
      </c>
      <c r="K835" t="s">
        <v>2799</v>
      </c>
      <c r="L835">
        <v>354</v>
      </c>
    </row>
    <row r="836" spans="1:12" x14ac:dyDescent="0.25">
      <c r="A836">
        <v>835</v>
      </c>
      <c r="B836" t="s">
        <v>2800</v>
      </c>
      <c r="C836">
        <v>607</v>
      </c>
      <c r="J836">
        <v>835</v>
      </c>
      <c r="K836" t="s">
        <v>2800</v>
      </c>
      <c r="L836">
        <v>607</v>
      </c>
    </row>
    <row r="837" spans="1:12" x14ac:dyDescent="0.25">
      <c r="A837">
        <v>836</v>
      </c>
      <c r="B837" t="s">
        <v>2801</v>
      </c>
      <c r="C837">
        <v>428</v>
      </c>
      <c r="J837">
        <v>836</v>
      </c>
      <c r="K837" t="s">
        <v>2801</v>
      </c>
      <c r="L837">
        <v>428</v>
      </c>
    </row>
    <row r="838" spans="1:12" x14ac:dyDescent="0.25">
      <c r="A838">
        <v>837</v>
      </c>
      <c r="B838" t="s">
        <v>2802</v>
      </c>
      <c r="C838">
        <v>389</v>
      </c>
      <c r="J838">
        <v>837</v>
      </c>
      <c r="K838" t="s">
        <v>2802</v>
      </c>
      <c r="L838">
        <v>389</v>
      </c>
    </row>
    <row r="839" spans="1:12" x14ac:dyDescent="0.25">
      <c r="A839">
        <v>838</v>
      </c>
      <c r="B839" t="s">
        <v>2803</v>
      </c>
      <c r="C839">
        <v>410</v>
      </c>
      <c r="J839">
        <v>838</v>
      </c>
      <c r="K839" t="s">
        <v>2803</v>
      </c>
      <c r="L839">
        <v>410</v>
      </c>
    </row>
    <row r="840" spans="1:12" x14ac:dyDescent="0.25">
      <c r="A840">
        <v>839</v>
      </c>
      <c r="B840" t="s">
        <v>2804</v>
      </c>
      <c r="C840">
        <v>472</v>
      </c>
      <c r="J840">
        <v>839</v>
      </c>
      <c r="K840" t="s">
        <v>2804</v>
      </c>
      <c r="L840">
        <v>472</v>
      </c>
    </row>
    <row r="841" spans="1:12" x14ac:dyDescent="0.25">
      <c r="A841">
        <v>840</v>
      </c>
      <c r="B841" t="s">
        <v>2805</v>
      </c>
      <c r="C841">
        <v>81</v>
      </c>
      <c r="J841">
        <v>840</v>
      </c>
      <c r="K841" t="s">
        <v>2805</v>
      </c>
      <c r="L841">
        <v>81</v>
      </c>
    </row>
    <row r="842" spans="1:12" x14ac:dyDescent="0.25">
      <c r="A842">
        <v>841</v>
      </c>
      <c r="B842" t="s">
        <v>2806</v>
      </c>
      <c r="C842">
        <v>69</v>
      </c>
      <c r="J842">
        <v>841</v>
      </c>
      <c r="K842" t="s">
        <v>2806</v>
      </c>
      <c r="L842">
        <v>69</v>
      </c>
    </row>
    <row r="843" spans="1:12" x14ac:dyDescent="0.25">
      <c r="A843">
        <v>842</v>
      </c>
      <c r="B843" t="s">
        <v>2807</v>
      </c>
      <c r="C843">
        <v>190</v>
      </c>
      <c r="J843">
        <v>842</v>
      </c>
      <c r="K843" t="s">
        <v>2807</v>
      </c>
      <c r="L843">
        <v>190</v>
      </c>
    </row>
    <row r="844" spans="1:12" x14ac:dyDescent="0.25">
      <c r="A844">
        <v>843</v>
      </c>
      <c r="B844" t="s">
        <v>2808</v>
      </c>
      <c r="C844">
        <v>402</v>
      </c>
      <c r="J844">
        <v>843</v>
      </c>
      <c r="K844" t="s">
        <v>2808</v>
      </c>
      <c r="L844">
        <v>402</v>
      </c>
    </row>
    <row r="845" spans="1:12" x14ac:dyDescent="0.25">
      <c r="A845">
        <v>844</v>
      </c>
      <c r="B845" t="s">
        <v>2809</v>
      </c>
      <c r="C845">
        <v>77</v>
      </c>
      <c r="J845">
        <v>844</v>
      </c>
      <c r="K845" t="s">
        <v>2809</v>
      </c>
      <c r="L845">
        <v>77</v>
      </c>
    </row>
    <row r="846" spans="1:12" x14ac:dyDescent="0.25">
      <c r="A846">
        <v>845</v>
      </c>
      <c r="B846" t="s">
        <v>2810</v>
      </c>
      <c r="C846">
        <v>70</v>
      </c>
      <c r="J846">
        <v>845</v>
      </c>
      <c r="K846" t="s">
        <v>2810</v>
      </c>
      <c r="L846">
        <v>70</v>
      </c>
    </row>
    <row r="847" spans="1:12" x14ac:dyDescent="0.25">
      <c r="A847">
        <v>846</v>
      </c>
      <c r="B847" t="s">
        <v>2811</v>
      </c>
      <c r="C847">
        <v>82</v>
      </c>
      <c r="J847">
        <v>846</v>
      </c>
      <c r="K847" t="s">
        <v>2811</v>
      </c>
      <c r="L847">
        <v>82</v>
      </c>
    </row>
    <row r="848" spans="1:12" x14ac:dyDescent="0.25">
      <c r="A848">
        <v>847</v>
      </c>
      <c r="B848" t="s">
        <v>2812</v>
      </c>
      <c r="C848">
        <v>118</v>
      </c>
      <c r="J848">
        <v>847</v>
      </c>
      <c r="K848" t="s">
        <v>2812</v>
      </c>
      <c r="L848">
        <v>118</v>
      </c>
    </row>
    <row r="849" spans="1:12" x14ac:dyDescent="0.25">
      <c r="A849">
        <v>848</v>
      </c>
      <c r="B849" t="s">
        <v>2813</v>
      </c>
      <c r="C849">
        <v>159</v>
      </c>
      <c r="J849">
        <v>848</v>
      </c>
      <c r="K849" t="s">
        <v>2813</v>
      </c>
      <c r="L849">
        <v>159</v>
      </c>
    </row>
    <row r="850" spans="1:12" x14ac:dyDescent="0.25">
      <c r="A850">
        <v>849</v>
      </c>
      <c r="B850" t="s">
        <v>2814</v>
      </c>
      <c r="C850">
        <v>136</v>
      </c>
      <c r="J850">
        <v>849</v>
      </c>
      <c r="K850" t="s">
        <v>2814</v>
      </c>
      <c r="L850">
        <v>136</v>
      </c>
    </row>
    <row r="851" spans="1:12" x14ac:dyDescent="0.25">
      <c r="A851">
        <v>850</v>
      </c>
      <c r="B851" t="s">
        <v>2815</v>
      </c>
      <c r="C851">
        <v>130</v>
      </c>
      <c r="J851">
        <v>850</v>
      </c>
      <c r="K851" t="s">
        <v>2815</v>
      </c>
      <c r="L851">
        <v>130</v>
      </c>
    </row>
    <row r="852" spans="1:12" x14ac:dyDescent="0.25">
      <c r="A852">
        <v>851</v>
      </c>
      <c r="B852" t="s">
        <v>2816</v>
      </c>
      <c r="C852">
        <v>123</v>
      </c>
      <c r="J852">
        <v>851</v>
      </c>
      <c r="K852" t="s">
        <v>2816</v>
      </c>
      <c r="L852">
        <v>123</v>
      </c>
    </row>
    <row r="853" spans="1:12" x14ac:dyDescent="0.25">
      <c r="A853">
        <v>852</v>
      </c>
      <c r="B853" t="s">
        <v>2817</v>
      </c>
      <c r="C853">
        <v>120</v>
      </c>
      <c r="J853">
        <v>852</v>
      </c>
      <c r="K853" t="s">
        <v>2817</v>
      </c>
      <c r="L853">
        <v>120</v>
      </c>
    </row>
    <row r="854" spans="1:12" x14ac:dyDescent="0.25">
      <c r="A854">
        <v>853</v>
      </c>
      <c r="B854" t="s">
        <v>2818</v>
      </c>
      <c r="C854">
        <v>177</v>
      </c>
      <c r="J854">
        <v>853</v>
      </c>
      <c r="K854" t="s">
        <v>2818</v>
      </c>
      <c r="L854">
        <v>177</v>
      </c>
    </row>
    <row r="855" spans="1:12" x14ac:dyDescent="0.25">
      <c r="A855">
        <v>854</v>
      </c>
      <c r="B855" t="s">
        <v>2819</v>
      </c>
      <c r="C855">
        <v>656</v>
      </c>
      <c r="J855">
        <v>854</v>
      </c>
      <c r="K855" t="s">
        <v>2819</v>
      </c>
      <c r="L855">
        <v>656</v>
      </c>
    </row>
    <row r="856" spans="1:12" x14ac:dyDescent="0.25">
      <c r="A856">
        <v>855</v>
      </c>
      <c r="B856" t="s">
        <v>2820</v>
      </c>
      <c r="C856">
        <v>467</v>
      </c>
      <c r="J856">
        <v>855</v>
      </c>
      <c r="K856" t="s">
        <v>2820</v>
      </c>
      <c r="L856">
        <v>467</v>
      </c>
    </row>
    <row r="857" spans="1:12" x14ac:dyDescent="0.25">
      <c r="A857">
        <v>856</v>
      </c>
      <c r="B857" t="s">
        <v>2821</v>
      </c>
      <c r="C857">
        <v>559</v>
      </c>
      <c r="J857">
        <v>856</v>
      </c>
      <c r="K857" t="s">
        <v>2821</v>
      </c>
      <c r="L857">
        <v>559</v>
      </c>
    </row>
    <row r="858" spans="1:12" x14ac:dyDescent="0.25">
      <c r="A858">
        <v>857</v>
      </c>
      <c r="B858" t="s">
        <v>2822</v>
      </c>
      <c r="C858">
        <v>613</v>
      </c>
      <c r="J858">
        <v>857</v>
      </c>
      <c r="K858" t="s">
        <v>2822</v>
      </c>
      <c r="L858">
        <v>613</v>
      </c>
    </row>
    <row r="859" spans="1:12" x14ac:dyDescent="0.25">
      <c r="A859">
        <v>858</v>
      </c>
      <c r="B859" t="s">
        <v>2823</v>
      </c>
      <c r="C859">
        <v>533</v>
      </c>
      <c r="J859">
        <v>858</v>
      </c>
      <c r="K859" t="s">
        <v>2823</v>
      </c>
      <c r="L859">
        <v>533</v>
      </c>
    </row>
    <row r="860" spans="1:12" x14ac:dyDescent="0.25">
      <c r="A860">
        <v>859</v>
      </c>
      <c r="B860" t="s">
        <v>2824</v>
      </c>
      <c r="C860">
        <v>574</v>
      </c>
      <c r="J860">
        <v>859</v>
      </c>
      <c r="K860" t="s">
        <v>2824</v>
      </c>
      <c r="L860">
        <v>574</v>
      </c>
    </row>
    <row r="861" spans="1:12" x14ac:dyDescent="0.25">
      <c r="A861">
        <v>860</v>
      </c>
      <c r="B861" t="s">
        <v>2825</v>
      </c>
      <c r="C861">
        <v>253</v>
      </c>
      <c r="J861">
        <v>860</v>
      </c>
      <c r="K861" t="s">
        <v>2825</v>
      </c>
      <c r="L861">
        <v>253</v>
      </c>
    </row>
    <row r="862" spans="1:12" x14ac:dyDescent="0.25">
      <c r="A862">
        <v>861</v>
      </c>
      <c r="B862" t="s">
        <v>2826</v>
      </c>
      <c r="C862">
        <v>256</v>
      </c>
      <c r="J862">
        <v>861</v>
      </c>
      <c r="K862" t="s">
        <v>2826</v>
      </c>
      <c r="L862">
        <v>256</v>
      </c>
    </row>
    <row r="863" spans="1:12" x14ac:dyDescent="0.25">
      <c r="A863">
        <v>862</v>
      </c>
      <c r="B863" t="s">
        <v>2827</v>
      </c>
      <c r="C863">
        <v>109</v>
      </c>
      <c r="J863">
        <v>862</v>
      </c>
      <c r="K863" t="s">
        <v>2827</v>
      </c>
      <c r="L863">
        <v>109</v>
      </c>
    </row>
    <row r="864" spans="1:12" x14ac:dyDescent="0.25">
      <c r="A864">
        <v>863</v>
      </c>
      <c r="B864" t="s">
        <v>2828</v>
      </c>
      <c r="C864">
        <v>113</v>
      </c>
      <c r="J864">
        <v>863</v>
      </c>
      <c r="K864" t="s">
        <v>2828</v>
      </c>
      <c r="L864">
        <v>113</v>
      </c>
    </row>
    <row r="865" spans="1:12" x14ac:dyDescent="0.25">
      <c r="A865">
        <v>864</v>
      </c>
      <c r="B865" t="s">
        <v>2829</v>
      </c>
      <c r="C865">
        <v>211</v>
      </c>
      <c r="J865">
        <v>864</v>
      </c>
      <c r="K865" t="s">
        <v>2829</v>
      </c>
      <c r="L865">
        <v>211</v>
      </c>
    </row>
    <row r="866" spans="1:12" x14ac:dyDescent="0.25">
      <c r="A866">
        <v>865</v>
      </c>
      <c r="B866" t="s">
        <v>2830</v>
      </c>
      <c r="C866">
        <v>172</v>
      </c>
      <c r="J866">
        <v>865</v>
      </c>
      <c r="K866" t="s">
        <v>2830</v>
      </c>
      <c r="L866">
        <v>172</v>
      </c>
    </row>
    <row r="867" spans="1:12" x14ac:dyDescent="0.25">
      <c r="A867">
        <v>866</v>
      </c>
      <c r="B867" t="s">
        <v>2831</v>
      </c>
      <c r="C867">
        <v>576</v>
      </c>
      <c r="J867">
        <v>866</v>
      </c>
      <c r="K867" t="s">
        <v>2831</v>
      </c>
      <c r="L867">
        <v>576</v>
      </c>
    </row>
    <row r="868" spans="1:12" x14ac:dyDescent="0.25">
      <c r="A868">
        <v>867</v>
      </c>
      <c r="B868" t="s">
        <v>2832</v>
      </c>
      <c r="C868">
        <v>658</v>
      </c>
      <c r="J868">
        <v>867</v>
      </c>
      <c r="K868" t="s">
        <v>2832</v>
      </c>
      <c r="L868">
        <v>658</v>
      </c>
    </row>
    <row r="869" spans="1:12" x14ac:dyDescent="0.25">
      <c r="A869">
        <v>868</v>
      </c>
      <c r="B869" t="s">
        <v>2833</v>
      </c>
      <c r="C869">
        <v>317</v>
      </c>
      <c r="J869">
        <v>868</v>
      </c>
      <c r="K869" t="s">
        <v>2833</v>
      </c>
      <c r="L869">
        <v>317</v>
      </c>
    </row>
    <row r="870" spans="1:12" x14ac:dyDescent="0.25">
      <c r="A870">
        <v>869</v>
      </c>
      <c r="B870" t="s">
        <v>2834</v>
      </c>
      <c r="C870">
        <v>219</v>
      </c>
      <c r="J870">
        <v>869</v>
      </c>
      <c r="K870" t="s">
        <v>2834</v>
      </c>
      <c r="L870">
        <v>219</v>
      </c>
    </row>
    <row r="871" spans="1:12" x14ac:dyDescent="0.25">
      <c r="A871">
        <v>870</v>
      </c>
      <c r="B871" t="s">
        <v>2835</v>
      </c>
      <c r="C871">
        <v>111</v>
      </c>
      <c r="J871">
        <v>870</v>
      </c>
      <c r="K871" t="s">
        <v>2835</v>
      </c>
      <c r="L871">
        <v>111</v>
      </c>
    </row>
    <row r="872" spans="1:12" x14ac:dyDescent="0.25">
      <c r="A872">
        <v>871</v>
      </c>
      <c r="B872" t="s">
        <v>2836</v>
      </c>
      <c r="C872">
        <v>136</v>
      </c>
      <c r="J872">
        <v>871</v>
      </c>
      <c r="K872" t="s">
        <v>2836</v>
      </c>
      <c r="L872">
        <v>136</v>
      </c>
    </row>
    <row r="873" spans="1:12" x14ac:dyDescent="0.25">
      <c r="A873">
        <v>872</v>
      </c>
      <c r="B873" t="s">
        <v>2837</v>
      </c>
      <c r="C873">
        <v>203</v>
      </c>
      <c r="J873">
        <v>872</v>
      </c>
      <c r="K873" t="s">
        <v>2837</v>
      </c>
      <c r="L873">
        <v>203</v>
      </c>
    </row>
    <row r="874" spans="1:12" x14ac:dyDescent="0.25">
      <c r="A874">
        <v>873</v>
      </c>
      <c r="B874" t="s">
        <v>2838</v>
      </c>
      <c r="C874">
        <v>69</v>
      </c>
      <c r="J874">
        <v>873</v>
      </c>
      <c r="K874" t="s">
        <v>2838</v>
      </c>
      <c r="L874">
        <v>69</v>
      </c>
    </row>
    <row r="875" spans="1:12" x14ac:dyDescent="0.25">
      <c r="A875">
        <v>874</v>
      </c>
      <c r="B875" t="s">
        <v>2839</v>
      </c>
      <c r="C875">
        <v>66</v>
      </c>
      <c r="J875">
        <v>874</v>
      </c>
      <c r="K875" t="s">
        <v>2839</v>
      </c>
      <c r="L875">
        <v>66</v>
      </c>
    </row>
    <row r="876" spans="1:12" x14ac:dyDescent="0.25">
      <c r="A876">
        <v>875</v>
      </c>
      <c r="B876" t="s">
        <v>2840</v>
      </c>
      <c r="C876">
        <v>39</v>
      </c>
      <c r="J876">
        <v>875</v>
      </c>
      <c r="K876" t="s">
        <v>2840</v>
      </c>
      <c r="L876">
        <v>39</v>
      </c>
    </row>
    <row r="877" spans="1:12" x14ac:dyDescent="0.25">
      <c r="A877">
        <v>876</v>
      </c>
      <c r="B877" t="s">
        <v>2841</v>
      </c>
      <c r="C877">
        <v>31</v>
      </c>
      <c r="J877">
        <v>876</v>
      </c>
      <c r="K877" t="s">
        <v>2841</v>
      </c>
      <c r="L877">
        <v>31</v>
      </c>
    </row>
    <row r="878" spans="1:12" x14ac:dyDescent="0.25">
      <c r="A878">
        <v>877</v>
      </c>
      <c r="B878" t="s">
        <v>2842</v>
      </c>
      <c r="C878">
        <v>49</v>
      </c>
      <c r="J878">
        <v>877</v>
      </c>
      <c r="K878" t="s">
        <v>2842</v>
      </c>
      <c r="L878">
        <v>49</v>
      </c>
    </row>
    <row r="879" spans="1:12" x14ac:dyDescent="0.25">
      <c r="A879">
        <v>878</v>
      </c>
      <c r="B879" t="s">
        <v>2843</v>
      </c>
      <c r="C879">
        <v>49</v>
      </c>
      <c r="J879">
        <v>878</v>
      </c>
      <c r="K879" t="s">
        <v>2843</v>
      </c>
      <c r="L879">
        <v>49</v>
      </c>
    </row>
    <row r="880" spans="1:12" x14ac:dyDescent="0.25">
      <c r="A880">
        <v>879</v>
      </c>
      <c r="B880" t="s">
        <v>2844</v>
      </c>
      <c r="C880">
        <v>19</v>
      </c>
      <c r="J880">
        <v>879</v>
      </c>
      <c r="K880" t="s">
        <v>2844</v>
      </c>
      <c r="L880">
        <v>19</v>
      </c>
    </row>
    <row r="881" spans="1:12" x14ac:dyDescent="0.25">
      <c r="A881">
        <v>880</v>
      </c>
      <c r="B881" t="s">
        <v>2845</v>
      </c>
      <c r="C881">
        <v>56</v>
      </c>
      <c r="J881">
        <v>880</v>
      </c>
      <c r="K881" t="s">
        <v>2845</v>
      </c>
      <c r="L881">
        <v>56</v>
      </c>
    </row>
    <row r="882" spans="1:12" x14ac:dyDescent="0.25">
      <c r="A882">
        <v>881</v>
      </c>
      <c r="B882" t="s">
        <v>2846</v>
      </c>
      <c r="C882">
        <v>35</v>
      </c>
      <c r="J882">
        <v>881</v>
      </c>
      <c r="K882" t="s">
        <v>2846</v>
      </c>
      <c r="L882">
        <v>35</v>
      </c>
    </row>
    <row r="883" spans="1:12" x14ac:dyDescent="0.25">
      <c r="A883">
        <v>882</v>
      </c>
      <c r="B883" t="s">
        <v>2847</v>
      </c>
      <c r="C883">
        <v>31</v>
      </c>
      <c r="J883">
        <v>882</v>
      </c>
      <c r="K883" t="s">
        <v>2847</v>
      </c>
      <c r="L883">
        <v>31</v>
      </c>
    </row>
    <row r="884" spans="1:12" x14ac:dyDescent="0.25">
      <c r="A884">
        <v>883</v>
      </c>
      <c r="B884" t="s">
        <v>2848</v>
      </c>
      <c r="C884">
        <v>101</v>
      </c>
      <c r="J884">
        <v>883</v>
      </c>
      <c r="K884" t="s">
        <v>2848</v>
      </c>
      <c r="L884">
        <v>101</v>
      </c>
    </row>
    <row r="885" spans="1:12" x14ac:dyDescent="0.25">
      <c r="A885">
        <v>884</v>
      </c>
      <c r="B885" t="s">
        <v>2849</v>
      </c>
      <c r="C885">
        <v>93</v>
      </c>
      <c r="J885">
        <v>884</v>
      </c>
      <c r="K885" t="s">
        <v>2849</v>
      </c>
      <c r="L885">
        <v>93</v>
      </c>
    </row>
    <row r="886" spans="1:12" x14ac:dyDescent="0.25">
      <c r="A886">
        <v>885</v>
      </c>
      <c r="B886" t="s">
        <v>2850</v>
      </c>
      <c r="C886">
        <v>223</v>
      </c>
      <c r="J886">
        <v>885</v>
      </c>
      <c r="K886" t="s">
        <v>2850</v>
      </c>
      <c r="L886">
        <v>223</v>
      </c>
    </row>
    <row r="887" spans="1:12" x14ac:dyDescent="0.25">
      <c r="A887">
        <v>886</v>
      </c>
      <c r="B887" t="s">
        <v>2851</v>
      </c>
      <c r="C887">
        <v>121</v>
      </c>
      <c r="J887">
        <v>886</v>
      </c>
      <c r="K887" t="s">
        <v>2851</v>
      </c>
      <c r="L887">
        <v>121</v>
      </c>
    </row>
    <row r="888" spans="1:12" x14ac:dyDescent="0.25">
      <c r="A888">
        <v>887</v>
      </c>
      <c r="B888" t="s">
        <v>2852</v>
      </c>
      <c r="C888">
        <v>144</v>
      </c>
      <c r="J888">
        <v>887</v>
      </c>
      <c r="K888" t="s">
        <v>2852</v>
      </c>
      <c r="L888">
        <v>144</v>
      </c>
    </row>
    <row r="889" spans="1:12" x14ac:dyDescent="0.25">
      <c r="A889">
        <v>888</v>
      </c>
      <c r="B889" t="s">
        <v>2853</v>
      </c>
      <c r="C889">
        <v>408</v>
      </c>
      <c r="J889">
        <v>888</v>
      </c>
      <c r="K889" t="s">
        <v>2853</v>
      </c>
      <c r="L889">
        <v>408</v>
      </c>
    </row>
    <row r="890" spans="1:12" x14ac:dyDescent="0.25">
      <c r="A890">
        <v>889</v>
      </c>
      <c r="B890" t="s">
        <v>2854</v>
      </c>
      <c r="C890">
        <v>439</v>
      </c>
      <c r="J890">
        <v>889</v>
      </c>
      <c r="K890" t="s">
        <v>2854</v>
      </c>
      <c r="L890">
        <v>439</v>
      </c>
    </row>
    <row r="891" spans="1:12" x14ac:dyDescent="0.25">
      <c r="A891">
        <v>890</v>
      </c>
      <c r="B891" t="s">
        <v>2855</v>
      </c>
      <c r="C891">
        <v>271</v>
      </c>
      <c r="J891">
        <v>890</v>
      </c>
      <c r="K891" t="s">
        <v>2855</v>
      </c>
      <c r="L891">
        <v>271</v>
      </c>
    </row>
    <row r="892" spans="1:12" x14ac:dyDescent="0.25">
      <c r="A892">
        <v>891</v>
      </c>
      <c r="B892" t="s">
        <v>2856</v>
      </c>
      <c r="C892">
        <v>296</v>
      </c>
      <c r="J892">
        <v>891</v>
      </c>
      <c r="K892" t="s">
        <v>2856</v>
      </c>
      <c r="L892">
        <v>296</v>
      </c>
    </row>
    <row r="893" spans="1:12" x14ac:dyDescent="0.25">
      <c r="A893">
        <v>892</v>
      </c>
      <c r="B893" t="s">
        <v>2857</v>
      </c>
      <c r="C893">
        <v>658</v>
      </c>
      <c r="J893">
        <v>892</v>
      </c>
      <c r="K893" t="s">
        <v>2857</v>
      </c>
      <c r="L893">
        <v>658</v>
      </c>
    </row>
    <row r="894" spans="1:12" x14ac:dyDescent="0.25">
      <c r="A894">
        <v>893</v>
      </c>
      <c r="B894" t="s">
        <v>2858</v>
      </c>
      <c r="C894">
        <v>668</v>
      </c>
      <c r="J894">
        <v>893</v>
      </c>
      <c r="K894" t="s">
        <v>2858</v>
      </c>
      <c r="L894">
        <v>668</v>
      </c>
    </row>
    <row r="895" spans="1:12" x14ac:dyDescent="0.25">
      <c r="A895">
        <v>894</v>
      </c>
      <c r="B895" t="s">
        <v>2859</v>
      </c>
      <c r="C895">
        <v>339</v>
      </c>
      <c r="J895">
        <v>894</v>
      </c>
      <c r="K895" t="s">
        <v>2859</v>
      </c>
      <c r="L895">
        <v>339</v>
      </c>
    </row>
    <row r="896" spans="1:12" x14ac:dyDescent="0.25">
      <c r="A896">
        <v>895</v>
      </c>
      <c r="B896" t="s">
        <v>2860</v>
      </c>
      <c r="C896">
        <v>552</v>
      </c>
      <c r="J896">
        <v>895</v>
      </c>
      <c r="K896" t="s">
        <v>2860</v>
      </c>
      <c r="L896">
        <v>552</v>
      </c>
    </row>
    <row r="897" spans="1:12" x14ac:dyDescent="0.25">
      <c r="A897">
        <v>896</v>
      </c>
      <c r="B897" t="s">
        <v>2861</v>
      </c>
      <c r="C897">
        <v>605</v>
      </c>
      <c r="J897">
        <v>896</v>
      </c>
      <c r="K897" t="s">
        <v>2861</v>
      </c>
      <c r="L897">
        <v>605</v>
      </c>
    </row>
    <row r="898" spans="1:12" x14ac:dyDescent="0.25">
      <c r="A898">
        <v>897</v>
      </c>
      <c r="B898" t="s">
        <v>2862</v>
      </c>
      <c r="C898">
        <v>173</v>
      </c>
      <c r="J898">
        <v>897</v>
      </c>
      <c r="K898" t="s">
        <v>2862</v>
      </c>
      <c r="L898">
        <v>173</v>
      </c>
    </row>
    <row r="899" spans="1:12" x14ac:dyDescent="0.25">
      <c r="A899">
        <v>898</v>
      </c>
      <c r="B899" t="s">
        <v>2863</v>
      </c>
      <c r="C899">
        <v>157</v>
      </c>
      <c r="J899">
        <v>898</v>
      </c>
      <c r="K899" t="s">
        <v>2863</v>
      </c>
      <c r="L899">
        <v>157</v>
      </c>
    </row>
    <row r="900" spans="1:12" x14ac:dyDescent="0.25">
      <c r="A900">
        <v>899</v>
      </c>
      <c r="B900" t="s">
        <v>2864</v>
      </c>
      <c r="C900">
        <v>203</v>
      </c>
      <c r="J900">
        <v>899</v>
      </c>
      <c r="K900" t="s">
        <v>2864</v>
      </c>
      <c r="L900">
        <v>203</v>
      </c>
    </row>
    <row r="901" spans="1:12" x14ac:dyDescent="0.25">
      <c r="A901">
        <v>900</v>
      </c>
      <c r="B901" t="s">
        <v>2865</v>
      </c>
      <c r="C901">
        <v>155</v>
      </c>
      <c r="J901">
        <v>900</v>
      </c>
      <c r="K901" t="s">
        <v>2865</v>
      </c>
      <c r="L901">
        <v>155</v>
      </c>
    </row>
    <row r="902" spans="1:12" x14ac:dyDescent="0.25">
      <c r="A902">
        <v>901</v>
      </c>
      <c r="B902" t="s">
        <v>2866</v>
      </c>
      <c r="C902">
        <v>210</v>
      </c>
      <c r="J902">
        <v>901</v>
      </c>
      <c r="K902" t="s">
        <v>2866</v>
      </c>
      <c r="L902">
        <v>210</v>
      </c>
    </row>
    <row r="903" spans="1:12" x14ac:dyDescent="0.25">
      <c r="A903">
        <v>902</v>
      </c>
      <c r="B903" t="s">
        <v>2867</v>
      </c>
      <c r="C903">
        <v>109</v>
      </c>
      <c r="J903">
        <v>902</v>
      </c>
      <c r="K903" t="s">
        <v>2867</v>
      </c>
      <c r="L903">
        <v>109</v>
      </c>
    </row>
    <row r="904" spans="1:12" x14ac:dyDescent="0.25">
      <c r="A904">
        <v>903</v>
      </c>
      <c r="B904" t="s">
        <v>2868</v>
      </c>
      <c r="C904">
        <v>91</v>
      </c>
      <c r="J904">
        <v>903</v>
      </c>
      <c r="K904" t="s">
        <v>2868</v>
      </c>
      <c r="L904">
        <v>91</v>
      </c>
    </row>
    <row r="905" spans="1:12" x14ac:dyDescent="0.25">
      <c r="A905">
        <v>904</v>
      </c>
      <c r="B905" t="s">
        <v>2869</v>
      </c>
      <c r="C905">
        <v>164</v>
      </c>
      <c r="J905">
        <v>904</v>
      </c>
      <c r="K905" t="s">
        <v>2869</v>
      </c>
      <c r="L905">
        <v>164</v>
      </c>
    </row>
    <row r="906" spans="1:12" x14ac:dyDescent="0.25">
      <c r="A906">
        <v>905</v>
      </c>
      <c r="B906" t="s">
        <v>2870</v>
      </c>
      <c r="C906">
        <v>94</v>
      </c>
      <c r="J906">
        <v>905</v>
      </c>
      <c r="K906" t="s">
        <v>2870</v>
      </c>
      <c r="L906">
        <v>94</v>
      </c>
    </row>
    <row r="907" spans="1:12" x14ac:dyDescent="0.25">
      <c r="A907">
        <v>906</v>
      </c>
      <c r="B907" t="s">
        <v>2871</v>
      </c>
      <c r="C907">
        <v>85</v>
      </c>
      <c r="J907">
        <v>906</v>
      </c>
      <c r="K907" t="s">
        <v>2871</v>
      </c>
      <c r="L907">
        <v>85</v>
      </c>
    </row>
    <row r="908" spans="1:12" x14ac:dyDescent="0.25">
      <c r="A908">
        <v>907</v>
      </c>
      <c r="B908" t="s">
        <v>2872</v>
      </c>
      <c r="C908">
        <v>65</v>
      </c>
      <c r="J908">
        <v>907</v>
      </c>
      <c r="K908" t="s">
        <v>2872</v>
      </c>
      <c r="L908">
        <v>65</v>
      </c>
    </row>
    <row r="909" spans="1:12" x14ac:dyDescent="0.25">
      <c r="A909">
        <v>908</v>
      </c>
      <c r="B909" t="s">
        <v>2873</v>
      </c>
      <c r="C909">
        <v>128</v>
      </c>
      <c r="J909">
        <v>908</v>
      </c>
      <c r="K909" t="s">
        <v>2873</v>
      </c>
      <c r="L909">
        <v>128</v>
      </c>
    </row>
    <row r="910" spans="1:12" x14ac:dyDescent="0.25">
      <c r="A910">
        <v>909</v>
      </c>
      <c r="B910" t="s">
        <v>2874</v>
      </c>
      <c r="C910">
        <v>78</v>
      </c>
      <c r="J910">
        <v>909</v>
      </c>
      <c r="K910" t="s">
        <v>2874</v>
      </c>
      <c r="L910">
        <v>78</v>
      </c>
    </row>
    <row r="911" spans="1:12" x14ac:dyDescent="0.25">
      <c r="A911">
        <v>910</v>
      </c>
      <c r="B911" t="s">
        <v>2875</v>
      </c>
      <c r="C911">
        <v>221</v>
      </c>
      <c r="J911">
        <v>910</v>
      </c>
      <c r="K911" t="s">
        <v>2875</v>
      </c>
      <c r="L911">
        <v>221</v>
      </c>
    </row>
    <row r="912" spans="1:12" x14ac:dyDescent="0.25">
      <c r="A912">
        <v>911</v>
      </c>
      <c r="B912" t="s">
        <v>2876</v>
      </c>
      <c r="C912">
        <v>349</v>
      </c>
      <c r="J912">
        <v>911</v>
      </c>
      <c r="K912" t="s">
        <v>2876</v>
      </c>
      <c r="L912">
        <v>349</v>
      </c>
    </row>
    <row r="913" spans="1:12" x14ac:dyDescent="0.25">
      <c r="A913">
        <v>912</v>
      </c>
      <c r="B913" t="s">
        <v>2877</v>
      </c>
      <c r="C913">
        <v>259</v>
      </c>
      <c r="J913">
        <v>912</v>
      </c>
      <c r="K913" t="s">
        <v>2877</v>
      </c>
      <c r="L913">
        <v>259</v>
      </c>
    </row>
    <row r="914" spans="1:12" x14ac:dyDescent="0.25">
      <c r="A914">
        <v>913</v>
      </c>
      <c r="B914" t="s">
        <v>2878</v>
      </c>
      <c r="C914">
        <v>474</v>
      </c>
      <c r="J914">
        <v>913</v>
      </c>
      <c r="K914" t="s">
        <v>2878</v>
      </c>
      <c r="L914">
        <v>474</v>
      </c>
    </row>
    <row r="915" spans="1:12" x14ac:dyDescent="0.25">
      <c r="A915">
        <v>914</v>
      </c>
      <c r="B915" t="s">
        <v>2879</v>
      </c>
      <c r="C915">
        <v>598</v>
      </c>
      <c r="J915">
        <v>914</v>
      </c>
      <c r="K915" t="s">
        <v>2879</v>
      </c>
      <c r="L915">
        <v>598</v>
      </c>
    </row>
    <row r="916" spans="1:12" x14ac:dyDescent="0.25">
      <c r="A916">
        <v>915</v>
      </c>
      <c r="B916" t="s">
        <v>2880</v>
      </c>
      <c r="C916">
        <v>657</v>
      </c>
      <c r="J916">
        <v>915</v>
      </c>
      <c r="K916" t="s">
        <v>2880</v>
      </c>
      <c r="L916">
        <v>657</v>
      </c>
    </row>
    <row r="917" spans="1:12" x14ac:dyDescent="0.25">
      <c r="A917">
        <v>916</v>
      </c>
      <c r="B917" t="s">
        <v>2881</v>
      </c>
      <c r="C917">
        <v>463</v>
      </c>
      <c r="J917">
        <v>916</v>
      </c>
      <c r="K917" t="s">
        <v>2881</v>
      </c>
      <c r="L917">
        <v>463</v>
      </c>
    </row>
    <row r="918" spans="1:12" x14ac:dyDescent="0.25">
      <c r="A918">
        <v>917</v>
      </c>
      <c r="B918" t="s">
        <v>2882</v>
      </c>
      <c r="C918">
        <v>259</v>
      </c>
      <c r="J918">
        <v>917</v>
      </c>
      <c r="K918" t="s">
        <v>2882</v>
      </c>
      <c r="L918">
        <v>259</v>
      </c>
    </row>
    <row r="919" spans="1:12" x14ac:dyDescent="0.25">
      <c r="A919">
        <v>918</v>
      </c>
      <c r="B919" t="s">
        <v>2883</v>
      </c>
      <c r="C919">
        <v>402</v>
      </c>
      <c r="J919">
        <v>918</v>
      </c>
      <c r="K919" t="s">
        <v>2883</v>
      </c>
      <c r="L919">
        <v>402</v>
      </c>
    </row>
    <row r="920" spans="1:12" x14ac:dyDescent="0.25">
      <c r="A920">
        <v>919</v>
      </c>
      <c r="B920" t="s">
        <v>2884</v>
      </c>
      <c r="C920">
        <v>74</v>
      </c>
      <c r="J920">
        <v>919</v>
      </c>
      <c r="K920" t="s">
        <v>2884</v>
      </c>
      <c r="L920">
        <v>74</v>
      </c>
    </row>
    <row r="921" spans="1:12" x14ac:dyDescent="0.25">
      <c r="A921">
        <v>920</v>
      </c>
      <c r="B921" t="s">
        <v>2885</v>
      </c>
      <c r="C921">
        <v>46</v>
      </c>
      <c r="J921">
        <v>920</v>
      </c>
      <c r="K921" t="s">
        <v>2885</v>
      </c>
      <c r="L921">
        <v>46</v>
      </c>
    </row>
    <row r="922" spans="1:12" x14ac:dyDescent="0.25">
      <c r="A922">
        <v>921</v>
      </c>
      <c r="B922" t="s">
        <v>2886</v>
      </c>
      <c r="C922">
        <v>37</v>
      </c>
      <c r="J922">
        <v>921</v>
      </c>
      <c r="K922" t="s">
        <v>2886</v>
      </c>
      <c r="L922">
        <v>37</v>
      </c>
    </row>
    <row r="923" spans="1:12" x14ac:dyDescent="0.25">
      <c r="A923">
        <v>922</v>
      </c>
      <c r="B923" t="s">
        <v>2887</v>
      </c>
      <c r="C923">
        <v>37</v>
      </c>
      <c r="J923">
        <v>922</v>
      </c>
      <c r="K923" t="s">
        <v>2887</v>
      </c>
      <c r="L923">
        <v>37</v>
      </c>
    </row>
    <row r="924" spans="1:12" x14ac:dyDescent="0.25">
      <c r="A924">
        <v>923</v>
      </c>
      <c r="B924" t="s">
        <v>2888</v>
      </c>
      <c r="C924">
        <v>70</v>
      </c>
      <c r="J924">
        <v>923</v>
      </c>
      <c r="K924" t="s">
        <v>2888</v>
      </c>
      <c r="L924">
        <v>70</v>
      </c>
    </row>
    <row r="925" spans="1:12" x14ac:dyDescent="0.25">
      <c r="A925">
        <v>924</v>
      </c>
      <c r="B925" t="s">
        <v>2889</v>
      </c>
      <c r="C925">
        <v>133</v>
      </c>
      <c r="J925">
        <v>924</v>
      </c>
      <c r="K925" t="s">
        <v>2889</v>
      </c>
      <c r="L925">
        <v>133</v>
      </c>
    </row>
    <row r="926" spans="1:12" x14ac:dyDescent="0.25">
      <c r="A926">
        <v>925</v>
      </c>
      <c r="B926" t="s">
        <v>2890</v>
      </c>
      <c r="C926">
        <v>35</v>
      </c>
      <c r="J926">
        <v>925</v>
      </c>
      <c r="K926" t="s">
        <v>2890</v>
      </c>
      <c r="L926">
        <v>35</v>
      </c>
    </row>
    <row r="927" spans="1:12" x14ac:dyDescent="0.25">
      <c r="A927">
        <v>926</v>
      </c>
      <c r="B927" t="s">
        <v>2891</v>
      </c>
      <c r="C927">
        <v>38</v>
      </c>
      <c r="J927">
        <v>926</v>
      </c>
      <c r="K927" t="s">
        <v>2891</v>
      </c>
      <c r="L927">
        <v>38</v>
      </c>
    </row>
    <row r="928" spans="1:12" x14ac:dyDescent="0.25">
      <c r="A928">
        <v>927</v>
      </c>
      <c r="B928" t="s">
        <v>2892</v>
      </c>
      <c r="C928">
        <v>96</v>
      </c>
      <c r="J928">
        <v>927</v>
      </c>
      <c r="K928" t="s">
        <v>2892</v>
      </c>
      <c r="L928">
        <v>96</v>
      </c>
    </row>
    <row r="929" spans="1:12" x14ac:dyDescent="0.25">
      <c r="A929">
        <v>928</v>
      </c>
      <c r="B929" t="s">
        <v>2893</v>
      </c>
      <c r="C929">
        <v>110</v>
      </c>
      <c r="J929">
        <v>928</v>
      </c>
      <c r="K929" t="s">
        <v>2893</v>
      </c>
      <c r="L929">
        <v>110</v>
      </c>
    </row>
    <row r="930" spans="1:12" x14ac:dyDescent="0.25">
      <c r="A930">
        <v>929</v>
      </c>
      <c r="B930" t="s">
        <v>2894</v>
      </c>
      <c r="C930">
        <v>42</v>
      </c>
      <c r="J930">
        <v>929</v>
      </c>
      <c r="K930" t="s">
        <v>2894</v>
      </c>
      <c r="L930">
        <v>42</v>
      </c>
    </row>
    <row r="931" spans="1:12" x14ac:dyDescent="0.25">
      <c r="A931">
        <v>930</v>
      </c>
      <c r="B931" t="s">
        <v>2895</v>
      </c>
      <c r="C931">
        <v>86</v>
      </c>
      <c r="J931">
        <v>930</v>
      </c>
      <c r="K931" t="s">
        <v>2895</v>
      </c>
      <c r="L931">
        <v>86</v>
      </c>
    </row>
    <row r="932" spans="1:12" x14ac:dyDescent="0.25">
      <c r="A932">
        <v>931</v>
      </c>
      <c r="B932" t="s">
        <v>2896</v>
      </c>
      <c r="C932">
        <v>60</v>
      </c>
      <c r="J932">
        <v>931</v>
      </c>
      <c r="K932" t="s">
        <v>2896</v>
      </c>
      <c r="L932">
        <v>60</v>
      </c>
    </row>
    <row r="933" spans="1:12" x14ac:dyDescent="0.25">
      <c r="A933">
        <v>932</v>
      </c>
      <c r="B933" t="s">
        <v>2897</v>
      </c>
      <c r="C933">
        <v>37</v>
      </c>
      <c r="J933">
        <v>932</v>
      </c>
      <c r="K933" t="s">
        <v>2897</v>
      </c>
      <c r="L933">
        <v>37</v>
      </c>
    </row>
    <row r="934" spans="1:12" x14ac:dyDescent="0.25">
      <c r="A934">
        <v>933</v>
      </c>
      <c r="B934" t="s">
        <v>2898</v>
      </c>
      <c r="C934">
        <v>160</v>
      </c>
      <c r="J934">
        <v>933</v>
      </c>
      <c r="K934" t="s">
        <v>2898</v>
      </c>
      <c r="L934">
        <v>160</v>
      </c>
    </row>
    <row r="935" spans="1:12" x14ac:dyDescent="0.25">
      <c r="A935">
        <v>934</v>
      </c>
      <c r="B935" t="s">
        <v>2899</v>
      </c>
      <c r="C935">
        <v>34</v>
      </c>
      <c r="J935">
        <v>934</v>
      </c>
      <c r="K935" t="s">
        <v>2899</v>
      </c>
      <c r="L935">
        <v>34</v>
      </c>
    </row>
    <row r="936" spans="1:12" x14ac:dyDescent="0.25">
      <c r="A936">
        <v>935</v>
      </c>
      <c r="B936" t="s">
        <v>2900</v>
      </c>
      <c r="C936">
        <v>46</v>
      </c>
      <c r="J936">
        <v>935</v>
      </c>
      <c r="K936" t="s">
        <v>2900</v>
      </c>
      <c r="L936">
        <v>46</v>
      </c>
    </row>
    <row r="937" spans="1:12" x14ac:dyDescent="0.25">
      <c r="A937">
        <v>936</v>
      </c>
      <c r="B937" t="s">
        <v>2901</v>
      </c>
      <c r="C937">
        <v>29</v>
      </c>
      <c r="J937">
        <v>936</v>
      </c>
      <c r="K937" t="s">
        <v>2901</v>
      </c>
      <c r="L937">
        <v>29</v>
      </c>
    </row>
    <row r="938" spans="1:12" x14ac:dyDescent="0.25">
      <c r="A938">
        <v>937</v>
      </c>
      <c r="B938" t="s">
        <v>2902</v>
      </c>
      <c r="C938">
        <v>18</v>
      </c>
      <c r="J938">
        <v>937</v>
      </c>
      <c r="K938" t="s">
        <v>2902</v>
      </c>
      <c r="L938">
        <v>18</v>
      </c>
    </row>
    <row r="939" spans="1:12" x14ac:dyDescent="0.25">
      <c r="A939">
        <v>938</v>
      </c>
      <c r="B939" t="s">
        <v>2903</v>
      </c>
      <c r="C939">
        <v>46</v>
      </c>
      <c r="J939">
        <v>938</v>
      </c>
      <c r="K939" t="s">
        <v>2903</v>
      </c>
      <c r="L939">
        <v>46</v>
      </c>
    </row>
    <row r="940" spans="1:12" x14ac:dyDescent="0.25">
      <c r="A940">
        <v>939</v>
      </c>
      <c r="B940" t="s">
        <v>2904</v>
      </c>
      <c r="C940">
        <v>37</v>
      </c>
      <c r="J940">
        <v>939</v>
      </c>
      <c r="K940" t="s">
        <v>2904</v>
      </c>
      <c r="L940">
        <v>37</v>
      </c>
    </row>
    <row r="941" spans="1:12" x14ac:dyDescent="0.25">
      <c r="A941">
        <v>940</v>
      </c>
      <c r="B941" t="s">
        <v>2905</v>
      </c>
      <c r="C941">
        <v>97</v>
      </c>
      <c r="J941">
        <v>940</v>
      </c>
      <c r="K941" t="s">
        <v>2905</v>
      </c>
      <c r="L941">
        <v>97</v>
      </c>
    </row>
    <row r="942" spans="1:12" x14ac:dyDescent="0.25">
      <c r="A942">
        <v>941</v>
      </c>
      <c r="B942" t="s">
        <v>2906</v>
      </c>
      <c r="C942">
        <v>116</v>
      </c>
      <c r="J942">
        <v>941</v>
      </c>
      <c r="K942" t="s">
        <v>2906</v>
      </c>
      <c r="L942">
        <v>116</v>
      </c>
    </row>
    <row r="943" spans="1:12" x14ac:dyDescent="0.25">
      <c r="A943">
        <v>942</v>
      </c>
      <c r="B943" t="s">
        <v>2907</v>
      </c>
      <c r="C943">
        <v>81</v>
      </c>
      <c r="J943">
        <v>942</v>
      </c>
      <c r="K943" t="s">
        <v>2907</v>
      </c>
      <c r="L943">
        <v>81</v>
      </c>
    </row>
    <row r="944" spans="1:12" x14ac:dyDescent="0.25">
      <c r="A944">
        <v>943</v>
      </c>
      <c r="B944" t="s">
        <v>2908</v>
      </c>
      <c r="C944">
        <v>43</v>
      </c>
      <c r="J944">
        <v>943</v>
      </c>
      <c r="K944" t="s">
        <v>2908</v>
      </c>
      <c r="L944">
        <v>43</v>
      </c>
    </row>
    <row r="945" spans="1:12" x14ac:dyDescent="0.25">
      <c r="A945">
        <v>944</v>
      </c>
      <c r="B945" t="s">
        <v>2909</v>
      </c>
      <c r="C945">
        <v>47</v>
      </c>
      <c r="J945">
        <v>944</v>
      </c>
      <c r="K945" t="s">
        <v>2909</v>
      </c>
      <c r="L945">
        <v>47</v>
      </c>
    </row>
    <row r="946" spans="1:12" x14ac:dyDescent="0.25">
      <c r="A946">
        <v>945</v>
      </c>
      <c r="B946" t="s">
        <v>2910</v>
      </c>
      <c r="C946">
        <v>57</v>
      </c>
      <c r="J946">
        <v>945</v>
      </c>
      <c r="K946" t="s">
        <v>2910</v>
      </c>
      <c r="L946">
        <v>57</v>
      </c>
    </row>
    <row r="947" spans="1:12" x14ac:dyDescent="0.25">
      <c r="A947">
        <v>946</v>
      </c>
      <c r="B947" t="s">
        <v>2911</v>
      </c>
      <c r="C947">
        <v>77</v>
      </c>
      <c r="J947">
        <v>946</v>
      </c>
      <c r="K947" t="s">
        <v>2911</v>
      </c>
      <c r="L947">
        <v>77</v>
      </c>
    </row>
    <row r="948" spans="1:12" x14ac:dyDescent="0.25">
      <c r="A948">
        <v>947</v>
      </c>
      <c r="B948" t="s">
        <v>2912</v>
      </c>
      <c r="C948">
        <v>76</v>
      </c>
      <c r="J948">
        <v>947</v>
      </c>
      <c r="K948" t="s">
        <v>2912</v>
      </c>
      <c r="L948">
        <v>76</v>
      </c>
    </row>
    <row r="949" spans="1:12" x14ac:dyDescent="0.25">
      <c r="A949">
        <v>948</v>
      </c>
      <c r="B949" t="s">
        <v>2913</v>
      </c>
      <c r="C949">
        <v>67</v>
      </c>
      <c r="J949">
        <v>948</v>
      </c>
      <c r="K949" t="s">
        <v>2913</v>
      </c>
      <c r="L949">
        <v>67</v>
      </c>
    </row>
    <row r="950" spans="1:12" x14ac:dyDescent="0.25">
      <c r="A950">
        <v>949</v>
      </c>
      <c r="B950" t="s">
        <v>2914</v>
      </c>
      <c r="C950">
        <v>118</v>
      </c>
      <c r="J950">
        <v>949</v>
      </c>
      <c r="K950" t="s">
        <v>2914</v>
      </c>
      <c r="L950">
        <v>118</v>
      </c>
    </row>
    <row r="951" spans="1:12" x14ac:dyDescent="0.25">
      <c r="A951">
        <v>950</v>
      </c>
      <c r="B951" t="s">
        <v>2915</v>
      </c>
      <c r="C951">
        <v>370</v>
      </c>
      <c r="J951">
        <v>950</v>
      </c>
      <c r="K951" t="s">
        <v>2915</v>
      </c>
      <c r="L951">
        <v>370</v>
      </c>
    </row>
    <row r="952" spans="1:12" x14ac:dyDescent="0.25">
      <c r="A952">
        <v>951</v>
      </c>
      <c r="B952" t="s">
        <v>2916</v>
      </c>
      <c r="C952">
        <v>455</v>
      </c>
      <c r="J952">
        <v>951</v>
      </c>
      <c r="K952" t="s">
        <v>2916</v>
      </c>
      <c r="L952">
        <v>455</v>
      </c>
    </row>
    <row r="953" spans="1:12" x14ac:dyDescent="0.25">
      <c r="A953">
        <v>952</v>
      </c>
      <c r="B953" t="s">
        <v>2917</v>
      </c>
      <c r="C953">
        <v>481</v>
      </c>
      <c r="J953">
        <v>952</v>
      </c>
      <c r="K953" t="s">
        <v>2917</v>
      </c>
      <c r="L953">
        <v>481</v>
      </c>
    </row>
    <row r="954" spans="1:12" x14ac:dyDescent="0.25">
      <c r="A954">
        <v>953</v>
      </c>
      <c r="B954" t="s">
        <v>2918</v>
      </c>
      <c r="C954">
        <v>513</v>
      </c>
      <c r="J954">
        <v>953</v>
      </c>
      <c r="K954" t="s">
        <v>2918</v>
      </c>
      <c r="L954">
        <v>513</v>
      </c>
    </row>
    <row r="955" spans="1:12" x14ac:dyDescent="0.25">
      <c r="A955">
        <v>954</v>
      </c>
      <c r="B955" t="s">
        <v>2919</v>
      </c>
      <c r="C955">
        <v>694</v>
      </c>
      <c r="J955">
        <v>954</v>
      </c>
      <c r="K955" t="s">
        <v>2919</v>
      </c>
      <c r="L955">
        <v>694</v>
      </c>
    </row>
    <row r="956" spans="1:12" x14ac:dyDescent="0.25">
      <c r="A956">
        <v>955</v>
      </c>
      <c r="B956" t="s">
        <v>2920</v>
      </c>
      <c r="C956">
        <v>691</v>
      </c>
      <c r="J956">
        <v>955</v>
      </c>
      <c r="K956" t="s">
        <v>2920</v>
      </c>
      <c r="L956">
        <v>691</v>
      </c>
    </row>
    <row r="957" spans="1:12" x14ac:dyDescent="0.25">
      <c r="A957">
        <v>956</v>
      </c>
      <c r="B957" t="s">
        <v>2921</v>
      </c>
      <c r="C957">
        <v>454</v>
      </c>
      <c r="J957">
        <v>956</v>
      </c>
      <c r="K957" t="s">
        <v>2921</v>
      </c>
      <c r="L957">
        <v>454</v>
      </c>
    </row>
    <row r="958" spans="1:12" x14ac:dyDescent="0.25">
      <c r="A958">
        <v>957</v>
      </c>
      <c r="B958" t="s">
        <v>2922</v>
      </c>
      <c r="C958">
        <v>859</v>
      </c>
      <c r="J958">
        <v>957</v>
      </c>
      <c r="K958" t="s">
        <v>2922</v>
      </c>
      <c r="L958">
        <v>859</v>
      </c>
    </row>
    <row r="959" spans="1:12" x14ac:dyDescent="0.25">
      <c r="A959">
        <v>958</v>
      </c>
      <c r="B959" t="s">
        <v>2923</v>
      </c>
      <c r="C959">
        <v>531</v>
      </c>
      <c r="J959">
        <v>958</v>
      </c>
      <c r="K959" t="s">
        <v>2923</v>
      </c>
      <c r="L959">
        <v>531</v>
      </c>
    </row>
    <row r="960" spans="1:12" x14ac:dyDescent="0.25">
      <c r="A960">
        <v>959</v>
      </c>
      <c r="B960" t="s">
        <v>2924</v>
      </c>
      <c r="C960">
        <v>418</v>
      </c>
      <c r="J960">
        <v>959</v>
      </c>
      <c r="K960" t="s">
        <v>2924</v>
      </c>
      <c r="L960">
        <v>418</v>
      </c>
    </row>
    <row r="961" spans="1:12" x14ac:dyDescent="0.25">
      <c r="A961">
        <v>960</v>
      </c>
      <c r="B961" t="s">
        <v>2925</v>
      </c>
      <c r="C961">
        <v>499</v>
      </c>
      <c r="J961">
        <v>960</v>
      </c>
      <c r="K961" t="s">
        <v>2925</v>
      </c>
      <c r="L961">
        <v>499</v>
      </c>
    </row>
    <row r="962" spans="1:12" x14ac:dyDescent="0.25">
      <c r="A962">
        <v>961</v>
      </c>
      <c r="B962" t="s">
        <v>2926</v>
      </c>
      <c r="C962">
        <v>567</v>
      </c>
      <c r="J962">
        <v>961</v>
      </c>
      <c r="K962" t="s">
        <v>2926</v>
      </c>
      <c r="L962">
        <v>567</v>
      </c>
    </row>
    <row r="963" spans="1:12" x14ac:dyDescent="0.25">
      <c r="A963">
        <v>962</v>
      </c>
      <c r="B963" t="s">
        <v>2927</v>
      </c>
      <c r="C963">
        <v>117</v>
      </c>
      <c r="J963">
        <v>962</v>
      </c>
      <c r="K963" t="s">
        <v>2927</v>
      </c>
      <c r="L963">
        <v>117</v>
      </c>
    </row>
    <row r="964" spans="1:12" x14ac:dyDescent="0.25">
      <c r="A964">
        <v>963</v>
      </c>
      <c r="B964" t="s">
        <v>2928</v>
      </c>
      <c r="C964">
        <v>109</v>
      </c>
      <c r="J964">
        <v>963</v>
      </c>
      <c r="K964" t="s">
        <v>2928</v>
      </c>
      <c r="L964">
        <v>109</v>
      </c>
    </row>
    <row r="965" spans="1:12" x14ac:dyDescent="0.25">
      <c r="A965">
        <v>964</v>
      </c>
      <c r="B965" t="s">
        <v>2929</v>
      </c>
      <c r="C965">
        <v>91</v>
      </c>
      <c r="J965">
        <v>964</v>
      </c>
      <c r="K965" t="s">
        <v>2929</v>
      </c>
      <c r="L965">
        <v>91</v>
      </c>
    </row>
    <row r="966" spans="1:12" x14ac:dyDescent="0.25">
      <c r="A966">
        <v>965</v>
      </c>
      <c r="B966" t="s">
        <v>2930</v>
      </c>
      <c r="C966">
        <v>116</v>
      </c>
      <c r="J966">
        <v>965</v>
      </c>
      <c r="K966" t="s">
        <v>2930</v>
      </c>
      <c r="L966">
        <v>116</v>
      </c>
    </row>
    <row r="967" spans="1:12" x14ac:dyDescent="0.25">
      <c r="A967">
        <v>966</v>
      </c>
      <c r="B967" t="s">
        <v>2931</v>
      </c>
      <c r="C967">
        <v>104</v>
      </c>
      <c r="J967">
        <v>966</v>
      </c>
      <c r="K967" t="s">
        <v>2931</v>
      </c>
      <c r="L967">
        <v>104</v>
      </c>
    </row>
    <row r="968" spans="1:12" x14ac:dyDescent="0.25">
      <c r="A968">
        <v>967</v>
      </c>
      <c r="B968" t="s">
        <v>2932</v>
      </c>
      <c r="C968">
        <v>90</v>
      </c>
      <c r="J968">
        <v>967</v>
      </c>
      <c r="K968" t="s">
        <v>2932</v>
      </c>
      <c r="L968">
        <v>90</v>
      </c>
    </row>
    <row r="969" spans="1:12" x14ac:dyDescent="0.25">
      <c r="A969">
        <v>968</v>
      </c>
      <c r="B969" t="s">
        <v>2933</v>
      </c>
      <c r="C969">
        <v>226</v>
      </c>
      <c r="J969">
        <v>968</v>
      </c>
      <c r="K969" t="s">
        <v>2933</v>
      </c>
      <c r="L969">
        <v>226</v>
      </c>
    </row>
    <row r="970" spans="1:12" x14ac:dyDescent="0.25">
      <c r="A970">
        <v>969</v>
      </c>
      <c r="B970" t="s">
        <v>2934</v>
      </c>
      <c r="C970">
        <v>85</v>
      </c>
      <c r="J970">
        <v>969</v>
      </c>
      <c r="K970" t="s">
        <v>2934</v>
      </c>
      <c r="L970">
        <v>85</v>
      </c>
    </row>
    <row r="971" spans="1:12" x14ac:dyDescent="0.25">
      <c r="A971">
        <v>970</v>
      </c>
      <c r="B971" t="s">
        <v>2935</v>
      </c>
      <c r="C971">
        <v>192</v>
      </c>
      <c r="J971">
        <v>970</v>
      </c>
      <c r="K971" t="s">
        <v>2935</v>
      </c>
      <c r="L971">
        <v>192</v>
      </c>
    </row>
    <row r="972" spans="1:12" x14ac:dyDescent="0.25">
      <c r="A972">
        <v>971</v>
      </c>
      <c r="B972" t="s">
        <v>2936</v>
      </c>
      <c r="C972">
        <v>403</v>
      </c>
      <c r="J972">
        <v>971</v>
      </c>
      <c r="K972" t="s">
        <v>2936</v>
      </c>
      <c r="L972">
        <v>403</v>
      </c>
    </row>
    <row r="973" spans="1:12" x14ac:dyDescent="0.25">
      <c r="A973">
        <v>972</v>
      </c>
      <c r="B973" t="s">
        <v>2937</v>
      </c>
      <c r="C973">
        <v>448</v>
      </c>
      <c r="J973">
        <v>972</v>
      </c>
      <c r="K973" t="s">
        <v>2937</v>
      </c>
      <c r="L973">
        <v>448</v>
      </c>
    </row>
    <row r="974" spans="1:12" x14ac:dyDescent="0.25">
      <c r="A974">
        <v>973</v>
      </c>
      <c r="B974" t="s">
        <v>2938</v>
      </c>
      <c r="C974">
        <v>337</v>
      </c>
      <c r="J974">
        <v>973</v>
      </c>
      <c r="K974" t="s">
        <v>2938</v>
      </c>
      <c r="L974">
        <v>337</v>
      </c>
    </row>
    <row r="975" spans="1:12" x14ac:dyDescent="0.25">
      <c r="A975">
        <v>974</v>
      </c>
      <c r="B975" t="s">
        <v>2939</v>
      </c>
      <c r="C975">
        <v>459</v>
      </c>
      <c r="J975">
        <v>974</v>
      </c>
      <c r="K975" t="s">
        <v>2939</v>
      </c>
      <c r="L975">
        <v>459</v>
      </c>
    </row>
    <row r="976" spans="1:12" x14ac:dyDescent="0.25">
      <c r="A976">
        <v>975</v>
      </c>
      <c r="B976" t="s">
        <v>2940</v>
      </c>
      <c r="C976">
        <v>528</v>
      </c>
      <c r="J976">
        <v>975</v>
      </c>
      <c r="K976" t="s">
        <v>2940</v>
      </c>
      <c r="L976">
        <v>528</v>
      </c>
    </row>
    <row r="977" spans="1:12" x14ac:dyDescent="0.25">
      <c r="A977">
        <v>976</v>
      </c>
      <c r="B977" t="s">
        <v>2941</v>
      </c>
      <c r="C977">
        <v>488</v>
      </c>
      <c r="J977">
        <v>976</v>
      </c>
      <c r="K977" t="s">
        <v>2941</v>
      </c>
      <c r="L977">
        <v>488</v>
      </c>
    </row>
    <row r="978" spans="1:12" x14ac:dyDescent="0.25">
      <c r="A978">
        <v>977</v>
      </c>
      <c r="B978" t="s">
        <v>2942</v>
      </c>
      <c r="C978">
        <v>399</v>
      </c>
      <c r="J978">
        <v>977</v>
      </c>
      <c r="K978" t="s">
        <v>2942</v>
      </c>
      <c r="L978">
        <v>399</v>
      </c>
    </row>
    <row r="979" spans="1:12" x14ac:dyDescent="0.25">
      <c r="A979">
        <v>978</v>
      </c>
      <c r="B979" t="s">
        <v>2943</v>
      </c>
      <c r="C979">
        <v>261</v>
      </c>
      <c r="J979">
        <v>978</v>
      </c>
      <c r="K979" t="s">
        <v>2943</v>
      </c>
      <c r="L979">
        <v>261</v>
      </c>
    </row>
    <row r="980" spans="1:12" x14ac:dyDescent="0.25">
      <c r="A980">
        <v>979</v>
      </c>
      <c r="B980" t="s">
        <v>2944</v>
      </c>
      <c r="C980">
        <v>74</v>
      </c>
      <c r="J980">
        <v>979</v>
      </c>
      <c r="K980" t="s">
        <v>2944</v>
      </c>
      <c r="L980">
        <v>74</v>
      </c>
    </row>
    <row r="981" spans="1:12" x14ac:dyDescent="0.25">
      <c r="A981">
        <v>980</v>
      </c>
      <c r="B981" t="s">
        <v>2945</v>
      </c>
      <c r="C981">
        <v>86</v>
      </c>
      <c r="J981">
        <v>980</v>
      </c>
      <c r="K981" t="s">
        <v>2945</v>
      </c>
      <c r="L981">
        <v>86</v>
      </c>
    </row>
    <row r="982" spans="1:12" x14ac:dyDescent="0.25">
      <c r="A982">
        <v>981</v>
      </c>
      <c r="B982" t="s">
        <v>2946</v>
      </c>
      <c r="C982">
        <v>215</v>
      </c>
      <c r="J982">
        <v>981</v>
      </c>
      <c r="K982" t="s">
        <v>2946</v>
      </c>
      <c r="L982">
        <v>215</v>
      </c>
    </row>
    <row r="983" spans="1:12" x14ac:dyDescent="0.25">
      <c r="A983">
        <v>982</v>
      </c>
      <c r="B983" t="s">
        <v>2947</v>
      </c>
      <c r="C983">
        <v>42</v>
      </c>
      <c r="J983">
        <v>982</v>
      </c>
      <c r="K983" t="s">
        <v>2947</v>
      </c>
      <c r="L983">
        <v>42</v>
      </c>
    </row>
    <row r="984" spans="1:12" x14ac:dyDescent="0.25">
      <c r="A984">
        <v>983</v>
      </c>
      <c r="B984" t="s">
        <v>2948</v>
      </c>
      <c r="C984">
        <v>47</v>
      </c>
      <c r="J984">
        <v>983</v>
      </c>
      <c r="K984" t="s">
        <v>2948</v>
      </c>
      <c r="L984">
        <v>47</v>
      </c>
    </row>
    <row r="985" spans="1:12" x14ac:dyDescent="0.25">
      <c r="A985">
        <v>984</v>
      </c>
      <c r="B985" t="s">
        <v>2949</v>
      </c>
      <c r="C985">
        <v>41</v>
      </c>
      <c r="J985">
        <v>984</v>
      </c>
      <c r="K985" t="s">
        <v>2949</v>
      </c>
      <c r="L985">
        <v>41</v>
      </c>
    </row>
    <row r="986" spans="1:12" x14ac:dyDescent="0.25">
      <c r="A986">
        <v>985</v>
      </c>
      <c r="B986" t="s">
        <v>2950</v>
      </c>
      <c r="C986">
        <v>57</v>
      </c>
      <c r="J986">
        <v>985</v>
      </c>
      <c r="K986" t="s">
        <v>2950</v>
      </c>
      <c r="L986">
        <v>57</v>
      </c>
    </row>
    <row r="987" spans="1:12" x14ac:dyDescent="0.25">
      <c r="A987">
        <v>986</v>
      </c>
      <c r="B987" t="s">
        <v>2951</v>
      </c>
      <c r="C987">
        <v>45</v>
      </c>
      <c r="J987">
        <v>986</v>
      </c>
      <c r="K987" t="s">
        <v>2951</v>
      </c>
      <c r="L987">
        <v>45</v>
      </c>
    </row>
    <row r="988" spans="1:12" x14ac:dyDescent="0.25">
      <c r="A988">
        <v>987</v>
      </c>
      <c r="B988" t="s">
        <v>2952</v>
      </c>
      <c r="C988">
        <v>46</v>
      </c>
      <c r="J988">
        <v>987</v>
      </c>
      <c r="K988" t="s">
        <v>2952</v>
      </c>
      <c r="L988">
        <v>46</v>
      </c>
    </row>
    <row r="989" spans="1:12" x14ac:dyDescent="0.25">
      <c r="A989">
        <v>988</v>
      </c>
      <c r="B989" t="s">
        <v>2953</v>
      </c>
      <c r="C989">
        <v>38</v>
      </c>
      <c r="J989">
        <v>988</v>
      </c>
      <c r="K989" t="s">
        <v>2953</v>
      </c>
      <c r="L989">
        <v>38</v>
      </c>
    </row>
    <row r="990" spans="1:12" x14ac:dyDescent="0.25">
      <c r="A990">
        <v>989</v>
      </c>
      <c r="B990" t="s">
        <v>2954</v>
      </c>
      <c r="C990">
        <v>49</v>
      </c>
      <c r="J990">
        <v>989</v>
      </c>
      <c r="K990" t="s">
        <v>2954</v>
      </c>
      <c r="L990">
        <v>49</v>
      </c>
    </row>
    <row r="991" spans="1:12" x14ac:dyDescent="0.25">
      <c r="A991">
        <v>990</v>
      </c>
      <c r="B991" t="s">
        <v>2955</v>
      </c>
      <c r="C991">
        <v>67</v>
      </c>
      <c r="J991">
        <v>990</v>
      </c>
      <c r="K991" t="s">
        <v>2955</v>
      </c>
      <c r="L991">
        <v>67</v>
      </c>
    </row>
    <row r="992" spans="1:12" x14ac:dyDescent="0.25">
      <c r="A992">
        <v>991</v>
      </c>
      <c r="B992" t="s">
        <v>2956</v>
      </c>
      <c r="C992">
        <v>54</v>
      </c>
      <c r="J992">
        <v>991</v>
      </c>
      <c r="K992" t="s">
        <v>2956</v>
      </c>
      <c r="L992">
        <v>54</v>
      </c>
    </row>
    <row r="993" spans="1:12" x14ac:dyDescent="0.25">
      <c r="A993">
        <v>992</v>
      </c>
      <c r="B993" t="s">
        <v>2957</v>
      </c>
      <c r="C993">
        <v>46</v>
      </c>
      <c r="J993">
        <v>992</v>
      </c>
      <c r="K993" t="s">
        <v>2957</v>
      </c>
      <c r="L993">
        <v>46</v>
      </c>
    </row>
    <row r="994" spans="1:12" x14ac:dyDescent="0.25">
      <c r="A994">
        <v>993</v>
      </c>
      <c r="B994" t="s">
        <v>2958</v>
      </c>
      <c r="C994">
        <v>32</v>
      </c>
      <c r="J994">
        <v>993</v>
      </c>
      <c r="K994" t="s">
        <v>2958</v>
      </c>
      <c r="L994">
        <v>32</v>
      </c>
    </row>
    <row r="995" spans="1:12" x14ac:dyDescent="0.25">
      <c r="A995">
        <v>994</v>
      </c>
      <c r="B995" t="s">
        <v>2959</v>
      </c>
      <c r="C995">
        <v>45</v>
      </c>
      <c r="J995">
        <v>994</v>
      </c>
      <c r="K995" t="s">
        <v>2959</v>
      </c>
      <c r="L995">
        <v>45</v>
      </c>
    </row>
    <row r="996" spans="1:12" x14ac:dyDescent="0.25">
      <c r="A996">
        <v>995</v>
      </c>
      <c r="B996" t="s">
        <v>2960</v>
      </c>
      <c r="C996">
        <v>61</v>
      </c>
      <c r="J996">
        <v>995</v>
      </c>
      <c r="K996" t="s">
        <v>2960</v>
      </c>
      <c r="L996">
        <v>61</v>
      </c>
    </row>
    <row r="997" spans="1:12" x14ac:dyDescent="0.25">
      <c r="A997">
        <v>996</v>
      </c>
      <c r="B997" t="s">
        <v>2961</v>
      </c>
      <c r="C997">
        <v>83</v>
      </c>
      <c r="J997">
        <v>996</v>
      </c>
      <c r="K997" t="s">
        <v>2961</v>
      </c>
      <c r="L997">
        <v>83</v>
      </c>
    </row>
    <row r="998" spans="1:12" x14ac:dyDescent="0.25">
      <c r="A998">
        <v>997</v>
      </c>
      <c r="B998" t="s">
        <v>2962</v>
      </c>
      <c r="C998">
        <v>92</v>
      </c>
      <c r="J998">
        <v>997</v>
      </c>
      <c r="K998" t="s">
        <v>2962</v>
      </c>
      <c r="L998">
        <v>92</v>
      </c>
    </row>
    <row r="999" spans="1:12" x14ac:dyDescent="0.25">
      <c r="A999">
        <v>998</v>
      </c>
      <c r="B999" t="s">
        <v>2963</v>
      </c>
      <c r="C999">
        <v>44</v>
      </c>
      <c r="J999">
        <v>998</v>
      </c>
      <c r="K999" t="s">
        <v>2963</v>
      </c>
      <c r="L999">
        <v>44</v>
      </c>
    </row>
    <row r="1000" spans="1:12" x14ac:dyDescent="0.25">
      <c r="A1000">
        <v>999</v>
      </c>
      <c r="B1000" t="s">
        <v>2964</v>
      </c>
      <c r="C1000">
        <v>40</v>
      </c>
      <c r="J1000">
        <v>999</v>
      </c>
      <c r="K1000" t="s">
        <v>2964</v>
      </c>
      <c r="L1000">
        <v>40</v>
      </c>
    </row>
    <row r="1001" spans="1:12" x14ac:dyDescent="0.25">
      <c r="A1001">
        <v>1000</v>
      </c>
      <c r="B1001" t="s">
        <v>2965</v>
      </c>
      <c r="C1001">
        <v>50</v>
      </c>
      <c r="J1001">
        <v>1000</v>
      </c>
      <c r="K1001" t="s">
        <v>2965</v>
      </c>
      <c r="L1001">
        <v>50</v>
      </c>
    </row>
    <row r="1002" spans="1:12" x14ac:dyDescent="0.25">
      <c r="A1002">
        <v>1001</v>
      </c>
      <c r="B1002" t="s">
        <v>2966</v>
      </c>
      <c r="C1002">
        <v>48</v>
      </c>
      <c r="J1002">
        <v>1001</v>
      </c>
      <c r="K1002" t="s">
        <v>2966</v>
      </c>
      <c r="L1002">
        <v>48</v>
      </c>
    </row>
    <row r="1003" spans="1:12" x14ac:dyDescent="0.25">
      <c r="A1003">
        <v>1002</v>
      </c>
      <c r="B1003" t="s">
        <v>2967</v>
      </c>
      <c r="C1003">
        <v>51</v>
      </c>
      <c r="J1003">
        <v>1002</v>
      </c>
      <c r="K1003" t="s">
        <v>2967</v>
      </c>
      <c r="L1003">
        <v>51</v>
      </c>
    </row>
    <row r="1004" spans="1:12" x14ac:dyDescent="0.25">
      <c r="A1004">
        <v>1003</v>
      </c>
      <c r="B1004" t="s">
        <v>2968</v>
      </c>
      <c r="C1004">
        <v>47</v>
      </c>
      <c r="J1004">
        <v>1003</v>
      </c>
      <c r="K1004" t="s">
        <v>2968</v>
      </c>
      <c r="L1004">
        <v>47</v>
      </c>
    </row>
    <row r="1005" spans="1:12" x14ac:dyDescent="0.25">
      <c r="A1005">
        <v>1004</v>
      </c>
      <c r="B1005" t="s">
        <v>2969</v>
      </c>
      <c r="C1005">
        <v>32</v>
      </c>
      <c r="J1005">
        <v>1004</v>
      </c>
      <c r="K1005" t="s">
        <v>2969</v>
      </c>
      <c r="L1005">
        <v>32</v>
      </c>
    </row>
    <row r="1006" spans="1:12" x14ac:dyDescent="0.25">
      <c r="A1006">
        <v>1005</v>
      </c>
      <c r="B1006" t="s">
        <v>2970</v>
      </c>
      <c r="C1006">
        <v>37</v>
      </c>
      <c r="J1006">
        <v>1005</v>
      </c>
      <c r="K1006" t="s">
        <v>2970</v>
      </c>
      <c r="L1006">
        <v>37</v>
      </c>
    </row>
    <row r="1007" spans="1:12" x14ac:dyDescent="0.25">
      <c r="A1007">
        <v>1006</v>
      </c>
      <c r="B1007" t="s">
        <v>2971</v>
      </c>
      <c r="C1007">
        <v>46</v>
      </c>
      <c r="J1007">
        <v>1006</v>
      </c>
      <c r="K1007" t="s">
        <v>2971</v>
      </c>
      <c r="L1007">
        <v>46</v>
      </c>
    </row>
    <row r="1008" spans="1:12" x14ac:dyDescent="0.25">
      <c r="A1008">
        <v>1007</v>
      </c>
      <c r="B1008" t="s">
        <v>2972</v>
      </c>
      <c r="C1008">
        <v>48</v>
      </c>
      <c r="J1008">
        <v>1007</v>
      </c>
      <c r="K1008" t="s">
        <v>2972</v>
      </c>
      <c r="L1008">
        <v>48</v>
      </c>
    </row>
    <row r="1009" spans="1:12" x14ac:dyDescent="0.25">
      <c r="A1009">
        <v>1008</v>
      </c>
      <c r="B1009" t="s">
        <v>2973</v>
      </c>
      <c r="C1009">
        <v>47</v>
      </c>
      <c r="J1009">
        <v>1008</v>
      </c>
      <c r="K1009" t="s">
        <v>2973</v>
      </c>
      <c r="L1009">
        <v>47</v>
      </c>
    </row>
    <row r="1010" spans="1:12" x14ac:dyDescent="0.25">
      <c r="A1010">
        <v>1009</v>
      </c>
      <c r="B1010" t="s">
        <v>2974</v>
      </c>
      <c r="C1010">
        <v>37</v>
      </c>
      <c r="J1010">
        <v>1009</v>
      </c>
      <c r="K1010" t="s">
        <v>2974</v>
      </c>
      <c r="L1010">
        <v>37</v>
      </c>
    </row>
    <row r="1011" spans="1:12" x14ac:dyDescent="0.25">
      <c r="A1011">
        <v>1010</v>
      </c>
      <c r="B1011" t="s">
        <v>2975</v>
      </c>
      <c r="C1011">
        <v>34</v>
      </c>
      <c r="J1011">
        <v>1010</v>
      </c>
      <c r="K1011" t="s">
        <v>2975</v>
      </c>
      <c r="L1011">
        <v>34</v>
      </c>
    </row>
    <row r="1012" spans="1:12" x14ac:dyDescent="0.25">
      <c r="A1012">
        <v>1011</v>
      </c>
      <c r="B1012" t="s">
        <v>2976</v>
      </c>
      <c r="C1012">
        <v>44</v>
      </c>
      <c r="J1012">
        <v>1011</v>
      </c>
      <c r="K1012" t="s">
        <v>2976</v>
      </c>
      <c r="L1012">
        <v>44</v>
      </c>
    </row>
    <row r="1013" spans="1:12" x14ac:dyDescent="0.25">
      <c r="A1013">
        <v>1012</v>
      </c>
      <c r="B1013" t="s">
        <v>2977</v>
      </c>
      <c r="C1013">
        <v>33</v>
      </c>
      <c r="J1013">
        <v>1012</v>
      </c>
      <c r="K1013" t="s">
        <v>2977</v>
      </c>
      <c r="L1013">
        <v>33</v>
      </c>
    </row>
    <row r="1014" spans="1:12" x14ac:dyDescent="0.25">
      <c r="A1014">
        <v>1013</v>
      </c>
      <c r="B1014" t="s">
        <v>2978</v>
      </c>
      <c r="C1014">
        <v>38</v>
      </c>
      <c r="J1014">
        <v>1013</v>
      </c>
      <c r="K1014" t="s">
        <v>2978</v>
      </c>
      <c r="L1014">
        <v>38</v>
      </c>
    </row>
    <row r="1015" spans="1:12" x14ac:dyDescent="0.25">
      <c r="A1015">
        <v>1014</v>
      </c>
      <c r="B1015" t="s">
        <v>2979</v>
      </c>
      <c r="C1015">
        <v>35</v>
      </c>
      <c r="J1015">
        <v>1014</v>
      </c>
      <c r="K1015" t="s">
        <v>2979</v>
      </c>
      <c r="L1015">
        <v>35</v>
      </c>
    </row>
    <row r="1016" spans="1:12" x14ac:dyDescent="0.25">
      <c r="A1016">
        <v>1015</v>
      </c>
      <c r="B1016" t="s">
        <v>2980</v>
      </c>
      <c r="C1016">
        <v>68</v>
      </c>
      <c r="J1016">
        <v>1015</v>
      </c>
      <c r="K1016" t="s">
        <v>2980</v>
      </c>
      <c r="L1016">
        <v>68</v>
      </c>
    </row>
    <row r="1017" spans="1:12" x14ac:dyDescent="0.25">
      <c r="A1017">
        <v>1016</v>
      </c>
      <c r="B1017" t="s">
        <v>2981</v>
      </c>
      <c r="C1017">
        <v>55</v>
      </c>
      <c r="J1017">
        <v>1016</v>
      </c>
      <c r="K1017" t="s">
        <v>2981</v>
      </c>
      <c r="L1017">
        <v>55</v>
      </c>
    </row>
    <row r="1018" spans="1:12" x14ac:dyDescent="0.25">
      <c r="A1018">
        <v>1017</v>
      </c>
      <c r="B1018" t="s">
        <v>2982</v>
      </c>
      <c r="C1018">
        <v>25</v>
      </c>
      <c r="J1018">
        <v>1017</v>
      </c>
      <c r="K1018" t="s">
        <v>2982</v>
      </c>
      <c r="L1018">
        <v>25</v>
      </c>
    </row>
    <row r="1019" spans="1:12" x14ac:dyDescent="0.25">
      <c r="A1019">
        <v>1018</v>
      </c>
      <c r="B1019" t="s">
        <v>2983</v>
      </c>
      <c r="C1019">
        <v>105</v>
      </c>
      <c r="J1019">
        <v>1018</v>
      </c>
      <c r="K1019" t="s">
        <v>2983</v>
      </c>
      <c r="L1019">
        <v>105</v>
      </c>
    </row>
    <row r="1020" spans="1:12" x14ac:dyDescent="0.25">
      <c r="A1020">
        <v>1019</v>
      </c>
      <c r="B1020" t="s">
        <v>2984</v>
      </c>
      <c r="C1020">
        <v>93</v>
      </c>
      <c r="J1020">
        <v>1019</v>
      </c>
      <c r="K1020" t="s">
        <v>2984</v>
      </c>
      <c r="L1020">
        <v>93</v>
      </c>
    </row>
    <row r="1021" spans="1:12" x14ac:dyDescent="0.25">
      <c r="A1021">
        <v>1020</v>
      </c>
      <c r="B1021" t="s">
        <v>2985</v>
      </c>
      <c r="C1021">
        <v>91</v>
      </c>
      <c r="J1021">
        <v>1020</v>
      </c>
      <c r="K1021" t="s">
        <v>2985</v>
      </c>
      <c r="L1021">
        <v>91</v>
      </c>
    </row>
    <row r="1022" spans="1:12" x14ac:dyDescent="0.25">
      <c r="A1022">
        <v>1021</v>
      </c>
      <c r="B1022" t="s">
        <v>2986</v>
      </c>
      <c r="C1022">
        <v>157</v>
      </c>
      <c r="J1022">
        <v>1021</v>
      </c>
      <c r="K1022" t="s">
        <v>2986</v>
      </c>
      <c r="L1022">
        <v>157</v>
      </c>
    </row>
    <row r="1023" spans="1:12" x14ac:dyDescent="0.25">
      <c r="A1023">
        <v>1022</v>
      </c>
      <c r="B1023" t="s">
        <v>2987</v>
      </c>
      <c r="C1023">
        <v>312</v>
      </c>
      <c r="J1023">
        <v>1022</v>
      </c>
      <c r="K1023" t="s">
        <v>2987</v>
      </c>
      <c r="L1023">
        <v>312</v>
      </c>
    </row>
    <row r="1024" spans="1:12" x14ac:dyDescent="0.25">
      <c r="A1024">
        <v>1023</v>
      </c>
      <c r="B1024" t="s">
        <v>2988</v>
      </c>
      <c r="C1024">
        <v>576</v>
      </c>
      <c r="J1024">
        <v>1023</v>
      </c>
      <c r="K1024" t="s">
        <v>2988</v>
      </c>
      <c r="L1024">
        <v>576</v>
      </c>
    </row>
    <row r="1025" spans="1:12" x14ac:dyDescent="0.25">
      <c r="A1025">
        <v>1024</v>
      </c>
      <c r="B1025" t="s">
        <v>2989</v>
      </c>
      <c r="C1025">
        <v>494</v>
      </c>
      <c r="J1025">
        <v>1024</v>
      </c>
      <c r="K1025" t="s">
        <v>2989</v>
      </c>
      <c r="L1025">
        <v>494</v>
      </c>
    </row>
    <row r="1026" spans="1:12" x14ac:dyDescent="0.25">
      <c r="A1026">
        <v>1025</v>
      </c>
      <c r="B1026" t="s">
        <v>2990</v>
      </c>
      <c r="C1026">
        <v>558</v>
      </c>
      <c r="J1026">
        <v>1025</v>
      </c>
      <c r="K1026" t="s">
        <v>2990</v>
      </c>
      <c r="L1026">
        <v>558</v>
      </c>
    </row>
    <row r="1027" spans="1:12" x14ac:dyDescent="0.25">
      <c r="A1027">
        <v>1026</v>
      </c>
      <c r="B1027" t="s">
        <v>2991</v>
      </c>
      <c r="C1027">
        <v>1034</v>
      </c>
      <c r="J1027">
        <v>1026</v>
      </c>
      <c r="K1027" t="s">
        <v>2991</v>
      </c>
      <c r="L1027">
        <v>1034</v>
      </c>
    </row>
    <row r="1028" spans="1:12" x14ac:dyDescent="0.25">
      <c r="A1028">
        <v>1027</v>
      </c>
      <c r="B1028" t="s">
        <v>2992</v>
      </c>
      <c r="C1028">
        <v>729</v>
      </c>
      <c r="J1028">
        <v>1027</v>
      </c>
      <c r="K1028" t="s">
        <v>2992</v>
      </c>
      <c r="L1028">
        <v>729</v>
      </c>
    </row>
    <row r="1029" spans="1:12" x14ac:dyDescent="0.25">
      <c r="A1029">
        <v>1028</v>
      </c>
      <c r="B1029" t="s">
        <v>2993</v>
      </c>
      <c r="C1029">
        <v>682</v>
      </c>
      <c r="J1029">
        <v>1028</v>
      </c>
      <c r="K1029" t="s">
        <v>2993</v>
      </c>
      <c r="L1029">
        <v>682</v>
      </c>
    </row>
    <row r="1030" spans="1:12" x14ac:dyDescent="0.25">
      <c r="A1030">
        <v>1029</v>
      </c>
      <c r="B1030" t="s">
        <v>2994</v>
      </c>
      <c r="C1030">
        <v>594</v>
      </c>
      <c r="J1030">
        <v>1029</v>
      </c>
      <c r="K1030" t="s">
        <v>2994</v>
      </c>
      <c r="L1030">
        <v>594</v>
      </c>
    </row>
    <row r="1031" spans="1:12" x14ac:dyDescent="0.25">
      <c r="A1031">
        <v>1030</v>
      </c>
      <c r="B1031" t="s">
        <v>2995</v>
      </c>
      <c r="C1031">
        <v>716</v>
      </c>
      <c r="J1031">
        <v>1030</v>
      </c>
      <c r="K1031" t="s">
        <v>2995</v>
      </c>
      <c r="L1031">
        <v>716</v>
      </c>
    </row>
    <row r="1032" spans="1:12" x14ac:dyDescent="0.25">
      <c r="A1032">
        <v>1031</v>
      </c>
      <c r="B1032" t="s">
        <v>2996</v>
      </c>
      <c r="C1032">
        <v>753</v>
      </c>
      <c r="J1032">
        <v>1031</v>
      </c>
      <c r="K1032" t="s">
        <v>2996</v>
      </c>
      <c r="L1032">
        <v>753</v>
      </c>
    </row>
    <row r="1033" spans="1:12" x14ac:dyDescent="0.25">
      <c r="A1033">
        <v>1032</v>
      </c>
      <c r="B1033" t="s">
        <v>2997</v>
      </c>
      <c r="C1033">
        <v>1078</v>
      </c>
      <c r="J1033">
        <v>1032</v>
      </c>
      <c r="K1033" t="s">
        <v>2997</v>
      </c>
      <c r="L1033">
        <v>1078</v>
      </c>
    </row>
    <row r="1034" spans="1:12" x14ac:dyDescent="0.25">
      <c r="A1034">
        <v>1033</v>
      </c>
      <c r="B1034" t="s">
        <v>2998</v>
      </c>
      <c r="C1034">
        <v>1011</v>
      </c>
      <c r="J1034">
        <v>1033</v>
      </c>
      <c r="K1034" t="s">
        <v>2998</v>
      </c>
      <c r="L1034">
        <v>1011</v>
      </c>
    </row>
    <row r="1035" spans="1:12" x14ac:dyDescent="0.25">
      <c r="A1035">
        <v>1034</v>
      </c>
      <c r="B1035" t="s">
        <v>2999</v>
      </c>
      <c r="C1035">
        <v>425</v>
      </c>
      <c r="J1035">
        <v>1034</v>
      </c>
      <c r="K1035" t="s">
        <v>2999</v>
      </c>
      <c r="L1035">
        <v>425</v>
      </c>
    </row>
    <row r="1036" spans="1:12" x14ac:dyDescent="0.25">
      <c r="A1036">
        <v>1035</v>
      </c>
      <c r="B1036" t="s">
        <v>3000</v>
      </c>
      <c r="C1036">
        <v>379</v>
      </c>
      <c r="J1036">
        <v>1035</v>
      </c>
      <c r="K1036" t="s">
        <v>3000</v>
      </c>
      <c r="L1036">
        <v>379</v>
      </c>
    </row>
    <row r="1037" spans="1:12" x14ac:dyDescent="0.25">
      <c r="A1037">
        <v>1036</v>
      </c>
      <c r="B1037" t="s">
        <v>3001</v>
      </c>
      <c r="C1037">
        <v>267</v>
      </c>
      <c r="J1037">
        <v>1036</v>
      </c>
      <c r="K1037" t="s">
        <v>3001</v>
      </c>
      <c r="L1037">
        <v>267</v>
      </c>
    </row>
    <row r="1038" spans="1:12" x14ac:dyDescent="0.25">
      <c r="A1038">
        <v>1037</v>
      </c>
      <c r="B1038" t="s">
        <v>3002</v>
      </c>
      <c r="C1038">
        <v>144</v>
      </c>
      <c r="J1038">
        <v>1037</v>
      </c>
      <c r="K1038" t="s">
        <v>3002</v>
      </c>
      <c r="L1038">
        <v>144</v>
      </c>
    </row>
    <row r="1039" spans="1:12" x14ac:dyDescent="0.25">
      <c r="A1039">
        <v>1038</v>
      </c>
      <c r="B1039" t="s">
        <v>3003</v>
      </c>
      <c r="C1039">
        <v>84</v>
      </c>
      <c r="J1039">
        <v>1038</v>
      </c>
      <c r="K1039" t="s">
        <v>3003</v>
      </c>
      <c r="L1039">
        <v>84</v>
      </c>
    </row>
    <row r="1040" spans="1:12" x14ac:dyDescent="0.25">
      <c r="A1040">
        <v>1039</v>
      </c>
      <c r="B1040" t="s">
        <v>3004</v>
      </c>
      <c r="C1040">
        <v>103</v>
      </c>
      <c r="J1040">
        <v>1039</v>
      </c>
      <c r="K1040" t="s">
        <v>3004</v>
      </c>
      <c r="L1040">
        <v>103</v>
      </c>
    </row>
    <row r="1041" spans="1:12" x14ac:dyDescent="0.25">
      <c r="A1041">
        <v>1040</v>
      </c>
      <c r="B1041" t="s">
        <v>3005</v>
      </c>
      <c r="C1041">
        <v>107</v>
      </c>
      <c r="J1041">
        <v>1040</v>
      </c>
      <c r="K1041" t="s">
        <v>3005</v>
      </c>
      <c r="L1041">
        <v>107</v>
      </c>
    </row>
    <row r="1042" spans="1:12" x14ac:dyDescent="0.25">
      <c r="A1042">
        <v>1041</v>
      </c>
      <c r="B1042" t="s">
        <v>3006</v>
      </c>
      <c r="C1042">
        <v>94</v>
      </c>
      <c r="J1042">
        <v>1041</v>
      </c>
      <c r="K1042" t="s">
        <v>3006</v>
      </c>
      <c r="L1042">
        <v>94</v>
      </c>
    </row>
    <row r="1043" spans="1:12" x14ac:dyDescent="0.25">
      <c r="A1043">
        <v>1042</v>
      </c>
      <c r="B1043" t="s">
        <v>3007</v>
      </c>
      <c r="C1043">
        <v>105</v>
      </c>
      <c r="J1043">
        <v>1042</v>
      </c>
      <c r="K1043" t="s">
        <v>3007</v>
      </c>
      <c r="L1043">
        <v>105</v>
      </c>
    </row>
    <row r="1044" spans="1:12" x14ac:dyDescent="0.25">
      <c r="A1044">
        <v>1043</v>
      </c>
      <c r="B1044" t="s">
        <v>3008</v>
      </c>
      <c r="C1044">
        <v>87</v>
      </c>
      <c r="J1044">
        <v>1043</v>
      </c>
      <c r="K1044" t="s">
        <v>3008</v>
      </c>
      <c r="L1044">
        <v>87</v>
      </c>
    </row>
    <row r="1045" spans="1:12" x14ac:dyDescent="0.25">
      <c r="A1045">
        <v>1044</v>
      </c>
      <c r="B1045" t="s">
        <v>3009</v>
      </c>
      <c r="C1045">
        <v>75</v>
      </c>
      <c r="J1045">
        <v>1044</v>
      </c>
      <c r="K1045" t="s">
        <v>3009</v>
      </c>
      <c r="L1045">
        <v>75</v>
      </c>
    </row>
    <row r="1046" spans="1:12" x14ac:dyDescent="0.25">
      <c r="A1046">
        <v>1045</v>
      </c>
      <c r="B1046" t="s">
        <v>3010</v>
      </c>
      <c r="C1046">
        <v>88</v>
      </c>
      <c r="J1046">
        <v>1045</v>
      </c>
      <c r="K1046" t="s">
        <v>3010</v>
      </c>
      <c r="L1046">
        <v>88</v>
      </c>
    </row>
    <row r="1047" spans="1:12" x14ac:dyDescent="0.25">
      <c r="A1047">
        <v>1046</v>
      </c>
      <c r="B1047" t="s">
        <v>3011</v>
      </c>
      <c r="C1047">
        <v>84</v>
      </c>
      <c r="J1047">
        <v>1046</v>
      </c>
      <c r="K1047" t="s">
        <v>3011</v>
      </c>
      <c r="L1047">
        <v>84</v>
      </c>
    </row>
    <row r="1048" spans="1:12" x14ac:dyDescent="0.25">
      <c r="A1048">
        <v>1047</v>
      </c>
      <c r="B1048" t="s">
        <v>3012</v>
      </c>
      <c r="C1048">
        <v>102</v>
      </c>
      <c r="J1048">
        <v>1047</v>
      </c>
      <c r="K1048" t="s">
        <v>3012</v>
      </c>
      <c r="L1048">
        <v>102</v>
      </c>
    </row>
    <row r="1049" spans="1:12" x14ac:dyDescent="0.25">
      <c r="A1049">
        <v>1048</v>
      </c>
      <c r="B1049" t="s">
        <v>3013</v>
      </c>
      <c r="C1049">
        <v>86</v>
      </c>
      <c r="J1049">
        <v>1048</v>
      </c>
      <c r="K1049" t="s">
        <v>3013</v>
      </c>
      <c r="L1049">
        <v>86</v>
      </c>
    </row>
    <row r="1050" spans="1:12" x14ac:dyDescent="0.25">
      <c r="A1050">
        <v>1049</v>
      </c>
      <c r="B1050" t="s">
        <v>3014</v>
      </c>
      <c r="C1050">
        <v>237</v>
      </c>
      <c r="J1050">
        <v>1049</v>
      </c>
      <c r="K1050" t="s">
        <v>3014</v>
      </c>
      <c r="L1050">
        <v>237</v>
      </c>
    </row>
    <row r="1051" spans="1:12" x14ac:dyDescent="0.25">
      <c r="A1051">
        <v>1050</v>
      </c>
      <c r="B1051" t="s">
        <v>3015</v>
      </c>
      <c r="C1051">
        <v>242</v>
      </c>
      <c r="J1051">
        <v>1050</v>
      </c>
      <c r="K1051" t="s">
        <v>3015</v>
      </c>
      <c r="L1051">
        <v>242</v>
      </c>
    </row>
    <row r="1052" spans="1:12" x14ac:dyDescent="0.25">
      <c r="A1052">
        <v>1051</v>
      </c>
      <c r="B1052" t="s">
        <v>3016</v>
      </c>
      <c r="C1052">
        <v>310</v>
      </c>
      <c r="J1052">
        <v>1051</v>
      </c>
      <c r="K1052" t="s">
        <v>3016</v>
      </c>
      <c r="L1052">
        <v>310</v>
      </c>
    </row>
    <row r="1053" spans="1:12" x14ac:dyDescent="0.25">
      <c r="A1053">
        <v>1052</v>
      </c>
      <c r="B1053" t="s">
        <v>3017</v>
      </c>
      <c r="C1053">
        <v>325</v>
      </c>
      <c r="J1053">
        <v>1052</v>
      </c>
      <c r="K1053" t="s">
        <v>3017</v>
      </c>
      <c r="L1053">
        <v>325</v>
      </c>
    </row>
    <row r="1054" spans="1:12" x14ac:dyDescent="0.25">
      <c r="A1054">
        <v>1053</v>
      </c>
      <c r="B1054" t="s">
        <v>3018</v>
      </c>
      <c r="C1054">
        <v>347</v>
      </c>
      <c r="J1054">
        <v>1053</v>
      </c>
      <c r="K1054" t="s">
        <v>3018</v>
      </c>
      <c r="L1054">
        <v>347</v>
      </c>
    </row>
    <row r="1055" spans="1:12" x14ac:dyDescent="0.25">
      <c r="A1055">
        <v>1054</v>
      </c>
      <c r="B1055" t="s">
        <v>3019</v>
      </c>
      <c r="C1055">
        <v>283</v>
      </c>
      <c r="J1055">
        <v>1054</v>
      </c>
      <c r="K1055" t="s">
        <v>3019</v>
      </c>
      <c r="L1055">
        <v>283</v>
      </c>
    </row>
    <row r="1056" spans="1:12" x14ac:dyDescent="0.25">
      <c r="A1056">
        <v>1055</v>
      </c>
      <c r="B1056" t="s">
        <v>3020</v>
      </c>
      <c r="C1056">
        <v>270</v>
      </c>
      <c r="J1056">
        <v>1055</v>
      </c>
      <c r="K1056" t="s">
        <v>3020</v>
      </c>
      <c r="L1056">
        <v>270</v>
      </c>
    </row>
    <row r="1057" spans="1:12" x14ac:dyDescent="0.25">
      <c r="A1057">
        <v>1056</v>
      </c>
      <c r="B1057" t="s">
        <v>3021</v>
      </c>
      <c r="C1057">
        <v>122</v>
      </c>
      <c r="J1057">
        <v>1056</v>
      </c>
      <c r="K1057" t="s">
        <v>3021</v>
      </c>
      <c r="L1057">
        <v>122</v>
      </c>
    </row>
    <row r="1058" spans="1:12" x14ac:dyDescent="0.25">
      <c r="A1058">
        <v>1057</v>
      </c>
      <c r="B1058" t="s">
        <v>3022</v>
      </c>
      <c r="C1058">
        <v>125</v>
      </c>
      <c r="J1058">
        <v>1057</v>
      </c>
      <c r="K1058" t="s">
        <v>3022</v>
      </c>
      <c r="L1058">
        <v>125</v>
      </c>
    </row>
    <row r="1059" spans="1:12" x14ac:dyDescent="0.25">
      <c r="A1059">
        <v>1058</v>
      </c>
      <c r="B1059" t="s">
        <v>3023</v>
      </c>
      <c r="C1059">
        <v>66</v>
      </c>
      <c r="J1059">
        <v>1058</v>
      </c>
      <c r="K1059" t="s">
        <v>3023</v>
      </c>
      <c r="L1059">
        <v>66</v>
      </c>
    </row>
    <row r="1060" spans="1:12" x14ac:dyDescent="0.25">
      <c r="A1060">
        <v>1059</v>
      </c>
      <c r="B1060" t="s">
        <v>3024</v>
      </c>
      <c r="C1060">
        <v>75</v>
      </c>
      <c r="J1060">
        <v>1059</v>
      </c>
      <c r="K1060" t="s">
        <v>3024</v>
      </c>
      <c r="L1060">
        <v>75</v>
      </c>
    </row>
    <row r="1061" spans="1:12" x14ac:dyDescent="0.25">
      <c r="A1061">
        <v>1060</v>
      </c>
      <c r="B1061" t="s">
        <v>3025</v>
      </c>
      <c r="C1061">
        <v>118</v>
      </c>
      <c r="J1061">
        <v>1060</v>
      </c>
      <c r="K1061" t="s">
        <v>3025</v>
      </c>
      <c r="L1061">
        <v>118</v>
      </c>
    </row>
    <row r="1062" spans="1:12" x14ac:dyDescent="0.25">
      <c r="A1062">
        <v>1061</v>
      </c>
      <c r="B1062" t="s">
        <v>3026</v>
      </c>
      <c r="C1062">
        <v>89</v>
      </c>
      <c r="J1062">
        <v>1061</v>
      </c>
      <c r="K1062" t="s">
        <v>3026</v>
      </c>
      <c r="L1062">
        <v>89</v>
      </c>
    </row>
    <row r="1063" spans="1:12" x14ac:dyDescent="0.25">
      <c r="A1063">
        <v>1062</v>
      </c>
      <c r="B1063" t="s">
        <v>3027</v>
      </c>
      <c r="C1063">
        <v>133</v>
      </c>
      <c r="J1063">
        <v>1062</v>
      </c>
      <c r="K1063" t="s">
        <v>3027</v>
      </c>
      <c r="L1063">
        <v>133</v>
      </c>
    </row>
    <row r="1064" spans="1:12" x14ac:dyDescent="0.25">
      <c r="A1064">
        <v>1063</v>
      </c>
      <c r="B1064" t="s">
        <v>3028</v>
      </c>
      <c r="C1064">
        <v>96</v>
      </c>
      <c r="J1064">
        <v>1063</v>
      </c>
      <c r="K1064" t="s">
        <v>3028</v>
      </c>
      <c r="L1064">
        <v>96</v>
      </c>
    </row>
    <row r="1065" spans="1:12" x14ac:dyDescent="0.25">
      <c r="A1065">
        <v>1064</v>
      </c>
      <c r="B1065" t="s">
        <v>3029</v>
      </c>
      <c r="C1065">
        <v>133</v>
      </c>
      <c r="J1065">
        <v>1064</v>
      </c>
      <c r="K1065" t="s">
        <v>3029</v>
      </c>
      <c r="L1065">
        <v>133</v>
      </c>
    </row>
    <row r="1066" spans="1:12" x14ac:dyDescent="0.25">
      <c r="A1066">
        <v>1065</v>
      </c>
      <c r="B1066" t="s">
        <v>3030</v>
      </c>
      <c r="C1066">
        <v>73</v>
      </c>
      <c r="J1066">
        <v>1065</v>
      </c>
      <c r="K1066" t="s">
        <v>3030</v>
      </c>
      <c r="L1066">
        <v>73</v>
      </c>
    </row>
    <row r="1067" spans="1:12" x14ac:dyDescent="0.25">
      <c r="A1067">
        <v>1066</v>
      </c>
      <c r="B1067" t="s">
        <v>3031</v>
      </c>
      <c r="C1067">
        <v>111</v>
      </c>
      <c r="J1067">
        <v>1066</v>
      </c>
      <c r="K1067" t="s">
        <v>3031</v>
      </c>
      <c r="L1067">
        <v>111</v>
      </c>
    </row>
    <row r="1068" spans="1:12" x14ac:dyDescent="0.25">
      <c r="A1068">
        <v>1067</v>
      </c>
      <c r="B1068" t="s">
        <v>3032</v>
      </c>
      <c r="C1068">
        <v>257</v>
      </c>
      <c r="J1068">
        <v>1067</v>
      </c>
      <c r="K1068" t="s">
        <v>3032</v>
      </c>
      <c r="L1068">
        <v>257</v>
      </c>
    </row>
    <row r="1069" spans="1:12" x14ac:dyDescent="0.25">
      <c r="A1069">
        <v>1068</v>
      </c>
      <c r="B1069" t="s">
        <v>3033</v>
      </c>
      <c r="C1069">
        <v>224</v>
      </c>
      <c r="J1069">
        <v>1068</v>
      </c>
      <c r="K1069" t="s">
        <v>3033</v>
      </c>
      <c r="L1069">
        <v>224</v>
      </c>
    </row>
    <row r="1070" spans="1:12" x14ac:dyDescent="0.25">
      <c r="A1070">
        <v>1069</v>
      </c>
      <c r="B1070" t="s">
        <v>3034</v>
      </c>
      <c r="C1070">
        <v>123</v>
      </c>
      <c r="J1070">
        <v>1069</v>
      </c>
      <c r="K1070" t="s">
        <v>3034</v>
      </c>
      <c r="L1070">
        <v>123</v>
      </c>
    </row>
    <row r="1071" spans="1:12" x14ac:dyDescent="0.25">
      <c r="A1071">
        <v>1070</v>
      </c>
      <c r="B1071" t="s">
        <v>3035</v>
      </c>
      <c r="C1071">
        <v>84</v>
      </c>
      <c r="J1071">
        <v>1070</v>
      </c>
      <c r="K1071" t="s">
        <v>3035</v>
      </c>
      <c r="L1071">
        <v>84</v>
      </c>
    </row>
    <row r="1072" spans="1:12" x14ac:dyDescent="0.25">
      <c r="A1072">
        <v>1071</v>
      </c>
      <c r="B1072" t="s">
        <v>3036</v>
      </c>
      <c r="C1072">
        <v>109</v>
      </c>
      <c r="J1072">
        <v>1071</v>
      </c>
      <c r="K1072" t="s">
        <v>3036</v>
      </c>
      <c r="L1072">
        <v>109</v>
      </c>
    </row>
    <row r="1073" spans="1:12" x14ac:dyDescent="0.25">
      <c r="A1073">
        <v>1072</v>
      </c>
      <c r="B1073" t="s">
        <v>3037</v>
      </c>
      <c r="C1073">
        <v>68</v>
      </c>
      <c r="J1073">
        <v>1072</v>
      </c>
      <c r="K1073" t="s">
        <v>3037</v>
      </c>
      <c r="L1073">
        <v>68</v>
      </c>
    </row>
    <row r="1074" spans="1:12" x14ac:dyDescent="0.25">
      <c r="A1074">
        <v>1073</v>
      </c>
      <c r="B1074" t="s">
        <v>3038</v>
      </c>
      <c r="C1074">
        <v>59</v>
      </c>
      <c r="J1074">
        <v>1073</v>
      </c>
      <c r="K1074" t="s">
        <v>3038</v>
      </c>
      <c r="L1074">
        <v>59</v>
      </c>
    </row>
    <row r="1075" spans="1:12" x14ac:dyDescent="0.25">
      <c r="A1075">
        <v>1074</v>
      </c>
      <c r="B1075" t="s">
        <v>3039</v>
      </c>
      <c r="C1075">
        <v>72</v>
      </c>
      <c r="J1075">
        <v>1074</v>
      </c>
      <c r="K1075" t="s">
        <v>3039</v>
      </c>
      <c r="L1075">
        <v>72</v>
      </c>
    </row>
    <row r="1076" spans="1:12" x14ac:dyDescent="0.25">
      <c r="A1076">
        <v>1075</v>
      </c>
      <c r="B1076" t="s">
        <v>3040</v>
      </c>
      <c r="C1076">
        <v>132</v>
      </c>
      <c r="J1076">
        <v>1075</v>
      </c>
      <c r="K1076" t="s">
        <v>3040</v>
      </c>
      <c r="L1076">
        <v>132</v>
      </c>
    </row>
    <row r="1077" spans="1:12" x14ac:dyDescent="0.25">
      <c r="A1077">
        <v>1076</v>
      </c>
      <c r="B1077" t="s">
        <v>3041</v>
      </c>
      <c r="C1077">
        <v>115</v>
      </c>
      <c r="J1077">
        <v>1076</v>
      </c>
      <c r="K1077" t="s">
        <v>3041</v>
      </c>
      <c r="L1077">
        <v>115</v>
      </c>
    </row>
    <row r="1078" spans="1:12" x14ac:dyDescent="0.25">
      <c r="A1078">
        <v>1077</v>
      </c>
      <c r="B1078" t="s">
        <v>3042</v>
      </c>
      <c r="C1078">
        <v>151</v>
      </c>
      <c r="J1078">
        <v>1077</v>
      </c>
      <c r="K1078" t="s">
        <v>3042</v>
      </c>
      <c r="L1078">
        <v>151</v>
      </c>
    </row>
    <row r="1079" spans="1:12" x14ac:dyDescent="0.25">
      <c r="A1079">
        <v>1078</v>
      </c>
      <c r="B1079" t="s">
        <v>3043</v>
      </c>
      <c r="C1079">
        <v>74</v>
      </c>
      <c r="J1079">
        <v>1078</v>
      </c>
      <c r="K1079" t="s">
        <v>3043</v>
      </c>
      <c r="L1079">
        <v>74</v>
      </c>
    </row>
    <row r="1080" spans="1:12" x14ac:dyDescent="0.25">
      <c r="A1080">
        <v>1079</v>
      </c>
      <c r="B1080" t="s">
        <v>3044</v>
      </c>
      <c r="C1080">
        <v>83</v>
      </c>
      <c r="J1080">
        <v>1079</v>
      </c>
      <c r="K1080" t="s">
        <v>3044</v>
      </c>
      <c r="L1080">
        <v>83</v>
      </c>
    </row>
    <row r="1081" spans="1:12" x14ac:dyDescent="0.25">
      <c r="A1081">
        <v>1080</v>
      </c>
      <c r="B1081" t="s">
        <v>3045</v>
      </c>
      <c r="C1081">
        <v>113</v>
      </c>
      <c r="J1081">
        <v>1080</v>
      </c>
      <c r="K1081" t="s">
        <v>3045</v>
      </c>
      <c r="L1081">
        <v>113</v>
      </c>
    </row>
    <row r="1082" spans="1:12" x14ac:dyDescent="0.25">
      <c r="A1082">
        <v>1081</v>
      </c>
      <c r="B1082" t="s">
        <v>3046</v>
      </c>
      <c r="C1082">
        <v>66</v>
      </c>
      <c r="J1082">
        <v>1081</v>
      </c>
      <c r="K1082" t="s">
        <v>3046</v>
      </c>
      <c r="L1082">
        <v>66</v>
      </c>
    </row>
    <row r="1083" spans="1:12" x14ac:dyDescent="0.25">
      <c r="A1083">
        <v>1082</v>
      </c>
      <c r="B1083" t="s">
        <v>3047</v>
      </c>
      <c r="C1083">
        <v>116</v>
      </c>
      <c r="J1083">
        <v>1082</v>
      </c>
      <c r="K1083" t="s">
        <v>3047</v>
      </c>
      <c r="L1083">
        <v>116</v>
      </c>
    </row>
    <row r="1084" spans="1:12" x14ac:dyDescent="0.25">
      <c r="A1084">
        <v>1083</v>
      </c>
      <c r="B1084" t="s">
        <v>3048</v>
      </c>
      <c r="C1084">
        <v>95</v>
      </c>
      <c r="J1084">
        <v>1083</v>
      </c>
      <c r="K1084" t="s">
        <v>3048</v>
      </c>
      <c r="L1084">
        <v>95</v>
      </c>
    </row>
    <row r="1085" spans="1:12" x14ac:dyDescent="0.25">
      <c r="A1085">
        <v>1084</v>
      </c>
      <c r="B1085" t="s">
        <v>3049</v>
      </c>
      <c r="C1085">
        <v>132</v>
      </c>
      <c r="J1085">
        <v>1084</v>
      </c>
      <c r="K1085" t="s">
        <v>3049</v>
      </c>
      <c r="L1085">
        <v>132</v>
      </c>
    </row>
    <row r="1086" spans="1:12" x14ac:dyDescent="0.25">
      <c r="A1086">
        <v>1085</v>
      </c>
      <c r="B1086" t="s">
        <v>3050</v>
      </c>
      <c r="C1086">
        <v>73</v>
      </c>
      <c r="J1086">
        <v>1085</v>
      </c>
      <c r="K1086" t="s">
        <v>3050</v>
      </c>
      <c r="L1086">
        <v>73</v>
      </c>
    </row>
    <row r="1087" spans="1:12" x14ac:dyDescent="0.25">
      <c r="A1087">
        <v>1086</v>
      </c>
      <c r="B1087" t="s">
        <v>3051</v>
      </c>
      <c r="C1087">
        <v>94</v>
      </c>
      <c r="J1087">
        <v>1086</v>
      </c>
      <c r="K1087" t="s">
        <v>3051</v>
      </c>
      <c r="L1087">
        <v>94</v>
      </c>
    </row>
    <row r="1088" spans="1:12" x14ac:dyDescent="0.25">
      <c r="A1088">
        <v>1087</v>
      </c>
      <c r="B1088" t="s">
        <v>3052</v>
      </c>
      <c r="C1088">
        <v>77</v>
      </c>
      <c r="J1088">
        <v>1087</v>
      </c>
      <c r="K1088" t="s">
        <v>3052</v>
      </c>
      <c r="L1088">
        <v>77</v>
      </c>
    </row>
    <row r="1089" spans="1:12" x14ac:dyDescent="0.25">
      <c r="A1089">
        <v>1088</v>
      </c>
      <c r="B1089" t="s">
        <v>3053</v>
      </c>
      <c r="C1089">
        <v>106</v>
      </c>
      <c r="J1089">
        <v>1088</v>
      </c>
      <c r="K1089" t="s">
        <v>3053</v>
      </c>
      <c r="L1089">
        <v>106</v>
      </c>
    </row>
    <row r="1090" spans="1:12" x14ac:dyDescent="0.25">
      <c r="A1090">
        <v>1089</v>
      </c>
      <c r="B1090" t="s">
        <v>3054</v>
      </c>
      <c r="C1090">
        <v>192</v>
      </c>
      <c r="J1090">
        <v>1089</v>
      </c>
      <c r="K1090" t="s">
        <v>3054</v>
      </c>
      <c r="L1090">
        <v>192</v>
      </c>
    </row>
    <row r="1091" spans="1:12" x14ac:dyDescent="0.25">
      <c r="A1091">
        <v>1090</v>
      </c>
      <c r="B1091" t="s">
        <v>3055</v>
      </c>
      <c r="C1091">
        <v>305</v>
      </c>
      <c r="J1091">
        <v>1090</v>
      </c>
      <c r="K1091" t="s">
        <v>3055</v>
      </c>
      <c r="L1091">
        <v>305</v>
      </c>
    </row>
    <row r="1092" spans="1:12" x14ac:dyDescent="0.25">
      <c r="A1092">
        <v>1091</v>
      </c>
      <c r="B1092" t="s">
        <v>3056</v>
      </c>
      <c r="C1092">
        <v>532</v>
      </c>
      <c r="J1092">
        <v>1091</v>
      </c>
      <c r="K1092" t="s">
        <v>3056</v>
      </c>
      <c r="L1092">
        <v>532</v>
      </c>
    </row>
    <row r="1093" spans="1:12" x14ac:dyDescent="0.25">
      <c r="A1093">
        <v>1092</v>
      </c>
      <c r="B1093" t="s">
        <v>3057</v>
      </c>
      <c r="C1093">
        <v>870</v>
      </c>
      <c r="J1093">
        <v>1092</v>
      </c>
      <c r="K1093" t="s">
        <v>3057</v>
      </c>
      <c r="L1093">
        <v>870</v>
      </c>
    </row>
    <row r="1094" spans="1:12" x14ac:dyDescent="0.25">
      <c r="A1094">
        <v>1093</v>
      </c>
      <c r="B1094" t="s">
        <v>3058</v>
      </c>
      <c r="C1094">
        <v>801</v>
      </c>
      <c r="J1094">
        <v>1093</v>
      </c>
      <c r="K1094" t="s">
        <v>3058</v>
      </c>
      <c r="L1094">
        <v>801</v>
      </c>
    </row>
    <row r="1095" spans="1:12" x14ac:dyDescent="0.25">
      <c r="A1095">
        <v>1094</v>
      </c>
      <c r="B1095" t="s">
        <v>3059</v>
      </c>
      <c r="C1095">
        <v>676</v>
      </c>
      <c r="J1095">
        <v>1094</v>
      </c>
      <c r="K1095" t="s">
        <v>3059</v>
      </c>
      <c r="L1095">
        <v>676</v>
      </c>
    </row>
    <row r="1096" spans="1:12" x14ac:dyDescent="0.25">
      <c r="A1096">
        <v>1095</v>
      </c>
      <c r="B1096" t="s">
        <v>3060</v>
      </c>
      <c r="C1096">
        <v>629</v>
      </c>
      <c r="J1096">
        <v>1095</v>
      </c>
      <c r="K1096" t="s">
        <v>3060</v>
      </c>
      <c r="L1096">
        <v>629</v>
      </c>
    </row>
    <row r="1097" spans="1:12" x14ac:dyDescent="0.25">
      <c r="A1097">
        <v>1096</v>
      </c>
      <c r="B1097" t="s">
        <v>3061</v>
      </c>
      <c r="C1097">
        <v>1035</v>
      </c>
      <c r="J1097">
        <v>1096</v>
      </c>
      <c r="K1097" t="s">
        <v>3061</v>
      </c>
      <c r="L1097">
        <v>1035</v>
      </c>
    </row>
    <row r="1098" spans="1:12" x14ac:dyDescent="0.25">
      <c r="A1098">
        <v>1097</v>
      </c>
      <c r="B1098" t="s">
        <v>3062</v>
      </c>
      <c r="C1098">
        <v>1020</v>
      </c>
      <c r="J1098">
        <v>1097</v>
      </c>
      <c r="K1098" t="s">
        <v>3062</v>
      </c>
      <c r="L1098">
        <v>1020</v>
      </c>
    </row>
    <row r="1099" spans="1:12" x14ac:dyDescent="0.25">
      <c r="A1099">
        <v>1098</v>
      </c>
      <c r="B1099" t="s">
        <v>3063</v>
      </c>
      <c r="C1099">
        <v>940</v>
      </c>
      <c r="J1099">
        <v>1098</v>
      </c>
      <c r="K1099" t="s">
        <v>3063</v>
      </c>
      <c r="L1099">
        <v>940</v>
      </c>
    </row>
    <row r="1100" spans="1:12" x14ac:dyDescent="0.25">
      <c r="A1100">
        <v>1099</v>
      </c>
      <c r="B1100" t="s">
        <v>3064</v>
      </c>
      <c r="C1100">
        <v>502</v>
      </c>
      <c r="J1100">
        <v>1099</v>
      </c>
      <c r="K1100" t="s">
        <v>3064</v>
      </c>
      <c r="L1100">
        <v>502</v>
      </c>
    </row>
    <row r="1101" spans="1:12" x14ac:dyDescent="0.25">
      <c r="A1101">
        <v>1100</v>
      </c>
      <c r="B1101" t="s">
        <v>3065</v>
      </c>
      <c r="C1101">
        <v>404</v>
      </c>
      <c r="J1101">
        <v>1100</v>
      </c>
      <c r="K1101" t="s">
        <v>3065</v>
      </c>
      <c r="L1101">
        <v>404</v>
      </c>
    </row>
    <row r="1102" spans="1:12" x14ac:dyDescent="0.25">
      <c r="A1102">
        <v>1101</v>
      </c>
      <c r="B1102" t="s">
        <v>3066</v>
      </c>
      <c r="C1102">
        <v>122</v>
      </c>
      <c r="J1102">
        <v>1101</v>
      </c>
      <c r="K1102" t="s">
        <v>3066</v>
      </c>
      <c r="L1102">
        <v>122</v>
      </c>
    </row>
    <row r="1103" spans="1:12" x14ac:dyDescent="0.25">
      <c r="A1103">
        <v>1102</v>
      </c>
      <c r="B1103" t="s">
        <v>3067</v>
      </c>
      <c r="C1103">
        <v>227</v>
      </c>
      <c r="J1103">
        <v>1102</v>
      </c>
      <c r="K1103" t="s">
        <v>3067</v>
      </c>
      <c r="L1103">
        <v>227</v>
      </c>
    </row>
    <row r="1104" spans="1:12" x14ac:dyDescent="0.25">
      <c r="A1104">
        <v>1103</v>
      </c>
      <c r="B1104" t="s">
        <v>3068</v>
      </c>
      <c r="C1104">
        <v>270</v>
      </c>
      <c r="J1104">
        <v>1103</v>
      </c>
      <c r="K1104" t="s">
        <v>3068</v>
      </c>
      <c r="L1104">
        <v>270</v>
      </c>
    </row>
    <row r="1105" spans="1:12" x14ac:dyDescent="0.25">
      <c r="A1105">
        <v>1104</v>
      </c>
      <c r="B1105" t="s">
        <v>3069</v>
      </c>
      <c r="C1105">
        <v>140</v>
      </c>
      <c r="J1105">
        <v>1104</v>
      </c>
      <c r="K1105" t="s">
        <v>3069</v>
      </c>
      <c r="L1105">
        <v>140</v>
      </c>
    </row>
    <row r="1106" spans="1:12" x14ac:dyDescent="0.25">
      <c r="A1106">
        <v>1105</v>
      </c>
      <c r="B1106" t="s">
        <v>3070</v>
      </c>
      <c r="C1106">
        <v>129</v>
      </c>
      <c r="J1106">
        <v>1105</v>
      </c>
      <c r="K1106" t="s">
        <v>3070</v>
      </c>
      <c r="L1106">
        <v>129</v>
      </c>
    </row>
    <row r="1107" spans="1:12" x14ac:dyDescent="0.25">
      <c r="A1107">
        <v>1106</v>
      </c>
      <c r="B1107" t="s">
        <v>3071</v>
      </c>
      <c r="C1107">
        <v>93</v>
      </c>
      <c r="J1107">
        <v>1106</v>
      </c>
      <c r="K1107" t="s">
        <v>3071</v>
      </c>
      <c r="L1107">
        <v>93</v>
      </c>
    </row>
    <row r="1108" spans="1:12" x14ac:dyDescent="0.25">
      <c r="A1108">
        <v>1107</v>
      </c>
      <c r="B1108" t="s">
        <v>3072</v>
      </c>
      <c r="C1108">
        <v>115</v>
      </c>
      <c r="J1108">
        <v>1107</v>
      </c>
      <c r="K1108" t="s">
        <v>3072</v>
      </c>
      <c r="L1108">
        <v>115</v>
      </c>
    </row>
    <row r="1109" spans="1:12" x14ac:dyDescent="0.25">
      <c r="A1109">
        <v>1108</v>
      </c>
      <c r="B1109" t="s">
        <v>3073</v>
      </c>
      <c r="C1109">
        <v>107</v>
      </c>
      <c r="J1109">
        <v>1108</v>
      </c>
      <c r="K1109" t="s">
        <v>3073</v>
      </c>
      <c r="L1109">
        <v>107</v>
      </c>
    </row>
    <row r="1110" spans="1:12" x14ac:dyDescent="0.25">
      <c r="A1110">
        <v>1109</v>
      </c>
      <c r="B1110" t="s">
        <v>3074</v>
      </c>
      <c r="C1110">
        <v>197</v>
      </c>
      <c r="J1110">
        <v>1109</v>
      </c>
      <c r="K1110" t="s">
        <v>3074</v>
      </c>
      <c r="L1110">
        <v>197</v>
      </c>
    </row>
    <row r="1111" spans="1:12" x14ac:dyDescent="0.25">
      <c r="A1111">
        <v>1110</v>
      </c>
      <c r="B1111" t="s">
        <v>3075</v>
      </c>
      <c r="C1111">
        <v>114</v>
      </c>
      <c r="J1111">
        <v>1110</v>
      </c>
      <c r="K1111" t="s">
        <v>3075</v>
      </c>
      <c r="L1111">
        <v>114</v>
      </c>
    </row>
    <row r="1112" spans="1:12" x14ac:dyDescent="0.25">
      <c r="A1112">
        <v>1111</v>
      </c>
      <c r="B1112" t="s">
        <v>3076</v>
      </c>
      <c r="C1112">
        <v>249</v>
      </c>
      <c r="J1112">
        <v>1111</v>
      </c>
      <c r="K1112" t="s">
        <v>3076</v>
      </c>
      <c r="L1112">
        <v>249</v>
      </c>
    </row>
    <row r="1113" spans="1:12" x14ac:dyDescent="0.25">
      <c r="A1113">
        <v>1112</v>
      </c>
      <c r="B1113" t="s">
        <v>3077</v>
      </c>
      <c r="C1113">
        <v>86</v>
      </c>
      <c r="J1113">
        <v>1112</v>
      </c>
      <c r="K1113" t="s">
        <v>3077</v>
      </c>
      <c r="L1113">
        <v>86</v>
      </c>
    </row>
    <row r="1114" spans="1:12" x14ac:dyDescent="0.25">
      <c r="A1114">
        <v>1113</v>
      </c>
      <c r="B1114" t="s">
        <v>3078</v>
      </c>
      <c r="C1114">
        <v>136</v>
      </c>
      <c r="J1114">
        <v>1113</v>
      </c>
      <c r="K1114" t="s">
        <v>3078</v>
      </c>
      <c r="L1114">
        <v>136</v>
      </c>
    </row>
    <row r="1115" spans="1:12" x14ac:dyDescent="0.25">
      <c r="A1115">
        <v>1114</v>
      </c>
      <c r="B1115" t="s">
        <v>3079</v>
      </c>
      <c r="C1115">
        <v>161</v>
      </c>
      <c r="J1115">
        <v>1114</v>
      </c>
      <c r="K1115" t="s">
        <v>3079</v>
      </c>
      <c r="L1115">
        <v>161</v>
      </c>
    </row>
    <row r="1116" spans="1:12" x14ac:dyDescent="0.25">
      <c r="A1116">
        <v>1115</v>
      </c>
      <c r="B1116" t="s">
        <v>3080</v>
      </c>
      <c r="C1116">
        <v>159</v>
      </c>
      <c r="J1116">
        <v>1115</v>
      </c>
      <c r="K1116" t="s">
        <v>3080</v>
      </c>
      <c r="L1116">
        <v>159</v>
      </c>
    </row>
    <row r="1117" spans="1:12" x14ac:dyDescent="0.25">
      <c r="A1117">
        <v>1116</v>
      </c>
      <c r="B1117" t="s">
        <v>3081</v>
      </c>
      <c r="C1117">
        <v>344</v>
      </c>
      <c r="J1117">
        <v>1116</v>
      </c>
      <c r="K1117" t="s">
        <v>3081</v>
      </c>
      <c r="L1117">
        <v>344</v>
      </c>
    </row>
    <row r="1118" spans="1:12" x14ac:dyDescent="0.25">
      <c r="A1118">
        <v>1117</v>
      </c>
      <c r="B1118" t="s">
        <v>3082</v>
      </c>
      <c r="C1118">
        <v>453</v>
      </c>
      <c r="J1118">
        <v>1117</v>
      </c>
      <c r="K1118" t="s">
        <v>3082</v>
      </c>
      <c r="L1118">
        <v>453</v>
      </c>
    </row>
    <row r="1119" spans="1:12" x14ac:dyDescent="0.25">
      <c r="A1119">
        <v>1118</v>
      </c>
      <c r="B1119" t="s">
        <v>3083</v>
      </c>
      <c r="C1119">
        <v>182</v>
      </c>
      <c r="J1119">
        <v>1118</v>
      </c>
      <c r="K1119" t="s">
        <v>3083</v>
      </c>
      <c r="L1119">
        <v>182</v>
      </c>
    </row>
    <row r="1120" spans="1:12" x14ac:dyDescent="0.25">
      <c r="A1120">
        <v>1119</v>
      </c>
      <c r="B1120" t="s">
        <v>3084</v>
      </c>
      <c r="C1120">
        <v>208</v>
      </c>
      <c r="J1120">
        <v>1119</v>
      </c>
      <c r="K1120" t="s">
        <v>3084</v>
      </c>
      <c r="L1120">
        <v>208</v>
      </c>
    </row>
    <row r="1121" spans="1:12" x14ac:dyDescent="0.25">
      <c r="A1121">
        <v>1120</v>
      </c>
      <c r="B1121" t="s">
        <v>3085</v>
      </c>
      <c r="C1121">
        <v>241</v>
      </c>
      <c r="J1121">
        <v>1120</v>
      </c>
      <c r="K1121" t="s">
        <v>3085</v>
      </c>
      <c r="L1121">
        <v>241</v>
      </c>
    </row>
    <row r="1122" spans="1:12" x14ac:dyDescent="0.25">
      <c r="A1122">
        <v>1121</v>
      </c>
      <c r="B1122" t="s">
        <v>3086</v>
      </c>
      <c r="C1122">
        <v>124</v>
      </c>
      <c r="J1122">
        <v>1121</v>
      </c>
      <c r="K1122" t="s">
        <v>3086</v>
      </c>
      <c r="L1122">
        <v>124</v>
      </c>
    </row>
    <row r="1123" spans="1:12" x14ac:dyDescent="0.25">
      <c r="A1123">
        <v>1122</v>
      </c>
      <c r="B1123" t="s">
        <v>3087</v>
      </c>
      <c r="C1123">
        <v>224</v>
      </c>
      <c r="J1123">
        <v>1122</v>
      </c>
      <c r="K1123" t="s">
        <v>3087</v>
      </c>
      <c r="L1123">
        <v>224</v>
      </c>
    </row>
    <row r="1124" spans="1:12" x14ac:dyDescent="0.25">
      <c r="A1124">
        <v>1123</v>
      </c>
      <c r="B1124" t="s">
        <v>3088</v>
      </c>
      <c r="C1124">
        <v>347</v>
      </c>
      <c r="J1124">
        <v>1123</v>
      </c>
      <c r="K1124" t="s">
        <v>3088</v>
      </c>
      <c r="L1124">
        <v>347</v>
      </c>
    </row>
    <row r="1125" spans="1:12" x14ac:dyDescent="0.25">
      <c r="A1125">
        <v>1124</v>
      </c>
      <c r="B1125" t="s">
        <v>3089</v>
      </c>
      <c r="C1125">
        <v>350</v>
      </c>
      <c r="J1125">
        <v>1124</v>
      </c>
      <c r="K1125" t="s">
        <v>3089</v>
      </c>
      <c r="L1125">
        <v>350</v>
      </c>
    </row>
    <row r="1126" spans="1:12" x14ac:dyDescent="0.25">
      <c r="A1126">
        <v>1125</v>
      </c>
      <c r="B1126" t="s">
        <v>3090</v>
      </c>
      <c r="C1126">
        <v>316</v>
      </c>
      <c r="J1126">
        <v>1125</v>
      </c>
      <c r="K1126" t="s">
        <v>3090</v>
      </c>
      <c r="L1126">
        <v>316</v>
      </c>
    </row>
    <row r="1127" spans="1:12" x14ac:dyDescent="0.25">
      <c r="A1127">
        <v>1126</v>
      </c>
      <c r="B1127" t="s">
        <v>3091</v>
      </c>
      <c r="C1127">
        <v>274</v>
      </c>
      <c r="J1127">
        <v>1126</v>
      </c>
      <c r="K1127" t="s">
        <v>3091</v>
      </c>
      <c r="L1127">
        <v>274</v>
      </c>
    </row>
    <row r="1128" spans="1:12" x14ac:dyDescent="0.25">
      <c r="A1128">
        <v>1127</v>
      </c>
      <c r="B1128" t="s">
        <v>3092</v>
      </c>
      <c r="C1128">
        <v>89</v>
      </c>
      <c r="J1128">
        <v>1127</v>
      </c>
      <c r="K1128" t="s">
        <v>3092</v>
      </c>
      <c r="L1128">
        <v>89</v>
      </c>
    </row>
    <row r="1129" spans="1:12" x14ac:dyDescent="0.25">
      <c r="A1129">
        <v>1128</v>
      </c>
      <c r="B1129" t="s">
        <v>3093</v>
      </c>
      <c r="C1129">
        <v>112</v>
      </c>
      <c r="J1129">
        <v>1128</v>
      </c>
      <c r="K1129" t="s">
        <v>3093</v>
      </c>
      <c r="L1129">
        <v>112</v>
      </c>
    </row>
    <row r="1130" spans="1:12" x14ac:dyDescent="0.25">
      <c r="A1130">
        <v>1129</v>
      </c>
      <c r="B1130" t="s">
        <v>3094</v>
      </c>
      <c r="C1130">
        <v>124</v>
      </c>
      <c r="J1130">
        <v>1129</v>
      </c>
      <c r="K1130" t="s">
        <v>3094</v>
      </c>
      <c r="L1130">
        <v>124</v>
      </c>
    </row>
    <row r="1131" spans="1:12" x14ac:dyDescent="0.25">
      <c r="A1131">
        <v>1130</v>
      </c>
      <c r="B1131" t="s">
        <v>3095</v>
      </c>
      <c r="C1131">
        <v>96</v>
      </c>
      <c r="J1131">
        <v>1130</v>
      </c>
      <c r="K1131" t="s">
        <v>3095</v>
      </c>
      <c r="L1131">
        <v>96</v>
      </c>
    </row>
    <row r="1132" spans="1:12" x14ac:dyDescent="0.25">
      <c r="A1132">
        <v>1131</v>
      </c>
      <c r="B1132" t="s">
        <v>3096</v>
      </c>
      <c r="C1132">
        <v>295</v>
      </c>
      <c r="J1132">
        <v>1131</v>
      </c>
      <c r="K1132" t="s">
        <v>3096</v>
      </c>
      <c r="L1132">
        <v>295</v>
      </c>
    </row>
    <row r="1133" spans="1:12" x14ac:dyDescent="0.25">
      <c r="A1133">
        <v>1132</v>
      </c>
      <c r="B1133" t="s">
        <v>3097</v>
      </c>
      <c r="C1133">
        <v>109</v>
      </c>
      <c r="J1133">
        <v>1132</v>
      </c>
      <c r="K1133" t="s">
        <v>3097</v>
      </c>
      <c r="L1133">
        <v>109</v>
      </c>
    </row>
    <row r="1134" spans="1:12" x14ac:dyDescent="0.25">
      <c r="A1134">
        <v>1133</v>
      </c>
      <c r="B1134" t="s">
        <v>3098</v>
      </c>
      <c r="C1134">
        <v>116</v>
      </c>
      <c r="J1134">
        <v>1133</v>
      </c>
      <c r="K1134" t="s">
        <v>3098</v>
      </c>
      <c r="L1134">
        <v>116</v>
      </c>
    </row>
    <row r="1135" spans="1:12" x14ac:dyDescent="0.25">
      <c r="A1135">
        <v>1134</v>
      </c>
      <c r="B1135" t="s">
        <v>3099</v>
      </c>
      <c r="C1135">
        <v>175</v>
      </c>
      <c r="J1135">
        <v>1134</v>
      </c>
      <c r="K1135" t="s">
        <v>3099</v>
      </c>
      <c r="L1135">
        <v>175</v>
      </c>
    </row>
    <row r="1136" spans="1:12" x14ac:dyDescent="0.25">
      <c r="A1136">
        <v>1135</v>
      </c>
      <c r="B1136" t="s">
        <v>3100</v>
      </c>
      <c r="C1136">
        <v>238</v>
      </c>
      <c r="J1136">
        <v>1135</v>
      </c>
      <c r="K1136" t="s">
        <v>3100</v>
      </c>
      <c r="L1136">
        <v>238</v>
      </c>
    </row>
    <row r="1137" spans="1:12" x14ac:dyDescent="0.25">
      <c r="A1137">
        <v>1136</v>
      </c>
      <c r="B1137" t="s">
        <v>3101</v>
      </c>
      <c r="C1137">
        <v>435</v>
      </c>
      <c r="J1137">
        <v>1136</v>
      </c>
      <c r="K1137" t="s">
        <v>3101</v>
      </c>
      <c r="L1137">
        <v>435</v>
      </c>
    </row>
    <row r="1138" spans="1:12" x14ac:dyDescent="0.25">
      <c r="A1138">
        <v>1137</v>
      </c>
      <c r="B1138" t="s">
        <v>3102</v>
      </c>
      <c r="C1138">
        <v>341</v>
      </c>
      <c r="J1138">
        <v>1137</v>
      </c>
      <c r="K1138" t="s">
        <v>3102</v>
      </c>
      <c r="L1138">
        <v>341</v>
      </c>
    </row>
    <row r="1139" spans="1:12" x14ac:dyDescent="0.25">
      <c r="A1139">
        <v>1138</v>
      </c>
      <c r="B1139" t="s">
        <v>3103</v>
      </c>
      <c r="C1139">
        <v>93</v>
      </c>
      <c r="J1139">
        <v>1138</v>
      </c>
      <c r="K1139" t="s">
        <v>3103</v>
      </c>
      <c r="L1139">
        <v>93</v>
      </c>
    </row>
    <row r="1140" spans="1:12" x14ac:dyDescent="0.25">
      <c r="A1140">
        <v>1139</v>
      </c>
      <c r="B1140" t="s">
        <v>3104</v>
      </c>
      <c r="C1140">
        <v>291</v>
      </c>
      <c r="J1140">
        <v>1139</v>
      </c>
      <c r="K1140" t="s">
        <v>3104</v>
      </c>
      <c r="L1140">
        <v>291</v>
      </c>
    </row>
    <row r="1141" spans="1:12" x14ac:dyDescent="0.25">
      <c r="A1141">
        <v>1140</v>
      </c>
      <c r="B1141" t="s">
        <v>3105</v>
      </c>
      <c r="C1141">
        <v>71</v>
      </c>
      <c r="J1141">
        <v>1140</v>
      </c>
      <c r="K1141" t="s">
        <v>3105</v>
      </c>
      <c r="L1141">
        <v>71</v>
      </c>
    </row>
    <row r="1142" spans="1:12" x14ac:dyDescent="0.25">
      <c r="A1142">
        <v>1141</v>
      </c>
      <c r="B1142" t="s">
        <v>3106</v>
      </c>
      <c r="C1142">
        <v>165</v>
      </c>
      <c r="J1142">
        <v>1141</v>
      </c>
      <c r="K1142" t="s">
        <v>3106</v>
      </c>
      <c r="L1142">
        <v>165</v>
      </c>
    </row>
    <row r="1143" spans="1:12" x14ac:dyDescent="0.25">
      <c r="A1143">
        <v>1142</v>
      </c>
      <c r="B1143" t="s">
        <v>3107</v>
      </c>
      <c r="C1143">
        <v>191</v>
      </c>
      <c r="J1143">
        <v>1142</v>
      </c>
      <c r="K1143" t="s">
        <v>3107</v>
      </c>
      <c r="L1143">
        <v>191</v>
      </c>
    </row>
    <row r="1144" spans="1:12" x14ac:dyDescent="0.25">
      <c r="A1144">
        <v>1143</v>
      </c>
      <c r="B1144" t="s">
        <v>3108</v>
      </c>
      <c r="C1144">
        <v>100</v>
      </c>
      <c r="J1144">
        <v>1143</v>
      </c>
      <c r="K1144" t="s">
        <v>3108</v>
      </c>
      <c r="L1144">
        <v>100</v>
      </c>
    </row>
    <row r="1145" spans="1:12" x14ac:dyDescent="0.25">
      <c r="A1145">
        <v>1144</v>
      </c>
      <c r="B1145" t="s">
        <v>3109</v>
      </c>
      <c r="C1145">
        <v>125</v>
      </c>
      <c r="J1145">
        <v>1144</v>
      </c>
      <c r="K1145" t="s">
        <v>3109</v>
      </c>
      <c r="L1145">
        <v>125</v>
      </c>
    </row>
    <row r="1146" spans="1:12" x14ac:dyDescent="0.25">
      <c r="A1146">
        <v>1145</v>
      </c>
      <c r="B1146" t="s">
        <v>3110</v>
      </c>
      <c r="C1146">
        <v>60</v>
      </c>
      <c r="J1146">
        <v>1145</v>
      </c>
      <c r="K1146" t="s">
        <v>3110</v>
      </c>
      <c r="L1146">
        <v>60</v>
      </c>
    </row>
    <row r="1147" spans="1:12" x14ac:dyDescent="0.25">
      <c r="A1147">
        <v>1146</v>
      </c>
      <c r="B1147" t="s">
        <v>3111</v>
      </c>
      <c r="C1147">
        <v>80</v>
      </c>
      <c r="J1147">
        <v>1146</v>
      </c>
      <c r="K1147" t="s">
        <v>3111</v>
      </c>
      <c r="L1147">
        <v>80</v>
      </c>
    </row>
    <row r="1148" spans="1:12" x14ac:dyDescent="0.25">
      <c r="A1148">
        <v>1147</v>
      </c>
      <c r="B1148" t="s">
        <v>3112</v>
      </c>
      <c r="C1148">
        <v>152</v>
      </c>
      <c r="J1148">
        <v>1147</v>
      </c>
      <c r="K1148" t="s">
        <v>3112</v>
      </c>
      <c r="L1148">
        <v>152</v>
      </c>
    </row>
    <row r="1149" spans="1:12" x14ac:dyDescent="0.25">
      <c r="A1149">
        <v>1148</v>
      </c>
      <c r="B1149" t="s">
        <v>3113</v>
      </c>
      <c r="C1149">
        <v>77</v>
      </c>
      <c r="J1149">
        <v>1148</v>
      </c>
      <c r="K1149" t="s">
        <v>3113</v>
      </c>
      <c r="L1149">
        <v>77</v>
      </c>
    </row>
    <row r="1150" spans="1:12" x14ac:dyDescent="0.25">
      <c r="A1150">
        <v>1149</v>
      </c>
      <c r="B1150" t="s">
        <v>3114</v>
      </c>
      <c r="C1150">
        <v>207</v>
      </c>
      <c r="J1150">
        <v>1149</v>
      </c>
      <c r="K1150" t="s">
        <v>3114</v>
      </c>
      <c r="L1150">
        <v>207</v>
      </c>
    </row>
    <row r="1151" spans="1:12" x14ac:dyDescent="0.25">
      <c r="A1151">
        <v>1150</v>
      </c>
      <c r="B1151" t="s">
        <v>3115</v>
      </c>
      <c r="C1151">
        <v>84</v>
      </c>
      <c r="J1151">
        <v>1150</v>
      </c>
      <c r="K1151" t="s">
        <v>3115</v>
      </c>
      <c r="L1151">
        <v>84</v>
      </c>
    </row>
    <row r="1152" spans="1:12" x14ac:dyDescent="0.25">
      <c r="A1152">
        <v>1151</v>
      </c>
      <c r="B1152" t="s">
        <v>3116</v>
      </c>
      <c r="C1152">
        <v>103</v>
      </c>
      <c r="J1152">
        <v>1151</v>
      </c>
      <c r="K1152" t="s">
        <v>3116</v>
      </c>
      <c r="L1152">
        <v>103</v>
      </c>
    </row>
    <row r="1153" spans="1:12" x14ac:dyDescent="0.25">
      <c r="A1153">
        <v>1152</v>
      </c>
      <c r="B1153" t="s">
        <v>3117</v>
      </c>
      <c r="C1153">
        <v>81</v>
      </c>
      <c r="J1153">
        <v>1152</v>
      </c>
      <c r="K1153" t="s">
        <v>3117</v>
      </c>
      <c r="L1153">
        <v>81</v>
      </c>
    </row>
    <row r="1154" spans="1:12" x14ac:dyDescent="0.25">
      <c r="A1154">
        <v>1153</v>
      </c>
      <c r="B1154" t="s">
        <v>3118</v>
      </c>
      <c r="C1154">
        <v>171</v>
      </c>
      <c r="J1154">
        <v>1153</v>
      </c>
      <c r="K1154" t="s">
        <v>3118</v>
      </c>
      <c r="L1154">
        <v>171</v>
      </c>
    </row>
    <row r="1155" spans="1:12" x14ac:dyDescent="0.25">
      <c r="A1155">
        <v>1154</v>
      </c>
      <c r="B1155" t="s">
        <v>3119</v>
      </c>
      <c r="C1155">
        <v>271</v>
      </c>
      <c r="J1155">
        <v>1154</v>
      </c>
      <c r="K1155" t="s">
        <v>3119</v>
      </c>
      <c r="L1155">
        <v>271</v>
      </c>
    </row>
    <row r="1156" spans="1:12" x14ac:dyDescent="0.25">
      <c r="A1156">
        <v>1155</v>
      </c>
      <c r="B1156" t="s">
        <v>3120</v>
      </c>
      <c r="C1156">
        <v>67</v>
      </c>
      <c r="J1156">
        <v>1155</v>
      </c>
      <c r="K1156" t="s">
        <v>3120</v>
      </c>
      <c r="L1156">
        <v>67</v>
      </c>
    </row>
    <row r="1157" spans="1:12" x14ac:dyDescent="0.25">
      <c r="A1157">
        <v>1156</v>
      </c>
      <c r="B1157" t="s">
        <v>3121</v>
      </c>
      <c r="C1157">
        <v>270</v>
      </c>
      <c r="J1157">
        <v>1156</v>
      </c>
      <c r="K1157" t="s">
        <v>3121</v>
      </c>
      <c r="L1157">
        <v>270</v>
      </c>
    </row>
    <row r="1158" spans="1:12" x14ac:dyDescent="0.25">
      <c r="A1158">
        <v>1157</v>
      </c>
      <c r="B1158" t="s">
        <v>3122</v>
      </c>
      <c r="C1158">
        <v>428</v>
      </c>
      <c r="J1158">
        <v>1157</v>
      </c>
      <c r="K1158" t="s">
        <v>3122</v>
      </c>
      <c r="L1158">
        <v>428</v>
      </c>
    </row>
    <row r="1159" spans="1:12" x14ac:dyDescent="0.25">
      <c r="A1159">
        <v>1158</v>
      </c>
      <c r="B1159" t="s">
        <v>3123</v>
      </c>
      <c r="C1159">
        <v>245</v>
      </c>
      <c r="J1159">
        <v>1158</v>
      </c>
      <c r="K1159" t="s">
        <v>3123</v>
      </c>
      <c r="L1159">
        <v>245</v>
      </c>
    </row>
    <row r="1160" spans="1:12" x14ac:dyDescent="0.25">
      <c r="A1160">
        <v>1159</v>
      </c>
      <c r="B1160" t="s">
        <v>3124</v>
      </c>
      <c r="C1160">
        <v>592</v>
      </c>
      <c r="J1160">
        <v>1159</v>
      </c>
      <c r="K1160" t="s">
        <v>3124</v>
      </c>
      <c r="L1160">
        <v>592</v>
      </c>
    </row>
    <row r="1161" spans="1:12" x14ac:dyDescent="0.25">
      <c r="A1161">
        <v>1160</v>
      </c>
      <c r="B1161" t="s">
        <v>3125</v>
      </c>
      <c r="C1161">
        <v>391</v>
      </c>
      <c r="J1161">
        <v>1160</v>
      </c>
      <c r="K1161" t="s">
        <v>3125</v>
      </c>
      <c r="L1161">
        <v>391</v>
      </c>
    </row>
    <row r="1162" spans="1:12" x14ac:dyDescent="0.25">
      <c r="A1162">
        <v>1161</v>
      </c>
      <c r="B1162" t="s">
        <v>3126</v>
      </c>
      <c r="C1162">
        <v>740</v>
      </c>
      <c r="J1162">
        <v>1161</v>
      </c>
      <c r="K1162" t="s">
        <v>3126</v>
      </c>
      <c r="L1162">
        <v>740</v>
      </c>
    </row>
    <row r="1163" spans="1:12" x14ac:dyDescent="0.25">
      <c r="A1163">
        <v>1162</v>
      </c>
      <c r="B1163" t="s">
        <v>3127</v>
      </c>
      <c r="C1163">
        <v>552</v>
      </c>
      <c r="J1163">
        <v>1162</v>
      </c>
      <c r="K1163" t="s">
        <v>3127</v>
      </c>
      <c r="L1163">
        <v>552</v>
      </c>
    </row>
    <row r="1164" spans="1:12" x14ac:dyDescent="0.25">
      <c r="A1164">
        <v>1163</v>
      </c>
      <c r="B1164" t="s">
        <v>3128</v>
      </c>
      <c r="C1164">
        <v>553</v>
      </c>
      <c r="J1164">
        <v>1163</v>
      </c>
      <c r="K1164" t="s">
        <v>3128</v>
      </c>
      <c r="L1164">
        <v>553</v>
      </c>
    </row>
    <row r="1165" spans="1:12" x14ac:dyDescent="0.25">
      <c r="A1165">
        <v>1164</v>
      </c>
      <c r="B1165" t="s">
        <v>3129</v>
      </c>
      <c r="C1165">
        <v>811</v>
      </c>
      <c r="J1165">
        <v>1164</v>
      </c>
      <c r="K1165" t="s">
        <v>3129</v>
      </c>
      <c r="L1165">
        <v>811</v>
      </c>
    </row>
    <row r="1166" spans="1:12" x14ac:dyDescent="0.25">
      <c r="A1166">
        <v>1165</v>
      </c>
      <c r="B1166" t="s">
        <v>3130</v>
      </c>
      <c r="C1166">
        <v>798</v>
      </c>
      <c r="J1166">
        <v>1165</v>
      </c>
      <c r="K1166" t="s">
        <v>3130</v>
      </c>
      <c r="L1166">
        <v>798</v>
      </c>
    </row>
    <row r="1167" spans="1:12" x14ac:dyDescent="0.25">
      <c r="A1167">
        <v>1166</v>
      </c>
      <c r="B1167" t="s">
        <v>3131</v>
      </c>
      <c r="C1167">
        <v>623</v>
      </c>
      <c r="J1167">
        <v>1166</v>
      </c>
      <c r="K1167" t="s">
        <v>3131</v>
      </c>
      <c r="L1167">
        <v>623</v>
      </c>
    </row>
    <row r="1168" spans="1:12" x14ac:dyDescent="0.25">
      <c r="A1168">
        <v>1167</v>
      </c>
      <c r="B1168" t="s">
        <v>3132</v>
      </c>
      <c r="C1168">
        <v>318</v>
      </c>
      <c r="J1168">
        <v>1167</v>
      </c>
      <c r="K1168" t="s">
        <v>3132</v>
      </c>
      <c r="L1168">
        <v>318</v>
      </c>
    </row>
    <row r="1169" spans="1:12" x14ac:dyDescent="0.25">
      <c r="A1169">
        <v>1168</v>
      </c>
      <c r="B1169" t="s">
        <v>3133</v>
      </c>
      <c r="C1169">
        <v>176</v>
      </c>
      <c r="J1169">
        <v>1168</v>
      </c>
      <c r="K1169" t="s">
        <v>3133</v>
      </c>
      <c r="L1169">
        <v>176</v>
      </c>
    </row>
    <row r="1170" spans="1:12" x14ac:dyDescent="0.25">
      <c r="A1170">
        <v>1169</v>
      </c>
      <c r="B1170" t="s">
        <v>3134</v>
      </c>
      <c r="C1170">
        <v>128</v>
      </c>
      <c r="J1170">
        <v>1169</v>
      </c>
      <c r="K1170" t="s">
        <v>3134</v>
      </c>
      <c r="L1170">
        <v>128</v>
      </c>
    </row>
    <row r="1171" spans="1:12" x14ac:dyDescent="0.25">
      <c r="A1171">
        <v>1170</v>
      </c>
      <c r="B1171" t="s">
        <v>3135</v>
      </c>
      <c r="C1171">
        <v>183</v>
      </c>
      <c r="J1171">
        <v>1170</v>
      </c>
      <c r="K1171" t="s">
        <v>3135</v>
      </c>
      <c r="L1171">
        <v>183</v>
      </c>
    </row>
    <row r="1172" spans="1:12" x14ac:dyDescent="0.25">
      <c r="A1172">
        <v>1171</v>
      </c>
      <c r="B1172" t="s">
        <v>3136</v>
      </c>
      <c r="C1172">
        <v>192</v>
      </c>
      <c r="J1172">
        <v>1171</v>
      </c>
      <c r="K1172" t="s">
        <v>3136</v>
      </c>
      <c r="L1172">
        <v>192</v>
      </c>
    </row>
    <row r="1173" spans="1:12" x14ac:dyDescent="0.25">
      <c r="A1173">
        <v>1172</v>
      </c>
      <c r="B1173" t="s">
        <v>3137</v>
      </c>
      <c r="C1173">
        <v>222</v>
      </c>
      <c r="J1173">
        <v>1172</v>
      </c>
      <c r="K1173" t="s">
        <v>3137</v>
      </c>
      <c r="L1173">
        <v>222</v>
      </c>
    </row>
    <row r="1174" spans="1:12" x14ac:dyDescent="0.25">
      <c r="A1174">
        <v>1173</v>
      </c>
      <c r="B1174" t="s">
        <v>3138</v>
      </c>
      <c r="C1174">
        <v>119</v>
      </c>
      <c r="J1174">
        <v>1173</v>
      </c>
      <c r="K1174" t="s">
        <v>3138</v>
      </c>
      <c r="L1174">
        <v>119</v>
      </c>
    </row>
    <row r="1175" spans="1:12" x14ac:dyDescent="0.25">
      <c r="A1175">
        <v>1174</v>
      </c>
      <c r="B1175" t="s">
        <v>3139</v>
      </c>
      <c r="C1175">
        <v>231</v>
      </c>
      <c r="J1175">
        <v>1174</v>
      </c>
      <c r="K1175" t="s">
        <v>3139</v>
      </c>
      <c r="L1175">
        <v>231</v>
      </c>
    </row>
    <row r="1176" spans="1:12" x14ac:dyDescent="0.25">
      <c r="A1176">
        <v>1175</v>
      </c>
      <c r="B1176" t="s">
        <v>3140</v>
      </c>
      <c r="C1176">
        <v>491</v>
      </c>
      <c r="J1176">
        <v>1175</v>
      </c>
      <c r="K1176" t="s">
        <v>3140</v>
      </c>
      <c r="L1176">
        <v>491</v>
      </c>
    </row>
    <row r="1177" spans="1:12" x14ac:dyDescent="0.25">
      <c r="A1177">
        <v>1176</v>
      </c>
      <c r="B1177" t="s">
        <v>3141</v>
      </c>
      <c r="C1177">
        <v>507</v>
      </c>
      <c r="J1177">
        <v>1176</v>
      </c>
      <c r="K1177" t="s">
        <v>3141</v>
      </c>
      <c r="L1177">
        <v>507</v>
      </c>
    </row>
    <row r="1178" spans="1:12" x14ac:dyDescent="0.25">
      <c r="A1178">
        <v>1177</v>
      </c>
      <c r="B1178" t="s">
        <v>3142</v>
      </c>
      <c r="C1178">
        <v>402</v>
      </c>
      <c r="J1178">
        <v>1177</v>
      </c>
      <c r="K1178" t="s">
        <v>3142</v>
      </c>
      <c r="L1178">
        <v>402</v>
      </c>
    </row>
    <row r="1179" spans="1:12" x14ac:dyDescent="0.25">
      <c r="A1179">
        <v>1178</v>
      </c>
      <c r="B1179" t="s">
        <v>3143</v>
      </c>
      <c r="C1179">
        <v>467</v>
      </c>
      <c r="J1179">
        <v>1178</v>
      </c>
      <c r="K1179" t="s">
        <v>3143</v>
      </c>
      <c r="L1179">
        <v>467</v>
      </c>
    </row>
    <row r="1180" spans="1:12" x14ac:dyDescent="0.25">
      <c r="A1180">
        <v>1179</v>
      </c>
      <c r="B1180" t="s">
        <v>3144</v>
      </c>
      <c r="C1180">
        <v>427</v>
      </c>
      <c r="J1180">
        <v>1179</v>
      </c>
      <c r="K1180" t="s">
        <v>3144</v>
      </c>
      <c r="L1180">
        <v>427</v>
      </c>
    </row>
    <row r="1181" spans="1:12" x14ac:dyDescent="0.25">
      <c r="A1181">
        <v>1180</v>
      </c>
      <c r="B1181" t="s">
        <v>3145</v>
      </c>
      <c r="C1181">
        <v>494</v>
      </c>
      <c r="J1181">
        <v>1180</v>
      </c>
      <c r="K1181" t="s">
        <v>3145</v>
      </c>
      <c r="L1181">
        <v>494</v>
      </c>
    </row>
    <row r="1182" spans="1:12" x14ac:dyDescent="0.25">
      <c r="A1182">
        <v>1181</v>
      </c>
      <c r="B1182" t="s">
        <v>3146</v>
      </c>
      <c r="C1182">
        <v>139</v>
      </c>
      <c r="J1182">
        <v>1181</v>
      </c>
      <c r="K1182" t="s">
        <v>3146</v>
      </c>
      <c r="L1182">
        <v>139</v>
      </c>
    </row>
    <row r="1183" spans="1:12" x14ac:dyDescent="0.25">
      <c r="A1183">
        <v>1182</v>
      </c>
      <c r="B1183" t="s">
        <v>3147</v>
      </c>
      <c r="C1183">
        <v>128</v>
      </c>
      <c r="J1183">
        <v>1182</v>
      </c>
      <c r="K1183" t="s">
        <v>3147</v>
      </c>
      <c r="L1183">
        <v>128</v>
      </c>
    </row>
    <row r="1184" spans="1:12" x14ac:dyDescent="0.25">
      <c r="A1184">
        <v>1183</v>
      </c>
      <c r="B1184" t="s">
        <v>3148</v>
      </c>
      <c r="C1184">
        <v>145</v>
      </c>
      <c r="J1184">
        <v>1183</v>
      </c>
      <c r="K1184" t="s">
        <v>3148</v>
      </c>
      <c r="L1184">
        <v>145</v>
      </c>
    </row>
    <row r="1185" spans="1:12" x14ac:dyDescent="0.25">
      <c r="A1185">
        <v>1184</v>
      </c>
      <c r="B1185" t="s">
        <v>3149</v>
      </c>
      <c r="C1185">
        <v>112</v>
      </c>
      <c r="J1185">
        <v>1184</v>
      </c>
      <c r="K1185" t="s">
        <v>3149</v>
      </c>
      <c r="L1185">
        <v>112</v>
      </c>
    </row>
    <row r="1186" spans="1:12" x14ac:dyDescent="0.25">
      <c r="A1186">
        <v>1185</v>
      </c>
      <c r="B1186" t="s">
        <v>3150</v>
      </c>
      <c r="C1186">
        <v>86</v>
      </c>
      <c r="J1186">
        <v>1185</v>
      </c>
      <c r="K1186" t="s">
        <v>3150</v>
      </c>
      <c r="L1186">
        <v>86</v>
      </c>
    </row>
    <row r="1187" spans="1:12" x14ac:dyDescent="0.25">
      <c r="A1187">
        <v>1186</v>
      </c>
      <c r="B1187" t="s">
        <v>3151</v>
      </c>
      <c r="C1187">
        <v>84</v>
      </c>
      <c r="J1187">
        <v>1186</v>
      </c>
      <c r="K1187" t="s">
        <v>3151</v>
      </c>
      <c r="L1187">
        <v>84</v>
      </c>
    </row>
    <row r="1188" spans="1:12" x14ac:dyDescent="0.25">
      <c r="A1188">
        <v>1187</v>
      </c>
      <c r="B1188" t="s">
        <v>3152</v>
      </c>
      <c r="C1188">
        <v>200</v>
      </c>
      <c r="J1188">
        <v>1187</v>
      </c>
      <c r="K1188" t="s">
        <v>3152</v>
      </c>
      <c r="L1188">
        <v>200</v>
      </c>
    </row>
    <row r="1189" spans="1:12" x14ac:dyDescent="0.25">
      <c r="A1189">
        <v>1188</v>
      </c>
      <c r="B1189" t="s">
        <v>3153</v>
      </c>
      <c r="C1189">
        <v>163</v>
      </c>
      <c r="J1189">
        <v>1188</v>
      </c>
      <c r="K1189" t="s">
        <v>3153</v>
      </c>
      <c r="L1189">
        <v>163</v>
      </c>
    </row>
    <row r="1190" spans="1:12" x14ac:dyDescent="0.25">
      <c r="A1190">
        <v>1189</v>
      </c>
      <c r="B1190" t="s">
        <v>3154</v>
      </c>
      <c r="C1190">
        <v>202</v>
      </c>
      <c r="J1190">
        <v>1189</v>
      </c>
      <c r="K1190" t="s">
        <v>3154</v>
      </c>
      <c r="L1190">
        <v>202</v>
      </c>
    </row>
    <row r="1191" spans="1:12" x14ac:dyDescent="0.25">
      <c r="A1191">
        <v>1190</v>
      </c>
      <c r="B1191" t="s">
        <v>3155</v>
      </c>
      <c r="C1191">
        <v>322</v>
      </c>
      <c r="J1191">
        <v>1190</v>
      </c>
      <c r="K1191" t="s">
        <v>3155</v>
      </c>
      <c r="L1191">
        <v>322</v>
      </c>
    </row>
    <row r="1192" spans="1:12" x14ac:dyDescent="0.25">
      <c r="A1192">
        <v>1191</v>
      </c>
      <c r="B1192" t="s">
        <v>3156</v>
      </c>
      <c r="C1192">
        <v>309</v>
      </c>
      <c r="J1192">
        <v>1191</v>
      </c>
      <c r="K1192" t="s">
        <v>3156</v>
      </c>
      <c r="L1192">
        <v>309</v>
      </c>
    </row>
    <row r="1193" spans="1:12" x14ac:dyDescent="0.25">
      <c r="A1193">
        <v>1192</v>
      </c>
      <c r="B1193" t="s">
        <v>3157</v>
      </c>
      <c r="C1193">
        <v>433</v>
      </c>
      <c r="J1193">
        <v>1192</v>
      </c>
      <c r="K1193" t="s">
        <v>3157</v>
      </c>
      <c r="L1193">
        <v>433</v>
      </c>
    </row>
    <row r="1194" spans="1:12" x14ac:dyDescent="0.25">
      <c r="A1194">
        <v>1193</v>
      </c>
      <c r="B1194" t="s">
        <v>3158</v>
      </c>
      <c r="C1194">
        <v>512</v>
      </c>
      <c r="J1194">
        <v>1193</v>
      </c>
      <c r="K1194" t="s">
        <v>3158</v>
      </c>
      <c r="L1194">
        <v>512</v>
      </c>
    </row>
    <row r="1195" spans="1:12" x14ac:dyDescent="0.25">
      <c r="A1195">
        <v>1194</v>
      </c>
      <c r="B1195" t="s">
        <v>3159</v>
      </c>
      <c r="C1195">
        <v>537</v>
      </c>
      <c r="J1195">
        <v>1194</v>
      </c>
      <c r="K1195" t="s">
        <v>3159</v>
      </c>
      <c r="L1195">
        <v>537</v>
      </c>
    </row>
    <row r="1196" spans="1:12" x14ac:dyDescent="0.25">
      <c r="A1196">
        <v>1195</v>
      </c>
      <c r="B1196" t="s">
        <v>3160</v>
      </c>
      <c r="C1196">
        <v>453</v>
      </c>
      <c r="J1196">
        <v>1195</v>
      </c>
      <c r="K1196" t="s">
        <v>3160</v>
      </c>
      <c r="L1196">
        <v>453</v>
      </c>
    </row>
    <row r="1197" spans="1:12" x14ac:dyDescent="0.25">
      <c r="A1197">
        <v>1196</v>
      </c>
      <c r="B1197" t="s">
        <v>3161</v>
      </c>
      <c r="C1197">
        <v>490</v>
      </c>
      <c r="J1197">
        <v>1196</v>
      </c>
      <c r="K1197" t="s">
        <v>3161</v>
      </c>
      <c r="L1197">
        <v>490</v>
      </c>
    </row>
    <row r="1198" spans="1:12" x14ac:dyDescent="0.25">
      <c r="A1198">
        <v>1197</v>
      </c>
      <c r="B1198" t="s">
        <v>3162</v>
      </c>
      <c r="C1198">
        <v>494</v>
      </c>
      <c r="J1198">
        <v>1197</v>
      </c>
      <c r="K1198" t="s">
        <v>3162</v>
      </c>
      <c r="L1198">
        <v>494</v>
      </c>
    </row>
    <row r="1199" spans="1:12" x14ac:dyDescent="0.25">
      <c r="A1199">
        <v>1198</v>
      </c>
      <c r="B1199" t="s">
        <v>3163</v>
      </c>
      <c r="C1199">
        <v>404</v>
      </c>
      <c r="J1199">
        <v>1198</v>
      </c>
      <c r="K1199" t="s">
        <v>3163</v>
      </c>
      <c r="L1199">
        <v>404</v>
      </c>
    </row>
    <row r="1200" spans="1:12" x14ac:dyDescent="0.25">
      <c r="A1200">
        <v>1199</v>
      </c>
      <c r="B1200" t="s">
        <v>3164</v>
      </c>
      <c r="C1200">
        <v>554</v>
      </c>
      <c r="J1200">
        <v>1199</v>
      </c>
      <c r="K1200" t="s">
        <v>3164</v>
      </c>
      <c r="L1200">
        <v>554</v>
      </c>
    </row>
    <row r="1201" spans="1:12" x14ac:dyDescent="0.25">
      <c r="A1201">
        <v>1200</v>
      </c>
      <c r="B1201" t="s">
        <v>3165</v>
      </c>
      <c r="C1201">
        <v>348</v>
      </c>
      <c r="J1201">
        <v>1200</v>
      </c>
      <c r="K1201" t="s">
        <v>3165</v>
      </c>
      <c r="L1201">
        <v>348</v>
      </c>
    </row>
    <row r="1202" spans="1:12" x14ac:dyDescent="0.25">
      <c r="A1202">
        <v>1201</v>
      </c>
      <c r="B1202" t="s">
        <v>3166</v>
      </c>
      <c r="C1202">
        <v>453</v>
      </c>
      <c r="J1202">
        <v>1201</v>
      </c>
      <c r="K1202" t="s">
        <v>3166</v>
      </c>
      <c r="L1202">
        <v>453</v>
      </c>
    </row>
    <row r="1203" spans="1:12" x14ac:dyDescent="0.25">
      <c r="A1203">
        <v>1202</v>
      </c>
      <c r="B1203" t="s">
        <v>3167</v>
      </c>
      <c r="C1203">
        <v>361</v>
      </c>
      <c r="J1203">
        <v>1202</v>
      </c>
      <c r="K1203" t="s">
        <v>3167</v>
      </c>
      <c r="L1203">
        <v>361</v>
      </c>
    </row>
    <row r="1204" spans="1:12" x14ac:dyDescent="0.25">
      <c r="A1204">
        <v>1203</v>
      </c>
      <c r="B1204" t="s">
        <v>3168</v>
      </c>
      <c r="C1204">
        <v>399</v>
      </c>
      <c r="J1204">
        <v>1203</v>
      </c>
      <c r="K1204" t="s">
        <v>3168</v>
      </c>
      <c r="L1204">
        <v>399</v>
      </c>
    </row>
    <row r="1205" spans="1:12" x14ac:dyDescent="0.25">
      <c r="A1205">
        <v>1204</v>
      </c>
      <c r="B1205" t="s">
        <v>3169</v>
      </c>
      <c r="C1205">
        <v>252</v>
      </c>
      <c r="J1205">
        <v>1204</v>
      </c>
      <c r="K1205" t="s">
        <v>3169</v>
      </c>
      <c r="L1205">
        <v>252</v>
      </c>
    </row>
    <row r="1206" spans="1:12" x14ac:dyDescent="0.25">
      <c r="A1206">
        <v>1205</v>
      </c>
      <c r="B1206" t="s">
        <v>3170</v>
      </c>
      <c r="C1206">
        <v>56</v>
      </c>
      <c r="J1206">
        <v>1205</v>
      </c>
      <c r="K1206" t="s">
        <v>3170</v>
      </c>
      <c r="L1206">
        <v>56</v>
      </c>
    </row>
    <row r="1207" spans="1:12" x14ac:dyDescent="0.25">
      <c r="A1207">
        <v>1206</v>
      </c>
      <c r="B1207" t="s">
        <v>3171</v>
      </c>
      <c r="C1207">
        <v>81</v>
      </c>
      <c r="J1207">
        <v>1206</v>
      </c>
      <c r="K1207" t="s">
        <v>3171</v>
      </c>
      <c r="L1207">
        <v>81</v>
      </c>
    </row>
    <row r="1208" spans="1:12" x14ac:dyDescent="0.25">
      <c r="A1208">
        <v>1207</v>
      </c>
      <c r="B1208" t="s">
        <v>3172</v>
      </c>
      <c r="C1208">
        <v>85</v>
      </c>
      <c r="J1208">
        <v>1207</v>
      </c>
      <c r="K1208" t="s">
        <v>3172</v>
      </c>
      <c r="L1208">
        <v>85</v>
      </c>
    </row>
    <row r="1209" spans="1:12" x14ac:dyDescent="0.25">
      <c r="A1209">
        <v>1208</v>
      </c>
      <c r="B1209" t="s">
        <v>3173</v>
      </c>
      <c r="C1209">
        <v>63</v>
      </c>
      <c r="J1209">
        <v>1208</v>
      </c>
      <c r="K1209" t="s">
        <v>3173</v>
      </c>
      <c r="L1209">
        <v>63</v>
      </c>
    </row>
    <row r="1210" spans="1:12" x14ac:dyDescent="0.25">
      <c r="A1210">
        <v>1209</v>
      </c>
      <c r="B1210" t="s">
        <v>3174</v>
      </c>
      <c r="C1210">
        <v>102</v>
      </c>
      <c r="J1210">
        <v>1209</v>
      </c>
      <c r="K1210" t="s">
        <v>3174</v>
      </c>
      <c r="L1210">
        <v>102</v>
      </c>
    </row>
    <row r="1211" spans="1:12" x14ac:dyDescent="0.25">
      <c r="A1211">
        <v>1210</v>
      </c>
      <c r="B1211" t="s">
        <v>3175</v>
      </c>
      <c r="C1211">
        <v>65</v>
      </c>
      <c r="J1211">
        <v>1210</v>
      </c>
      <c r="K1211" t="s">
        <v>3175</v>
      </c>
      <c r="L1211">
        <v>65</v>
      </c>
    </row>
    <row r="1212" spans="1:12" x14ac:dyDescent="0.25">
      <c r="A1212">
        <v>1211</v>
      </c>
      <c r="B1212" t="s">
        <v>3176</v>
      </c>
      <c r="C1212">
        <v>105</v>
      </c>
      <c r="J1212">
        <v>1211</v>
      </c>
      <c r="K1212" t="s">
        <v>3176</v>
      </c>
      <c r="L1212">
        <v>105</v>
      </c>
    </row>
    <row r="1213" spans="1:12" x14ac:dyDescent="0.25">
      <c r="A1213">
        <v>1212</v>
      </c>
      <c r="B1213" t="s">
        <v>3177</v>
      </c>
      <c r="C1213">
        <v>91</v>
      </c>
      <c r="J1213">
        <v>1212</v>
      </c>
      <c r="K1213" t="s">
        <v>3177</v>
      </c>
      <c r="L1213">
        <v>91</v>
      </c>
    </row>
    <row r="1214" spans="1:12" x14ac:dyDescent="0.25">
      <c r="A1214">
        <v>1213</v>
      </c>
      <c r="B1214" t="s">
        <v>3178</v>
      </c>
      <c r="C1214">
        <v>104</v>
      </c>
      <c r="J1214">
        <v>1213</v>
      </c>
      <c r="K1214" t="s">
        <v>3178</v>
      </c>
      <c r="L1214">
        <v>104</v>
      </c>
    </row>
    <row r="1215" spans="1:12" x14ac:dyDescent="0.25">
      <c r="A1215">
        <v>1214</v>
      </c>
      <c r="B1215" t="s">
        <v>3179</v>
      </c>
      <c r="C1215">
        <v>45</v>
      </c>
      <c r="J1215">
        <v>1214</v>
      </c>
      <c r="K1215" t="s">
        <v>3179</v>
      </c>
      <c r="L1215">
        <v>45</v>
      </c>
    </row>
    <row r="1216" spans="1:12" x14ac:dyDescent="0.25">
      <c r="A1216">
        <v>1215</v>
      </c>
      <c r="B1216" t="s">
        <v>3180</v>
      </c>
      <c r="C1216">
        <v>59</v>
      </c>
      <c r="J1216">
        <v>1215</v>
      </c>
      <c r="K1216" t="s">
        <v>3180</v>
      </c>
      <c r="L1216">
        <v>59</v>
      </c>
    </row>
    <row r="1217" spans="1:12" x14ac:dyDescent="0.25">
      <c r="A1217">
        <v>1216</v>
      </c>
      <c r="B1217" t="s">
        <v>3181</v>
      </c>
      <c r="C1217">
        <v>55</v>
      </c>
      <c r="J1217">
        <v>1216</v>
      </c>
      <c r="K1217" t="s">
        <v>3181</v>
      </c>
      <c r="L1217">
        <v>55</v>
      </c>
    </row>
    <row r="1218" spans="1:12" x14ac:dyDescent="0.25">
      <c r="A1218">
        <v>1217</v>
      </c>
      <c r="B1218" t="s">
        <v>3182</v>
      </c>
      <c r="C1218">
        <v>66</v>
      </c>
      <c r="J1218">
        <v>1217</v>
      </c>
      <c r="K1218" t="s">
        <v>3182</v>
      </c>
      <c r="L1218">
        <v>66</v>
      </c>
    </row>
    <row r="1219" spans="1:12" x14ac:dyDescent="0.25">
      <c r="A1219">
        <v>1218</v>
      </c>
      <c r="B1219" t="s">
        <v>3183</v>
      </c>
      <c r="C1219">
        <v>90</v>
      </c>
      <c r="J1219">
        <v>1218</v>
      </c>
      <c r="K1219" t="s">
        <v>3183</v>
      </c>
      <c r="L1219">
        <v>90</v>
      </c>
    </row>
    <row r="1220" spans="1:12" x14ac:dyDescent="0.25">
      <c r="A1220">
        <v>1219</v>
      </c>
      <c r="B1220" t="s">
        <v>3184</v>
      </c>
      <c r="C1220">
        <v>124</v>
      </c>
      <c r="J1220">
        <v>1219</v>
      </c>
      <c r="K1220" t="s">
        <v>3184</v>
      </c>
      <c r="L1220">
        <v>124</v>
      </c>
    </row>
    <row r="1221" spans="1:12" x14ac:dyDescent="0.25">
      <c r="A1221">
        <v>1220</v>
      </c>
      <c r="B1221" t="s">
        <v>3185</v>
      </c>
      <c r="C1221">
        <v>89</v>
      </c>
      <c r="J1221">
        <v>1220</v>
      </c>
      <c r="K1221" t="s">
        <v>3185</v>
      </c>
      <c r="L1221">
        <v>89</v>
      </c>
    </row>
    <row r="1222" spans="1:12" x14ac:dyDescent="0.25">
      <c r="A1222">
        <v>1221</v>
      </c>
      <c r="B1222" t="s">
        <v>3186</v>
      </c>
      <c r="C1222">
        <v>107</v>
      </c>
      <c r="J1222">
        <v>1221</v>
      </c>
      <c r="K1222" t="s">
        <v>3186</v>
      </c>
      <c r="L1222">
        <v>107</v>
      </c>
    </row>
    <row r="1223" spans="1:12" x14ac:dyDescent="0.25">
      <c r="A1223">
        <v>1222</v>
      </c>
      <c r="B1223" t="s">
        <v>3187</v>
      </c>
      <c r="C1223">
        <v>85</v>
      </c>
      <c r="J1223">
        <v>1222</v>
      </c>
      <c r="K1223" t="s">
        <v>3187</v>
      </c>
      <c r="L1223">
        <v>85</v>
      </c>
    </row>
    <row r="1224" spans="1:12" x14ac:dyDescent="0.25">
      <c r="A1224">
        <v>1223</v>
      </c>
      <c r="B1224" t="s">
        <v>3188</v>
      </c>
      <c r="C1224">
        <v>353</v>
      </c>
      <c r="J1224">
        <v>1223</v>
      </c>
      <c r="K1224" t="s">
        <v>3188</v>
      </c>
      <c r="L1224">
        <v>353</v>
      </c>
    </row>
    <row r="1225" spans="1:12" x14ac:dyDescent="0.25">
      <c r="A1225">
        <v>1224</v>
      </c>
      <c r="B1225" t="s">
        <v>3189</v>
      </c>
      <c r="C1225">
        <v>89</v>
      </c>
      <c r="J1225">
        <v>1224</v>
      </c>
      <c r="K1225" t="s">
        <v>3189</v>
      </c>
      <c r="L1225">
        <v>89</v>
      </c>
    </row>
    <row r="1226" spans="1:12" x14ac:dyDescent="0.25">
      <c r="A1226">
        <v>1225</v>
      </c>
      <c r="B1226" t="s">
        <v>3190</v>
      </c>
      <c r="C1226">
        <v>87</v>
      </c>
      <c r="J1226">
        <v>1225</v>
      </c>
      <c r="K1226" t="s">
        <v>3190</v>
      </c>
      <c r="L1226">
        <v>87</v>
      </c>
    </row>
    <row r="1227" spans="1:12" x14ac:dyDescent="0.25">
      <c r="A1227">
        <v>1226</v>
      </c>
      <c r="B1227" t="s">
        <v>3191</v>
      </c>
      <c r="C1227">
        <v>184</v>
      </c>
      <c r="J1227">
        <v>1226</v>
      </c>
      <c r="K1227" t="s">
        <v>3191</v>
      </c>
      <c r="L1227">
        <v>184</v>
      </c>
    </row>
    <row r="1228" spans="1:12" x14ac:dyDescent="0.25">
      <c r="A1228">
        <v>1227</v>
      </c>
      <c r="B1228" t="s">
        <v>3192</v>
      </c>
      <c r="C1228">
        <v>95</v>
      </c>
      <c r="J1228">
        <v>1227</v>
      </c>
      <c r="K1228" t="s">
        <v>3192</v>
      </c>
      <c r="L1228">
        <v>95</v>
      </c>
    </row>
    <row r="1229" spans="1:12" x14ac:dyDescent="0.25">
      <c r="A1229">
        <v>1228</v>
      </c>
      <c r="B1229" t="s">
        <v>3193</v>
      </c>
      <c r="C1229">
        <v>98</v>
      </c>
      <c r="J1229">
        <v>1228</v>
      </c>
      <c r="K1229" t="s">
        <v>3193</v>
      </c>
      <c r="L1229">
        <v>98</v>
      </c>
    </row>
    <row r="1230" spans="1:12" x14ac:dyDescent="0.25">
      <c r="A1230">
        <v>1229</v>
      </c>
      <c r="B1230" t="s">
        <v>3194</v>
      </c>
      <c r="C1230">
        <v>179</v>
      </c>
      <c r="J1230">
        <v>1229</v>
      </c>
      <c r="K1230" t="s">
        <v>3194</v>
      </c>
      <c r="L1230">
        <v>179</v>
      </c>
    </row>
    <row r="1231" spans="1:12" x14ac:dyDescent="0.25">
      <c r="A1231">
        <v>1230</v>
      </c>
      <c r="B1231" t="s">
        <v>3195</v>
      </c>
      <c r="C1231">
        <v>348</v>
      </c>
      <c r="J1231">
        <v>1230</v>
      </c>
      <c r="K1231" t="s">
        <v>3195</v>
      </c>
      <c r="L1231">
        <v>348</v>
      </c>
    </row>
    <row r="1232" spans="1:12" x14ac:dyDescent="0.25">
      <c r="A1232">
        <v>1231</v>
      </c>
      <c r="B1232" t="s">
        <v>3196</v>
      </c>
      <c r="C1232">
        <v>368</v>
      </c>
      <c r="J1232">
        <v>1231</v>
      </c>
      <c r="K1232" t="s">
        <v>3196</v>
      </c>
      <c r="L1232">
        <v>368</v>
      </c>
    </row>
    <row r="1233" spans="1:12" x14ac:dyDescent="0.25">
      <c r="A1233">
        <v>1232</v>
      </c>
      <c r="B1233" t="s">
        <v>3197</v>
      </c>
      <c r="C1233">
        <v>531</v>
      </c>
      <c r="J1233">
        <v>1232</v>
      </c>
      <c r="K1233" t="s">
        <v>3197</v>
      </c>
      <c r="L1233">
        <v>531</v>
      </c>
    </row>
    <row r="1234" spans="1:12" x14ac:dyDescent="0.25">
      <c r="A1234">
        <v>1233</v>
      </c>
      <c r="B1234" t="s">
        <v>3198</v>
      </c>
      <c r="C1234">
        <v>664</v>
      </c>
      <c r="J1234">
        <v>1233</v>
      </c>
      <c r="K1234" t="s">
        <v>3198</v>
      </c>
      <c r="L1234">
        <v>664</v>
      </c>
    </row>
    <row r="1235" spans="1:12" x14ac:dyDescent="0.25">
      <c r="A1235">
        <v>1234</v>
      </c>
      <c r="B1235" t="s">
        <v>3199</v>
      </c>
      <c r="C1235">
        <v>541</v>
      </c>
      <c r="J1235">
        <v>1234</v>
      </c>
      <c r="K1235" t="s">
        <v>3199</v>
      </c>
      <c r="L1235">
        <v>541</v>
      </c>
    </row>
    <row r="1236" spans="1:12" x14ac:dyDescent="0.25">
      <c r="A1236">
        <v>1235</v>
      </c>
      <c r="B1236" t="s">
        <v>3200</v>
      </c>
      <c r="C1236">
        <v>897</v>
      </c>
      <c r="J1236">
        <v>1235</v>
      </c>
      <c r="K1236" t="s">
        <v>3200</v>
      </c>
      <c r="L1236">
        <v>897</v>
      </c>
    </row>
    <row r="1237" spans="1:12" x14ac:dyDescent="0.25">
      <c r="A1237">
        <v>1236</v>
      </c>
      <c r="B1237" t="s">
        <v>3201</v>
      </c>
      <c r="C1237">
        <v>903</v>
      </c>
      <c r="J1237">
        <v>1236</v>
      </c>
      <c r="K1237" t="s">
        <v>3201</v>
      </c>
      <c r="L1237">
        <v>903</v>
      </c>
    </row>
    <row r="1238" spans="1:12" x14ac:dyDescent="0.25">
      <c r="A1238">
        <v>1237</v>
      </c>
      <c r="B1238" t="s">
        <v>3202</v>
      </c>
      <c r="C1238">
        <v>371</v>
      </c>
      <c r="J1238">
        <v>1237</v>
      </c>
      <c r="K1238" t="s">
        <v>3202</v>
      </c>
      <c r="L1238">
        <v>371</v>
      </c>
    </row>
    <row r="1239" spans="1:12" x14ac:dyDescent="0.25">
      <c r="A1239">
        <v>1238</v>
      </c>
      <c r="B1239" t="s">
        <v>3203</v>
      </c>
      <c r="C1239">
        <v>334</v>
      </c>
      <c r="J1239">
        <v>1238</v>
      </c>
      <c r="K1239" t="s">
        <v>3203</v>
      </c>
      <c r="L1239">
        <v>334</v>
      </c>
    </row>
    <row r="1240" spans="1:12" x14ac:dyDescent="0.25">
      <c r="A1240">
        <v>1239</v>
      </c>
      <c r="B1240" t="s">
        <v>3204</v>
      </c>
      <c r="C1240">
        <v>105</v>
      </c>
      <c r="J1240">
        <v>1239</v>
      </c>
      <c r="K1240" t="s">
        <v>3204</v>
      </c>
      <c r="L1240">
        <v>105</v>
      </c>
    </row>
    <row r="1241" spans="1:12" x14ac:dyDescent="0.25">
      <c r="A1241">
        <v>1240</v>
      </c>
      <c r="B1241" t="s">
        <v>3205</v>
      </c>
      <c r="C1241">
        <v>85</v>
      </c>
      <c r="J1241">
        <v>1240</v>
      </c>
      <c r="K1241" t="s">
        <v>3205</v>
      </c>
      <c r="L1241">
        <v>85</v>
      </c>
    </row>
    <row r="1242" spans="1:12" x14ac:dyDescent="0.25">
      <c r="A1242">
        <v>1241</v>
      </c>
      <c r="B1242" t="s">
        <v>3206</v>
      </c>
      <c r="C1242">
        <v>90</v>
      </c>
      <c r="J1242">
        <v>1241</v>
      </c>
      <c r="K1242" t="s">
        <v>3206</v>
      </c>
      <c r="L1242">
        <v>90</v>
      </c>
    </row>
    <row r="1243" spans="1:12" x14ac:dyDescent="0.25">
      <c r="A1243">
        <v>1242</v>
      </c>
      <c r="B1243" t="s">
        <v>3207</v>
      </c>
      <c r="C1243">
        <v>219</v>
      </c>
      <c r="J1243">
        <v>1242</v>
      </c>
      <c r="K1243" t="s">
        <v>3207</v>
      </c>
      <c r="L1243">
        <v>219</v>
      </c>
    </row>
    <row r="1244" spans="1:12" x14ac:dyDescent="0.25">
      <c r="A1244">
        <v>1243</v>
      </c>
      <c r="B1244" t="s">
        <v>3208</v>
      </c>
      <c r="C1244">
        <v>210</v>
      </c>
      <c r="J1244">
        <v>1243</v>
      </c>
      <c r="K1244" t="s">
        <v>3208</v>
      </c>
      <c r="L1244">
        <v>210</v>
      </c>
    </row>
    <row r="1245" spans="1:12" x14ac:dyDescent="0.25">
      <c r="A1245">
        <v>1244</v>
      </c>
      <c r="B1245" t="s">
        <v>3209</v>
      </c>
      <c r="C1245">
        <v>331</v>
      </c>
      <c r="J1245">
        <v>1244</v>
      </c>
      <c r="K1245" t="s">
        <v>3209</v>
      </c>
      <c r="L1245">
        <v>331</v>
      </c>
    </row>
    <row r="1246" spans="1:12" x14ac:dyDescent="0.25">
      <c r="A1246">
        <v>1245</v>
      </c>
      <c r="B1246" t="s">
        <v>3210</v>
      </c>
      <c r="C1246">
        <v>622</v>
      </c>
      <c r="J1246">
        <v>1245</v>
      </c>
      <c r="K1246" t="s">
        <v>3210</v>
      </c>
      <c r="L1246">
        <v>622</v>
      </c>
    </row>
    <row r="1247" spans="1:12" x14ac:dyDescent="0.25">
      <c r="A1247">
        <v>1246</v>
      </c>
      <c r="B1247" t="s">
        <v>3211</v>
      </c>
      <c r="C1247">
        <v>768</v>
      </c>
      <c r="J1247">
        <v>1246</v>
      </c>
      <c r="K1247" t="s">
        <v>3211</v>
      </c>
      <c r="L1247">
        <v>768</v>
      </c>
    </row>
    <row r="1248" spans="1:12" x14ac:dyDescent="0.25">
      <c r="A1248">
        <v>1247</v>
      </c>
      <c r="B1248" t="s">
        <v>3212</v>
      </c>
      <c r="C1248">
        <v>853</v>
      </c>
      <c r="J1248">
        <v>1247</v>
      </c>
      <c r="K1248" t="s">
        <v>3212</v>
      </c>
      <c r="L1248">
        <v>853</v>
      </c>
    </row>
    <row r="1249" spans="1:12" x14ac:dyDescent="0.25">
      <c r="A1249">
        <v>1248</v>
      </c>
      <c r="B1249" t="s">
        <v>3213</v>
      </c>
      <c r="C1249">
        <v>626</v>
      </c>
      <c r="J1249">
        <v>1248</v>
      </c>
      <c r="K1249" t="s">
        <v>3213</v>
      </c>
      <c r="L1249">
        <v>626</v>
      </c>
    </row>
    <row r="1250" spans="1:12" x14ac:dyDescent="0.25">
      <c r="A1250">
        <v>1249</v>
      </c>
      <c r="B1250" t="s">
        <v>3214</v>
      </c>
      <c r="C1250">
        <v>543</v>
      </c>
      <c r="J1250">
        <v>1249</v>
      </c>
      <c r="K1250" t="s">
        <v>3214</v>
      </c>
      <c r="L1250">
        <v>543</v>
      </c>
    </row>
    <row r="1251" spans="1:12" x14ac:dyDescent="0.25">
      <c r="A1251">
        <v>1250</v>
      </c>
      <c r="B1251" t="s">
        <v>3215</v>
      </c>
      <c r="C1251">
        <v>126</v>
      </c>
      <c r="J1251">
        <v>1250</v>
      </c>
      <c r="K1251" t="s">
        <v>3215</v>
      </c>
      <c r="L1251">
        <v>126</v>
      </c>
    </row>
    <row r="1252" spans="1:12" x14ac:dyDescent="0.25">
      <c r="A1252">
        <v>1251</v>
      </c>
      <c r="B1252" t="s">
        <v>3216</v>
      </c>
      <c r="C1252">
        <v>78</v>
      </c>
      <c r="J1252">
        <v>1251</v>
      </c>
      <c r="K1252" t="s">
        <v>3216</v>
      </c>
      <c r="L1252">
        <v>78</v>
      </c>
    </row>
    <row r="1253" spans="1:12" x14ac:dyDescent="0.25">
      <c r="A1253">
        <v>1252</v>
      </c>
      <c r="B1253" t="s">
        <v>3217</v>
      </c>
      <c r="C1253">
        <v>39</v>
      </c>
      <c r="J1253">
        <v>1252</v>
      </c>
      <c r="K1253" t="s">
        <v>3217</v>
      </c>
      <c r="L1253">
        <v>39</v>
      </c>
    </row>
    <row r="1254" spans="1:12" x14ac:dyDescent="0.25">
      <c r="A1254">
        <v>1253</v>
      </c>
      <c r="B1254" t="s">
        <v>3218</v>
      </c>
      <c r="C1254">
        <v>133</v>
      </c>
      <c r="J1254">
        <v>1253</v>
      </c>
      <c r="K1254" t="s">
        <v>3218</v>
      </c>
      <c r="L1254">
        <v>133</v>
      </c>
    </row>
    <row r="1255" spans="1:12" x14ac:dyDescent="0.25">
      <c r="A1255">
        <v>1254</v>
      </c>
      <c r="B1255" t="s">
        <v>3219</v>
      </c>
      <c r="C1255">
        <v>465</v>
      </c>
      <c r="J1255">
        <v>1254</v>
      </c>
      <c r="K1255" t="s">
        <v>3219</v>
      </c>
      <c r="L1255">
        <v>465</v>
      </c>
    </row>
    <row r="1256" spans="1:12" x14ac:dyDescent="0.25">
      <c r="A1256">
        <v>1255</v>
      </c>
      <c r="B1256" t="s">
        <v>3220</v>
      </c>
      <c r="C1256">
        <v>199</v>
      </c>
      <c r="J1256">
        <v>1255</v>
      </c>
      <c r="K1256" t="s">
        <v>3220</v>
      </c>
      <c r="L1256">
        <v>199</v>
      </c>
    </row>
    <row r="1257" spans="1:12" x14ac:dyDescent="0.25">
      <c r="A1257">
        <v>1256</v>
      </c>
      <c r="B1257" t="s">
        <v>3221</v>
      </c>
      <c r="C1257">
        <v>366</v>
      </c>
      <c r="J1257">
        <v>1256</v>
      </c>
      <c r="K1257" t="s">
        <v>3221</v>
      </c>
      <c r="L1257">
        <v>366</v>
      </c>
    </row>
    <row r="1258" spans="1:12" x14ac:dyDescent="0.25">
      <c r="A1258">
        <v>1257</v>
      </c>
      <c r="B1258" t="s">
        <v>3222</v>
      </c>
      <c r="C1258">
        <v>339</v>
      </c>
      <c r="J1258">
        <v>1257</v>
      </c>
      <c r="K1258" t="s">
        <v>3222</v>
      </c>
      <c r="L1258">
        <v>339</v>
      </c>
    </row>
    <row r="1259" spans="1:12" x14ac:dyDescent="0.25">
      <c r="A1259">
        <v>1258</v>
      </c>
      <c r="B1259" t="s">
        <v>3223</v>
      </c>
      <c r="C1259">
        <v>491</v>
      </c>
      <c r="J1259">
        <v>1258</v>
      </c>
      <c r="K1259" t="s">
        <v>3223</v>
      </c>
      <c r="L1259">
        <v>491</v>
      </c>
    </row>
    <row r="1260" spans="1:12" x14ac:dyDescent="0.25">
      <c r="A1260">
        <v>1259</v>
      </c>
      <c r="B1260" t="s">
        <v>3224</v>
      </c>
      <c r="C1260">
        <v>493</v>
      </c>
      <c r="J1260">
        <v>1259</v>
      </c>
      <c r="K1260" t="s">
        <v>3224</v>
      </c>
      <c r="L1260">
        <v>493</v>
      </c>
    </row>
    <row r="1261" spans="1:12" x14ac:dyDescent="0.25">
      <c r="A1261">
        <v>1260</v>
      </c>
      <c r="B1261" t="s">
        <v>3225</v>
      </c>
      <c r="C1261">
        <v>418</v>
      </c>
      <c r="J1261">
        <v>1260</v>
      </c>
      <c r="K1261" t="s">
        <v>3225</v>
      </c>
      <c r="L1261">
        <v>418</v>
      </c>
    </row>
    <row r="1262" spans="1:12" x14ac:dyDescent="0.25">
      <c r="A1262">
        <v>1261</v>
      </c>
      <c r="B1262" t="s">
        <v>3226</v>
      </c>
      <c r="C1262">
        <v>352</v>
      </c>
      <c r="J1262">
        <v>1261</v>
      </c>
      <c r="K1262" t="s">
        <v>3226</v>
      </c>
      <c r="L1262">
        <v>352</v>
      </c>
    </row>
    <row r="1263" spans="1:12" x14ac:dyDescent="0.25">
      <c r="A1263">
        <v>1262</v>
      </c>
      <c r="B1263" t="s">
        <v>3227</v>
      </c>
      <c r="C1263">
        <v>303</v>
      </c>
      <c r="J1263">
        <v>1262</v>
      </c>
      <c r="K1263" t="s">
        <v>3227</v>
      </c>
      <c r="L1263">
        <v>303</v>
      </c>
    </row>
    <row r="1264" spans="1:12" x14ac:dyDescent="0.25">
      <c r="A1264">
        <v>1263</v>
      </c>
      <c r="B1264" t="s">
        <v>3228</v>
      </c>
      <c r="C1264">
        <v>132</v>
      </c>
      <c r="J1264">
        <v>1263</v>
      </c>
      <c r="K1264" t="s">
        <v>3228</v>
      </c>
      <c r="L1264">
        <v>132</v>
      </c>
    </row>
    <row r="1265" spans="1:12" x14ac:dyDescent="0.25">
      <c r="A1265">
        <v>1264</v>
      </c>
      <c r="B1265" t="s">
        <v>3229</v>
      </c>
      <c r="C1265">
        <v>284</v>
      </c>
      <c r="J1265">
        <v>1264</v>
      </c>
      <c r="K1265" t="s">
        <v>3229</v>
      </c>
      <c r="L1265">
        <v>284</v>
      </c>
    </row>
    <row r="1266" spans="1:12" x14ac:dyDescent="0.25">
      <c r="A1266">
        <v>1265</v>
      </c>
      <c r="B1266" t="s">
        <v>3230</v>
      </c>
      <c r="C1266">
        <v>99</v>
      </c>
      <c r="J1266">
        <v>1265</v>
      </c>
      <c r="K1266" t="s">
        <v>3230</v>
      </c>
      <c r="L1266">
        <v>99</v>
      </c>
    </row>
    <row r="1267" spans="1:12" x14ac:dyDescent="0.25">
      <c r="A1267">
        <v>1266</v>
      </c>
      <c r="B1267" t="s">
        <v>3231</v>
      </c>
      <c r="C1267">
        <v>68</v>
      </c>
      <c r="J1267">
        <v>1266</v>
      </c>
      <c r="K1267" t="s">
        <v>3231</v>
      </c>
      <c r="L1267">
        <v>68</v>
      </c>
    </row>
    <row r="1268" spans="1:12" x14ac:dyDescent="0.25">
      <c r="A1268">
        <v>1267</v>
      </c>
      <c r="B1268" t="s">
        <v>3232</v>
      </c>
      <c r="C1268">
        <v>66</v>
      </c>
      <c r="J1268">
        <v>1267</v>
      </c>
      <c r="K1268" t="s">
        <v>3232</v>
      </c>
      <c r="L1268">
        <v>66</v>
      </c>
    </row>
    <row r="1269" spans="1:12" x14ac:dyDescent="0.25">
      <c r="A1269">
        <v>1268</v>
      </c>
      <c r="B1269" t="s">
        <v>3233</v>
      </c>
      <c r="C1269">
        <v>75</v>
      </c>
      <c r="J1269">
        <v>1268</v>
      </c>
      <c r="K1269" t="s">
        <v>3233</v>
      </c>
      <c r="L1269">
        <v>75</v>
      </c>
    </row>
    <row r="1270" spans="1:12" x14ac:dyDescent="0.25">
      <c r="A1270">
        <v>1269</v>
      </c>
      <c r="B1270" t="s">
        <v>3234</v>
      </c>
      <c r="C1270">
        <v>89</v>
      </c>
      <c r="J1270">
        <v>1269</v>
      </c>
      <c r="K1270" t="s">
        <v>3234</v>
      </c>
      <c r="L1270">
        <v>89</v>
      </c>
    </row>
    <row r="1271" spans="1:12" x14ac:dyDescent="0.25">
      <c r="A1271">
        <v>1270</v>
      </c>
      <c r="B1271" t="s">
        <v>3235</v>
      </c>
      <c r="C1271">
        <v>114</v>
      </c>
      <c r="J1271">
        <v>1270</v>
      </c>
      <c r="K1271" t="s">
        <v>3235</v>
      </c>
      <c r="L1271">
        <v>114</v>
      </c>
    </row>
    <row r="1272" spans="1:12" x14ac:dyDescent="0.25">
      <c r="A1272">
        <v>1271</v>
      </c>
      <c r="B1272" t="s">
        <v>3236</v>
      </c>
      <c r="C1272">
        <v>127</v>
      </c>
      <c r="J1272">
        <v>1271</v>
      </c>
      <c r="K1272" t="s">
        <v>3236</v>
      </c>
      <c r="L1272">
        <v>127</v>
      </c>
    </row>
    <row r="1273" spans="1:12" x14ac:dyDescent="0.25">
      <c r="A1273">
        <v>1272</v>
      </c>
      <c r="B1273" t="s">
        <v>3237</v>
      </c>
      <c r="C1273">
        <v>170</v>
      </c>
      <c r="J1273">
        <v>1272</v>
      </c>
      <c r="K1273" t="s">
        <v>3237</v>
      </c>
      <c r="L1273">
        <v>170</v>
      </c>
    </row>
    <row r="1274" spans="1:12" x14ac:dyDescent="0.25">
      <c r="A1274">
        <v>1273</v>
      </c>
      <c r="B1274" t="s">
        <v>3238</v>
      </c>
      <c r="C1274">
        <v>76</v>
      </c>
      <c r="J1274">
        <v>1273</v>
      </c>
      <c r="K1274" t="s">
        <v>3238</v>
      </c>
      <c r="L1274">
        <v>76</v>
      </c>
    </row>
    <row r="1275" spans="1:12" x14ac:dyDescent="0.25">
      <c r="A1275">
        <v>1274</v>
      </c>
      <c r="B1275" t="s">
        <v>3239</v>
      </c>
      <c r="C1275">
        <v>110</v>
      </c>
      <c r="J1275">
        <v>1274</v>
      </c>
      <c r="K1275" t="s">
        <v>3239</v>
      </c>
      <c r="L1275">
        <v>110</v>
      </c>
    </row>
    <row r="1276" spans="1:12" x14ac:dyDescent="0.25">
      <c r="A1276">
        <v>1275</v>
      </c>
      <c r="B1276" t="s">
        <v>3240</v>
      </c>
      <c r="C1276">
        <v>191</v>
      </c>
      <c r="J1276">
        <v>1275</v>
      </c>
      <c r="K1276" t="s">
        <v>3240</v>
      </c>
      <c r="L1276">
        <v>191</v>
      </c>
    </row>
    <row r="1277" spans="1:12" x14ac:dyDescent="0.25">
      <c r="A1277">
        <v>1276</v>
      </c>
      <c r="B1277" t="s">
        <v>3241</v>
      </c>
      <c r="C1277">
        <v>261</v>
      </c>
      <c r="J1277">
        <v>1276</v>
      </c>
      <c r="K1277" t="s">
        <v>3241</v>
      </c>
      <c r="L1277">
        <v>261</v>
      </c>
    </row>
    <row r="1278" spans="1:12" x14ac:dyDescent="0.25">
      <c r="A1278">
        <v>1277</v>
      </c>
      <c r="B1278" t="s">
        <v>3242</v>
      </c>
      <c r="C1278">
        <v>167</v>
      </c>
      <c r="J1278">
        <v>1277</v>
      </c>
      <c r="K1278" t="s">
        <v>3242</v>
      </c>
      <c r="L1278">
        <v>167</v>
      </c>
    </row>
    <row r="1279" spans="1:12" x14ac:dyDescent="0.25">
      <c r="A1279">
        <v>1278</v>
      </c>
      <c r="B1279" t="s">
        <v>3243</v>
      </c>
      <c r="C1279">
        <v>217</v>
      </c>
      <c r="J1279">
        <v>1278</v>
      </c>
      <c r="K1279" t="s">
        <v>3243</v>
      </c>
      <c r="L1279">
        <v>217</v>
      </c>
    </row>
    <row r="1280" spans="1:12" x14ac:dyDescent="0.25">
      <c r="A1280">
        <v>1279</v>
      </c>
      <c r="B1280" t="s">
        <v>3244</v>
      </c>
      <c r="C1280">
        <v>199</v>
      </c>
      <c r="J1280">
        <v>1279</v>
      </c>
      <c r="K1280" t="s">
        <v>3244</v>
      </c>
      <c r="L1280">
        <v>199</v>
      </c>
    </row>
    <row r="1281" spans="1:12" x14ac:dyDescent="0.25">
      <c r="A1281">
        <v>1280</v>
      </c>
      <c r="B1281" t="s">
        <v>3245</v>
      </c>
      <c r="C1281">
        <v>137</v>
      </c>
      <c r="J1281">
        <v>1280</v>
      </c>
      <c r="K1281" t="s">
        <v>3245</v>
      </c>
      <c r="L1281">
        <v>137</v>
      </c>
    </row>
    <row r="1282" spans="1:12" x14ac:dyDescent="0.25">
      <c r="A1282">
        <v>1281</v>
      </c>
      <c r="B1282" t="s">
        <v>3246</v>
      </c>
      <c r="C1282">
        <v>466</v>
      </c>
      <c r="J1282">
        <v>1281</v>
      </c>
      <c r="K1282" t="s">
        <v>3246</v>
      </c>
      <c r="L1282">
        <v>466</v>
      </c>
    </row>
    <row r="1283" spans="1:12" x14ac:dyDescent="0.25">
      <c r="A1283">
        <v>1282</v>
      </c>
      <c r="B1283" t="s">
        <v>3247</v>
      </c>
      <c r="C1283">
        <v>603</v>
      </c>
      <c r="J1283">
        <v>1282</v>
      </c>
      <c r="K1283" t="s">
        <v>3247</v>
      </c>
      <c r="L1283">
        <v>603</v>
      </c>
    </row>
    <row r="1284" spans="1:12" x14ac:dyDescent="0.25">
      <c r="A1284">
        <v>1283</v>
      </c>
      <c r="B1284" t="s">
        <v>3248</v>
      </c>
      <c r="C1284">
        <v>956</v>
      </c>
      <c r="J1284">
        <v>1283</v>
      </c>
      <c r="K1284" t="s">
        <v>3248</v>
      </c>
      <c r="L1284">
        <v>956</v>
      </c>
    </row>
    <row r="1285" spans="1:12" x14ac:dyDescent="0.25">
      <c r="A1285">
        <v>1284</v>
      </c>
      <c r="B1285" t="s">
        <v>3249</v>
      </c>
      <c r="C1285">
        <v>465</v>
      </c>
      <c r="J1285">
        <v>1284</v>
      </c>
      <c r="K1285" t="s">
        <v>3249</v>
      </c>
      <c r="L1285">
        <v>465</v>
      </c>
    </row>
    <row r="1286" spans="1:12" x14ac:dyDescent="0.25">
      <c r="A1286">
        <v>1285</v>
      </c>
      <c r="B1286" t="s">
        <v>3250</v>
      </c>
      <c r="C1286">
        <v>457</v>
      </c>
      <c r="J1286">
        <v>1285</v>
      </c>
      <c r="K1286" t="s">
        <v>3250</v>
      </c>
      <c r="L1286">
        <v>457</v>
      </c>
    </row>
    <row r="1287" spans="1:12" x14ac:dyDescent="0.25">
      <c r="A1287">
        <v>1286</v>
      </c>
      <c r="B1287" t="s">
        <v>3251</v>
      </c>
      <c r="C1287">
        <v>467</v>
      </c>
      <c r="J1287">
        <v>1286</v>
      </c>
      <c r="K1287" t="s">
        <v>3251</v>
      </c>
      <c r="L1287">
        <v>467</v>
      </c>
    </row>
    <row r="1288" spans="1:12" x14ac:dyDescent="0.25">
      <c r="A1288">
        <v>1287</v>
      </c>
      <c r="B1288" t="s">
        <v>3252</v>
      </c>
      <c r="C1288">
        <v>324</v>
      </c>
      <c r="J1288">
        <v>1287</v>
      </c>
      <c r="K1288" t="s">
        <v>3252</v>
      </c>
      <c r="L1288">
        <v>324</v>
      </c>
    </row>
    <row r="1289" spans="1:12" x14ac:dyDescent="0.25">
      <c r="A1289">
        <v>1288</v>
      </c>
      <c r="B1289" t="s">
        <v>3253</v>
      </c>
      <c r="C1289">
        <v>122</v>
      </c>
      <c r="J1289">
        <v>1288</v>
      </c>
      <c r="K1289" t="s">
        <v>3253</v>
      </c>
      <c r="L1289">
        <v>122</v>
      </c>
    </row>
    <row r="1290" spans="1:12" x14ac:dyDescent="0.25">
      <c r="A1290">
        <v>1289</v>
      </c>
      <c r="B1290" t="s">
        <v>3254</v>
      </c>
      <c r="C1290">
        <v>84</v>
      </c>
      <c r="J1290">
        <v>1289</v>
      </c>
      <c r="K1290" t="s">
        <v>3254</v>
      </c>
      <c r="L1290">
        <v>84</v>
      </c>
    </row>
    <row r="1291" spans="1:12" x14ac:dyDescent="0.25">
      <c r="A1291">
        <v>1290</v>
      </c>
      <c r="B1291" t="s">
        <v>3255</v>
      </c>
      <c r="C1291">
        <v>188</v>
      </c>
      <c r="J1291">
        <v>1290</v>
      </c>
      <c r="K1291" t="s">
        <v>3255</v>
      </c>
      <c r="L1291">
        <v>188</v>
      </c>
    </row>
    <row r="1292" spans="1:12" x14ac:dyDescent="0.25">
      <c r="A1292">
        <v>1291</v>
      </c>
      <c r="B1292" t="s">
        <v>3256</v>
      </c>
      <c r="C1292">
        <v>291</v>
      </c>
      <c r="J1292">
        <v>1291</v>
      </c>
      <c r="K1292" t="s">
        <v>3256</v>
      </c>
      <c r="L1292">
        <v>291</v>
      </c>
    </row>
    <row r="1293" spans="1:12" x14ac:dyDescent="0.25">
      <c r="A1293">
        <v>1292</v>
      </c>
      <c r="B1293" t="s">
        <v>3257</v>
      </c>
      <c r="C1293">
        <v>858</v>
      </c>
      <c r="J1293">
        <v>1292</v>
      </c>
      <c r="K1293" t="s">
        <v>3257</v>
      </c>
      <c r="L1293">
        <v>858</v>
      </c>
    </row>
    <row r="1294" spans="1:12" x14ac:dyDescent="0.25">
      <c r="A1294">
        <v>1293</v>
      </c>
      <c r="B1294" t="s">
        <v>3258</v>
      </c>
      <c r="C1294">
        <v>426</v>
      </c>
      <c r="J1294">
        <v>1293</v>
      </c>
      <c r="K1294" t="s">
        <v>3258</v>
      </c>
      <c r="L1294">
        <v>426</v>
      </c>
    </row>
    <row r="1295" spans="1:12" x14ac:dyDescent="0.25">
      <c r="A1295">
        <v>1294</v>
      </c>
      <c r="B1295" t="s">
        <v>3259</v>
      </c>
      <c r="C1295">
        <v>119</v>
      </c>
      <c r="J1295">
        <v>1294</v>
      </c>
      <c r="K1295" t="s">
        <v>3259</v>
      </c>
      <c r="L1295">
        <v>119</v>
      </c>
    </row>
    <row r="1296" spans="1:12" x14ac:dyDescent="0.25">
      <c r="A1296">
        <v>1295</v>
      </c>
      <c r="B1296" t="s">
        <v>3260</v>
      </c>
      <c r="C1296">
        <v>124</v>
      </c>
      <c r="J1296">
        <v>1295</v>
      </c>
      <c r="K1296" t="s">
        <v>3260</v>
      </c>
      <c r="L1296">
        <v>124</v>
      </c>
    </row>
    <row r="1297" spans="1:12" x14ac:dyDescent="0.25">
      <c r="A1297">
        <v>1296</v>
      </c>
      <c r="B1297" t="s">
        <v>3261</v>
      </c>
      <c r="C1297">
        <v>202</v>
      </c>
      <c r="J1297">
        <v>1296</v>
      </c>
      <c r="K1297" t="s">
        <v>3261</v>
      </c>
      <c r="L1297">
        <v>202</v>
      </c>
    </row>
    <row r="1298" spans="1:12" x14ac:dyDescent="0.25">
      <c r="A1298">
        <v>1297</v>
      </c>
      <c r="B1298" t="s">
        <v>3262</v>
      </c>
      <c r="C1298">
        <v>328</v>
      </c>
      <c r="J1298">
        <v>1297</v>
      </c>
      <c r="K1298" t="s">
        <v>3262</v>
      </c>
      <c r="L1298">
        <v>328</v>
      </c>
    </row>
    <row r="1299" spans="1:12" x14ac:dyDescent="0.25">
      <c r="A1299">
        <v>1298</v>
      </c>
      <c r="B1299" t="s">
        <v>3263</v>
      </c>
      <c r="C1299">
        <v>271</v>
      </c>
      <c r="J1299">
        <v>1298</v>
      </c>
      <c r="K1299" t="s">
        <v>3263</v>
      </c>
      <c r="L1299">
        <v>271</v>
      </c>
    </row>
    <row r="1300" spans="1:12" x14ac:dyDescent="0.25">
      <c r="A1300">
        <v>1299</v>
      </c>
      <c r="B1300" t="s">
        <v>3264</v>
      </c>
      <c r="C1300">
        <v>448</v>
      </c>
      <c r="J1300">
        <v>1299</v>
      </c>
      <c r="K1300" t="s">
        <v>3264</v>
      </c>
      <c r="L1300">
        <v>448</v>
      </c>
    </row>
    <row r="1301" spans="1:12" x14ac:dyDescent="0.25">
      <c r="A1301">
        <v>1300</v>
      </c>
      <c r="B1301" t="s">
        <v>3265</v>
      </c>
      <c r="C1301">
        <v>286</v>
      </c>
      <c r="J1301">
        <v>1300</v>
      </c>
      <c r="K1301" t="s">
        <v>3265</v>
      </c>
      <c r="L1301">
        <v>286</v>
      </c>
    </row>
    <row r="1302" spans="1:12" x14ac:dyDescent="0.25">
      <c r="A1302">
        <v>1301</v>
      </c>
      <c r="B1302" t="s">
        <v>3266</v>
      </c>
      <c r="C1302">
        <v>332</v>
      </c>
      <c r="J1302">
        <v>1301</v>
      </c>
      <c r="K1302" t="s">
        <v>3266</v>
      </c>
      <c r="L1302">
        <v>332</v>
      </c>
    </row>
    <row r="1303" spans="1:12" x14ac:dyDescent="0.25">
      <c r="A1303">
        <v>1302</v>
      </c>
      <c r="B1303" t="s">
        <v>3267</v>
      </c>
      <c r="C1303">
        <v>205</v>
      </c>
      <c r="J1303">
        <v>1302</v>
      </c>
      <c r="K1303" t="s">
        <v>3267</v>
      </c>
      <c r="L1303">
        <v>205</v>
      </c>
    </row>
    <row r="1304" spans="1:12" x14ac:dyDescent="0.25">
      <c r="A1304">
        <v>1303</v>
      </c>
      <c r="B1304" t="s">
        <v>3268</v>
      </c>
      <c r="C1304">
        <v>375</v>
      </c>
      <c r="J1304">
        <v>1303</v>
      </c>
      <c r="K1304" t="s">
        <v>3268</v>
      </c>
      <c r="L1304">
        <v>375</v>
      </c>
    </row>
    <row r="1305" spans="1:12" x14ac:dyDescent="0.25">
      <c r="A1305">
        <v>1304</v>
      </c>
      <c r="B1305" t="s">
        <v>3269</v>
      </c>
      <c r="C1305">
        <v>319</v>
      </c>
      <c r="J1305">
        <v>1304</v>
      </c>
      <c r="K1305" t="s">
        <v>3269</v>
      </c>
      <c r="L1305">
        <v>319</v>
      </c>
    </row>
    <row r="1306" spans="1:12" x14ac:dyDescent="0.25">
      <c r="A1306">
        <v>1305</v>
      </c>
      <c r="B1306" t="s">
        <v>3270</v>
      </c>
      <c r="C1306">
        <v>188</v>
      </c>
      <c r="J1306">
        <v>1305</v>
      </c>
      <c r="K1306" t="s">
        <v>3270</v>
      </c>
      <c r="L1306">
        <v>188</v>
      </c>
    </row>
    <row r="1307" spans="1:12" x14ac:dyDescent="0.25">
      <c r="A1307">
        <v>1306</v>
      </c>
      <c r="B1307" t="s">
        <v>3271</v>
      </c>
      <c r="C1307">
        <v>297</v>
      </c>
      <c r="J1307">
        <v>1306</v>
      </c>
      <c r="K1307" t="s">
        <v>3271</v>
      </c>
      <c r="L1307">
        <v>297</v>
      </c>
    </row>
    <row r="1308" spans="1:12" x14ac:dyDescent="0.25">
      <c r="A1308">
        <v>1307</v>
      </c>
      <c r="B1308" t="s">
        <v>3272</v>
      </c>
      <c r="C1308">
        <v>184</v>
      </c>
      <c r="J1308">
        <v>1307</v>
      </c>
      <c r="K1308" t="s">
        <v>3272</v>
      </c>
      <c r="L1308">
        <v>184</v>
      </c>
    </row>
    <row r="1309" spans="1:12" x14ac:dyDescent="0.25">
      <c r="A1309">
        <v>1308</v>
      </c>
      <c r="B1309" t="s">
        <v>3273</v>
      </c>
      <c r="C1309">
        <v>153</v>
      </c>
      <c r="J1309">
        <v>1308</v>
      </c>
      <c r="K1309" t="s">
        <v>3273</v>
      </c>
      <c r="L1309">
        <v>153</v>
      </c>
    </row>
    <row r="1310" spans="1:12" x14ac:dyDescent="0.25">
      <c r="A1310">
        <v>1309</v>
      </c>
      <c r="B1310" t="s">
        <v>3274</v>
      </c>
      <c r="C1310">
        <v>120</v>
      </c>
      <c r="J1310">
        <v>1309</v>
      </c>
      <c r="K1310" t="s">
        <v>3274</v>
      </c>
      <c r="L1310">
        <v>120</v>
      </c>
    </row>
    <row r="1311" spans="1:12" x14ac:dyDescent="0.25">
      <c r="A1311">
        <v>1310</v>
      </c>
      <c r="B1311" t="s">
        <v>3275</v>
      </c>
      <c r="C1311">
        <v>216</v>
      </c>
      <c r="J1311">
        <v>1310</v>
      </c>
      <c r="K1311" t="s">
        <v>3275</v>
      </c>
      <c r="L1311">
        <v>216</v>
      </c>
    </row>
    <row r="1312" spans="1:12" x14ac:dyDescent="0.25">
      <c r="A1312">
        <v>1311</v>
      </c>
      <c r="B1312" t="s">
        <v>3276</v>
      </c>
      <c r="C1312">
        <v>175</v>
      </c>
      <c r="J1312">
        <v>1311</v>
      </c>
      <c r="K1312" t="s">
        <v>3276</v>
      </c>
      <c r="L1312">
        <v>175</v>
      </c>
    </row>
    <row r="1313" spans="1:12" x14ac:dyDescent="0.25">
      <c r="A1313">
        <v>1312</v>
      </c>
      <c r="B1313" t="s">
        <v>3277</v>
      </c>
      <c r="C1313">
        <v>131</v>
      </c>
      <c r="J1313">
        <v>1312</v>
      </c>
      <c r="K1313" t="s">
        <v>3277</v>
      </c>
      <c r="L1313">
        <v>131</v>
      </c>
    </row>
    <row r="1314" spans="1:12" x14ac:dyDescent="0.25">
      <c r="A1314">
        <v>1313</v>
      </c>
      <c r="B1314" t="s">
        <v>3278</v>
      </c>
      <c r="C1314">
        <v>123</v>
      </c>
      <c r="J1314">
        <v>1313</v>
      </c>
      <c r="K1314" t="s">
        <v>3278</v>
      </c>
      <c r="L1314">
        <v>123</v>
      </c>
    </row>
    <row r="1315" spans="1:12" x14ac:dyDescent="0.25">
      <c r="A1315">
        <v>1314</v>
      </c>
      <c r="B1315" t="s">
        <v>3279</v>
      </c>
      <c r="C1315">
        <v>196</v>
      </c>
      <c r="J1315">
        <v>1314</v>
      </c>
      <c r="K1315" t="s">
        <v>3279</v>
      </c>
      <c r="L1315">
        <v>196</v>
      </c>
    </row>
    <row r="1316" spans="1:12" x14ac:dyDescent="0.25">
      <c r="A1316">
        <v>1315</v>
      </c>
      <c r="B1316" t="s">
        <v>3280</v>
      </c>
      <c r="C1316">
        <v>163</v>
      </c>
      <c r="J1316">
        <v>1315</v>
      </c>
      <c r="K1316" t="s">
        <v>3280</v>
      </c>
      <c r="L1316">
        <v>163</v>
      </c>
    </row>
    <row r="1317" spans="1:12" x14ac:dyDescent="0.25">
      <c r="A1317">
        <v>1316</v>
      </c>
      <c r="B1317" t="s">
        <v>3281</v>
      </c>
      <c r="C1317">
        <v>164</v>
      </c>
      <c r="J1317">
        <v>1316</v>
      </c>
      <c r="K1317" t="s">
        <v>3281</v>
      </c>
      <c r="L1317">
        <v>164</v>
      </c>
    </row>
    <row r="1318" spans="1:12" x14ac:dyDescent="0.25">
      <c r="A1318">
        <v>1317</v>
      </c>
      <c r="B1318" t="s">
        <v>3282</v>
      </c>
      <c r="C1318">
        <v>126</v>
      </c>
      <c r="J1318">
        <v>1317</v>
      </c>
      <c r="K1318" t="s">
        <v>3282</v>
      </c>
      <c r="L1318">
        <v>126</v>
      </c>
    </row>
    <row r="1319" spans="1:12" x14ac:dyDescent="0.25">
      <c r="A1319">
        <v>1318</v>
      </c>
      <c r="B1319" t="s">
        <v>3283</v>
      </c>
      <c r="C1319">
        <v>97</v>
      </c>
      <c r="J1319">
        <v>1318</v>
      </c>
      <c r="K1319" t="s">
        <v>3283</v>
      </c>
      <c r="L1319">
        <v>97</v>
      </c>
    </row>
    <row r="1320" spans="1:12" x14ac:dyDescent="0.25">
      <c r="A1320">
        <v>1319</v>
      </c>
      <c r="B1320" t="s">
        <v>3284</v>
      </c>
      <c r="C1320">
        <v>120</v>
      </c>
      <c r="J1320">
        <v>1319</v>
      </c>
      <c r="K1320" t="s">
        <v>3284</v>
      </c>
      <c r="L1320">
        <v>120</v>
      </c>
    </row>
    <row r="1321" spans="1:12" x14ac:dyDescent="0.25">
      <c r="A1321">
        <v>1320</v>
      </c>
      <c r="B1321" t="s">
        <v>3285</v>
      </c>
      <c r="C1321">
        <v>289</v>
      </c>
      <c r="J1321">
        <v>1320</v>
      </c>
      <c r="K1321" t="s">
        <v>3285</v>
      </c>
      <c r="L1321">
        <v>289</v>
      </c>
    </row>
    <row r="1322" spans="1:12" x14ac:dyDescent="0.25">
      <c r="A1322">
        <v>1321</v>
      </c>
      <c r="B1322" t="s">
        <v>3286</v>
      </c>
      <c r="C1322">
        <v>597</v>
      </c>
      <c r="J1322">
        <v>1321</v>
      </c>
      <c r="K1322" t="s">
        <v>3286</v>
      </c>
      <c r="L1322">
        <v>597</v>
      </c>
    </row>
    <row r="1323" spans="1:12" x14ac:dyDescent="0.25">
      <c r="A1323">
        <v>1322</v>
      </c>
      <c r="B1323" t="s">
        <v>3287</v>
      </c>
      <c r="C1323">
        <v>1306</v>
      </c>
      <c r="J1323">
        <v>1322</v>
      </c>
      <c r="K1323" t="s">
        <v>3287</v>
      </c>
      <c r="L1323">
        <v>1306</v>
      </c>
    </row>
    <row r="1324" spans="1:12" x14ac:dyDescent="0.25">
      <c r="A1324">
        <v>1323</v>
      </c>
      <c r="B1324" t="s">
        <v>3288</v>
      </c>
      <c r="C1324">
        <v>260</v>
      </c>
      <c r="J1324">
        <v>1323</v>
      </c>
      <c r="K1324" t="s">
        <v>3288</v>
      </c>
      <c r="L1324">
        <v>260</v>
      </c>
    </row>
    <row r="1325" spans="1:12" x14ac:dyDescent="0.25">
      <c r="A1325">
        <v>1324</v>
      </c>
      <c r="B1325" t="s">
        <v>3289</v>
      </c>
      <c r="C1325">
        <v>177</v>
      </c>
      <c r="J1325">
        <v>1324</v>
      </c>
      <c r="K1325" t="s">
        <v>3289</v>
      </c>
      <c r="L1325">
        <v>177</v>
      </c>
    </row>
    <row r="1326" spans="1:12" x14ac:dyDescent="0.25">
      <c r="A1326">
        <v>1325</v>
      </c>
      <c r="B1326" t="s">
        <v>3290</v>
      </c>
      <c r="C1326">
        <v>185</v>
      </c>
      <c r="J1326">
        <v>1325</v>
      </c>
      <c r="K1326" t="s">
        <v>3290</v>
      </c>
      <c r="L1326">
        <v>185</v>
      </c>
    </row>
    <row r="1327" spans="1:12" x14ac:dyDescent="0.25">
      <c r="A1327">
        <v>1326</v>
      </c>
      <c r="B1327" t="s">
        <v>3291</v>
      </c>
      <c r="C1327">
        <v>153</v>
      </c>
      <c r="J1327">
        <v>1326</v>
      </c>
      <c r="K1327" t="s">
        <v>3291</v>
      </c>
      <c r="L1327">
        <v>153</v>
      </c>
    </row>
    <row r="1328" spans="1:12" x14ac:dyDescent="0.25">
      <c r="A1328">
        <v>1327</v>
      </c>
      <c r="B1328" t="s">
        <v>3292</v>
      </c>
      <c r="C1328">
        <v>121</v>
      </c>
      <c r="J1328">
        <v>1327</v>
      </c>
      <c r="K1328" t="s">
        <v>3292</v>
      </c>
      <c r="L1328">
        <v>121</v>
      </c>
    </row>
    <row r="1329" spans="1:12" x14ac:dyDescent="0.25">
      <c r="A1329">
        <v>1328</v>
      </c>
      <c r="B1329" t="s">
        <v>3293</v>
      </c>
      <c r="C1329">
        <v>55</v>
      </c>
      <c r="J1329">
        <v>1328</v>
      </c>
      <c r="K1329" t="s">
        <v>3293</v>
      </c>
      <c r="L1329">
        <v>55</v>
      </c>
    </row>
    <row r="1330" spans="1:12" x14ac:dyDescent="0.25">
      <c r="A1330">
        <v>1329</v>
      </c>
      <c r="B1330" t="s">
        <v>3294</v>
      </c>
      <c r="C1330">
        <v>55</v>
      </c>
      <c r="J1330">
        <v>1329</v>
      </c>
      <c r="K1330" t="s">
        <v>3294</v>
      </c>
      <c r="L1330">
        <v>55</v>
      </c>
    </row>
    <row r="1331" spans="1:12" x14ac:dyDescent="0.25">
      <c r="A1331">
        <v>1330</v>
      </c>
      <c r="B1331" t="s">
        <v>3295</v>
      </c>
      <c r="C1331">
        <v>306</v>
      </c>
      <c r="J1331">
        <v>1330</v>
      </c>
      <c r="K1331" t="s">
        <v>3295</v>
      </c>
      <c r="L1331">
        <v>306</v>
      </c>
    </row>
    <row r="1332" spans="1:12" x14ac:dyDescent="0.25">
      <c r="A1332">
        <v>1331</v>
      </c>
      <c r="B1332" t="s">
        <v>3296</v>
      </c>
      <c r="C1332">
        <v>38</v>
      </c>
      <c r="J1332">
        <v>1331</v>
      </c>
      <c r="K1332" t="s">
        <v>3296</v>
      </c>
      <c r="L1332">
        <v>38</v>
      </c>
    </row>
    <row r="1333" spans="1:12" x14ac:dyDescent="0.25">
      <c r="A1333">
        <v>1332</v>
      </c>
      <c r="B1333" t="s">
        <v>3297</v>
      </c>
      <c r="C1333">
        <v>1295</v>
      </c>
      <c r="J1333">
        <v>1332</v>
      </c>
      <c r="K1333" t="s">
        <v>3297</v>
      </c>
      <c r="L1333">
        <v>1295</v>
      </c>
    </row>
    <row r="1334" spans="1:12" x14ac:dyDescent="0.25">
      <c r="A1334">
        <v>1333</v>
      </c>
      <c r="B1334" t="s">
        <v>3298</v>
      </c>
      <c r="C1334">
        <v>956</v>
      </c>
      <c r="J1334">
        <v>1333</v>
      </c>
      <c r="K1334" t="s">
        <v>3298</v>
      </c>
      <c r="L1334">
        <v>956</v>
      </c>
    </row>
    <row r="1335" spans="1:12" x14ac:dyDescent="0.25">
      <c r="A1335">
        <v>1334</v>
      </c>
      <c r="B1335" t="s">
        <v>3299</v>
      </c>
      <c r="C1335">
        <v>510</v>
      </c>
      <c r="J1335">
        <v>1334</v>
      </c>
      <c r="K1335" t="s">
        <v>3299</v>
      </c>
      <c r="L1335">
        <v>510</v>
      </c>
    </row>
    <row r="1336" spans="1:12" x14ac:dyDescent="0.25">
      <c r="A1336">
        <v>1335</v>
      </c>
      <c r="B1336" t="s">
        <v>3300</v>
      </c>
      <c r="C1336">
        <v>135</v>
      </c>
      <c r="J1336">
        <v>1335</v>
      </c>
      <c r="K1336" t="s">
        <v>3300</v>
      </c>
      <c r="L1336">
        <v>135</v>
      </c>
    </row>
    <row r="1337" spans="1:12" x14ac:dyDescent="0.25">
      <c r="A1337">
        <v>1336</v>
      </c>
      <c r="B1337" t="s">
        <v>3301</v>
      </c>
      <c r="C1337">
        <v>387</v>
      </c>
      <c r="J1337">
        <v>1336</v>
      </c>
      <c r="K1337" t="s">
        <v>3301</v>
      </c>
      <c r="L1337">
        <v>387</v>
      </c>
    </row>
    <row r="1338" spans="1:12" x14ac:dyDescent="0.25">
      <c r="A1338">
        <v>1337</v>
      </c>
      <c r="B1338" t="s">
        <v>3302</v>
      </c>
      <c r="C1338">
        <v>106</v>
      </c>
      <c r="J1338">
        <v>1337</v>
      </c>
      <c r="K1338" t="s">
        <v>3302</v>
      </c>
      <c r="L1338">
        <v>106</v>
      </c>
    </row>
    <row r="1339" spans="1:12" x14ac:dyDescent="0.25">
      <c r="A1339">
        <v>1338</v>
      </c>
      <c r="B1339" t="s">
        <v>3303</v>
      </c>
      <c r="C1339">
        <v>155</v>
      </c>
      <c r="J1339">
        <v>1338</v>
      </c>
      <c r="K1339" t="s">
        <v>3303</v>
      </c>
      <c r="L1339">
        <v>155</v>
      </c>
    </row>
    <row r="1340" spans="1:12" x14ac:dyDescent="0.25">
      <c r="A1340">
        <v>1339</v>
      </c>
      <c r="B1340" t="s">
        <v>3304</v>
      </c>
      <c r="C1340">
        <v>80</v>
      </c>
      <c r="J1340">
        <v>1339</v>
      </c>
      <c r="K1340" t="s">
        <v>3304</v>
      </c>
      <c r="L1340">
        <v>80</v>
      </c>
    </row>
    <row r="1341" spans="1:12" x14ac:dyDescent="0.25">
      <c r="A1341">
        <v>1340</v>
      </c>
      <c r="B1341" t="s">
        <v>3305</v>
      </c>
      <c r="C1341">
        <v>77</v>
      </c>
      <c r="J1341">
        <v>1340</v>
      </c>
      <c r="K1341" t="s">
        <v>3305</v>
      </c>
      <c r="L1341">
        <v>77</v>
      </c>
    </row>
    <row r="1342" spans="1:12" x14ac:dyDescent="0.25">
      <c r="A1342">
        <v>1341</v>
      </c>
      <c r="B1342" t="s">
        <v>3306</v>
      </c>
      <c r="C1342">
        <v>65</v>
      </c>
      <c r="J1342">
        <v>1341</v>
      </c>
      <c r="K1342" t="s">
        <v>3306</v>
      </c>
      <c r="L1342">
        <v>65</v>
      </c>
    </row>
    <row r="1343" spans="1:12" x14ac:dyDescent="0.25">
      <c r="A1343">
        <v>1342</v>
      </c>
      <c r="B1343" t="s">
        <v>3307</v>
      </c>
      <c r="C1343">
        <v>110</v>
      </c>
      <c r="J1343">
        <v>1342</v>
      </c>
      <c r="K1343" t="s">
        <v>3307</v>
      </c>
      <c r="L1343">
        <v>110</v>
      </c>
    </row>
    <row r="1344" spans="1:12" x14ac:dyDescent="0.25">
      <c r="A1344">
        <v>1343</v>
      </c>
      <c r="B1344" t="s">
        <v>3308</v>
      </c>
      <c r="C1344">
        <v>80</v>
      </c>
      <c r="J1344">
        <v>1343</v>
      </c>
      <c r="K1344" t="s">
        <v>3308</v>
      </c>
      <c r="L1344">
        <v>80</v>
      </c>
    </row>
    <row r="1345" spans="1:12" x14ac:dyDescent="0.25">
      <c r="A1345">
        <v>1344</v>
      </c>
      <c r="B1345" t="s">
        <v>3309</v>
      </c>
      <c r="C1345">
        <v>61</v>
      </c>
      <c r="J1345">
        <v>1344</v>
      </c>
      <c r="K1345" t="s">
        <v>3309</v>
      </c>
      <c r="L1345">
        <v>61</v>
      </c>
    </row>
    <row r="1346" spans="1:12" x14ac:dyDescent="0.25">
      <c r="A1346">
        <v>1345</v>
      </c>
      <c r="B1346" t="s">
        <v>3310</v>
      </c>
      <c r="C1346">
        <v>89</v>
      </c>
      <c r="J1346">
        <v>1345</v>
      </c>
      <c r="K1346" t="s">
        <v>3310</v>
      </c>
      <c r="L1346">
        <v>89</v>
      </c>
    </row>
    <row r="1347" spans="1:12" x14ac:dyDescent="0.25">
      <c r="A1347">
        <v>1346</v>
      </c>
      <c r="B1347" t="s">
        <v>3311</v>
      </c>
      <c r="C1347">
        <v>72</v>
      </c>
      <c r="J1347">
        <v>1346</v>
      </c>
      <c r="K1347" t="s">
        <v>3311</v>
      </c>
      <c r="L1347">
        <v>72</v>
      </c>
    </row>
    <row r="1348" spans="1:12" x14ac:dyDescent="0.25">
      <c r="A1348">
        <v>1347</v>
      </c>
      <c r="B1348" t="s">
        <v>3312</v>
      </c>
      <c r="C1348">
        <v>54</v>
      </c>
      <c r="J1348">
        <v>1347</v>
      </c>
      <c r="K1348" t="s">
        <v>3312</v>
      </c>
      <c r="L1348">
        <v>54</v>
      </c>
    </row>
    <row r="1349" spans="1:12" x14ac:dyDescent="0.25">
      <c r="A1349">
        <v>1348</v>
      </c>
      <c r="B1349" t="s">
        <v>3313</v>
      </c>
      <c r="C1349">
        <v>114</v>
      </c>
      <c r="J1349">
        <v>1348</v>
      </c>
      <c r="K1349" t="s">
        <v>3313</v>
      </c>
      <c r="L1349">
        <v>114</v>
      </c>
    </row>
    <row r="1350" spans="1:12" x14ac:dyDescent="0.25">
      <c r="A1350">
        <v>1349</v>
      </c>
      <c r="B1350" t="s">
        <v>3314</v>
      </c>
      <c r="C1350">
        <v>96</v>
      </c>
      <c r="J1350">
        <v>1349</v>
      </c>
      <c r="K1350" t="s">
        <v>3314</v>
      </c>
      <c r="L1350">
        <v>96</v>
      </c>
    </row>
    <row r="1351" spans="1:12" x14ac:dyDescent="0.25">
      <c r="A1351">
        <v>1350</v>
      </c>
      <c r="B1351" t="s">
        <v>3315</v>
      </c>
      <c r="C1351">
        <v>94</v>
      </c>
      <c r="J1351">
        <v>1350</v>
      </c>
      <c r="K1351" t="s">
        <v>3315</v>
      </c>
      <c r="L1351">
        <v>94</v>
      </c>
    </row>
    <row r="1352" spans="1:12" x14ac:dyDescent="0.25">
      <c r="A1352">
        <v>1351</v>
      </c>
      <c r="B1352" t="s">
        <v>3316</v>
      </c>
      <c r="C1352">
        <v>70</v>
      </c>
      <c r="J1352">
        <v>1351</v>
      </c>
      <c r="K1352" t="s">
        <v>3316</v>
      </c>
      <c r="L1352">
        <v>70</v>
      </c>
    </row>
    <row r="1353" spans="1:12" x14ac:dyDescent="0.25">
      <c r="A1353">
        <v>1352</v>
      </c>
      <c r="B1353" t="s">
        <v>3317</v>
      </c>
      <c r="C1353">
        <v>86</v>
      </c>
      <c r="J1353">
        <v>1352</v>
      </c>
      <c r="K1353" t="s">
        <v>3317</v>
      </c>
      <c r="L1353">
        <v>86</v>
      </c>
    </row>
    <row r="1354" spans="1:12" x14ac:dyDescent="0.25">
      <c r="A1354">
        <v>1353</v>
      </c>
      <c r="B1354" t="s">
        <v>3318</v>
      </c>
      <c r="C1354">
        <v>67</v>
      </c>
      <c r="J1354">
        <v>1353</v>
      </c>
      <c r="K1354" t="s">
        <v>3318</v>
      </c>
      <c r="L1354">
        <v>67</v>
      </c>
    </row>
    <row r="1355" spans="1:12" x14ac:dyDescent="0.25">
      <c r="A1355">
        <v>1354</v>
      </c>
      <c r="B1355" t="s">
        <v>3319</v>
      </c>
      <c r="C1355">
        <v>84</v>
      </c>
      <c r="J1355">
        <v>1354</v>
      </c>
      <c r="K1355" t="s">
        <v>3319</v>
      </c>
      <c r="L1355">
        <v>84</v>
      </c>
    </row>
    <row r="1356" spans="1:12" x14ac:dyDescent="0.25">
      <c r="A1356">
        <v>1355</v>
      </c>
      <c r="B1356" t="s">
        <v>3320</v>
      </c>
      <c r="C1356">
        <v>111</v>
      </c>
      <c r="J1356">
        <v>1355</v>
      </c>
      <c r="K1356" t="s">
        <v>3320</v>
      </c>
      <c r="L1356">
        <v>111</v>
      </c>
    </row>
    <row r="1357" spans="1:12" x14ac:dyDescent="0.25">
      <c r="A1357">
        <v>1356</v>
      </c>
      <c r="B1357" t="s">
        <v>3321</v>
      </c>
      <c r="C1357">
        <v>121</v>
      </c>
      <c r="J1357">
        <v>1356</v>
      </c>
      <c r="K1357" t="s">
        <v>3321</v>
      </c>
      <c r="L1357">
        <v>121</v>
      </c>
    </row>
    <row r="1358" spans="1:12" x14ac:dyDescent="0.25">
      <c r="A1358">
        <v>1357</v>
      </c>
      <c r="B1358" t="s">
        <v>3322</v>
      </c>
      <c r="C1358">
        <v>119</v>
      </c>
      <c r="J1358">
        <v>1357</v>
      </c>
      <c r="K1358" t="s">
        <v>3322</v>
      </c>
      <c r="L1358">
        <v>119</v>
      </c>
    </row>
    <row r="1359" spans="1:12" x14ac:dyDescent="0.25">
      <c r="A1359">
        <v>1358</v>
      </c>
      <c r="B1359" t="s">
        <v>3323</v>
      </c>
      <c r="C1359">
        <v>99</v>
      </c>
      <c r="J1359">
        <v>1358</v>
      </c>
      <c r="K1359" t="s">
        <v>3323</v>
      </c>
      <c r="L1359">
        <v>99</v>
      </c>
    </row>
    <row r="1360" spans="1:12" x14ac:dyDescent="0.25">
      <c r="A1360">
        <v>1359</v>
      </c>
      <c r="B1360" t="s">
        <v>3324</v>
      </c>
      <c r="C1360">
        <v>242</v>
      </c>
      <c r="J1360">
        <v>1359</v>
      </c>
      <c r="K1360" t="s">
        <v>3324</v>
      </c>
      <c r="L1360">
        <v>242</v>
      </c>
    </row>
    <row r="1361" spans="1:12" x14ac:dyDescent="0.25">
      <c r="A1361">
        <v>1360</v>
      </c>
      <c r="B1361" t="s">
        <v>3325</v>
      </c>
      <c r="C1361">
        <v>137</v>
      </c>
      <c r="J1361">
        <v>1360</v>
      </c>
      <c r="K1361" t="s">
        <v>3325</v>
      </c>
      <c r="L1361">
        <v>137</v>
      </c>
    </row>
    <row r="1362" spans="1:12" x14ac:dyDescent="0.25">
      <c r="A1362">
        <v>1361</v>
      </c>
      <c r="B1362" t="s">
        <v>3326</v>
      </c>
      <c r="C1362">
        <v>16</v>
      </c>
      <c r="J1362">
        <v>1361</v>
      </c>
      <c r="K1362" t="s">
        <v>3326</v>
      </c>
      <c r="L1362">
        <v>16</v>
      </c>
    </row>
    <row r="1363" spans="1:12" x14ac:dyDescent="0.25">
      <c r="A1363">
        <v>1362</v>
      </c>
      <c r="B1363" t="s">
        <v>3327</v>
      </c>
      <c r="C1363">
        <v>30</v>
      </c>
      <c r="J1363">
        <v>1362</v>
      </c>
      <c r="K1363" t="s">
        <v>3327</v>
      </c>
      <c r="L1363">
        <v>30</v>
      </c>
    </row>
    <row r="1364" spans="1:12" x14ac:dyDescent="0.25">
      <c r="A1364">
        <v>1363</v>
      </c>
      <c r="B1364" t="s">
        <v>3328</v>
      </c>
      <c r="C1364">
        <v>58</v>
      </c>
      <c r="J1364">
        <v>1363</v>
      </c>
      <c r="K1364" t="s">
        <v>3328</v>
      </c>
      <c r="L1364">
        <v>58</v>
      </c>
    </row>
    <row r="1365" spans="1:12" x14ac:dyDescent="0.25">
      <c r="A1365">
        <v>1364</v>
      </c>
      <c r="B1365" t="s">
        <v>3329</v>
      </c>
      <c r="C1365">
        <v>163</v>
      </c>
      <c r="J1365">
        <v>1364</v>
      </c>
      <c r="K1365" t="s">
        <v>3329</v>
      </c>
      <c r="L1365">
        <v>163</v>
      </c>
    </row>
    <row r="1366" spans="1:12" x14ac:dyDescent="0.25">
      <c r="A1366">
        <v>1365</v>
      </c>
      <c r="B1366" t="s">
        <v>3330</v>
      </c>
      <c r="C1366">
        <v>125</v>
      </c>
      <c r="J1366">
        <v>1365</v>
      </c>
      <c r="K1366" t="s">
        <v>3330</v>
      </c>
      <c r="L1366">
        <v>125</v>
      </c>
    </row>
    <row r="1367" spans="1:12" x14ac:dyDescent="0.25">
      <c r="A1367">
        <v>1366</v>
      </c>
      <c r="B1367" t="s">
        <v>3331</v>
      </c>
      <c r="C1367">
        <v>347</v>
      </c>
      <c r="J1367">
        <v>1366</v>
      </c>
      <c r="K1367" t="s">
        <v>3331</v>
      </c>
      <c r="L1367">
        <v>347</v>
      </c>
    </row>
    <row r="1368" spans="1:12" x14ac:dyDescent="0.25">
      <c r="A1368">
        <v>1367</v>
      </c>
      <c r="B1368" t="s">
        <v>3332</v>
      </c>
      <c r="C1368">
        <v>374</v>
      </c>
      <c r="J1368">
        <v>1367</v>
      </c>
      <c r="K1368" t="s">
        <v>3332</v>
      </c>
      <c r="L1368">
        <v>374</v>
      </c>
    </row>
    <row r="1369" spans="1:12" x14ac:dyDescent="0.25">
      <c r="A1369">
        <v>1368</v>
      </c>
      <c r="B1369" t="s">
        <v>3333</v>
      </c>
      <c r="C1369">
        <v>274</v>
      </c>
      <c r="J1369">
        <v>1368</v>
      </c>
      <c r="K1369" t="s">
        <v>3333</v>
      </c>
      <c r="L1369">
        <v>274</v>
      </c>
    </row>
    <row r="1370" spans="1:12" x14ac:dyDescent="0.25">
      <c r="A1370">
        <v>1369</v>
      </c>
      <c r="B1370" t="s">
        <v>3334</v>
      </c>
      <c r="C1370">
        <v>17</v>
      </c>
      <c r="J1370">
        <v>1369</v>
      </c>
      <c r="K1370" t="s">
        <v>3334</v>
      </c>
      <c r="L1370">
        <v>17</v>
      </c>
    </row>
    <row r="1371" spans="1:12" x14ac:dyDescent="0.25">
      <c r="A1371">
        <v>1370</v>
      </c>
      <c r="B1371" t="s">
        <v>3335</v>
      </c>
      <c r="C1371">
        <v>20</v>
      </c>
      <c r="J1371">
        <v>1370</v>
      </c>
      <c r="K1371" t="s">
        <v>3335</v>
      </c>
      <c r="L1371">
        <v>20</v>
      </c>
    </row>
    <row r="1372" spans="1:12" x14ac:dyDescent="0.25">
      <c r="A1372">
        <v>1371</v>
      </c>
      <c r="B1372" t="s">
        <v>3336</v>
      </c>
      <c r="C1372">
        <v>54</v>
      </c>
      <c r="J1372">
        <v>1371</v>
      </c>
      <c r="K1372" t="s">
        <v>3336</v>
      </c>
      <c r="L1372">
        <v>54</v>
      </c>
    </row>
    <row r="1373" spans="1:12" x14ac:dyDescent="0.25">
      <c r="A1373">
        <v>1372</v>
      </c>
      <c r="B1373" t="s">
        <v>3337</v>
      </c>
      <c r="C1373">
        <v>71</v>
      </c>
      <c r="J1373">
        <v>1372</v>
      </c>
      <c r="K1373" t="s">
        <v>3337</v>
      </c>
      <c r="L1373">
        <v>71</v>
      </c>
    </row>
    <row r="1374" spans="1:12" x14ac:dyDescent="0.25">
      <c r="A1374">
        <v>1373</v>
      </c>
      <c r="B1374" t="s">
        <v>3338</v>
      </c>
      <c r="C1374">
        <v>78</v>
      </c>
      <c r="J1374">
        <v>1373</v>
      </c>
      <c r="K1374" t="s">
        <v>3338</v>
      </c>
      <c r="L1374">
        <v>78</v>
      </c>
    </row>
    <row r="1375" spans="1:12" x14ac:dyDescent="0.25">
      <c r="A1375">
        <v>1374</v>
      </c>
      <c r="B1375" t="s">
        <v>3339</v>
      </c>
      <c r="C1375">
        <v>157</v>
      </c>
      <c r="J1375">
        <v>1374</v>
      </c>
      <c r="K1375" t="s">
        <v>3339</v>
      </c>
      <c r="L1375">
        <v>157</v>
      </c>
    </row>
    <row r="1376" spans="1:12" x14ac:dyDescent="0.25">
      <c r="A1376">
        <v>1375</v>
      </c>
      <c r="B1376" t="s">
        <v>3340</v>
      </c>
      <c r="C1376">
        <v>78</v>
      </c>
      <c r="J1376">
        <v>1375</v>
      </c>
      <c r="K1376" t="s">
        <v>3340</v>
      </c>
      <c r="L1376">
        <v>78</v>
      </c>
    </row>
    <row r="1377" spans="1:12" x14ac:dyDescent="0.25">
      <c r="A1377">
        <v>1376</v>
      </c>
      <c r="B1377" t="s">
        <v>3341</v>
      </c>
      <c r="C1377">
        <v>477</v>
      </c>
      <c r="J1377">
        <v>1376</v>
      </c>
      <c r="K1377" t="s">
        <v>3341</v>
      </c>
      <c r="L1377">
        <v>477</v>
      </c>
    </row>
    <row r="1378" spans="1:12" x14ac:dyDescent="0.25">
      <c r="A1378">
        <v>1377</v>
      </c>
      <c r="B1378" t="s">
        <v>3342</v>
      </c>
      <c r="C1378">
        <v>574</v>
      </c>
      <c r="J1378">
        <v>1377</v>
      </c>
      <c r="K1378" t="s">
        <v>3342</v>
      </c>
      <c r="L1378">
        <v>574</v>
      </c>
    </row>
    <row r="1379" spans="1:12" x14ac:dyDescent="0.25">
      <c r="A1379">
        <v>1378</v>
      </c>
      <c r="B1379" t="s">
        <v>3343</v>
      </c>
      <c r="C1379">
        <v>59</v>
      </c>
      <c r="J1379">
        <v>1378</v>
      </c>
      <c r="K1379" t="s">
        <v>3343</v>
      </c>
      <c r="L1379">
        <v>59</v>
      </c>
    </row>
    <row r="1380" spans="1:12" x14ac:dyDescent="0.25">
      <c r="A1380">
        <v>1379</v>
      </c>
      <c r="B1380" t="s">
        <v>3344</v>
      </c>
      <c r="C1380">
        <v>0</v>
      </c>
      <c r="J1380">
        <v>1379</v>
      </c>
      <c r="K1380" t="s">
        <v>3344</v>
      </c>
      <c r="L1380">
        <v>0</v>
      </c>
    </row>
    <row r="1381" spans="1:12" x14ac:dyDescent="0.25">
      <c r="A1381">
        <v>1380</v>
      </c>
      <c r="B1381" t="s">
        <v>3345</v>
      </c>
      <c r="C1381">
        <v>0</v>
      </c>
      <c r="J1381">
        <v>1380</v>
      </c>
      <c r="K1381" t="s">
        <v>3345</v>
      </c>
      <c r="L1381">
        <v>0</v>
      </c>
    </row>
    <row r="1382" spans="1:12" x14ac:dyDescent="0.25">
      <c r="A1382">
        <v>1381</v>
      </c>
      <c r="B1382" t="s">
        <v>3346</v>
      </c>
      <c r="C1382">
        <v>0</v>
      </c>
      <c r="J1382">
        <v>1381</v>
      </c>
      <c r="K1382" t="s">
        <v>3346</v>
      </c>
      <c r="L1382">
        <v>0</v>
      </c>
    </row>
    <row r="1383" spans="1:12" x14ac:dyDescent="0.25">
      <c r="A1383">
        <v>1382</v>
      </c>
      <c r="B1383" t="s">
        <v>3347</v>
      </c>
      <c r="C1383">
        <v>0</v>
      </c>
      <c r="J1383">
        <v>1382</v>
      </c>
      <c r="K1383" t="s">
        <v>3347</v>
      </c>
      <c r="L1383">
        <v>0</v>
      </c>
    </row>
    <row r="1384" spans="1:12" x14ac:dyDescent="0.25">
      <c r="A1384">
        <v>1383</v>
      </c>
      <c r="B1384" t="s">
        <v>3348</v>
      </c>
      <c r="C1384">
        <v>0</v>
      </c>
      <c r="J1384">
        <v>1383</v>
      </c>
      <c r="K1384" t="s">
        <v>3348</v>
      </c>
      <c r="L1384">
        <v>0</v>
      </c>
    </row>
    <row r="1385" spans="1:12" x14ac:dyDescent="0.25">
      <c r="A1385">
        <v>1384</v>
      </c>
      <c r="B1385" t="s">
        <v>3349</v>
      </c>
      <c r="C1385">
        <v>0</v>
      </c>
      <c r="J1385">
        <v>1384</v>
      </c>
      <c r="K1385" t="s">
        <v>3349</v>
      </c>
      <c r="L1385">
        <v>0</v>
      </c>
    </row>
    <row r="1386" spans="1:12" x14ac:dyDescent="0.25">
      <c r="A1386">
        <v>1385</v>
      </c>
      <c r="B1386" t="s">
        <v>3350</v>
      </c>
      <c r="C1386">
        <v>0</v>
      </c>
      <c r="J1386">
        <v>1385</v>
      </c>
      <c r="K1386" t="s">
        <v>3350</v>
      </c>
      <c r="L1386">
        <v>0</v>
      </c>
    </row>
    <row r="1387" spans="1:12" x14ac:dyDescent="0.25">
      <c r="A1387">
        <v>1386</v>
      </c>
      <c r="B1387" t="s">
        <v>3351</v>
      </c>
      <c r="C1387">
        <v>0</v>
      </c>
      <c r="J1387">
        <v>1386</v>
      </c>
      <c r="K1387" t="s">
        <v>3351</v>
      </c>
      <c r="L1387">
        <v>0</v>
      </c>
    </row>
    <row r="1388" spans="1:12" x14ac:dyDescent="0.25">
      <c r="A1388">
        <v>1387</v>
      </c>
      <c r="B1388" t="s">
        <v>3352</v>
      </c>
      <c r="C1388">
        <v>0</v>
      </c>
      <c r="J1388">
        <v>1387</v>
      </c>
      <c r="K1388" t="s">
        <v>3352</v>
      </c>
      <c r="L1388">
        <v>0</v>
      </c>
    </row>
    <row r="1389" spans="1:12" x14ac:dyDescent="0.25">
      <c r="A1389">
        <v>1388</v>
      </c>
      <c r="B1389" t="s">
        <v>3353</v>
      </c>
      <c r="C1389">
        <v>0</v>
      </c>
      <c r="J1389">
        <v>1388</v>
      </c>
      <c r="K1389" t="s">
        <v>3353</v>
      </c>
      <c r="L1389">
        <v>0</v>
      </c>
    </row>
    <row r="1390" spans="1:12" x14ac:dyDescent="0.25">
      <c r="A1390">
        <v>1389</v>
      </c>
      <c r="B1390" t="s">
        <v>3354</v>
      </c>
      <c r="C1390">
        <v>0</v>
      </c>
      <c r="J1390">
        <v>1389</v>
      </c>
      <c r="K1390" t="s">
        <v>3354</v>
      </c>
      <c r="L1390">
        <v>0</v>
      </c>
    </row>
    <row r="1391" spans="1:12" x14ac:dyDescent="0.25">
      <c r="A1391">
        <v>1390</v>
      </c>
      <c r="B1391" t="s">
        <v>3355</v>
      </c>
      <c r="C1391">
        <v>0</v>
      </c>
      <c r="J1391">
        <v>1390</v>
      </c>
      <c r="K1391" t="s">
        <v>3355</v>
      </c>
      <c r="L1391">
        <v>0</v>
      </c>
    </row>
    <row r="1392" spans="1:12" x14ac:dyDescent="0.25">
      <c r="A1392">
        <v>1391</v>
      </c>
      <c r="B1392" t="s">
        <v>3356</v>
      </c>
      <c r="C1392">
        <v>0</v>
      </c>
      <c r="J1392">
        <v>1391</v>
      </c>
      <c r="K1392" t="s">
        <v>3356</v>
      </c>
      <c r="L1392">
        <v>0</v>
      </c>
    </row>
    <row r="1393" spans="1:12" x14ac:dyDescent="0.25">
      <c r="A1393">
        <v>1392</v>
      </c>
      <c r="B1393" t="s">
        <v>3357</v>
      </c>
      <c r="C1393">
        <v>0</v>
      </c>
      <c r="J1393">
        <v>1392</v>
      </c>
      <c r="K1393" t="s">
        <v>3357</v>
      </c>
      <c r="L1393">
        <v>0</v>
      </c>
    </row>
    <row r="1394" spans="1:12" x14ac:dyDescent="0.25">
      <c r="A1394">
        <v>1393</v>
      </c>
      <c r="B1394" t="s">
        <v>3358</v>
      </c>
      <c r="C1394">
        <v>0</v>
      </c>
      <c r="J1394">
        <v>1393</v>
      </c>
      <c r="K1394" t="s">
        <v>3358</v>
      </c>
      <c r="L1394">
        <v>0</v>
      </c>
    </row>
    <row r="1395" spans="1:12" x14ac:dyDescent="0.25">
      <c r="A1395">
        <v>1394</v>
      </c>
      <c r="B1395" t="s">
        <v>3359</v>
      </c>
      <c r="C1395">
        <v>0</v>
      </c>
      <c r="J1395">
        <v>1394</v>
      </c>
      <c r="K1395" t="s">
        <v>3359</v>
      </c>
      <c r="L1395">
        <v>0</v>
      </c>
    </row>
    <row r="1396" spans="1:12" x14ac:dyDescent="0.25">
      <c r="A1396">
        <v>1395</v>
      </c>
      <c r="B1396" t="s">
        <v>3360</v>
      </c>
      <c r="C1396">
        <v>0</v>
      </c>
      <c r="J1396">
        <v>1395</v>
      </c>
      <c r="K1396" t="s">
        <v>3360</v>
      </c>
      <c r="L1396">
        <v>0</v>
      </c>
    </row>
    <row r="1397" spans="1:12" x14ac:dyDescent="0.25">
      <c r="A1397">
        <v>1396</v>
      </c>
      <c r="B1397" t="s">
        <v>3361</v>
      </c>
      <c r="C1397">
        <v>0</v>
      </c>
      <c r="J1397">
        <v>1396</v>
      </c>
      <c r="K1397" t="s">
        <v>3361</v>
      </c>
      <c r="L1397">
        <v>0</v>
      </c>
    </row>
    <row r="1398" spans="1:12" x14ac:dyDescent="0.25">
      <c r="A1398">
        <v>1397</v>
      </c>
      <c r="B1398" t="s">
        <v>3362</v>
      </c>
      <c r="C1398">
        <v>0</v>
      </c>
      <c r="J1398">
        <v>1397</v>
      </c>
      <c r="K1398" t="s">
        <v>3362</v>
      </c>
      <c r="L1398">
        <v>0</v>
      </c>
    </row>
    <row r="1399" spans="1:12" x14ac:dyDescent="0.25">
      <c r="A1399">
        <v>1398</v>
      </c>
      <c r="B1399" t="s">
        <v>3363</v>
      </c>
      <c r="C1399">
        <v>0</v>
      </c>
      <c r="J1399">
        <v>1398</v>
      </c>
      <c r="K1399" t="s">
        <v>3363</v>
      </c>
      <c r="L1399">
        <v>0</v>
      </c>
    </row>
    <row r="1400" spans="1:12" x14ac:dyDescent="0.25">
      <c r="A1400">
        <v>1399</v>
      </c>
      <c r="B1400" t="s">
        <v>3364</v>
      </c>
      <c r="C1400">
        <v>0</v>
      </c>
      <c r="J1400">
        <v>1399</v>
      </c>
      <c r="K1400" t="s">
        <v>3364</v>
      </c>
      <c r="L1400">
        <v>0</v>
      </c>
    </row>
    <row r="1401" spans="1:12" x14ac:dyDescent="0.25">
      <c r="A1401">
        <v>1400</v>
      </c>
      <c r="B1401" t="s">
        <v>3365</v>
      </c>
      <c r="C1401">
        <v>0</v>
      </c>
      <c r="J1401">
        <v>1400</v>
      </c>
      <c r="K1401" t="s">
        <v>3365</v>
      </c>
      <c r="L1401">
        <v>0</v>
      </c>
    </row>
    <row r="1402" spans="1:12" x14ac:dyDescent="0.25">
      <c r="A1402">
        <v>1401</v>
      </c>
      <c r="B1402" t="s">
        <v>3366</v>
      </c>
      <c r="C1402">
        <v>0</v>
      </c>
      <c r="J1402">
        <v>1401</v>
      </c>
      <c r="K1402" t="s">
        <v>3366</v>
      </c>
      <c r="L1402">
        <v>0</v>
      </c>
    </row>
    <row r="1403" spans="1:12" x14ac:dyDescent="0.25">
      <c r="A1403">
        <v>1402</v>
      </c>
      <c r="B1403" t="s">
        <v>3367</v>
      </c>
      <c r="C1403">
        <v>0</v>
      </c>
      <c r="J1403">
        <v>1402</v>
      </c>
      <c r="K1403" t="s">
        <v>3367</v>
      </c>
      <c r="L1403">
        <v>0</v>
      </c>
    </row>
    <row r="1404" spans="1:12" x14ac:dyDescent="0.25">
      <c r="A1404">
        <v>1403</v>
      </c>
      <c r="B1404" t="s">
        <v>3368</v>
      </c>
      <c r="C1404">
        <v>0</v>
      </c>
      <c r="J1404">
        <v>1403</v>
      </c>
      <c r="K1404" t="s">
        <v>3368</v>
      </c>
      <c r="L1404">
        <v>0</v>
      </c>
    </row>
    <row r="1405" spans="1:12" x14ac:dyDescent="0.25">
      <c r="A1405">
        <v>1404</v>
      </c>
      <c r="B1405" t="s">
        <v>3369</v>
      </c>
      <c r="C1405">
        <v>0</v>
      </c>
      <c r="J1405">
        <v>1404</v>
      </c>
      <c r="K1405" t="s">
        <v>3369</v>
      </c>
      <c r="L1405">
        <v>0</v>
      </c>
    </row>
    <row r="1406" spans="1:12" x14ac:dyDescent="0.25">
      <c r="A1406">
        <v>1405</v>
      </c>
      <c r="B1406" t="s">
        <v>3370</v>
      </c>
      <c r="C1406">
        <v>0</v>
      </c>
      <c r="J1406">
        <v>1405</v>
      </c>
      <c r="K1406" t="s">
        <v>3370</v>
      </c>
      <c r="L1406">
        <v>0</v>
      </c>
    </row>
    <row r="1407" spans="1:12" x14ac:dyDescent="0.25">
      <c r="A1407">
        <v>1406</v>
      </c>
      <c r="B1407" t="s">
        <v>3371</v>
      </c>
      <c r="C1407">
        <v>0</v>
      </c>
      <c r="J1407">
        <v>1406</v>
      </c>
      <c r="K1407" t="s">
        <v>3371</v>
      </c>
      <c r="L1407">
        <v>0</v>
      </c>
    </row>
    <row r="1408" spans="1:12" x14ac:dyDescent="0.25">
      <c r="A1408">
        <v>1407</v>
      </c>
      <c r="B1408" t="s">
        <v>3372</v>
      </c>
      <c r="C1408">
        <v>0</v>
      </c>
      <c r="J1408">
        <v>1407</v>
      </c>
      <c r="K1408" t="s">
        <v>3372</v>
      </c>
      <c r="L1408">
        <v>0</v>
      </c>
    </row>
    <row r="1409" spans="1:12" x14ac:dyDescent="0.25">
      <c r="A1409">
        <v>1408</v>
      </c>
      <c r="B1409" t="s">
        <v>3373</v>
      </c>
      <c r="C1409">
        <v>0</v>
      </c>
      <c r="J1409">
        <v>1408</v>
      </c>
      <c r="K1409" t="s">
        <v>3373</v>
      </c>
      <c r="L1409">
        <v>0</v>
      </c>
    </row>
    <row r="1410" spans="1:12" x14ac:dyDescent="0.25">
      <c r="A1410">
        <v>1409</v>
      </c>
      <c r="B1410" t="s">
        <v>3374</v>
      </c>
      <c r="C1410">
        <v>0</v>
      </c>
      <c r="J1410">
        <v>1409</v>
      </c>
      <c r="K1410" t="s">
        <v>3374</v>
      </c>
      <c r="L1410">
        <v>0</v>
      </c>
    </row>
    <row r="1411" spans="1:12" x14ac:dyDescent="0.25">
      <c r="A1411">
        <v>1410</v>
      </c>
      <c r="B1411" t="s">
        <v>3375</v>
      </c>
      <c r="C1411">
        <v>0</v>
      </c>
      <c r="J1411">
        <v>1410</v>
      </c>
      <c r="K1411" t="s">
        <v>3375</v>
      </c>
      <c r="L1411">
        <v>0</v>
      </c>
    </row>
    <row r="1412" spans="1:12" x14ac:dyDescent="0.25">
      <c r="A1412">
        <v>1411</v>
      </c>
      <c r="B1412" t="s">
        <v>3376</v>
      </c>
      <c r="C1412">
        <v>0</v>
      </c>
      <c r="J1412">
        <v>1411</v>
      </c>
      <c r="K1412" t="s">
        <v>3376</v>
      </c>
      <c r="L1412">
        <v>0</v>
      </c>
    </row>
    <row r="1413" spans="1:12" x14ac:dyDescent="0.25">
      <c r="A1413">
        <v>1412</v>
      </c>
      <c r="B1413" t="s">
        <v>3377</v>
      </c>
      <c r="C1413">
        <v>0</v>
      </c>
      <c r="J1413">
        <v>1412</v>
      </c>
      <c r="K1413" t="s">
        <v>3377</v>
      </c>
      <c r="L1413">
        <v>0</v>
      </c>
    </row>
    <row r="1414" spans="1:12" x14ac:dyDescent="0.25">
      <c r="A1414">
        <v>1413</v>
      </c>
      <c r="B1414" t="s">
        <v>3378</v>
      </c>
      <c r="C1414">
        <v>0</v>
      </c>
      <c r="J1414">
        <v>1413</v>
      </c>
      <c r="K1414" t="s">
        <v>3378</v>
      </c>
      <c r="L1414">
        <v>0</v>
      </c>
    </row>
    <row r="1415" spans="1:12" x14ac:dyDescent="0.25">
      <c r="A1415">
        <v>1414</v>
      </c>
      <c r="B1415" t="s">
        <v>3379</v>
      </c>
      <c r="C1415">
        <v>0</v>
      </c>
      <c r="J1415">
        <v>1414</v>
      </c>
      <c r="K1415" t="s">
        <v>3379</v>
      </c>
      <c r="L1415">
        <v>0</v>
      </c>
    </row>
    <row r="1416" spans="1:12" x14ac:dyDescent="0.25">
      <c r="A1416">
        <v>1415</v>
      </c>
      <c r="B1416" t="s">
        <v>3380</v>
      </c>
      <c r="C1416">
        <v>0</v>
      </c>
      <c r="J1416">
        <v>1415</v>
      </c>
      <c r="K1416" t="s">
        <v>3380</v>
      </c>
      <c r="L1416">
        <v>0</v>
      </c>
    </row>
    <row r="1417" spans="1:12" x14ac:dyDescent="0.25">
      <c r="A1417">
        <v>1416</v>
      </c>
      <c r="B1417" t="s">
        <v>3381</v>
      </c>
      <c r="C1417">
        <v>0</v>
      </c>
      <c r="J1417">
        <v>1416</v>
      </c>
      <c r="K1417" t="s">
        <v>3381</v>
      </c>
      <c r="L1417">
        <v>0</v>
      </c>
    </row>
    <row r="1418" spans="1:12" x14ac:dyDescent="0.25">
      <c r="A1418">
        <v>1417</v>
      </c>
      <c r="B1418" t="s">
        <v>3382</v>
      </c>
      <c r="C1418">
        <v>0</v>
      </c>
      <c r="J1418">
        <v>1417</v>
      </c>
      <c r="K1418" t="s">
        <v>3382</v>
      </c>
      <c r="L1418">
        <v>0</v>
      </c>
    </row>
    <row r="1419" spans="1:12" x14ac:dyDescent="0.25">
      <c r="A1419">
        <v>1418</v>
      </c>
      <c r="B1419" t="s">
        <v>3383</v>
      </c>
      <c r="C1419">
        <v>0</v>
      </c>
      <c r="J1419">
        <v>1418</v>
      </c>
      <c r="K1419" t="s">
        <v>3383</v>
      </c>
      <c r="L1419">
        <v>0</v>
      </c>
    </row>
    <row r="1420" spans="1:12" x14ac:dyDescent="0.25">
      <c r="A1420">
        <v>1419</v>
      </c>
      <c r="B1420" t="s">
        <v>3384</v>
      </c>
      <c r="C1420">
        <v>0</v>
      </c>
      <c r="J1420">
        <v>1419</v>
      </c>
      <c r="K1420" t="s">
        <v>3384</v>
      </c>
      <c r="L1420">
        <v>0</v>
      </c>
    </row>
    <row r="1421" spans="1:12" x14ac:dyDescent="0.25">
      <c r="A1421">
        <v>1420</v>
      </c>
      <c r="B1421" t="s">
        <v>3385</v>
      </c>
      <c r="C1421">
        <v>0</v>
      </c>
      <c r="J1421">
        <v>1420</v>
      </c>
      <c r="K1421" t="s">
        <v>3385</v>
      </c>
      <c r="L1421">
        <v>0</v>
      </c>
    </row>
    <row r="1422" spans="1:12" x14ac:dyDescent="0.25">
      <c r="A1422">
        <v>1421</v>
      </c>
      <c r="B1422" t="s">
        <v>3386</v>
      </c>
      <c r="C1422">
        <v>0</v>
      </c>
      <c r="J1422">
        <v>1421</v>
      </c>
      <c r="K1422" t="s">
        <v>3386</v>
      </c>
      <c r="L1422">
        <v>0</v>
      </c>
    </row>
    <row r="1423" spans="1:12" x14ac:dyDescent="0.25">
      <c r="A1423">
        <v>1422</v>
      </c>
      <c r="B1423" t="s">
        <v>3387</v>
      </c>
      <c r="C1423">
        <v>0</v>
      </c>
      <c r="J1423">
        <v>1422</v>
      </c>
      <c r="K1423" t="s">
        <v>3387</v>
      </c>
      <c r="L1423">
        <v>0</v>
      </c>
    </row>
    <row r="1424" spans="1:12" x14ac:dyDescent="0.25">
      <c r="A1424">
        <v>1423</v>
      </c>
      <c r="B1424" t="s">
        <v>3388</v>
      </c>
      <c r="C1424">
        <v>0</v>
      </c>
      <c r="J1424">
        <v>1423</v>
      </c>
      <c r="K1424" t="s">
        <v>3388</v>
      </c>
      <c r="L1424">
        <v>0</v>
      </c>
    </row>
    <row r="1425" spans="1:12" x14ac:dyDescent="0.25">
      <c r="A1425">
        <v>1424</v>
      </c>
      <c r="B1425" t="s">
        <v>3389</v>
      </c>
      <c r="C1425">
        <v>0</v>
      </c>
      <c r="J1425">
        <v>1424</v>
      </c>
      <c r="K1425" t="s">
        <v>3389</v>
      </c>
      <c r="L1425">
        <v>0</v>
      </c>
    </row>
    <row r="1426" spans="1:12" x14ac:dyDescent="0.25">
      <c r="A1426">
        <v>1425</v>
      </c>
      <c r="B1426" t="s">
        <v>3390</v>
      </c>
      <c r="C1426">
        <v>0</v>
      </c>
      <c r="J1426">
        <v>1425</v>
      </c>
      <c r="K1426" t="s">
        <v>3390</v>
      </c>
      <c r="L1426">
        <v>0</v>
      </c>
    </row>
    <row r="1427" spans="1:12" x14ac:dyDescent="0.25">
      <c r="A1427">
        <v>1426</v>
      </c>
      <c r="B1427" t="s">
        <v>3391</v>
      </c>
      <c r="C1427">
        <v>0</v>
      </c>
      <c r="J1427">
        <v>1426</v>
      </c>
      <c r="K1427" t="s">
        <v>3391</v>
      </c>
      <c r="L1427">
        <v>0</v>
      </c>
    </row>
    <row r="1428" spans="1:12" x14ac:dyDescent="0.25">
      <c r="A1428">
        <v>1427</v>
      </c>
      <c r="B1428" t="s">
        <v>3392</v>
      </c>
      <c r="C1428">
        <v>0</v>
      </c>
      <c r="J1428">
        <v>1427</v>
      </c>
      <c r="K1428" t="s">
        <v>3392</v>
      </c>
      <c r="L1428">
        <v>0</v>
      </c>
    </row>
    <row r="1429" spans="1:12" x14ac:dyDescent="0.25">
      <c r="A1429">
        <v>1428</v>
      </c>
      <c r="B1429" t="s">
        <v>3393</v>
      </c>
      <c r="C1429">
        <v>0</v>
      </c>
      <c r="J1429">
        <v>1428</v>
      </c>
      <c r="K1429" t="s">
        <v>3393</v>
      </c>
      <c r="L1429">
        <v>0</v>
      </c>
    </row>
    <row r="1430" spans="1:12" x14ac:dyDescent="0.25">
      <c r="A1430">
        <v>1429</v>
      </c>
      <c r="B1430" t="s">
        <v>3394</v>
      </c>
      <c r="C1430">
        <v>0</v>
      </c>
      <c r="J1430">
        <v>1429</v>
      </c>
      <c r="K1430" t="s">
        <v>3394</v>
      </c>
      <c r="L1430">
        <v>0</v>
      </c>
    </row>
    <row r="1431" spans="1:12" x14ac:dyDescent="0.25">
      <c r="A1431">
        <v>1430</v>
      </c>
      <c r="B1431" t="s">
        <v>3395</v>
      </c>
      <c r="C1431">
        <v>0</v>
      </c>
      <c r="J1431">
        <v>1430</v>
      </c>
      <c r="K1431" t="s">
        <v>3395</v>
      </c>
      <c r="L1431">
        <v>0</v>
      </c>
    </row>
    <row r="1432" spans="1:12" x14ac:dyDescent="0.25">
      <c r="A1432">
        <v>1431</v>
      </c>
      <c r="B1432" t="s">
        <v>3396</v>
      </c>
      <c r="C1432">
        <v>0</v>
      </c>
      <c r="J1432">
        <v>1431</v>
      </c>
      <c r="K1432" t="s">
        <v>3396</v>
      </c>
      <c r="L1432">
        <v>0</v>
      </c>
    </row>
    <row r="1433" spans="1:12" x14ac:dyDescent="0.25">
      <c r="A1433">
        <v>1432</v>
      </c>
      <c r="B1433" t="s">
        <v>3397</v>
      </c>
      <c r="C1433">
        <v>0</v>
      </c>
      <c r="J1433">
        <v>1432</v>
      </c>
      <c r="K1433" t="s">
        <v>3397</v>
      </c>
      <c r="L1433">
        <v>0</v>
      </c>
    </row>
    <row r="1434" spans="1:12" x14ac:dyDescent="0.25">
      <c r="A1434">
        <v>1433</v>
      </c>
      <c r="B1434" t="s">
        <v>3398</v>
      </c>
      <c r="C1434">
        <v>0</v>
      </c>
      <c r="J1434">
        <v>1433</v>
      </c>
      <c r="K1434" t="s">
        <v>3398</v>
      </c>
      <c r="L1434">
        <v>0</v>
      </c>
    </row>
    <row r="1435" spans="1:12" x14ac:dyDescent="0.25">
      <c r="A1435">
        <v>1434</v>
      </c>
      <c r="B1435" t="s">
        <v>3399</v>
      </c>
      <c r="C1435">
        <v>0</v>
      </c>
      <c r="J1435">
        <v>1434</v>
      </c>
      <c r="K1435" t="s">
        <v>3399</v>
      </c>
      <c r="L1435">
        <v>0</v>
      </c>
    </row>
    <row r="1436" spans="1:12" x14ac:dyDescent="0.25">
      <c r="A1436">
        <v>1435</v>
      </c>
      <c r="B1436" t="s">
        <v>3400</v>
      </c>
      <c r="C1436">
        <v>0</v>
      </c>
      <c r="J1436">
        <v>1435</v>
      </c>
      <c r="K1436" t="s">
        <v>3400</v>
      </c>
      <c r="L1436">
        <v>0</v>
      </c>
    </row>
    <row r="1437" spans="1:12" x14ac:dyDescent="0.25">
      <c r="A1437">
        <v>1436</v>
      </c>
      <c r="B1437" t="s">
        <v>3401</v>
      </c>
      <c r="C1437">
        <v>0</v>
      </c>
      <c r="J1437">
        <v>1436</v>
      </c>
      <c r="K1437" t="s">
        <v>3401</v>
      </c>
      <c r="L1437">
        <v>0</v>
      </c>
    </row>
    <row r="1438" spans="1:12" x14ac:dyDescent="0.25">
      <c r="A1438">
        <v>1437</v>
      </c>
      <c r="B1438" t="s">
        <v>3402</v>
      </c>
      <c r="C1438">
        <v>0</v>
      </c>
      <c r="J1438">
        <v>1437</v>
      </c>
      <c r="K1438" t="s">
        <v>3402</v>
      </c>
      <c r="L1438">
        <v>0</v>
      </c>
    </row>
    <row r="1439" spans="1:12" x14ac:dyDescent="0.25">
      <c r="A1439">
        <v>1438</v>
      </c>
      <c r="B1439" t="s">
        <v>3403</v>
      </c>
      <c r="C1439">
        <v>0</v>
      </c>
      <c r="J1439">
        <v>1438</v>
      </c>
      <c r="K1439" t="s">
        <v>3403</v>
      </c>
      <c r="L1439">
        <v>0</v>
      </c>
    </row>
    <row r="1440" spans="1:12" x14ac:dyDescent="0.25">
      <c r="A1440">
        <v>1439</v>
      </c>
      <c r="B1440" t="s">
        <v>3404</v>
      </c>
      <c r="C1440">
        <v>0</v>
      </c>
      <c r="J1440">
        <v>1439</v>
      </c>
      <c r="K1440" t="s">
        <v>3404</v>
      </c>
      <c r="L1440">
        <v>0</v>
      </c>
    </row>
    <row r="1441" spans="1:12" x14ac:dyDescent="0.25">
      <c r="A1441">
        <v>1440</v>
      </c>
      <c r="B1441" t="s">
        <v>3405</v>
      </c>
      <c r="C1441">
        <v>0</v>
      </c>
      <c r="J1441">
        <v>1440</v>
      </c>
      <c r="K1441" t="s">
        <v>3405</v>
      </c>
      <c r="L1441">
        <v>0</v>
      </c>
    </row>
    <row r="1442" spans="1:12" x14ac:dyDescent="0.25">
      <c r="A1442">
        <v>1441</v>
      </c>
      <c r="B1442" t="s">
        <v>3406</v>
      </c>
      <c r="C1442">
        <v>0</v>
      </c>
      <c r="J1442">
        <v>1441</v>
      </c>
      <c r="K1442" t="s">
        <v>3406</v>
      </c>
      <c r="L1442">
        <v>0</v>
      </c>
    </row>
    <row r="1443" spans="1:12" x14ac:dyDescent="0.25">
      <c r="A1443">
        <v>1442</v>
      </c>
      <c r="B1443" t="s">
        <v>3407</v>
      </c>
      <c r="C1443">
        <v>56</v>
      </c>
      <c r="J1443">
        <v>1442</v>
      </c>
      <c r="K1443" t="s">
        <v>3407</v>
      </c>
      <c r="L1443">
        <v>56</v>
      </c>
    </row>
    <row r="1444" spans="1:12" x14ac:dyDescent="0.25">
      <c r="A1444">
        <v>1443</v>
      </c>
      <c r="B1444" t="s">
        <v>3408</v>
      </c>
      <c r="C1444">
        <v>0</v>
      </c>
      <c r="J1444">
        <v>1443</v>
      </c>
      <c r="K1444" t="s">
        <v>3408</v>
      </c>
      <c r="L1444">
        <v>0</v>
      </c>
    </row>
    <row r="1445" spans="1:12" x14ac:dyDescent="0.25">
      <c r="A1445">
        <v>1444</v>
      </c>
      <c r="B1445" t="s">
        <v>3409</v>
      </c>
      <c r="C1445">
        <v>0</v>
      </c>
      <c r="J1445">
        <v>1444</v>
      </c>
      <c r="K1445" t="s">
        <v>3409</v>
      </c>
      <c r="L1445">
        <v>0</v>
      </c>
    </row>
    <row r="1446" spans="1:12" x14ac:dyDescent="0.25">
      <c r="A1446">
        <v>1445</v>
      </c>
      <c r="B1446" t="s">
        <v>3410</v>
      </c>
      <c r="C1446">
        <v>0</v>
      </c>
      <c r="J1446">
        <v>1445</v>
      </c>
      <c r="K1446" t="s">
        <v>3410</v>
      </c>
      <c r="L1446">
        <v>0</v>
      </c>
    </row>
    <row r="1447" spans="1:12" x14ac:dyDescent="0.25">
      <c r="A1447">
        <v>1446</v>
      </c>
      <c r="B1447" t="s">
        <v>3411</v>
      </c>
      <c r="C1447">
        <v>0</v>
      </c>
      <c r="J1447">
        <v>1446</v>
      </c>
      <c r="K1447" t="s">
        <v>3411</v>
      </c>
      <c r="L1447">
        <v>0</v>
      </c>
    </row>
    <row r="1448" spans="1:12" x14ac:dyDescent="0.25">
      <c r="A1448">
        <v>1447</v>
      </c>
      <c r="B1448" t="s">
        <v>3412</v>
      </c>
      <c r="C1448">
        <v>0</v>
      </c>
      <c r="J1448">
        <v>1447</v>
      </c>
      <c r="K1448" t="s">
        <v>3412</v>
      </c>
      <c r="L1448">
        <v>0</v>
      </c>
    </row>
    <row r="1449" spans="1:12" x14ac:dyDescent="0.25">
      <c r="A1449">
        <v>1448</v>
      </c>
      <c r="B1449" t="s">
        <v>3413</v>
      </c>
      <c r="C1449">
        <v>0</v>
      </c>
      <c r="J1449">
        <v>1448</v>
      </c>
      <c r="K1449" t="s">
        <v>3413</v>
      </c>
      <c r="L1449">
        <v>0</v>
      </c>
    </row>
    <row r="1450" spans="1:12" x14ac:dyDescent="0.25">
      <c r="A1450">
        <v>1449</v>
      </c>
      <c r="B1450" t="s">
        <v>3414</v>
      </c>
      <c r="C1450">
        <v>0</v>
      </c>
      <c r="J1450">
        <v>1449</v>
      </c>
      <c r="K1450" t="s">
        <v>3414</v>
      </c>
      <c r="L1450">
        <v>0</v>
      </c>
    </row>
    <row r="1451" spans="1:12" x14ac:dyDescent="0.25">
      <c r="A1451">
        <v>1450</v>
      </c>
      <c r="B1451" t="s">
        <v>3415</v>
      </c>
      <c r="C1451">
        <v>0</v>
      </c>
      <c r="J1451">
        <v>1450</v>
      </c>
      <c r="K1451" t="s">
        <v>3415</v>
      </c>
      <c r="L1451">
        <v>0</v>
      </c>
    </row>
    <row r="1452" spans="1:12" x14ac:dyDescent="0.25">
      <c r="A1452">
        <v>1451</v>
      </c>
      <c r="B1452" t="s">
        <v>3416</v>
      </c>
      <c r="C1452">
        <v>0</v>
      </c>
      <c r="J1452">
        <v>1451</v>
      </c>
      <c r="K1452" t="s">
        <v>3416</v>
      </c>
      <c r="L1452">
        <v>0</v>
      </c>
    </row>
    <row r="1453" spans="1:12" x14ac:dyDescent="0.25">
      <c r="A1453">
        <v>1452</v>
      </c>
      <c r="B1453" t="s">
        <v>3417</v>
      </c>
      <c r="C1453">
        <v>0</v>
      </c>
      <c r="J1453">
        <v>1452</v>
      </c>
      <c r="K1453" t="s">
        <v>3417</v>
      </c>
      <c r="L1453">
        <v>0</v>
      </c>
    </row>
    <row r="1454" spans="1:12" x14ac:dyDescent="0.25">
      <c r="A1454">
        <v>1453</v>
      </c>
      <c r="B1454" t="s">
        <v>3418</v>
      </c>
      <c r="C1454">
        <v>8</v>
      </c>
      <c r="J1454">
        <v>1453</v>
      </c>
      <c r="K1454" t="s">
        <v>3418</v>
      </c>
      <c r="L1454">
        <v>8</v>
      </c>
    </row>
    <row r="1455" spans="1:12" x14ac:dyDescent="0.25">
      <c r="A1455">
        <v>1454</v>
      </c>
      <c r="B1455" t="s">
        <v>3419</v>
      </c>
      <c r="C1455">
        <v>0</v>
      </c>
      <c r="J1455">
        <v>1454</v>
      </c>
      <c r="K1455" t="s">
        <v>3419</v>
      </c>
      <c r="L1455">
        <v>0</v>
      </c>
    </row>
    <row r="1456" spans="1:12" x14ac:dyDescent="0.25">
      <c r="A1456">
        <v>1455</v>
      </c>
      <c r="B1456" t="s">
        <v>3420</v>
      </c>
      <c r="C1456">
        <v>0</v>
      </c>
      <c r="J1456">
        <v>1455</v>
      </c>
      <c r="K1456" t="s">
        <v>3420</v>
      </c>
      <c r="L1456">
        <v>0</v>
      </c>
    </row>
    <row r="1457" spans="1:12" x14ac:dyDescent="0.25">
      <c r="A1457">
        <v>1456</v>
      </c>
      <c r="B1457" t="s">
        <v>3421</v>
      </c>
      <c r="C1457">
        <v>0</v>
      </c>
      <c r="J1457">
        <v>1456</v>
      </c>
      <c r="K1457" t="s">
        <v>3421</v>
      </c>
      <c r="L1457">
        <v>0</v>
      </c>
    </row>
    <row r="1458" spans="1:12" x14ac:dyDescent="0.25">
      <c r="A1458">
        <v>1457</v>
      </c>
      <c r="B1458" t="s">
        <v>3422</v>
      </c>
      <c r="C1458">
        <v>0</v>
      </c>
      <c r="J1458">
        <v>1457</v>
      </c>
      <c r="K1458" t="s">
        <v>3422</v>
      </c>
      <c r="L1458">
        <v>0</v>
      </c>
    </row>
    <row r="1459" spans="1:12" x14ac:dyDescent="0.25">
      <c r="A1459">
        <v>1458</v>
      </c>
      <c r="B1459" t="s">
        <v>3423</v>
      </c>
      <c r="C1459">
        <v>0</v>
      </c>
      <c r="J1459">
        <v>1458</v>
      </c>
      <c r="K1459" t="s">
        <v>3423</v>
      </c>
      <c r="L1459">
        <v>0</v>
      </c>
    </row>
    <row r="1460" spans="1:12" x14ac:dyDescent="0.25">
      <c r="A1460">
        <v>1459</v>
      </c>
      <c r="B1460" t="s">
        <v>3424</v>
      </c>
      <c r="C1460">
        <v>0</v>
      </c>
      <c r="J1460">
        <v>1459</v>
      </c>
      <c r="K1460" t="s">
        <v>3424</v>
      </c>
      <c r="L1460">
        <v>0</v>
      </c>
    </row>
    <row r="1461" spans="1:12" x14ac:dyDescent="0.25">
      <c r="A1461">
        <v>1460</v>
      </c>
      <c r="B1461" t="s">
        <v>3425</v>
      </c>
      <c r="C1461">
        <v>0</v>
      </c>
      <c r="J1461">
        <v>1460</v>
      </c>
      <c r="K1461" t="s">
        <v>3425</v>
      </c>
      <c r="L1461">
        <v>0</v>
      </c>
    </row>
    <row r="1462" spans="1:12" x14ac:dyDescent="0.25">
      <c r="A1462">
        <v>1461</v>
      </c>
      <c r="B1462" t="s">
        <v>3426</v>
      </c>
      <c r="C1462">
        <v>11</v>
      </c>
      <c r="J1462">
        <v>1461</v>
      </c>
      <c r="K1462" t="s">
        <v>3426</v>
      </c>
      <c r="L1462">
        <v>11</v>
      </c>
    </row>
    <row r="1463" spans="1:12" x14ac:dyDescent="0.25">
      <c r="A1463">
        <v>1462</v>
      </c>
      <c r="B1463" t="s">
        <v>3427</v>
      </c>
      <c r="C1463">
        <v>0</v>
      </c>
      <c r="J1463">
        <v>1462</v>
      </c>
      <c r="K1463" t="s">
        <v>3427</v>
      </c>
      <c r="L1463">
        <v>0</v>
      </c>
    </row>
    <row r="1464" spans="1:12" x14ac:dyDescent="0.25">
      <c r="A1464">
        <v>1463</v>
      </c>
      <c r="B1464" t="s">
        <v>3428</v>
      </c>
      <c r="C1464">
        <v>0</v>
      </c>
      <c r="J1464">
        <v>1463</v>
      </c>
      <c r="K1464" t="s">
        <v>3428</v>
      </c>
      <c r="L1464">
        <v>0</v>
      </c>
    </row>
    <row r="1465" spans="1:12" x14ac:dyDescent="0.25">
      <c r="A1465">
        <v>1464</v>
      </c>
      <c r="B1465" t="s">
        <v>3429</v>
      </c>
      <c r="C1465">
        <v>0</v>
      </c>
      <c r="J1465">
        <v>1464</v>
      </c>
      <c r="K1465" t="s">
        <v>3429</v>
      </c>
      <c r="L1465">
        <v>0</v>
      </c>
    </row>
    <row r="1466" spans="1:12" x14ac:dyDescent="0.25">
      <c r="A1466">
        <v>1465</v>
      </c>
      <c r="B1466" t="s">
        <v>3430</v>
      </c>
      <c r="C1466">
        <v>0</v>
      </c>
      <c r="J1466">
        <v>1465</v>
      </c>
      <c r="K1466" t="s">
        <v>3430</v>
      </c>
      <c r="L1466">
        <v>0</v>
      </c>
    </row>
    <row r="1467" spans="1:12" x14ac:dyDescent="0.25">
      <c r="A1467">
        <v>1466</v>
      </c>
      <c r="B1467" t="s">
        <v>3431</v>
      </c>
      <c r="C1467">
        <v>72</v>
      </c>
      <c r="J1467">
        <v>1466</v>
      </c>
      <c r="K1467" t="s">
        <v>3431</v>
      </c>
      <c r="L1467">
        <v>72</v>
      </c>
    </row>
    <row r="1468" spans="1:12" x14ac:dyDescent="0.25">
      <c r="A1468">
        <v>1467</v>
      </c>
      <c r="B1468" t="s">
        <v>3432</v>
      </c>
      <c r="C1468">
        <v>34</v>
      </c>
      <c r="J1468">
        <v>1467</v>
      </c>
      <c r="K1468" t="s">
        <v>3432</v>
      </c>
      <c r="L1468">
        <v>34</v>
      </c>
    </row>
    <row r="1469" spans="1:12" x14ac:dyDescent="0.25">
      <c r="A1469">
        <v>1468</v>
      </c>
      <c r="B1469" t="s">
        <v>3433</v>
      </c>
      <c r="C1469">
        <v>32</v>
      </c>
      <c r="J1469">
        <v>1468</v>
      </c>
      <c r="K1469" t="s">
        <v>3433</v>
      </c>
      <c r="L1469">
        <v>32</v>
      </c>
    </row>
    <row r="1470" spans="1:12" x14ac:dyDescent="0.25">
      <c r="A1470">
        <v>1469</v>
      </c>
      <c r="B1470" t="s">
        <v>3434</v>
      </c>
      <c r="C1470">
        <v>32</v>
      </c>
      <c r="J1470">
        <v>1469</v>
      </c>
      <c r="K1470" t="s">
        <v>3434</v>
      </c>
      <c r="L1470">
        <v>32</v>
      </c>
    </row>
    <row r="1471" spans="1:12" x14ac:dyDescent="0.25">
      <c r="A1471">
        <v>1470</v>
      </c>
      <c r="B1471" t="s">
        <v>3435</v>
      </c>
      <c r="C1471">
        <v>41</v>
      </c>
      <c r="J1471">
        <v>1470</v>
      </c>
      <c r="K1471" t="s">
        <v>3435</v>
      </c>
      <c r="L1471">
        <v>41</v>
      </c>
    </row>
    <row r="1472" spans="1:12" x14ac:dyDescent="0.25">
      <c r="A1472">
        <v>1471</v>
      </c>
      <c r="B1472" t="s">
        <v>3436</v>
      </c>
      <c r="C1472">
        <v>0</v>
      </c>
      <c r="J1472">
        <v>1471</v>
      </c>
      <c r="K1472" t="s">
        <v>3436</v>
      </c>
      <c r="L1472">
        <v>0</v>
      </c>
    </row>
    <row r="1473" spans="1:12" x14ac:dyDescent="0.25">
      <c r="A1473">
        <v>1472</v>
      </c>
      <c r="B1473" t="s">
        <v>3437</v>
      </c>
      <c r="C1473">
        <v>0</v>
      </c>
      <c r="J1473">
        <v>1472</v>
      </c>
      <c r="K1473" t="s">
        <v>3437</v>
      </c>
      <c r="L1473">
        <v>0</v>
      </c>
    </row>
    <row r="1474" spans="1:12" x14ac:dyDescent="0.25">
      <c r="A1474">
        <v>1473</v>
      </c>
      <c r="B1474" t="s">
        <v>3438</v>
      </c>
      <c r="C1474">
        <v>43</v>
      </c>
      <c r="J1474">
        <v>1473</v>
      </c>
      <c r="K1474" t="s">
        <v>3438</v>
      </c>
      <c r="L1474">
        <v>43</v>
      </c>
    </row>
    <row r="1475" spans="1:12" x14ac:dyDescent="0.25">
      <c r="A1475">
        <v>1474</v>
      </c>
      <c r="B1475" t="s">
        <v>3439</v>
      </c>
      <c r="C1475">
        <v>35</v>
      </c>
      <c r="J1475">
        <v>1474</v>
      </c>
      <c r="K1475" t="s">
        <v>3439</v>
      </c>
      <c r="L1475">
        <v>35</v>
      </c>
    </row>
    <row r="1476" spans="1:12" x14ac:dyDescent="0.25">
      <c r="A1476">
        <v>1475</v>
      </c>
      <c r="B1476" t="s">
        <v>3440</v>
      </c>
      <c r="C1476">
        <v>36</v>
      </c>
      <c r="J1476">
        <v>1475</v>
      </c>
      <c r="K1476" t="s">
        <v>3440</v>
      </c>
      <c r="L1476">
        <v>36</v>
      </c>
    </row>
    <row r="1477" spans="1:12" x14ac:dyDescent="0.25">
      <c r="A1477">
        <v>1476</v>
      </c>
      <c r="B1477" t="s">
        <v>3441</v>
      </c>
      <c r="C1477">
        <v>41</v>
      </c>
      <c r="J1477">
        <v>1476</v>
      </c>
      <c r="K1477" t="s">
        <v>3441</v>
      </c>
      <c r="L1477">
        <v>41</v>
      </c>
    </row>
    <row r="1478" spans="1:12" x14ac:dyDescent="0.25">
      <c r="A1478">
        <v>1477</v>
      </c>
      <c r="B1478" t="s">
        <v>3442</v>
      </c>
      <c r="C1478">
        <v>52</v>
      </c>
      <c r="J1478">
        <v>1477</v>
      </c>
      <c r="K1478" t="s">
        <v>3442</v>
      </c>
      <c r="L1478">
        <v>52</v>
      </c>
    </row>
    <row r="1479" spans="1:12" x14ac:dyDescent="0.25">
      <c r="A1479">
        <v>1478</v>
      </c>
      <c r="B1479" t="s">
        <v>3443</v>
      </c>
      <c r="C1479">
        <v>47</v>
      </c>
      <c r="J1479">
        <v>1478</v>
      </c>
      <c r="K1479" t="s">
        <v>3443</v>
      </c>
      <c r="L1479">
        <v>47</v>
      </c>
    </row>
    <row r="1480" spans="1:12" x14ac:dyDescent="0.25">
      <c r="A1480">
        <v>1479</v>
      </c>
      <c r="B1480" t="s">
        <v>3444</v>
      </c>
      <c r="C1480">
        <v>65</v>
      </c>
      <c r="J1480">
        <v>1479</v>
      </c>
      <c r="K1480" t="s">
        <v>3444</v>
      </c>
      <c r="L1480">
        <v>65</v>
      </c>
    </row>
    <row r="1481" spans="1:12" x14ac:dyDescent="0.25">
      <c r="A1481">
        <v>1480</v>
      </c>
      <c r="B1481" t="s">
        <v>3445</v>
      </c>
      <c r="C1481">
        <v>52</v>
      </c>
      <c r="J1481">
        <v>1480</v>
      </c>
      <c r="K1481" t="s">
        <v>3445</v>
      </c>
      <c r="L1481">
        <v>52</v>
      </c>
    </row>
    <row r="1482" spans="1:12" x14ac:dyDescent="0.25">
      <c r="A1482">
        <v>1481</v>
      </c>
      <c r="B1482" t="s">
        <v>3446</v>
      </c>
      <c r="C1482">
        <v>75</v>
      </c>
      <c r="J1482">
        <v>1481</v>
      </c>
      <c r="K1482" t="s">
        <v>3446</v>
      </c>
      <c r="L1482">
        <v>75</v>
      </c>
    </row>
    <row r="1483" spans="1:12" x14ac:dyDescent="0.25">
      <c r="A1483">
        <v>1482</v>
      </c>
      <c r="B1483" t="s">
        <v>3447</v>
      </c>
      <c r="C1483">
        <v>34</v>
      </c>
      <c r="J1483">
        <v>1482</v>
      </c>
      <c r="K1483" t="s">
        <v>3447</v>
      </c>
      <c r="L1483">
        <v>34</v>
      </c>
    </row>
    <row r="1484" spans="1:12" x14ac:dyDescent="0.25">
      <c r="A1484">
        <v>1483</v>
      </c>
      <c r="B1484" t="s">
        <v>3448</v>
      </c>
      <c r="C1484">
        <v>30</v>
      </c>
      <c r="J1484">
        <v>1483</v>
      </c>
      <c r="K1484" t="s">
        <v>3448</v>
      </c>
      <c r="L1484">
        <v>30</v>
      </c>
    </row>
    <row r="1485" spans="1:12" x14ac:dyDescent="0.25">
      <c r="A1485">
        <v>1484</v>
      </c>
      <c r="B1485" t="s">
        <v>3449</v>
      </c>
      <c r="C1485">
        <v>30</v>
      </c>
      <c r="J1485">
        <v>1484</v>
      </c>
      <c r="K1485" t="s">
        <v>3449</v>
      </c>
      <c r="L1485">
        <v>30</v>
      </c>
    </row>
    <row r="1486" spans="1:12" x14ac:dyDescent="0.25">
      <c r="A1486">
        <v>1485</v>
      </c>
      <c r="B1486" t="s">
        <v>3450</v>
      </c>
      <c r="C1486">
        <v>40</v>
      </c>
      <c r="J1486">
        <v>1485</v>
      </c>
      <c r="K1486" t="s">
        <v>3450</v>
      </c>
      <c r="L1486">
        <v>40</v>
      </c>
    </row>
    <row r="1487" spans="1:12" x14ac:dyDescent="0.25">
      <c r="A1487">
        <v>1486</v>
      </c>
      <c r="B1487" t="s">
        <v>3451</v>
      </c>
      <c r="C1487">
        <v>35</v>
      </c>
      <c r="J1487">
        <v>1486</v>
      </c>
      <c r="K1487" t="s">
        <v>3451</v>
      </c>
      <c r="L1487">
        <v>35</v>
      </c>
    </row>
    <row r="1488" spans="1:12" x14ac:dyDescent="0.25">
      <c r="A1488">
        <v>1487</v>
      </c>
      <c r="B1488" t="s">
        <v>3452</v>
      </c>
      <c r="C1488">
        <v>48</v>
      </c>
      <c r="J1488">
        <v>1487</v>
      </c>
      <c r="K1488" t="s">
        <v>3452</v>
      </c>
      <c r="L1488">
        <v>48</v>
      </c>
    </row>
    <row r="1489" spans="1:12" x14ac:dyDescent="0.25">
      <c r="A1489">
        <v>1488</v>
      </c>
      <c r="B1489" t="s">
        <v>3453</v>
      </c>
      <c r="C1489">
        <v>37</v>
      </c>
      <c r="J1489">
        <v>1488</v>
      </c>
      <c r="K1489" t="s">
        <v>3453</v>
      </c>
      <c r="L1489">
        <v>37</v>
      </c>
    </row>
    <row r="1490" spans="1:12" x14ac:dyDescent="0.25">
      <c r="A1490">
        <v>1489</v>
      </c>
      <c r="B1490" t="s">
        <v>3454</v>
      </c>
      <c r="C1490">
        <v>51</v>
      </c>
      <c r="J1490">
        <v>1489</v>
      </c>
      <c r="K1490" t="s">
        <v>3454</v>
      </c>
      <c r="L1490">
        <v>51</v>
      </c>
    </row>
    <row r="1491" spans="1:12" x14ac:dyDescent="0.25">
      <c r="A1491">
        <v>1490</v>
      </c>
      <c r="B1491" t="s">
        <v>3455</v>
      </c>
      <c r="C1491">
        <v>56</v>
      </c>
      <c r="J1491">
        <v>1490</v>
      </c>
      <c r="K1491" t="s">
        <v>3455</v>
      </c>
      <c r="L1491">
        <v>56</v>
      </c>
    </row>
    <row r="1492" spans="1:12" x14ac:dyDescent="0.25">
      <c r="A1492">
        <v>1491</v>
      </c>
      <c r="B1492" t="s">
        <v>3456</v>
      </c>
      <c r="C1492">
        <v>49</v>
      </c>
      <c r="J1492">
        <v>1491</v>
      </c>
      <c r="K1492" t="s">
        <v>3456</v>
      </c>
      <c r="L1492">
        <v>49</v>
      </c>
    </row>
    <row r="1493" spans="1:12" x14ac:dyDescent="0.25">
      <c r="A1493">
        <v>1492</v>
      </c>
      <c r="B1493" t="s">
        <v>3457</v>
      </c>
      <c r="C1493">
        <v>45</v>
      </c>
      <c r="J1493">
        <v>1492</v>
      </c>
      <c r="K1493" t="s">
        <v>3457</v>
      </c>
      <c r="L1493">
        <v>45</v>
      </c>
    </row>
    <row r="1494" spans="1:12" x14ac:dyDescent="0.25">
      <c r="A1494">
        <v>1493</v>
      </c>
      <c r="B1494" t="s">
        <v>3458</v>
      </c>
      <c r="C1494">
        <v>70</v>
      </c>
      <c r="J1494">
        <v>1493</v>
      </c>
      <c r="K1494" t="s">
        <v>3458</v>
      </c>
      <c r="L1494">
        <v>70</v>
      </c>
    </row>
    <row r="1495" spans="1:12" x14ac:dyDescent="0.25">
      <c r="A1495">
        <v>1494</v>
      </c>
      <c r="B1495" t="s">
        <v>3459</v>
      </c>
      <c r="C1495">
        <v>57</v>
      </c>
      <c r="J1495">
        <v>1494</v>
      </c>
      <c r="K1495" t="s">
        <v>3459</v>
      </c>
      <c r="L1495">
        <v>57</v>
      </c>
    </row>
    <row r="1496" spans="1:12" x14ac:dyDescent="0.25">
      <c r="A1496">
        <v>1495</v>
      </c>
      <c r="B1496" t="s">
        <v>3460</v>
      </c>
      <c r="C1496">
        <v>46</v>
      </c>
      <c r="J1496">
        <v>1495</v>
      </c>
      <c r="K1496" t="s">
        <v>3460</v>
      </c>
      <c r="L1496">
        <v>46</v>
      </c>
    </row>
    <row r="1497" spans="1:12" x14ac:dyDescent="0.25">
      <c r="A1497">
        <v>1496</v>
      </c>
      <c r="B1497" t="s">
        <v>3461</v>
      </c>
      <c r="C1497">
        <v>55</v>
      </c>
      <c r="J1497">
        <v>1496</v>
      </c>
      <c r="K1497" t="s">
        <v>3461</v>
      </c>
      <c r="L1497">
        <v>55</v>
      </c>
    </row>
    <row r="1498" spans="1:12" x14ac:dyDescent="0.25">
      <c r="A1498">
        <v>1497</v>
      </c>
      <c r="B1498" t="s">
        <v>3462</v>
      </c>
      <c r="C1498">
        <v>39</v>
      </c>
      <c r="J1498">
        <v>1497</v>
      </c>
      <c r="K1498" t="s">
        <v>3462</v>
      </c>
      <c r="L1498">
        <v>39</v>
      </c>
    </row>
    <row r="1499" spans="1:12" x14ac:dyDescent="0.25">
      <c r="A1499">
        <v>1498</v>
      </c>
      <c r="B1499" t="s">
        <v>3463</v>
      </c>
      <c r="C1499">
        <v>61</v>
      </c>
      <c r="J1499">
        <v>1498</v>
      </c>
      <c r="K1499" t="s">
        <v>3463</v>
      </c>
      <c r="L1499">
        <v>61</v>
      </c>
    </row>
    <row r="1500" spans="1:12" x14ac:dyDescent="0.25">
      <c r="A1500">
        <v>1499</v>
      </c>
      <c r="B1500" t="s">
        <v>3464</v>
      </c>
      <c r="C1500">
        <v>56</v>
      </c>
      <c r="J1500">
        <v>1499</v>
      </c>
      <c r="K1500" t="s">
        <v>3464</v>
      </c>
      <c r="L1500">
        <v>56</v>
      </c>
    </row>
    <row r="1501" spans="1:12" x14ac:dyDescent="0.25">
      <c r="A1501">
        <v>1500</v>
      </c>
      <c r="B1501" t="s">
        <v>3465</v>
      </c>
      <c r="C1501">
        <v>31</v>
      </c>
      <c r="J1501">
        <v>1500</v>
      </c>
      <c r="K1501" t="s">
        <v>3465</v>
      </c>
      <c r="L1501">
        <v>31</v>
      </c>
    </row>
    <row r="1502" spans="1:12" x14ac:dyDescent="0.25">
      <c r="A1502">
        <v>1501</v>
      </c>
      <c r="B1502" t="s">
        <v>3466</v>
      </c>
      <c r="C1502">
        <v>43</v>
      </c>
      <c r="J1502">
        <v>1501</v>
      </c>
      <c r="K1502" t="s">
        <v>3466</v>
      </c>
      <c r="L1502">
        <v>43</v>
      </c>
    </row>
    <row r="1503" spans="1:12" x14ac:dyDescent="0.25">
      <c r="A1503">
        <v>1502</v>
      </c>
      <c r="B1503" t="s">
        <v>3467</v>
      </c>
      <c r="C1503">
        <v>52</v>
      </c>
      <c r="J1503">
        <v>1502</v>
      </c>
      <c r="K1503" t="s">
        <v>3467</v>
      </c>
      <c r="L1503">
        <v>52</v>
      </c>
    </row>
    <row r="1504" spans="1:12" x14ac:dyDescent="0.25">
      <c r="A1504">
        <v>1503</v>
      </c>
      <c r="B1504" t="s">
        <v>3468</v>
      </c>
      <c r="C1504">
        <v>48</v>
      </c>
      <c r="J1504">
        <v>1503</v>
      </c>
      <c r="K1504" t="s">
        <v>3468</v>
      </c>
      <c r="L1504">
        <v>48</v>
      </c>
    </row>
    <row r="1505" spans="1:12" x14ac:dyDescent="0.25">
      <c r="A1505">
        <v>1504</v>
      </c>
      <c r="B1505" t="s">
        <v>3469</v>
      </c>
      <c r="C1505">
        <v>68</v>
      </c>
      <c r="J1505">
        <v>1504</v>
      </c>
      <c r="K1505" t="s">
        <v>3469</v>
      </c>
      <c r="L1505">
        <v>68</v>
      </c>
    </row>
    <row r="1506" spans="1:12" x14ac:dyDescent="0.25">
      <c r="A1506">
        <v>1505</v>
      </c>
      <c r="B1506" t="s">
        <v>3470</v>
      </c>
      <c r="C1506">
        <v>60</v>
      </c>
      <c r="J1506">
        <v>1505</v>
      </c>
      <c r="K1506" t="s">
        <v>3470</v>
      </c>
      <c r="L1506">
        <v>60</v>
      </c>
    </row>
    <row r="1507" spans="1:12" x14ac:dyDescent="0.25">
      <c r="A1507">
        <v>1506</v>
      </c>
      <c r="B1507" t="s">
        <v>3471</v>
      </c>
      <c r="C1507">
        <v>59</v>
      </c>
      <c r="J1507">
        <v>1506</v>
      </c>
      <c r="K1507" t="s">
        <v>3471</v>
      </c>
      <c r="L1507">
        <v>59</v>
      </c>
    </row>
    <row r="1508" spans="1:12" x14ac:dyDescent="0.25">
      <c r="A1508">
        <v>1507</v>
      </c>
      <c r="B1508" t="s">
        <v>3472</v>
      </c>
      <c r="C1508">
        <v>45</v>
      </c>
      <c r="J1508">
        <v>1507</v>
      </c>
      <c r="K1508" t="s">
        <v>3472</v>
      </c>
      <c r="L1508">
        <v>45</v>
      </c>
    </row>
    <row r="1509" spans="1:12" x14ac:dyDescent="0.25">
      <c r="A1509">
        <v>1508</v>
      </c>
      <c r="B1509" t="s">
        <v>3473</v>
      </c>
      <c r="C1509">
        <v>47</v>
      </c>
      <c r="J1509">
        <v>1508</v>
      </c>
      <c r="K1509" t="s">
        <v>3473</v>
      </c>
      <c r="L1509">
        <v>47</v>
      </c>
    </row>
    <row r="1510" spans="1:12" x14ac:dyDescent="0.25">
      <c r="A1510">
        <v>1509</v>
      </c>
      <c r="B1510" t="s">
        <v>3474</v>
      </c>
      <c r="C1510">
        <v>56</v>
      </c>
      <c r="J1510">
        <v>1509</v>
      </c>
      <c r="K1510" t="s">
        <v>3474</v>
      </c>
      <c r="L1510">
        <v>56</v>
      </c>
    </row>
    <row r="1511" spans="1:12" x14ac:dyDescent="0.25">
      <c r="A1511">
        <v>1510</v>
      </c>
      <c r="B1511" t="s">
        <v>3475</v>
      </c>
      <c r="C1511">
        <v>61</v>
      </c>
      <c r="J1511">
        <v>1510</v>
      </c>
      <c r="K1511" t="s">
        <v>3475</v>
      </c>
      <c r="L1511">
        <v>61</v>
      </c>
    </row>
    <row r="1512" spans="1:12" x14ac:dyDescent="0.25">
      <c r="A1512">
        <v>1511</v>
      </c>
      <c r="B1512" t="s">
        <v>3476</v>
      </c>
      <c r="C1512">
        <v>66</v>
      </c>
      <c r="J1512">
        <v>1511</v>
      </c>
      <c r="K1512" t="s">
        <v>3476</v>
      </c>
      <c r="L1512">
        <v>66</v>
      </c>
    </row>
    <row r="1513" spans="1:12" x14ac:dyDescent="0.25">
      <c r="A1513">
        <v>1512</v>
      </c>
      <c r="B1513" t="s">
        <v>3477</v>
      </c>
      <c r="C1513">
        <v>48</v>
      </c>
      <c r="J1513">
        <v>1512</v>
      </c>
      <c r="K1513" t="s">
        <v>3477</v>
      </c>
      <c r="L1513">
        <v>48</v>
      </c>
    </row>
    <row r="1514" spans="1:12" x14ac:dyDescent="0.25">
      <c r="A1514">
        <v>1513</v>
      </c>
      <c r="B1514" t="s">
        <v>3478</v>
      </c>
      <c r="C1514">
        <v>63</v>
      </c>
      <c r="J1514">
        <v>1513</v>
      </c>
      <c r="K1514" t="s">
        <v>3478</v>
      </c>
      <c r="L1514">
        <v>63</v>
      </c>
    </row>
    <row r="1515" spans="1:12" x14ac:dyDescent="0.25">
      <c r="A1515">
        <v>1514</v>
      </c>
      <c r="B1515" t="s">
        <v>3479</v>
      </c>
      <c r="C1515">
        <v>40</v>
      </c>
      <c r="J1515">
        <v>1514</v>
      </c>
      <c r="K1515" t="s">
        <v>3479</v>
      </c>
      <c r="L1515">
        <v>40</v>
      </c>
    </row>
    <row r="1516" spans="1:12" x14ac:dyDescent="0.25">
      <c r="A1516">
        <v>1515</v>
      </c>
      <c r="B1516" t="s">
        <v>3480</v>
      </c>
      <c r="C1516">
        <v>45</v>
      </c>
      <c r="J1516">
        <v>1515</v>
      </c>
      <c r="K1516" t="s">
        <v>3480</v>
      </c>
      <c r="L1516">
        <v>45</v>
      </c>
    </row>
    <row r="1517" spans="1:12" x14ac:dyDescent="0.25">
      <c r="A1517">
        <v>1516</v>
      </c>
      <c r="B1517" t="s">
        <v>3481</v>
      </c>
      <c r="C1517">
        <v>65</v>
      </c>
      <c r="J1517">
        <v>1516</v>
      </c>
      <c r="K1517" t="s">
        <v>3481</v>
      </c>
      <c r="L1517">
        <v>65</v>
      </c>
    </row>
    <row r="1518" spans="1:12" x14ac:dyDescent="0.25">
      <c r="A1518">
        <v>1517</v>
      </c>
      <c r="B1518" t="s">
        <v>3482</v>
      </c>
      <c r="C1518">
        <v>59</v>
      </c>
      <c r="J1518">
        <v>1517</v>
      </c>
      <c r="K1518" t="s">
        <v>3482</v>
      </c>
      <c r="L1518">
        <v>59</v>
      </c>
    </row>
    <row r="1519" spans="1:12" x14ac:dyDescent="0.25">
      <c r="A1519">
        <v>1518</v>
      </c>
      <c r="B1519" t="s">
        <v>3483</v>
      </c>
      <c r="C1519">
        <v>52</v>
      </c>
      <c r="J1519">
        <v>1518</v>
      </c>
      <c r="K1519" t="s">
        <v>3483</v>
      </c>
      <c r="L1519">
        <v>52</v>
      </c>
    </row>
    <row r="1520" spans="1:12" x14ac:dyDescent="0.25">
      <c r="A1520">
        <v>1519</v>
      </c>
      <c r="B1520" t="s">
        <v>3484</v>
      </c>
      <c r="C1520">
        <v>36</v>
      </c>
      <c r="J1520">
        <v>1519</v>
      </c>
      <c r="K1520" t="s">
        <v>3484</v>
      </c>
      <c r="L1520">
        <v>36</v>
      </c>
    </row>
    <row r="1521" spans="1:12" x14ac:dyDescent="0.25">
      <c r="A1521">
        <v>1520</v>
      </c>
      <c r="B1521" t="s">
        <v>3485</v>
      </c>
      <c r="C1521">
        <v>52</v>
      </c>
      <c r="J1521">
        <v>1520</v>
      </c>
      <c r="K1521" t="s">
        <v>3485</v>
      </c>
      <c r="L1521">
        <v>52</v>
      </c>
    </row>
    <row r="1522" spans="1:12" x14ac:dyDescent="0.25">
      <c r="A1522">
        <v>1521</v>
      </c>
      <c r="B1522" t="s">
        <v>3486</v>
      </c>
      <c r="C1522">
        <v>45</v>
      </c>
      <c r="J1522">
        <v>1521</v>
      </c>
      <c r="K1522" t="s">
        <v>3486</v>
      </c>
      <c r="L1522">
        <v>45</v>
      </c>
    </row>
    <row r="1523" spans="1:12" x14ac:dyDescent="0.25">
      <c r="A1523">
        <v>1522</v>
      </c>
      <c r="B1523" t="s">
        <v>3487</v>
      </c>
      <c r="C1523">
        <v>42</v>
      </c>
      <c r="J1523">
        <v>1522</v>
      </c>
      <c r="K1523" t="s">
        <v>3487</v>
      </c>
      <c r="L1523">
        <v>42</v>
      </c>
    </row>
    <row r="1524" spans="1:12" x14ac:dyDescent="0.25">
      <c r="A1524">
        <v>1523</v>
      </c>
      <c r="B1524" t="s">
        <v>3488</v>
      </c>
      <c r="C1524">
        <v>83</v>
      </c>
      <c r="J1524">
        <v>1523</v>
      </c>
      <c r="K1524" t="s">
        <v>3488</v>
      </c>
      <c r="L1524">
        <v>83</v>
      </c>
    </row>
    <row r="1525" spans="1:12" x14ac:dyDescent="0.25">
      <c r="A1525">
        <v>1524</v>
      </c>
      <c r="B1525" t="s">
        <v>3489</v>
      </c>
      <c r="C1525">
        <v>68</v>
      </c>
      <c r="J1525">
        <v>1524</v>
      </c>
      <c r="K1525" t="s">
        <v>3489</v>
      </c>
      <c r="L1525">
        <v>68</v>
      </c>
    </row>
    <row r="1526" spans="1:12" x14ac:dyDescent="0.25">
      <c r="A1526">
        <v>1525</v>
      </c>
      <c r="B1526" t="s">
        <v>3490</v>
      </c>
      <c r="C1526">
        <v>45</v>
      </c>
      <c r="J1526">
        <v>1525</v>
      </c>
      <c r="K1526" t="s">
        <v>3490</v>
      </c>
      <c r="L1526">
        <v>45</v>
      </c>
    </row>
    <row r="1527" spans="1:12" x14ac:dyDescent="0.25">
      <c r="A1527">
        <v>1526</v>
      </c>
      <c r="B1527" t="s">
        <v>3491</v>
      </c>
      <c r="C1527">
        <v>42</v>
      </c>
      <c r="J1527">
        <v>1526</v>
      </c>
      <c r="K1527" t="s">
        <v>3491</v>
      </c>
      <c r="L1527">
        <v>42</v>
      </c>
    </row>
    <row r="1528" spans="1:12" x14ac:dyDescent="0.25">
      <c r="A1528">
        <v>1527</v>
      </c>
      <c r="B1528" t="s">
        <v>3492</v>
      </c>
      <c r="C1528">
        <v>67</v>
      </c>
      <c r="J1528">
        <v>1527</v>
      </c>
      <c r="K1528" t="s">
        <v>3492</v>
      </c>
      <c r="L1528">
        <v>67</v>
      </c>
    </row>
    <row r="1529" spans="1:12" x14ac:dyDescent="0.25">
      <c r="A1529">
        <v>1528</v>
      </c>
      <c r="B1529" t="s">
        <v>3493</v>
      </c>
      <c r="C1529">
        <v>72</v>
      </c>
      <c r="J1529">
        <v>1528</v>
      </c>
      <c r="K1529" t="s">
        <v>3493</v>
      </c>
      <c r="L1529">
        <v>72</v>
      </c>
    </row>
    <row r="1530" spans="1:12" x14ac:dyDescent="0.25">
      <c r="A1530">
        <v>1529</v>
      </c>
      <c r="B1530" t="s">
        <v>3494</v>
      </c>
      <c r="C1530">
        <v>45</v>
      </c>
      <c r="J1530">
        <v>1529</v>
      </c>
      <c r="K1530" t="s">
        <v>3494</v>
      </c>
      <c r="L1530">
        <v>45</v>
      </c>
    </row>
    <row r="1531" spans="1:12" x14ac:dyDescent="0.25">
      <c r="A1531">
        <v>1530</v>
      </c>
      <c r="B1531" t="s">
        <v>3495</v>
      </c>
      <c r="C1531">
        <v>74</v>
      </c>
      <c r="J1531">
        <v>1530</v>
      </c>
      <c r="K1531" t="s">
        <v>3495</v>
      </c>
      <c r="L1531">
        <v>74</v>
      </c>
    </row>
    <row r="1532" spans="1:12" x14ac:dyDescent="0.25">
      <c r="A1532">
        <v>1531</v>
      </c>
      <c r="B1532" t="s">
        <v>3496</v>
      </c>
      <c r="C1532">
        <v>72</v>
      </c>
      <c r="J1532">
        <v>1531</v>
      </c>
      <c r="K1532" t="s">
        <v>3496</v>
      </c>
      <c r="L1532">
        <v>72</v>
      </c>
    </row>
    <row r="1533" spans="1:12" x14ac:dyDescent="0.25">
      <c r="A1533">
        <v>1532</v>
      </c>
      <c r="B1533" t="s">
        <v>3497</v>
      </c>
      <c r="C1533">
        <v>57</v>
      </c>
      <c r="J1533">
        <v>1532</v>
      </c>
      <c r="K1533" t="s">
        <v>3497</v>
      </c>
      <c r="L1533">
        <v>57</v>
      </c>
    </row>
    <row r="1534" spans="1:12" x14ac:dyDescent="0.25">
      <c r="A1534">
        <v>1533</v>
      </c>
      <c r="B1534" t="s">
        <v>3498</v>
      </c>
      <c r="C1534">
        <v>56</v>
      </c>
      <c r="J1534">
        <v>1533</v>
      </c>
      <c r="K1534" t="s">
        <v>3498</v>
      </c>
      <c r="L1534">
        <v>56</v>
      </c>
    </row>
    <row r="1535" spans="1:12" x14ac:dyDescent="0.25">
      <c r="A1535">
        <v>1534</v>
      </c>
      <c r="B1535" t="s">
        <v>3499</v>
      </c>
      <c r="C1535">
        <v>63</v>
      </c>
      <c r="J1535">
        <v>1534</v>
      </c>
      <c r="K1535" t="s">
        <v>3499</v>
      </c>
      <c r="L1535">
        <v>63</v>
      </c>
    </row>
    <row r="1536" spans="1:12" x14ac:dyDescent="0.25">
      <c r="A1536">
        <v>1535</v>
      </c>
      <c r="B1536" t="s">
        <v>3500</v>
      </c>
      <c r="C1536">
        <v>89</v>
      </c>
      <c r="J1536">
        <v>1535</v>
      </c>
      <c r="K1536" t="s">
        <v>3500</v>
      </c>
      <c r="L1536">
        <v>89</v>
      </c>
    </row>
    <row r="1537" spans="1:12" x14ac:dyDescent="0.25">
      <c r="A1537">
        <v>1536</v>
      </c>
      <c r="B1537" t="s">
        <v>3501</v>
      </c>
      <c r="C1537">
        <v>85</v>
      </c>
      <c r="J1537">
        <v>1536</v>
      </c>
      <c r="K1537" t="s">
        <v>3501</v>
      </c>
      <c r="L1537">
        <v>85</v>
      </c>
    </row>
    <row r="1538" spans="1:12" x14ac:dyDescent="0.25">
      <c r="A1538">
        <v>1537</v>
      </c>
      <c r="B1538" t="s">
        <v>3502</v>
      </c>
      <c r="C1538">
        <v>45</v>
      </c>
      <c r="J1538">
        <v>1537</v>
      </c>
      <c r="K1538" t="s">
        <v>3502</v>
      </c>
      <c r="L1538">
        <v>45</v>
      </c>
    </row>
    <row r="1539" spans="1:12" x14ac:dyDescent="0.25">
      <c r="A1539">
        <v>1538</v>
      </c>
      <c r="B1539" t="s">
        <v>3503</v>
      </c>
      <c r="C1539">
        <v>40</v>
      </c>
      <c r="J1539">
        <v>1538</v>
      </c>
      <c r="K1539" t="s">
        <v>3503</v>
      </c>
      <c r="L1539">
        <v>40</v>
      </c>
    </row>
    <row r="1540" spans="1:12" x14ac:dyDescent="0.25">
      <c r="A1540">
        <v>1539</v>
      </c>
      <c r="B1540" t="s">
        <v>3504</v>
      </c>
      <c r="C1540">
        <v>60</v>
      </c>
      <c r="J1540">
        <v>1539</v>
      </c>
      <c r="K1540" t="s">
        <v>3504</v>
      </c>
      <c r="L1540">
        <v>60</v>
      </c>
    </row>
    <row r="1541" spans="1:12" x14ac:dyDescent="0.25">
      <c r="A1541">
        <v>1540</v>
      </c>
      <c r="B1541" t="s">
        <v>3505</v>
      </c>
      <c r="C1541">
        <v>73</v>
      </c>
      <c r="J1541">
        <v>1540</v>
      </c>
      <c r="K1541" t="s">
        <v>3505</v>
      </c>
      <c r="L1541">
        <v>73</v>
      </c>
    </row>
    <row r="1542" spans="1:12" x14ac:dyDescent="0.25">
      <c r="A1542">
        <v>1541</v>
      </c>
      <c r="B1542" t="s">
        <v>3506</v>
      </c>
      <c r="C1542">
        <v>89</v>
      </c>
      <c r="J1542">
        <v>1541</v>
      </c>
      <c r="K1542" t="s">
        <v>3506</v>
      </c>
      <c r="L1542">
        <v>89</v>
      </c>
    </row>
    <row r="1543" spans="1:12" x14ac:dyDescent="0.25">
      <c r="A1543">
        <v>1542</v>
      </c>
      <c r="B1543" t="s">
        <v>3507</v>
      </c>
      <c r="C1543">
        <v>97</v>
      </c>
      <c r="J1543">
        <v>1542</v>
      </c>
      <c r="K1543" t="s">
        <v>3507</v>
      </c>
      <c r="L1543">
        <v>97</v>
      </c>
    </row>
    <row r="1544" spans="1:12" x14ac:dyDescent="0.25">
      <c r="A1544">
        <v>1543</v>
      </c>
      <c r="B1544" t="s">
        <v>3508</v>
      </c>
      <c r="C1544">
        <v>105</v>
      </c>
      <c r="J1544">
        <v>1543</v>
      </c>
      <c r="K1544" t="s">
        <v>3508</v>
      </c>
      <c r="L1544">
        <v>105</v>
      </c>
    </row>
    <row r="1545" spans="1:12" x14ac:dyDescent="0.25">
      <c r="A1545">
        <v>1544</v>
      </c>
      <c r="B1545" t="s">
        <v>3509</v>
      </c>
      <c r="C1545">
        <v>65</v>
      </c>
      <c r="J1545">
        <v>1544</v>
      </c>
      <c r="K1545" t="s">
        <v>3509</v>
      </c>
      <c r="L1545">
        <v>65</v>
      </c>
    </row>
    <row r="1546" spans="1:12" x14ac:dyDescent="0.25">
      <c r="A1546">
        <v>1545</v>
      </c>
      <c r="B1546" t="s">
        <v>3510</v>
      </c>
      <c r="C1546">
        <v>47</v>
      </c>
      <c r="J1546">
        <v>1545</v>
      </c>
      <c r="K1546" t="s">
        <v>3510</v>
      </c>
      <c r="L1546">
        <v>47</v>
      </c>
    </row>
    <row r="1547" spans="1:12" x14ac:dyDescent="0.25">
      <c r="A1547">
        <v>1546</v>
      </c>
      <c r="B1547" t="s">
        <v>3511</v>
      </c>
      <c r="C1547">
        <v>46</v>
      </c>
      <c r="J1547">
        <v>1546</v>
      </c>
      <c r="K1547" t="s">
        <v>3511</v>
      </c>
      <c r="L1547">
        <v>46</v>
      </c>
    </row>
    <row r="1548" spans="1:12" x14ac:dyDescent="0.25">
      <c r="A1548">
        <v>1547</v>
      </c>
      <c r="B1548" t="s">
        <v>3512</v>
      </c>
      <c r="C1548">
        <v>44</v>
      </c>
      <c r="J1548">
        <v>1547</v>
      </c>
      <c r="K1548" t="s">
        <v>3512</v>
      </c>
      <c r="L1548">
        <v>44</v>
      </c>
    </row>
    <row r="1549" spans="1:12" x14ac:dyDescent="0.25">
      <c r="A1549">
        <v>1548</v>
      </c>
      <c r="B1549" t="s">
        <v>3513</v>
      </c>
      <c r="C1549">
        <v>40</v>
      </c>
      <c r="J1549">
        <v>1548</v>
      </c>
      <c r="K1549" t="s">
        <v>3513</v>
      </c>
      <c r="L1549">
        <v>40</v>
      </c>
    </row>
    <row r="1550" spans="1:12" x14ac:dyDescent="0.25">
      <c r="A1550">
        <v>1549</v>
      </c>
      <c r="B1550" t="s">
        <v>3514</v>
      </c>
      <c r="C1550">
        <v>38</v>
      </c>
      <c r="J1550">
        <v>1549</v>
      </c>
      <c r="K1550" t="s">
        <v>3514</v>
      </c>
      <c r="L1550">
        <v>38</v>
      </c>
    </row>
    <row r="1551" spans="1:12" x14ac:dyDescent="0.25">
      <c r="A1551">
        <v>1550</v>
      </c>
      <c r="B1551" t="s">
        <v>3515</v>
      </c>
      <c r="C1551">
        <v>29</v>
      </c>
      <c r="J1551">
        <v>1550</v>
      </c>
      <c r="K1551" t="s">
        <v>3515</v>
      </c>
      <c r="L1551">
        <v>29</v>
      </c>
    </row>
    <row r="1552" spans="1:12" x14ac:dyDescent="0.25">
      <c r="A1552">
        <v>1551</v>
      </c>
      <c r="B1552" t="s">
        <v>3516</v>
      </c>
      <c r="C1552">
        <v>40</v>
      </c>
      <c r="J1552">
        <v>1551</v>
      </c>
      <c r="K1552" t="s">
        <v>3516</v>
      </c>
      <c r="L1552">
        <v>40</v>
      </c>
    </row>
    <row r="1553" spans="1:12" x14ac:dyDescent="0.25">
      <c r="A1553">
        <v>1552</v>
      </c>
      <c r="B1553" t="s">
        <v>3517</v>
      </c>
      <c r="C1553">
        <v>46</v>
      </c>
      <c r="J1553">
        <v>1552</v>
      </c>
      <c r="K1553" t="s">
        <v>3517</v>
      </c>
      <c r="L1553">
        <v>46</v>
      </c>
    </row>
    <row r="1554" spans="1:12" x14ac:dyDescent="0.25">
      <c r="A1554">
        <v>1553</v>
      </c>
      <c r="B1554" t="s">
        <v>3518</v>
      </c>
      <c r="C1554">
        <v>43</v>
      </c>
      <c r="J1554">
        <v>1553</v>
      </c>
      <c r="K1554" t="s">
        <v>3518</v>
      </c>
      <c r="L1554">
        <v>43</v>
      </c>
    </row>
    <row r="1555" spans="1:12" x14ac:dyDescent="0.25">
      <c r="A1555">
        <v>1554</v>
      </c>
      <c r="B1555" t="s">
        <v>3519</v>
      </c>
      <c r="C1555">
        <v>46</v>
      </c>
      <c r="J1555">
        <v>1554</v>
      </c>
      <c r="K1555" t="s">
        <v>3519</v>
      </c>
      <c r="L1555">
        <v>46</v>
      </c>
    </row>
    <row r="1556" spans="1:12" x14ac:dyDescent="0.25">
      <c r="A1556">
        <v>1555</v>
      </c>
      <c r="B1556" t="s">
        <v>3520</v>
      </c>
      <c r="C1556">
        <v>41</v>
      </c>
      <c r="J1556">
        <v>1555</v>
      </c>
      <c r="K1556" t="s">
        <v>3520</v>
      </c>
      <c r="L1556">
        <v>41</v>
      </c>
    </row>
    <row r="1557" spans="1:12" x14ac:dyDescent="0.25">
      <c r="A1557">
        <v>1556</v>
      </c>
      <c r="B1557" t="s">
        <v>3521</v>
      </c>
      <c r="C1557">
        <v>82</v>
      </c>
      <c r="J1557">
        <v>1556</v>
      </c>
      <c r="K1557" t="s">
        <v>3521</v>
      </c>
      <c r="L1557">
        <v>82</v>
      </c>
    </row>
    <row r="1558" spans="1:12" x14ac:dyDescent="0.25">
      <c r="A1558">
        <v>1557</v>
      </c>
      <c r="B1558" t="s">
        <v>3522</v>
      </c>
      <c r="C1558">
        <v>100</v>
      </c>
      <c r="J1558">
        <v>1557</v>
      </c>
      <c r="K1558" t="s">
        <v>3522</v>
      </c>
      <c r="L1558">
        <v>100</v>
      </c>
    </row>
    <row r="1559" spans="1:12" x14ac:dyDescent="0.25">
      <c r="A1559">
        <v>1558</v>
      </c>
      <c r="B1559" t="s">
        <v>3523</v>
      </c>
      <c r="C1559">
        <v>78</v>
      </c>
      <c r="J1559">
        <v>1558</v>
      </c>
      <c r="K1559" t="s">
        <v>3523</v>
      </c>
      <c r="L1559">
        <v>78</v>
      </c>
    </row>
    <row r="1560" spans="1:12" x14ac:dyDescent="0.25">
      <c r="A1560">
        <v>1559</v>
      </c>
      <c r="B1560" t="s">
        <v>3524</v>
      </c>
      <c r="C1560">
        <v>63</v>
      </c>
      <c r="J1560">
        <v>1559</v>
      </c>
      <c r="K1560" t="s">
        <v>3524</v>
      </c>
      <c r="L1560">
        <v>63</v>
      </c>
    </row>
    <row r="1561" spans="1:12" x14ac:dyDescent="0.25">
      <c r="A1561">
        <v>1560</v>
      </c>
      <c r="B1561" t="s">
        <v>3525</v>
      </c>
      <c r="C1561">
        <v>109</v>
      </c>
      <c r="J1561">
        <v>1560</v>
      </c>
      <c r="K1561" t="s">
        <v>3525</v>
      </c>
      <c r="L1561">
        <v>109</v>
      </c>
    </row>
    <row r="1562" spans="1:12" x14ac:dyDescent="0.25">
      <c r="A1562">
        <v>1561</v>
      </c>
      <c r="B1562" t="s">
        <v>3526</v>
      </c>
      <c r="C1562">
        <v>46</v>
      </c>
      <c r="J1562">
        <v>1561</v>
      </c>
      <c r="K1562" t="s">
        <v>3526</v>
      </c>
      <c r="L1562">
        <v>46</v>
      </c>
    </row>
    <row r="1563" spans="1:12" x14ac:dyDescent="0.25">
      <c r="A1563">
        <v>1562</v>
      </c>
      <c r="B1563" t="s">
        <v>3527</v>
      </c>
      <c r="C1563">
        <v>80</v>
      </c>
      <c r="J1563">
        <v>1562</v>
      </c>
      <c r="K1563" t="s">
        <v>3527</v>
      </c>
      <c r="L1563">
        <v>80</v>
      </c>
    </row>
    <row r="1564" spans="1:12" x14ac:dyDescent="0.25">
      <c r="A1564">
        <v>1563</v>
      </c>
      <c r="B1564" t="s">
        <v>3528</v>
      </c>
      <c r="C1564">
        <v>94</v>
      </c>
      <c r="J1564">
        <v>1563</v>
      </c>
      <c r="K1564" t="s">
        <v>3528</v>
      </c>
      <c r="L1564">
        <v>94</v>
      </c>
    </row>
    <row r="1565" spans="1:12" x14ac:dyDescent="0.25">
      <c r="A1565">
        <v>1564</v>
      </c>
      <c r="B1565" t="s">
        <v>3529</v>
      </c>
      <c r="C1565">
        <v>52</v>
      </c>
      <c r="J1565">
        <v>1564</v>
      </c>
      <c r="K1565" t="s">
        <v>3529</v>
      </c>
      <c r="L1565">
        <v>52</v>
      </c>
    </row>
    <row r="1566" spans="1:12" x14ac:dyDescent="0.25">
      <c r="A1566">
        <v>1565</v>
      </c>
      <c r="B1566" t="s">
        <v>3530</v>
      </c>
      <c r="C1566">
        <v>70</v>
      </c>
      <c r="J1566">
        <v>1565</v>
      </c>
      <c r="K1566" t="s">
        <v>3530</v>
      </c>
      <c r="L1566">
        <v>70</v>
      </c>
    </row>
    <row r="1567" spans="1:12" x14ac:dyDescent="0.25">
      <c r="A1567">
        <v>1566</v>
      </c>
      <c r="B1567" t="s">
        <v>3531</v>
      </c>
      <c r="C1567">
        <v>91</v>
      </c>
      <c r="J1567">
        <v>1566</v>
      </c>
      <c r="K1567" t="s">
        <v>3531</v>
      </c>
      <c r="L1567">
        <v>91</v>
      </c>
    </row>
    <row r="1568" spans="1:12" x14ac:dyDescent="0.25">
      <c r="A1568">
        <v>1567</v>
      </c>
      <c r="B1568" t="s">
        <v>3532</v>
      </c>
      <c r="C1568">
        <v>61</v>
      </c>
      <c r="J1568">
        <v>1567</v>
      </c>
      <c r="K1568" t="s">
        <v>3532</v>
      </c>
      <c r="L1568">
        <v>61</v>
      </c>
    </row>
    <row r="1569" spans="1:12" x14ac:dyDescent="0.25">
      <c r="A1569">
        <v>1568</v>
      </c>
      <c r="B1569" t="s">
        <v>3533</v>
      </c>
      <c r="C1569">
        <v>6</v>
      </c>
      <c r="J1569">
        <v>1568</v>
      </c>
      <c r="K1569" t="s">
        <v>3533</v>
      </c>
      <c r="L1569">
        <v>6</v>
      </c>
    </row>
    <row r="1570" spans="1:12" x14ac:dyDescent="0.25">
      <c r="A1570">
        <v>1569</v>
      </c>
      <c r="B1570" t="s">
        <v>3534</v>
      </c>
      <c r="C1570">
        <v>12</v>
      </c>
      <c r="J1570">
        <v>1569</v>
      </c>
      <c r="K1570" t="s">
        <v>3534</v>
      </c>
      <c r="L1570">
        <v>12</v>
      </c>
    </row>
    <row r="1571" spans="1:12" x14ac:dyDescent="0.25">
      <c r="A1571">
        <v>1570</v>
      </c>
      <c r="B1571" t="s">
        <v>3535</v>
      </c>
      <c r="C1571">
        <v>46</v>
      </c>
      <c r="J1571">
        <v>1570</v>
      </c>
      <c r="K1571" t="s">
        <v>3535</v>
      </c>
      <c r="L1571">
        <v>46</v>
      </c>
    </row>
    <row r="1572" spans="1:12" x14ac:dyDescent="0.25">
      <c r="A1572">
        <v>1571</v>
      </c>
      <c r="B1572" t="s">
        <v>3536</v>
      </c>
      <c r="C1572">
        <v>51</v>
      </c>
      <c r="J1572">
        <v>1571</v>
      </c>
      <c r="K1572" t="s">
        <v>3536</v>
      </c>
      <c r="L1572">
        <v>51</v>
      </c>
    </row>
    <row r="1573" spans="1:12" x14ac:dyDescent="0.25">
      <c r="A1573">
        <v>1572</v>
      </c>
      <c r="B1573" t="s">
        <v>3537</v>
      </c>
      <c r="C1573">
        <v>45</v>
      </c>
      <c r="J1573">
        <v>1572</v>
      </c>
      <c r="K1573" t="s">
        <v>3537</v>
      </c>
      <c r="L1573">
        <v>45</v>
      </c>
    </row>
    <row r="1574" spans="1:12" x14ac:dyDescent="0.25">
      <c r="A1574">
        <v>1573</v>
      </c>
      <c r="B1574" t="s">
        <v>3538</v>
      </c>
      <c r="C1574">
        <v>70</v>
      </c>
      <c r="J1574">
        <v>1573</v>
      </c>
      <c r="K1574" t="s">
        <v>3538</v>
      </c>
      <c r="L1574">
        <v>70</v>
      </c>
    </row>
    <row r="1575" spans="1:12" x14ac:dyDescent="0.25">
      <c r="A1575">
        <v>1574</v>
      </c>
      <c r="B1575" t="s">
        <v>3539</v>
      </c>
      <c r="C1575">
        <v>59</v>
      </c>
      <c r="J1575">
        <v>1574</v>
      </c>
      <c r="K1575" t="s">
        <v>3539</v>
      </c>
      <c r="L1575">
        <v>59</v>
      </c>
    </row>
    <row r="1576" spans="1:12" x14ac:dyDescent="0.25">
      <c r="A1576">
        <v>1575</v>
      </c>
      <c r="B1576" t="s">
        <v>3540</v>
      </c>
      <c r="C1576">
        <v>70</v>
      </c>
      <c r="J1576">
        <v>1575</v>
      </c>
      <c r="K1576" t="s">
        <v>3540</v>
      </c>
      <c r="L1576">
        <v>70</v>
      </c>
    </row>
    <row r="1577" spans="1:12" x14ac:dyDescent="0.25">
      <c r="A1577">
        <v>1576</v>
      </c>
      <c r="B1577" t="s">
        <v>3541</v>
      </c>
      <c r="C1577">
        <v>63</v>
      </c>
      <c r="J1577">
        <v>1576</v>
      </c>
      <c r="K1577" t="s">
        <v>3541</v>
      </c>
      <c r="L1577">
        <v>63</v>
      </c>
    </row>
    <row r="1578" spans="1:12" x14ac:dyDescent="0.25">
      <c r="A1578">
        <v>1577</v>
      </c>
      <c r="B1578" t="s">
        <v>3542</v>
      </c>
      <c r="C1578">
        <v>62</v>
      </c>
      <c r="J1578">
        <v>1577</v>
      </c>
      <c r="K1578" t="s">
        <v>3542</v>
      </c>
      <c r="L1578">
        <v>62</v>
      </c>
    </row>
    <row r="1579" spans="1:12" x14ac:dyDescent="0.25">
      <c r="A1579">
        <v>1578</v>
      </c>
      <c r="B1579" t="s">
        <v>3543</v>
      </c>
      <c r="C1579">
        <v>77</v>
      </c>
      <c r="J1579">
        <v>1578</v>
      </c>
      <c r="K1579" t="s">
        <v>3543</v>
      </c>
      <c r="L1579">
        <v>77</v>
      </c>
    </row>
    <row r="1580" spans="1:12" x14ac:dyDescent="0.25">
      <c r="A1580">
        <v>1579</v>
      </c>
      <c r="B1580" t="s">
        <v>3544</v>
      </c>
      <c r="C1580">
        <v>80</v>
      </c>
      <c r="J1580">
        <v>1579</v>
      </c>
      <c r="K1580" t="s">
        <v>3544</v>
      </c>
      <c r="L1580">
        <v>80</v>
      </c>
    </row>
    <row r="1581" spans="1:12" x14ac:dyDescent="0.25">
      <c r="A1581">
        <v>1580</v>
      </c>
      <c r="B1581" t="s">
        <v>3545</v>
      </c>
      <c r="C1581">
        <v>66</v>
      </c>
      <c r="J1581">
        <v>1580</v>
      </c>
      <c r="K1581" t="s">
        <v>3545</v>
      </c>
      <c r="L1581">
        <v>66</v>
      </c>
    </row>
    <row r="1582" spans="1:12" x14ac:dyDescent="0.25">
      <c r="A1582">
        <v>1581</v>
      </c>
      <c r="B1582" t="s">
        <v>3546</v>
      </c>
      <c r="C1582">
        <v>65</v>
      </c>
      <c r="J1582">
        <v>1581</v>
      </c>
      <c r="K1582" t="s">
        <v>3546</v>
      </c>
      <c r="L1582">
        <v>65</v>
      </c>
    </row>
    <row r="1583" spans="1:12" x14ac:dyDescent="0.25">
      <c r="A1583">
        <v>1582</v>
      </c>
      <c r="B1583" t="s">
        <v>3547</v>
      </c>
      <c r="C1583">
        <v>52</v>
      </c>
      <c r="J1583">
        <v>1582</v>
      </c>
      <c r="K1583" t="s">
        <v>3547</v>
      </c>
      <c r="L1583">
        <v>52</v>
      </c>
    </row>
    <row r="1584" spans="1:12" x14ac:dyDescent="0.25">
      <c r="A1584">
        <v>1583</v>
      </c>
      <c r="B1584" t="s">
        <v>3548</v>
      </c>
      <c r="C1584">
        <v>74</v>
      </c>
      <c r="J1584">
        <v>1583</v>
      </c>
      <c r="K1584" t="s">
        <v>3548</v>
      </c>
      <c r="L1584">
        <v>74</v>
      </c>
    </row>
    <row r="1585" spans="1:12" x14ac:dyDescent="0.25">
      <c r="A1585">
        <v>1584</v>
      </c>
      <c r="B1585" t="s">
        <v>3549</v>
      </c>
      <c r="C1585">
        <v>60</v>
      </c>
      <c r="J1585">
        <v>1584</v>
      </c>
      <c r="K1585" t="s">
        <v>3549</v>
      </c>
      <c r="L1585">
        <v>60</v>
      </c>
    </row>
    <row r="1586" spans="1:12" x14ac:dyDescent="0.25">
      <c r="A1586">
        <v>1585</v>
      </c>
      <c r="B1586" t="s">
        <v>3550</v>
      </c>
      <c r="C1586">
        <v>150</v>
      </c>
      <c r="J1586">
        <v>1585</v>
      </c>
      <c r="K1586" t="s">
        <v>3550</v>
      </c>
      <c r="L1586">
        <v>150</v>
      </c>
    </row>
    <row r="1587" spans="1:12" x14ac:dyDescent="0.25">
      <c r="A1587">
        <v>1586</v>
      </c>
      <c r="B1587" t="s">
        <v>3551</v>
      </c>
      <c r="C1587">
        <v>90</v>
      </c>
      <c r="J1587">
        <v>1586</v>
      </c>
      <c r="K1587" t="s">
        <v>3551</v>
      </c>
      <c r="L1587">
        <v>90</v>
      </c>
    </row>
    <row r="1588" spans="1:12" x14ac:dyDescent="0.25">
      <c r="A1588">
        <v>1587</v>
      </c>
      <c r="B1588" t="s">
        <v>3552</v>
      </c>
      <c r="C1588">
        <v>89</v>
      </c>
      <c r="J1588">
        <v>1587</v>
      </c>
      <c r="K1588" t="s">
        <v>3552</v>
      </c>
      <c r="L1588">
        <v>89</v>
      </c>
    </row>
    <row r="1589" spans="1:12" x14ac:dyDescent="0.25">
      <c r="A1589">
        <v>1588</v>
      </c>
      <c r="B1589" t="s">
        <v>3553</v>
      </c>
      <c r="C1589">
        <v>74</v>
      </c>
      <c r="J1589">
        <v>1588</v>
      </c>
      <c r="K1589" t="s">
        <v>3553</v>
      </c>
      <c r="L1589">
        <v>74</v>
      </c>
    </row>
    <row r="1590" spans="1:12" x14ac:dyDescent="0.25">
      <c r="A1590">
        <v>1589</v>
      </c>
      <c r="B1590" t="s">
        <v>3554</v>
      </c>
      <c r="C1590">
        <v>48</v>
      </c>
      <c r="J1590">
        <v>1589</v>
      </c>
      <c r="K1590" t="s">
        <v>3554</v>
      </c>
      <c r="L1590">
        <v>48</v>
      </c>
    </row>
    <row r="1591" spans="1:12" x14ac:dyDescent="0.25">
      <c r="A1591">
        <v>1590</v>
      </c>
      <c r="B1591" t="s">
        <v>3555</v>
      </c>
      <c r="C1591">
        <v>42</v>
      </c>
      <c r="J1591">
        <v>1590</v>
      </c>
      <c r="K1591" t="s">
        <v>3555</v>
      </c>
      <c r="L1591">
        <v>42</v>
      </c>
    </row>
    <row r="1592" spans="1:12" x14ac:dyDescent="0.25">
      <c r="A1592">
        <v>1591</v>
      </c>
      <c r="B1592" t="s">
        <v>3556</v>
      </c>
      <c r="C1592">
        <v>82</v>
      </c>
      <c r="J1592">
        <v>1591</v>
      </c>
      <c r="K1592" t="s">
        <v>3556</v>
      </c>
      <c r="L1592">
        <v>82</v>
      </c>
    </row>
    <row r="1593" spans="1:12" x14ac:dyDescent="0.25">
      <c r="A1593">
        <v>1592</v>
      </c>
      <c r="B1593" t="s">
        <v>3557</v>
      </c>
      <c r="C1593">
        <v>65</v>
      </c>
      <c r="J1593">
        <v>1592</v>
      </c>
      <c r="K1593" t="s">
        <v>3557</v>
      </c>
      <c r="L1593">
        <v>65</v>
      </c>
    </row>
    <row r="1594" spans="1:12" x14ac:dyDescent="0.25">
      <c r="A1594">
        <v>1593</v>
      </c>
      <c r="B1594" t="s">
        <v>3558</v>
      </c>
      <c r="C1594">
        <v>26</v>
      </c>
      <c r="J1594">
        <v>1593</v>
      </c>
      <c r="K1594" t="s">
        <v>3558</v>
      </c>
      <c r="L1594">
        <v>26</v>
      </c>
    </row>
    <row r="1595" spans="1:12" x14ac:dyDescent="0.25">
      <c r="A1595">
        <v>1594</v>
      </c>
      <c r="B1595" t="s">
        <v>3559</v>
      </c>
      <c r="C1595">
        <v>76</v>
      </c>
      <c r="J1595">
        <v>1594</v>
      </c>
      <c r="K1595" t="s">
        <v>3559</v>
      </c>
      <c r="L1595">
        <v>76</v>
      </c>
    </row>
    <row r="1596" spans="1:12" x14ac:dyDescent="0.25">
      <c r="A1596">
        <v>1595</v>
      </c>
      <c r="B1596" t="s">
        <v>3560</v>
      </c>
      <c r="C1596">
        <v>60</v>
      </c>
      <c r="J1596">
        <v>1595</v>
      </c>
      <c r="K1596" t="s">
        <v>3560</v>
      </c>
      <c r="L1596">
        <v>60</v>
      </c>
    </row>
    <row r="1597" spans="1:12" x14ac:dyDescent="0.25">
      <c r="A1597">
        <v>1596</v>
      </c>
      <c r="B1597" t="s">
        <v>3561</v>
      </c>
      <c r="C1597">
        <v>61</v>
      </c>
      <c r="J1597">
        <v>1596</v>
      </c>
      <c r="K1597" t="s">
        <v>3561</v>
      </c>
      <c r="L1597">
        <v>61</v>
      </c>
    </row>
    <row r="1598" spans="1:12" x14ac:dyDescent="0.25">
      <c r="A1598">
        <v>1597</v>
      </c>
      <c r="B1598" t="s">
        <v>3562</v>
      </c>
      <c r="C1598">
        <v>61</v>
      </c>
      <c r="J1598">
        <v>1597</v>
      </c>
      <c r="K1598" t="s">
        <v>3562</v>
      </c>
      <c r="L1598">
        <v>61</v>
      </c>
    </row>
    <row r="1599" spans="1:12" x14ac:dyDescent="0.25">
      <c r="A1599">
        <v>1598</v>
      </c>
      <c r="B1599" t="s">
        <v>3563</v>
      </c>
      <c r="C1599">
        <v>64</v>
      </c>
      <c r="J1599">
        <v>1598</v>
      </c>
      <c r="K1599" t="s">
        <v>3563</v>
      </c>
      <c r="L1599">
        <v>64</v>
      </c>
    </row>
    <row r="1600" spans="1:12" x14ac:dyDescent="0.25">
      <c r="A1600">
        <v>1599</v>
      </c>
      <c r="B1600" t="s">
        <v>3564</v>
      </c>
      <c r="C1600">
        <v>66</v>
      </c>
      <c r="J1600">
        <v>1599</v>
      </c>
      <c r="K1600" t="s">
        <v>3564</v>
      </c>
      <c r="L1600">
        <v>66</v>
      </c>
    </row>
    <row r="1601" spans="1:12" x14ac:dyDescent="0.25">
      <c r="A1601">
        <v>1600</v>
      </c>
      <c r="B1601" t="s">
        <v>3565</v>
      </c>
      <c r="C1601">
        <v>93</v>
      </c>
      <c r="J1601">
        <v>1600</v>
      </c>
      <c r="K1601" t="s">
        <v>3565</v>
      </c>
      <c r="L1601">
        <v>93</v>
      </c>
    </row>
    <row r="1602" spans="1:12" x14ac:dyDescent="0.25">
      <c r="A1602">
        <v>1601</v>
      </c>
      <c r="B1602" t="s">
        <v>3566</v>
      </c>
      <c r="C1602">
        <v>92</v>
      </c>
      <c r="J1602">
        <v>1601</v>
      </c>
      <c r="K1602" t="s">
        <v>3566</v>
      </c>
      <c r="L1602">
        <v>92</v>
      </c>
    </row>
    <row r="1603" spans="1:12" x14ac:dyDescent="0.25">
      <c r="A1603">
        <v>1602</v>
      </c>
      <c r="B1603" t="s">
        <v>3567</v>
      </c>
      <c r="C1603">
        <v>68</v>
      </c>
      <c r="J1603">
        <v>1602</v>
      </c>
      <c r="K1603" t="s">
        <v>3567</v>
      </c>
      <c r="L1603">
        <v>68</v>
      </c>
    </row>
    <row r="1604" spans="1:12" x14ac:dyDescent="0.25">
      <c r="A1604">
        <v>1603</v>
      </c>
      <c r="B1604" t="s">
        <v>3568</v>
      </c>
      <c r="C1604">
        <v>72</v>
      </c>
      <c r="J1604">
        <v>1603</v>
      </c>
      <c r="K1604" t="s">
        <v>3568</v>
      </c>
      <c r="L1604">
        <v>72</v>
      </c>
    </row>
    <row r="1605" spans="1:12" x14ac:dyDescent="0.25">
      <c r="A1605">
        <v>1604</v>
      </c>
      <c r="B1605" t="s">
        <v>3569</v>
      </c>
      <c r="C1605">
        <v>91</v>
      </c>
      <c r="J1605">
        <v>1604</v>
      </c>
      <c r="K1605" t="s">
        <v>3569</v>
      </c>
      <c r="L1605">
        <v>91</v>
      </c>
    </row>
    <row r="1606" spans="1:12" x14ac:dyDescent="0.25">
      <c r="A1606">
        <v>1605</v>
      </c>
      <c r="B1606" t="s">
        <v>3570</v>
      </c>
      <c r="C1606">
        <v>109</v>
      </c>
      <c r="J1606">
        <v>1605</v>
      </c>
      <c r="K1606" t="s">
        <v>3570</v>
      </c>
      <c r="L1606">
        <v>109</v>
      </c>
    </row>
    <row r="1607" spans="1:12" x14ac:dyDescent="0.25">
      <c r="A1607">
        <v>1606</v>
      </c>
      <c r="B1607" t="s">
        <v>3571</v>
      </c>
      <c r="C1607">
        <v>96</v>
      </c>
      <c r="J1607">
        <v>1606</v>
      </c>
      <c r="K1607" t="s">
        <v>3571</v>
      </c>
      <c r="L1607">
        <v>96</v>
      </c>
    </row>
    <row r="1608" spans="1:12" x14ac:dyDescent="0.25">
      <c r="A1608">
        <v>1607</v>
      </c>
      <c r="B1608" t="s">
        <v>3572</v>
      </c>
      <c r="C1608">
        <v>145</v>
      </c>
      <c r="J1608">
        <v>1607</v>
      </c>
      <c r="K1608" t="s">
        <v>3572</v>
      </c>
      <c r="L1608">
        <v>145</v>
      </c>
    </row>
    <row r="1609" spans="1:12" x14ac:dyDescent="0.25">
      <c r="A1609">
        <v>1608</v>
      </c>
      <c r="B1609" t="s">
        <v>3573</v>
      </c>
      <c r="C1609">
        <v>84</v>
      </c>
      <c r="J1609">
        <v>1608</v>
      </c>
      <c r="K1609" t="s">
        <v>3573</v>
      </c>
      <c r="L1609">
        <v>84</v>
      </c>
    </row>
    <row r="1610" spans="1:12" x14ac:dyDescent="0.25">
      <c r="A1610">
        <v>1609</v>
      </c>
      <c r="B1610" t="s">
        <v>3574</v>
      </c>
      <c r="C1610">
        <v>25</v>
      </c>
      <c r="J1610">
        <v>1609</v>
      </c>
      <c r="K1610" t="s">
        <v>3574</v>
      </c>
      <c r="L1610">
        <v>25</v>
      </c>
    </row>
    <row r="1611" spans="1:12" x14ac:dyDescent="0.25">
      <c r="A1611">
        <v>1610</v>
      </c>
      <c r="B1611" t="s">
        <v>3575</v>
      </c>
      <c r="C1611">
        <v>22</v>
      </c>
      <c r="J1611">
        <v>1610</v>
      </c>
      <c r="K1611" t="s">
        <v>3575</v>
      </c>
      <c r="L1611">
        <v>22</v>
      </c>
    </row>
    <row r="1612" spans="1:12" x14ac:dyDescent="0.25">
      <c r="A1612">
        <v>1611</v>
      </c>
      <c r="B1612" t="s">
        <v>3576</v>
      </c>
      <c r="C1612">
        <v>20</v>
      </c>
      <c r="J1612">
        <v>1611</v>
      </c>
      <c r="K1612" t="s">
        <v>3576</v>
      </c>
      <c r="L1612">
        <v>20</v>
      </c>
    </row>
    <row r="1613" spans="1:12" x14ac:dyDescent="0.25">
      <c r="A1613">
        <v>1612</v>
      </c>
      <c r="B1613" t="s">
        <v>3577</v>
      </c>
      <c r="C1613">
        <v>24</v>
      </c>
      <c r="J1613">
        <v>1612</v>
      </c>
      <c r="K1613" t="s">
        <v>3577</v>
      </c>
      <c r="L1613">
        <v>24</v>
      </c>
    </row>
    <row r="1614" spans="1:12" x14ac:dyDescent="0.25">
      <c r="A1614">
        <v>1613</v>
      </c>
      <c r="B1614" t="s">
        <v>3578</v>
      </c>
      <c r="C1614">
        <v>36</v>
      </c>
      <c r="J1614">
        <v>1613</v>
      </c>
      <c r="K1614" t="s">
        <v>3578</v>
      </c>
      <c r="L1614">
        <v>36</v>
      </c>
    </row>
    <row r="1615" spans="1:12" x14ac:dyDescent="0.25">
      <c r="A1615">
        <v>1614</v>
      </c>
      <c r="B1615" t="s">
        <v>3579</v>
      </c>
      <c r="C1615">
        <v>0</v>
      </c>
      <c r="J1615">
        <v>1614</v>
      </c>
      <c r="K1615" t="s">
        <v>3579</v>
      </c>
      <c r="L1615">
        <v>0</v>
      </c>
    </row>
    <row r="1616" spans="1:12" x14ac:dyDescent="0.25">
      <c r="A1616">
        <v>1615</v>
      </c>
      <c r="B1616" t="s">
        <v>3580</v>
      </c>
      <c r="C1616">
        <v>0</v>
      </c>
      <c r="J1616">
        <v>1615</v>
      </c>
      <c r="K1616" t="s">
        <v>3580</v>
      </c>
      <c r="L1616">
        <v>0</v>
      </c>
    </row>
    <row r="1617" spans="1:12" x14ac:dyDescent="0.25">
      <c r="A1617">
        <v>1616</v>
      </c>
      <c r="B1617" t="s">
        <v>3581</v>
      </c>
      <c r="C1617">
        <v>0</v>
      </c>
      <c r="J1617">
        <v>1616</v>
      </c>
      <c r="K1617" t="s">
        <v>3581</v>
      </c>
      <c r="L1617">
        <v>0</v>
      </c>
    </row>
    <row r="1618" spans="1:12" x14ac:dyDescent="0.25">
      <c r="A1618">
        <v>1617</v>
      </c>
      <c r="B1618" t="s">
        <v>3582</v>
      </c>
      <c r="C1618">
        <v>0</v>
      </c>
      <c r="J1618">
        <v>1617</v>
      </c>
      <c r="K1618" t="s">
        <v>3582</v>
      </c>
      <c r="L1618">
        <v>0</v>
      </c>
    </row>
    <row r="1619" spans="1:12" x14ac:dyDescent="0.25">
      <c r="A1619">
        <v>1618</v>
      </c>
      <c r="B1619" t="s">
        <v>3583</v>
      </c>
      <c r="C1619">
        <v>0</v>
      </c>
      <c r="J1619">
        <v>1618</v>
      </c>
      <c r="K1619" t="s">
        <v>3583</v>
      </c>
      <c r="L1619">
        <v>0</v>
      </c>
    </row>
    <row r="1620" spans="1:12" x14ac:dyDescent="0.25">
      <c r="A1620">
        <v>1619</v>
      </c>
      <c r="B1620" t="s">
        <v>3584</v>
      </c>
      <c r="C1620">
        <v>0</v>
      </c>
      <c r="J1620">
        <v>1619</v>
      </c>
      <c r="K1620" t="s">
        <v>3584</v>
      </c>
      <c r="L1620">
        <v>0</v>
      </c>
    </row>
    <row r="1621" spans="1:12" x14ac:dyDescent="0.25">
      <c r="A1621">
        <v>1620</v>
      </c>
      <c r="B1621" t="s">
        <v>3585</v>
      </c>
      <c r="C1621">
        <v>0</v>
      </c>
      <c r="J1621">
        <v>1620</v>
      </c>
      <c r="K1621" t="s">
        <v>3585</v>
      </c>
      <c r="L1621">
        <v>0</v>
      </c>
    </row>
    <row r="1622" spans="1:12" x14ac:dyDescent="0.25">
      <c r="A1622">
        <v>1621</v>
      </c>
      <c r="B1622" t="s">
        <v>3586</v>
      </c>
      <c r="C1622">
        <v>0</v>
      </c>
      <c r="J1622">
        <v>1621</v>
      </c>
      <c r="K1622" t="s">
        <v>3586</v>
      </c>
      <c r="L1622">
        <v>0</v>
      </c>
    </row>
    <row r="1623" spans="1:12" x14ac:dyDescent="0.25">
      <c r="A1623">
        <v>1622</v>
      </c>
      <c r="B1623" t="s">
        <v>3587</v>
      </c>
      <c r="C1623">
        <v>0</v>
      </c>
      <c r="J1623">
        <v>1622</v>
      </c>
      <c r="K1623" t="s">
        <v>3587</v>
      </c>
      <c r="L1623">
        <v>0</v>
      </c>
    </row>
    <row r="1624" spans="1:12" x14ac:dyDescent="0.25">
      <c r="A1624">
        <v>1623</v>
      </c>
      <c r="B1624" t="s">
        <v>3588</v>
      </c>
      <c r="C1624">
        <v>0</v>
      </c>
      <c r="J1624">
        <v>1623</v>
      </c>
      <c r="K1624" t="s">
        <v>3588</v>
      </c>
      <c r="L1624">
        <v>0</v>
      </c>
    </row>
    <row r="1625" spans="1:12" x14ac:dyDescent="0.25">
      <c r="A1625">
        <v>1624</v>
      </c>
      <c r="B1625" t="s">
        <v>3589</v>
      </c>
      <c r="C1625">
        <v>0</v>
      </c>
      <c r="J1625">
        <v>1624</v>
      </c>
      <c r="K1625" t="s">
        <v>3589</v>
      </c>
      <c r="L1625">
        <v>0</v>
      </c>
    </row>
    <row r="1626" spans="1:12" x14ac:dyDescent="0.25">
      <c r="A1626">
        <v>1625</v>
      </c>
      <c r="B1626" t="s">
        <v>3590</v>
      </c>
      <c r="C1626">
        <v>0</v>
      </c>
      <c r="J1626">
        <v>1625</v>
      </c>
      <c r="K1626" t="s">
        <v>3590</v>
      </c>
      <c r="L1626">
        <v>0</v>
      </c>
    </row>
    <row r="1627" spans="1:12" x14ac:dyDescent="0.25">
      <c r="A1627">
        <v>1626</v>
      </c>
      <c r="B1627" t="s">
        <v>3591</v>
      </c>
      <c r="C1627">
        <v>0</v>
      </c>
      <c r="J1627">
        <v>1626</v>
      </c>
      <c r="K1627" t="s">
        <v>3591</v>
      </c>
      <c r="L1627">
        <v>0</v>
      </c>
    </row>
    <row r="1628" spans="1:12" x14ac:dyDescent="0.25">
      <c r="A1628">
        <v>1627</v>
      </c>
      <c r="B1628" t="s">
        <v>3592</v>
      </c>
      <c r="C1628">
        <v>0</v>
      </c>
      <c r="J1628">
        <v>1627</v>
      </c>
      <c r="K1628" t="s">
        <v>3592</v>
      </c>
      <c r="L1628">
        <v>0</v>
      </c>
    </row>
    <row r="1629" spans="1:12" x14ac:dyDescent="0.25">
      <c r="A1629">
        <v>1628</v>
      </c>
      <c r="B1629" t="s">
        <v>3593</v>
      </c>
      <c r="C1629">
        <v>0</v>
      </c>
      <c r="J1629">
        <v>1628</v>
      </c>
      <c r="K1629" t="s">
        <v>3593</v>
      </c>
      <c r="L1629">
        <v>0</v>
      </c>
    </row>
    <row r="1630" spans="1:12" x14ac:dyDescent="0.25">
      <c r="A1630">
        <v>1629</v>
      </c>
      <c r="B1630" t="s">
        <v>3594</v>
      </c>
      <c r="C1630">
        <v>0</v>
      </c>
      <c r="J1630">
        <v>1629</v>
      </c>
      <c r="K1630" t="s">
        <v>3594</v>
      </c>
      <c r="L1630">
        <v>0</v>
      </c>
    </row>
    <row r="1631" spans="1:12" x14ac:dyDescent="0.25">
      <c r="A1631">
        <v>1630</v>
      </c>
      <c r="B1631" t="s">
        <v>3595</v>
      </c>
      <c r="C1631">
        <v>0</v>
      </c>
      <c r="J1631">
        <v>1630</v>
      </c>
      <c r="K1631" t="s">
        <v>3595</v>
      </c>
      <c r="L1631">
        <v>0</v>
      </c>
    </row>
    <row r="1632" spans="1:12" x14ac:dyDescent="0.25">
      <c r="A1632">
        <v>1631</v>
      </c>
      <c r="B1632" t="s">
        <v>3596</v>
      </c>
      <c r="C1632">
        <v>0</v>
      </c>
      <c r="J1632">
        <v>1631</v>
      </c>
      <c r="K1632" t="s">
        <v>3596</v>
      </c>
      <c r="L1632">
        <v>0</v>
      </c>
    </row>
    <row r="1633" spans="1:12" x14ac:dyDescent="0.25">
      <c r="A1633">
        <v>1632</v>
      </c>
      <c r="B1633" t="s">
        <v>3597</v>
      </c>
      <c r="C1633">
        <v>0</v>
      </c>
      <c r="J1633">
        <v>1632</v>
      </c>
      <c r="K1633" t="s">
        <v>3597</v>
      </c>
      <c r="L1633">
        <v>0</v>
      </c>
    </row>
    <row r="1634" spans="1:12" x14ac:dyDescent="0.25">
      <c r="A1634">
        <v>1633</v>
      </c>
      <c r="B1634" t="s">
        <v>3598</v>
      </c>
      <c r="C1634">
        <v>0</v>
      </c>
      <c r="J1634">
        <v>1633</v>
      </c>
      <c r="K1634" t="s">
        <v>3598</v>
      </c>
      <c r="L1634">
        <v>0</v>
      </c>
    </row>
    <row r="1635" spans="1:12" x14ac:dyDescent="0.25">
      <c r="A1635">
        <v>1634</v>
      </c>
      <c r="B1635" t="s">
        <v>3599</v>
      </c>
      <c r="C1635">
        <v>0</v>
      </c>
      <c r="J1635">
        <v>1634</v>
      </c>
      <c r="K1635" t="s">
        <v>3599</v>
      </c>
      <c r="L1635">
        <v>0</v>
      </c>
    </row>
    <row r="1636" spans="1:12" x14ac:dyDescent="0.25">
      <c r="A1636">
        <v>1635</v>
      </c>
      <c r="B1636" t="s">
        <v>3600</v>
      </c>
      <c r="C1636">
        <v>0</v>
      </c>
      <c r="J1636">
        <v>1635</v>
      </c>
      <c r="K1636" t="s">
        <v>3600</v>
      </c>
      <c r="L1636">
        <v>0</v>
      </c>
    </row>
    <row r="1637" spans="1:12" x14ac:dyDescent="0.25">
      <c r="A1637">
        <v>1636</v>
      </c>
      <c r="B1637" t="s">
        <v>3601</v>
      </c>
      <c r="C1637">
        <v>0</v>
      </c>
      <c r="J1637">
        <v>1636</v>
      </c>
      <c r="K1637" t="s">
        <v>3601</v>
      </c>
      <c r="L1637">
        <v>0</v>
      </c>
    </row>
    <row r="1638" spans="1:12" x14ac:dyDescent="0.25">
      <c r="A1638">
        <v>1637</v>
      </c>
      <c r="B1638" t="s">
        <v>3602</v>
      </c>
      <c r="C1638">
        <v>0</v>
      </c>
      <c r="J1638">
        <v>1637</v>
      </c>
      <c r="K1638" t="s">
        <v>3602</v>
      </c>
      <c r="L1638">
        <v>0</v>
      </c>
    </row>
    <row r="1639" spans="1:12" x14ac:dyDescent="0.25">
      <c r="A1639">
        <v>1638</v>
      </c>
      <c r="B1639" t="s">
        <v>3603</v>
      </c>
      <c r="C1639">
        <v>0</v>
      </c>
      <c r="J1639">
        <v>1638</v>
      </c>
      <c r="K1639" t="s">
        <v>3603</v>
      </c>
      <c r="L1639">
        <v>0</v>
      </c>
    </row>
    <row r="1640" spans="1:12" x14ac:dyDescent="0.25">
      <c r="A1640">
        <v>1639</v>
      </c>
      <c r="B1640" t="s">
        <v>3604</v>
      </c>
      <c r="C1640">
        <v>0</v>
      </c>
      <c r="J1640">
        <v>1639</v>
      </c>
      <c r="K1640" t="s">
        <v>3604</v>
      </c>
      <c r="L1640">
        <v>0</v>
      </c>
    </row>
    <row r="1641" spans="1:12" x14ac:dyDescent="0.25">
      <c r="A1641">
        <v>1640</v>
      </c>
      <c r="B1641" t="s">
        <v>3605</v>
      </c>
      <c r="C1641">
        <v>0</v>
      </c>
      <c r="J1641">
        <v>1640</v>
      </c>
      <c r="K1641" t="s">
        <v>3605</v>
      </c>
      <c r="L1641">
        <v>0</v>
      </c>
    </row>
    <row r="1642" spans="1:12" x14ac:dyDescent="0.25">
      <c r="A1642">
        <v>1641</v>
      </c>
      <c r="B1642" t="s">
        <v>3606</v>
      </c>
      <c r="C1642">
        <v>0</v>
      </c>
      <c r="J1642">
        <v>1641</v>
      </c>
      <c r="K1642" t="s">
        <v>3606</v>
      </c>
      <c r="L1642">
        <v>0</v>
      </c>
    </row>
    <row r="1643" spans="1:12" x14ac:dyDescent="0.25">
      <c r="A1643">
        <v>1642</v>
      </c>
      <c r="B1643" t="s">
        <v>3607</v>
      </c>
      <c r="C1643">
        <v>0</v>
      </c>
      <c r="J1643">
        <v>1642</v>
      </c>
      <c r="K1643" t="s">
        <v>3607</v>
      </c>
      <c r="L1643">
        <v>0</v>
      </c>
    </row>
    <row r="1644" spans="1:12" x14ac:dyDescent="0.25">
      <c r="A1644">
        <v>1643</v>
      </c>
      <c r="B1644" t="s">
        <v>3608</v>
      </c>
      <c r="C1644">
        <v>0</v>
      </c>
      <c r="J1644">
        <v>1643</v>
      </c>
      <c r="K1644" t="s">
        <v>3608</v>
      </c>
      <c r="L1644">
        <v>0</v>
      </c>
    </row>
    <row r="1645" spans="1:12" x14ac:dyDescent="0.25">
      <c r="A1645">
        <v>1644</v>
      </c>
      <c r="B1645" t="s">
        <v>3609</v>
      </c>
      <c r="C1645">
        <v>0</v>
      </c>
      <c r="J1645">
        <v>1644</v>
      </c>
      <c r="K1645" t="s">
        <v>3609</v>
      </c>
      <c r="L1645">
        <v>0</v>
      </c>
    </row>
    <row r="1646" spans="1:12" x14ac:dyDescent="0.25">
      <c r="A1646">
        <v>1645</v>
      </c>
      <c r="B1646" t="s">
        <v>3610</v>
      </c>
      <c r="C1646">
        <v>0</v>
      </c>
      <c r="J1646">
        <v>1645</v>
      </c>
      <c r="K1646" t="s">
        <v>3610</v>
      </c>
      <c r="L1646">
        <v>0</v>
      </c>
    </row>
    <row r="1647" spans="1:12" x14ac:dyDescent="0.25">
      <c r="A1647">
        <v>1646</v>
      </c>
      <c r="B1647" t="s">
        <v>3611</v>
      </c>
      <c r="C1647">
        <v>0</v>
      </c>
      <c r="J1647">
        <v>1646</v>
      </c>
      <c r="K1647" t="s">
        <v>3611</v>
      </c>
      <c r="L1647">
        <v>0</v>
      </c>
    </row>
    <row r="1648" spans="1:12" x14ac:dyDescent="0.25">
      <c r="A1648">
        <v>1647</v>
      </c>
      <c r="B1648" t="s">
        <v>3612</v>
      </c>
      <c r="C1648">
        <v>0</v>
      </c>
      <c r="J1648">
        <v>1647</v>
      </c>
      <c r="K1648" t="s">
        <v>3612</v>
      </c>
      <c r="L1648">
        <v>0</v>
      </c>
    </row>
    <row r="1649" spans="1:12" x14ac:dyDescent="0.25">
      <c r="A1649">
        <v>1648</v>
      </c>
      <c r="B1649" t="s">
        <v>3613</v>
      </c>
      <c r="C1649">
        <v>0</v>
      </c>
      <c r="J1649">
        <v>1648</v>
      </c>
      <c r="K1649" t="s">
        <v>3613</v>
      </c>
      <c r="L1649">
        <v>0</v>
      </c>
    </row>
    <row r="1650" spans="1:12" x14ac:dyDescent="0.25">
      <c r="A1650">
        <v>1649</v>
      </c>
      <c r="B1650" t="s">
        <v>3614</v>
      </c>
      <c r="C1650">
        <v>0</v>
      </c>
      <c r="J1650">
        <v>1649</v>
      </c>
      <c r="K1650" t="s">
        <v>3614</v>
      </c>
      <c r="L1650">
        <v>0</v>
      </c>
    </row>
    <row r="1651" spans="1:12" x14ac:dyDescent="0.25">
      <c r="A1651">
        <v>1650</v>
      </c>
      <c r="B1651" t="s">
        <v>3615</v>
      </c>
      <c r="C1651">
        <v>0</v>
      </c>
      <c r="J1651">
        <v>1650</v>
      </c>
      <c r="K1651" t="s">
        <v>3615</v>
      </c>
      <c r="L1651">
        <v>0</v>
      </c>
    </row>
    <row r="1652" spans="1:12" x14ac:dyDescent="0.25">
      <c r="A1652">
        <v>1651</v>
      </c>
      <c r="B1652" t="s">
        <v>3616</v>
      </c>
      <c r="C1652">
        <v>0</v>
      </c>
      <c r="J1652">
        <v>1651</v>
      </c>
      <c r="K1652" t="s">
        <v>3616</v>
      </c>
      <c r="L1652">
        <v>0</v>
      </c>
    </row>
    <row r="1653" spans="1:12" x14ac:dyDescent="0.25">
      <c r="A1653">
        <v>1652</v>
      </c>
      <c r="B1653" t="s">
        <v>3617</v>
      </c>
      <c r="C1653">
        <v>0</v>
      </c>
      <c r="J1653">
        <v>1652</v>
      </c>
      <c r="K1653" t="s">
        <v>3617</v>
      </c>
      <c r="L1653">
        <v>0</v>
      </c>
    </row>
    <row r="1654" spans="1:12" x14ac:dyDescent="0.25">
      <c r="A1654">
        <v>1653</v>
      </c>
      <c r="B1654" t="s">
        <v>3618</v>
      </c>
      <c r="C1654">
        <v>0</v>
      </c>
      <c r="J1654">
        <v>1653</v>
      </c>
      <c r="K1654" t="s">
        <v>3618</v>
      </c>
      <c r="L1654">
        <v>0</v>
      </c>
    </row>
    <row r="1655" spans="1:12" x14ac:dyDescent="0.25">
      <c r="A1655">
        <v>1654</v>
      </c>
      <c r="B1655" t="s">
        <v>3619</v>
      </c>
      <c r="C1655">
        <v>0</v>
      </c>
      <c r="J1655">
        <v>1654</v>
      </c>
      <c r="K1655" t="s">
        <v>3619</v>
      </c>
      <c r="L1655">
        <v>0</v>
      </c>
    </row>
    <row r="1656" spans="1:12" x14ac:dyDescent="0.25">
      <c r="A1656">
        <v>1655</v>
      </c>
      <c r="B1656" t="s">
        <v>3620</v>
      </c>
      <c r="C1656">
        <v>0</v>
      </c>
      <c r="J1656">
        <v>1655</v>
      </c>
      <c r="K1656" t="s">
        <v>3620</v>
      </c>
      <c r="L1656">
        <v>0</v>
      </c>
    </row>
    <row r="1657" spans="1:12" x14ac:dyDescent="0.25">
      <c r="A1657">
        <v>1656</v>
      </c>
      <c r="B1657" t="s">
        <v>3621</v>
      </c>
      <c r="C1657">
        <v>0</v>
      </c>
      <c r="J1657">
        <v>1656</v>
      </c>
      <c r="K1657" t="s">
        <v>3621</v>
      </c>
      <c r="L1657">
        <v>0</v>
      </c>
    </row>
    <row r="1658" spans="1:12" x14ac:dyDescent="0.25">
      <c r="A1658">
        <v>1657</v>
      </c>
      <c r="B1658" t="s">
        <v>3622</v>
      </c>
      <c r="C1658">
        <v>0</v>
      </c>
      <c r="J1658">
        <v>1657</v>
      </c>
      <c r="K1658" t="s">
        <v>3622</v>
      </c>
      <c r="L1658">
        <v>0</v>
      </c>
    </row>
    <row r="1659" spans="1:12" x14ac:dyDescent="0.25">
      <c r="A1659">
        <v>1658</v>
      </c>
      <c r="B1659" t="s">
        <v>3623</v>
      </c>
      <c r="C1659">
        <v>0</v>
      </c>
      <c r="J1659">
        <v>1658</v>
      </c>
      <c r="K1659" t="s">
        <v>3623</v>
      </c>
      <c r="L1659">
        <v>0</v>
      </c>
    </row>
    <row r="1660" spans="1:12" x14ac:dyDescent="0.25">
      <c r="A1660">
        <v>1659</v>
      </c>
      <c r="B1660" t="s">
        <v>3624</v>
      </c>
      <c r="C1660">
        <v>0</v>
      </c>
      <c r="J1660">
        <v>1659</v>
      </c>
      <c r="K1660" t="s">
        <v>3624</v>
      </c>
      <c r="L1660">
        <v>0</v>
      </c>
    </row>
    <row r="1661" spans="1:12" x14ac:dyDescent="0.25">
      <c r="A1661">
        <v>1660</v>
      </c>
      <c r="B1661" t="s">
        <v>3625</v>
      </c>
      <c r="C1661">
        <v>0</v>
      </c>
      <c r="J1661">
        <v>1660</v>
      </c>
      <c r="K1661" t="s">
        <v>3625</v>
      </c>
      <c r="L1661">
        <v>0</v>
      </c>
    </row>
    <row r="1662" spans="1:12" x14ac:dyDescent="0.25">
      <c r="A1662">
        <v>1661</v>
      </c>
      <c r="B1662" t="s">
        <v>3626</v>
      </c>
      <c r="C1662">
        <v>0</v>
      </c>
      <c r="J1662">
        <v>1661</v>
      </c>
      <c r="K1662" t="s">
        <v>3626</v>
      </c>
      <c r="L1662">
        <v>0</v>
      </c>
    </row>
    <row r="1663" spans="1:12" x14ac:dyDescent="0.25">
      <c r="A1663">
        <v>1662</v>
      </c>
      <c r="B1663" t="s">
        <v>3627</v>
      </c>
      <c r="C1663">
        <v>0</v>
      </c>
      <c r="J1663">
        <v>1662</v>
      </c>
      <c r="K1663" t="s">
        <v>3627</v>
      </c>
      <c r="L1663">
        <v>0</v>
      </c>
    </row>
    <row r="1664" spans="1:12" x14ac:dyDescent="0.25">
      <c r="A1664">
        <v>1663</v>
      </c>
      <c r="B1664" t="s">
        <v>3628</v>
      </c>
      <c r="C1664">
        <v>0</v>
      </c>
      <c r="J1664">
        <v>1663</v>
      </c>
      <c r="K1664" t="s">
        <v>3628</v>
      </c>
      <c r="L1664">
        <v>0</v>
      </c>
    </row>
    <row r="1665" spans="1:12" x14ac:dyDescent="0.25">
      <c r="A1665">
        <v>1664</v>
      </c>
      <c r="B1665" t="s">
        <v>3629</v>
      </c>
      <c r="C1665">
        <v>0</v>
      </c>
      <c r="J1665">
        <v>1664</v>
      </c>
      <c r="K1665" t="s">
        <v>3629</v>
      </c>
      <c r="L1665">
        <v>0</v>
      </c>
    </row>
    <row r="1666" spans="1:12" x14ac:dyDescent="0.25">
      <c r="A1666">
        <v>1665</v>
      </c>
      <c r="B1666" t="s">
        <v>3630</v>
      </c>
      <c r="C1666">
        <v>0</v>
      </c>
      <c r="J1666">
        <v>1665</v>
      </c>
      <c r="K1666" t="s">
        <v>3630</v>
      </c>
      <c r="L1666">
        <v>0</v>
      </c>
    </row>
    <row r="1667" spans="1:12" x14ac:dyDescent="0.25">
      <c r="A1667">
        <v>1666</v>
      </c>
      <c r="B1667" t="s">
        <v>3631</v>
      </c>
      <c r="C1667">
        <v>0</v>
      </c>
      <c r="J1667">
        <v>1666</v>
      </c>
      <c r="K1667" t="s">
        <v>3631</v>
      </c>
      <c r="L1667">
        <v>0</v>
      </c>
    </row>
    <row r="1668" spans="1:12" x14ac:dyDescent="0.25">
      <c r="A1668">
        <v>1667</v>
      </c>
      <c r="B1668" t="s">
        <v>3632</v>
      </c>
      <c r="C1668">
        <v>0</v>
      </c>
      <c r="J1668">
        <v>1667</v>
      </c>
      <c r="K1668" t="s">
        <v>3632</v>
      </c>
      <c r="L1668">
        <v>0</v>
      </c>
    </row>
    <row r="1669" spans="1:12" x14ac:dyDescent="0.25">
      <c r="A1669">
        <v>1668</v>
      </c>
      <c r="B1669" t="s">
        <v>3633</v>
      </c>
      <c r="C1669">
        <v>0</v>
      </c>
      <c r="J1669">
        <v>1668</v>
      </c>
      <c r="K1669" t="s">
        <v>3633</v>
      </c>
      <c r="L1669">
        <v>0</v>
      </c>
    </row>
    <row r="1670" spans="1:12" x14ac:dyDescent="0.25">
      <c r="A1670">
        <v>1669</v>
      </c>
      <c r="B1670" t="s">
        <v>3634</v>
      </c>
      <c r="C1670">
        <v>0</v>
      </c>
      <c r="J1670">
        <v>1669</v>
      </c>
      <c r="K1670" t="s">
        <v>3634</v>
      </c>
      <c r="L1670">
        <v>0</v>
      </c>
    </row>
    <row r="1671" spans="1:12" x14ac:dyDescent="0.25">
      <c r="A1671">
        <v>1670</v>
      </c>
      <c r="B1671" t="s">
        <v>3635</v>
      </c>
      <c r="C1671">
        <v>0</v>
      </c>
      <c r="J1671">
        <v>1670</v>
      </c>
      <c r="K1671" t="s">
        <v>3635</v>
      </c>
      <c r="L1671">
        <v>0</v>
      </c>
    </row>
    <row r="1672" spans="1:12" x14ac:dyDescent="0.25">
      <c r="A1672">
        <v>1671</v>
      </c>
      <c r="B1672" t="s">
        <v>3636</v>
      </c>
      <c r="C1672">
        <v>0</v>
      </c>
      <c r="J1672">
        <v>1671</v>
      </c>
      <c r="K1672" t="s">
        <v>3636</v>
      </c>
      <c r="L1672">
        <v>0</v>
      </c>
    </row>
    <row r="1673" spans="1:12" x14ac:dyDescent="0.25">
      <c r="A1673">
        <v>1672</v>
      </c>
      <c r="B1673" t="s">
        <v>3637</v>
      </c>
      <c r="C1673">
        <v>0</v>
      </c>
      <c r="J1673">
        <v>1672</v>
      </c>
      <c r="K1673" t="s">
        <v>3637</v>
      </c>
      <c r="L1673">
        <v>0</v>
      </c>
    </row>
    <row r="1674" spans="1:12" x14ac:dyDescent="0.25">
      <c r="A1674">
        <v>1673</v>
      </c>
      <c r="B1674" t="s">
        <v>3638</v>
      </c>
      <c r="C1674">
        <v>0</v>
      </c>
      <c r="J1674">
        <v>1673</v>
      </c>
      <c r="K1674" t="s">
        <v>3638</v>
      </c>
      <c r="L1674">
        <v>0</v>
      </c>
    </row>
    <row r="1675" spans="1:12" x14ac:dyDescent="0.25">
      <c r="A1675">
        <v>1674</v>
      </c>
      <c r="B1675" t="s">
        <v>3639</v>
      </c>
      <c r="C1675">
        <v>0</v>
      </c>
      <c r="J1675">
        <v>1674</v>
      </c>
      <c r="K1675" t="s">
        <v>3639</v>
      </c>
      <c r="L1675">
        <v>0</v>
      </c>
    </row>
    <row r="1676" spans="1:12" x14ac:dyDescent="0.25">
      <c r="A1676">
        <v>1675</v>
      </c>
      <c r="B1676" t="s">
        <v>3640</v>
      </c>
      <c r="C1676">
        <v>0</v>
      </c>
      <c r="J1676">
        <v>1675</v>
      </c>
      <c r="K1676" t="s">
        <v>3640</v>
      </c>
      <c r="L1676">
        <v>0</v>
      </c>
    </row>
    <row r="1677" spans="1:12" x14ac:dyDescent="0.25">
      <c r="A1677">
        <v>1676</v>
      </c>
      <c r="B1677" t="s">
        <v>3641</v>
      </c>
      <c r="C1677">
        <v>0</v>
      </c>
      <c r="J1677">
        <v>1676</v>
      </c>
      <c r="K1677" t="s">
        <v>3641</v>
      </c>
      <c r="L1677">
        <v>0</v>
      </c>
    </row>
    <row r="1678" spans="1:12" x14ac:dyDescent="0.25">
      <c r="A1678">
        <v>1677</v>
      </c>
      <c r="B1678" t="s">
        <v>3642</v>
      </c>
      <c r="C1678">
        <v>0</v>
      </c>
      <c r="J1678">
        <v>1677</v>
      </c>
      <c r="K1678" t="s">
        <v>3642</v>
      </c>
      <c r="L1678">
        <v>0</v>
      </c>
    </row>
    <row r="1679" spans="1:12" x14ac:dyDescent="0.25">
      <c r="A1679">
        <v>1678</v>
      </c>
      <c r="B1679" t="s">
        <v>3643</v>
      </c>
      <c r="C1679">
        <v>0</v>
      </c>
      <c r="J1679">
        <v>1678</v>
      </c>
      <c r="K1679" t="s">
        <v>3643</v>
      </c>
      <c r="L1679">
        <v>0</v>
      </c>
    </row>
    <row r="1680" spans="1:12" x14ac:dyDescent="0.25">
      <c r="A1680">
        <v>1679</v>
      </c>
      <c r="B1680" t="s">
        <v>3644</v>
      </c>
      <c r="C1680">
        <v>0</v>
      </c>
      <c r="J1680">
        <v>1679</v>
      </c>
      <c r="K1680" t="s">
        <v>3644</v>
      </c>
      <c r="L1680">
        <v>0</v>
      </c>
    </row>
    <row r="1681" spans="1:12" x14ac:dyDescent="0.25">
      <c r="A1681">
        <v>1680</v>
      </c>
      <c r="B1681" t="s">
        <v>3645</v>
      </c>
      <c r="C1681">
        <v>0</v>
      </c>
      <c r="J1681">
        <v>1680</v>
      </c>
      <c r="K1681" t="s">
        <v>3645</v>
      </c>
      <c r="L1681">
        <v>0</v>
      </c>
    </row>
    <row r="1682" spans="1:12" x14ac:dyDescent="0.25">
      <c r="A1682">
        <v>1681</v>
      </c>
      <c r="B1682" t="s">
        <v>3646</v>
      </c>
      <c r="C1682">
        <v>0</v>
      </c>
      <c r="J1682">
        <v>1681</v>
      </c>
      <c r="K1682" t="s">
        <v>3646</v>
      </c>
      <c r="L1682">
        <v>0</v>
      </c>
    </row>
    <row r="1683" spans="1:12" x14ac:dyDescent="0.25">
      <c r="A1683">
        <v>1682</v>
      </c>
      <c r="B1683" t="s">
        <v>3647</v>
      </c>
      <c r="C1683">
        <v>0</v>
      </c>
      <c r="J1683">
        <v>1682</v>
      </c>
      <c r="K1683" t="s">
        <v>3647</v>
      </c>
      <c r="L1683">
        <v>0</v>
      </c>
    </row>
    <row r="1684" spans="1:12" x14ac:dyDescent="0.25">
      <c r="A1684">
        <v>1683</v>
      </c>
      <c r="B1684" t="s">
        <v>3648</v>
      </c>
      <c r="C1684">
        <v>0</v>
      </c>
      <c r="J1684">
        <v>1683</v>
      </c>
      <c r="K1684" t="s">
        <v>3648</v>
      </c>
      <c r="L1684">
        <v>0</v>
      </c>
    </row>
    <row r="1685" spans="1:12" x14ac:dyDescent="0.25">
      <c r="A1685">
        <v>1684</v>
      </c>
      <c r="B1685" t="s">
        <v>3649</v>
      </c>
      <c r="C1685">
        <v>0</v>
      </c>
      <c r="J1685">
        <v>1684</v>
      </c>
      <c r="K1685" t="s">
        <v>3649</v>
      </c>
      <c r="L1685">
        <v>0</v>
      </c>
    </row>
    <row r="1686" spans="1:12" x14ac:dyDescent="0.25">
      <c r="A1686">
        <v>1685</v>
      </c>
      <c r="B1686" t="s">
        <v>3650</v>
      </c>
      <c r="C1686">
        <v>0</v>
      </c>
      <c r="J1686">
        <v>1685</v>
      </c>
      <c r="K1686" t="s">
        <v>3650</v>
      </c>
      <c r="L1686">
        <v>0</v>
      </c>
    </row>
    <row r="1687" spans="1:12" x14ac:dyDescent="0.25">
      <c r="A1687">
        <v>1686</v>
      </c>
      <c r="B1687" t="s">
        <v>3651</v>
      </c>
      <c r="C1687">
        <v>0</v>
      </c>
      <c r="J1687">
        <v>1686</v>
      </c>
      <c r="K1687" t="s">
        <v>3651</v>
      </c>
      <c r="L1687">
        <v>0</v>
      </c>
    </row>
    <row r="1688" spans="1:12" x14ac:dyDescent="0.25">
      <c r="A1688">
        <v>1687</v>
      </c>
      <c r="B1688" t="s">
        <v>3652</v>
      </c>
      <c r="C1688">
        <v>0</v>
      </c>
      <c r="J1688">
        <v>1687</v>
      </c>
      <c r="K1688" t="s">
        <v>3652</v>
      </c>
      <c r="L1688">
        <v>0</v>
      </c>
    </row>
    <row r="1689" spans="1:12" x14ac:dyDescent="0.25">
      <c r="A1689">
        <v>1688</v>
      </c>
      <c r="B1689" t="s">
        <v>3653</v>
      </c>
      <c r="C1689">
        <v>0</v>
      </c>
      <c r="J1689">
        <v>1688</v>
      </c>
      <c r="K1689" t="s">
        <v>3653</v>
      </c>
      <c r="L1689">
        <v>0</v>
      </c>
    </row>
    <row r="1690" spans="1:12" x14ac:dyDescent="0.25">
      <c r="A1690">
        <v>1689</v>
      </c>
      <c r="B1690" t="s">
        <v>3654</v>
      </c>
      <c r="C1690">
        <v>0</v>
      </c>
      <c r="J1690">
        <v>1689</v>
      </c>
      <c r="K1690" t="s">
        <v>3654</v>
      </c>
      <c r="L1690">
        <v>0</v>
      </c>
    </row>
    <row r="1691" spans="1:12" x14ac:dyDescent="0.25">
      <c r="A1691">
        <v>1690</v>
      </c>
      <c r="B1691" t="s">
        <v>3655</v>
      </c>
      <c r="C1691">
        <v>0</v>
      </c>
      <c r="J1691">
        <v>1690</v>
      </c>
      <c r="K1691" t="s">
        <v>3655</v>
      </c>
      <c r="L1691">
        <v>0</v>
      </c>
    </row>
    <row r="1692" spans="1:12" x14ac:dyDescent="0.25">
      <c r="A1692">
        <v>1691</v>
      </c>
      <c r="B1692" t="s">
        <v>3656</v>
      </c>
      <c r="C1692">
        <v>0</v>
      </c>
      <c r="J1692">
        <v>1691</v>
      </c>
      <c r="K1692" t="s">
        <v>3656</v>
      </c>
      <c r="L1692">
        <v>0</v>
      </c>
    </row>
    <row r="1693" spans="1:12" x14ac:dyDescent="0.25">
      <c r="A1693">
        <v>1692</v>
      </c>
      <c r="B1693" t="s">
        <v>3657</v>
      </c>
      <c r="C1693">
        <v>0</v>
      </c>
      <c r="J1693">
        <v>1692</v>
      </c>
      <c r="K1693" t="s">
        <v>3657</v>
      </c>
      <c r="L1693">
        <v>0</v>
      </c>
    </row>
    <row r="1694" spans="1:12" x14ac:dyDescent="0.25">
      <c r="A1694">
        <v>1693</v>
      </c>
      <c r="B1694" t="s">
        <v>3658</v>
      </c>
      <c r="C1694">
        <v>0</v>
      </c>
      <c r="J1694">
        <v>1693</v>
      </c>
      <c r="K1694" t="s">
        <v>3658</v>
      </c>
      <c r="L1694">
        <v>0</v>
      </c>
    </row>
    <row r="1695" spans="1:12" x14ac:dyDescent="0.25">
      <c r="A1695">
        <v>1694</v>
      </c>
      <c r="B1695" t="s">
        <v>3659</v>
      </c>
      <c r="C1695">
        <v>0</v>
      </c>
      <c r="J1695">
        <v>1694</v>
      </c>
      <c r="K1695" t="s">
        <v>3659</v>
      </c>
      <c r="L1695">
        <v>0</v>
      </c>
    </row>
    <row r="1696" spans="1:12" x14ac:dyDescent="0.25">
      <c r="A1696">
        <v>1695</v>
      </c>
      <c r="B1696" t="s">
        <v>3660</v>
      </c>
      <c r="C1696">
        <v>0</v>
      </c>
      <c r="J1696">
        <v>1695</v>
      </c>
      <c r="K1696" t="s">
        <v>3660</v>
      </c>
      <c r="L1696">
        <v>0</v>
      </c>
    </row>
    <row r="1697" spans="1:12" x14ac:dyDescent="0.25">
      <c r="A1697">
        <v>1696</v>
      </c>
      <c r="B1697" t="s">
        <v>3661</v>
      </c>
      <c r="C1697">
        <v>0</v>
      </c>
      <c r="J1697">
        <v>1696</v>
      </c>
      <c r="K1697" t="s">
        <v>3661</v>
      </c>
      <c r="L1697">
        <v>0</v>
      </c>
    </row>
    <row r="1698" spans="1:12" x14ac:dyDescent="0.25">
      <c r="A1698">
        <v>1697</v>
      </c>
      <c r="B1698" t="s">
        <v>3662</v>
      </c>
      <c r="C1698">
        <v>0</v>
      </c>
      <c r="J1698">
        <v>1697</v>
      </c>
      <c r="K1698" t="s">
        <v>3662</v>
      </c>
      <c r="L1698">
        <v>0</v>
      </c>
    </row>
    <row r="1699" spans="1:12" x14ac:dyDescent="0.25">
      <c r="A1699">
        <v>1698</v>
      </c>
      <c r="B1699" t="s">
        <v>3663</v>
      </c>
      <c r="C1699">
        <v>0</v>
      </c>
      <c r="J1699">
        <v>1698</v>
      </c>
      <c r="K1699" t="s">
        <v>3663</v>
      </c>
      <c r="L1699">
        <v>0</v>
      </c>
    </row>
    <row r="1700" spans="1:12" x14ac:dyDescent="0.25">
      <c r="A1700">
        <v>1699</v>
      </c>
      <c r="B1700" t="s">
        <v>3664</v>
      </c>
      <c r="C1700">
        <v>0</v>
      </c>
      <c r="J1700">
        <v>1699</v>
      </c>
      <c r="K1700" t="s">
        <v>3664</v>
      </c>
      <c r="L1700">
        <v>0</v>
      </c>
    </row>
    <row r="1701" spans="1:12" x14ac:dyDescent="0.25">
      <c r="A1701">
        <v>1700</v>
      </c>
      <c r="B1701" t="s">
        <v>3665</v>
      </c>
      <c r="C1701">
        <v>59</v>
      </c>
      <c r="J1701">
        <v>1700</v>
      </c>
      <c r="K1701" t="s">
        <v>3665</v>
      </c>
      <c r="L1701">
        <v>59</v>
      </c>
    </row>
    <row r="1702" spans="1:12" x14ac:dyDescent="0.25">
      <c r="A1702">
        <v>1701</v>
      </c>
      <c r="B1702" t="s">
        <v>3666</v>
      </c>
      <c r="C1702">
        <v>59</v>
      </c>
      <c r="J1702">
        <v>1701</v>
      </c>
      <c r="K1702" t="s">
        <v>3666</v>
      </c>
      <c r="L1702">
        <v>59</v>
      </c>
    </row>
    <row r="1703" spans="1:12" x14ac:dyDescent="0.25">
      <c r="A1703">
        <v>1702</v>
      </c>
      <c r="B1703" t="s">
        <v>3667</v>
      </c>
      <c r="C1703">
        <v>25</v>
      </c>
      <c r="J1703">
        <v>1702</v>
      </c>
      <c r="K1703" t="s">
        <v>3667</v>
      </c>
      <c r="L1703">
        <v>25</v>
      </c>
    </row>
    <row r="1704" spans="1:12" x14ac:dyDescent="0.25">
      <c r="A1704">
        <v>1703</v>
      </c>
      <c r="B1704" t="s">
        <v>3668</v>
      </c>
      <c r="C1704">
        <v>52</v>
      </c>
      <c r="J1704">
        <v>1703</v>
      </c>
      <c r="K1704" t="s">
        <v>3668</v>
      </c>
      <c r="L1704">
        <v>52</v>
      </c>
    </row>
    <row r="1705" spans="1:12" x14ac:dyDescent="0.25">
      <c r="A1705">
        <v>1704</v>
      </c>
      <c r="B1705" t="s">
        <v>3669</v>
      </c>
      <c r="C1705">
        <v>32</v>
      </c>
      <c r="J1705">
        <v>1704</v>
      </c>
      <c r="K1705" t="s">
        <v>3669</v>
      </c>
      <c r="L1705">
        <v>32</v>
      </c>
    </row>
    <row r="1706" spans="1:12" x14ac:dyDescent="0.25">
      <c r="A1706">
        <v>1705</v>
      </c>
      <c r="B1706" t="s">
        <v>3670</v>
      </c>
      <c r="C1706">
        <v>25</v>
      </c>
      <c r="J1706">
        <v>1705</v>
      </c>
      <c r="K1706" t="s">
        <v>3670</v>
      </c>
      <c r="L1706">
        <v>25</v>
      </c>
    </row>
    <row r="1707" spans="1:12" x14ac:dyDescent="0.25">
      <c r="A1707">
        <v>1706</v>
      </c>
      <c r="B1707" t="s">
        <v>3671</v>
      </c>
      <c r="C1707">
        <v>44</v>
      </c>
      <c r="J1707">
        <v>1706</v>
      </c>
      <c r="K1707" t="s">
        <v>3671</v>
      </c>
      <c r="L1707">
        <v>44</v>
      </c>
    </row>
    <row r="1708" spans="1:12" x14ac:dyDescent="0.25">
      <c r="A1708">
        <v>1707</v>
      </c>
      <c r="B1708" t="s">
        <v>3672</v>
      </c>
      <c r="C1708">
        <v>59</v>
      </c>
      <c r="J1708">
        <v>1707</v>
      </c>
      <c r="K1708" t="s">
        <v>3672</v>
      </c>
      <c r="L1708">
        <v>59</v>
      </c>
    </row>
    <row r="1709" spans="1:12" x14ac:dyDescent="0.25">
      <c r="A1709">
        <v>1708</v>
      </c>
      <c r="B1709" t="s">
        <v>3673</v>
      </c>
      <c r="C1709">
        <v>30</v>
      </c>
      <c r="J1709">
        <v>1708</v>
      </c>
      <c r="K1709" t="s">
        <v>3673</v>
      </c>
      <c r="L1709">
        <v>30</v>
      </c>
    </row>
    <row r="1710" spans="1:12" x14ac:dyDescent="0.25">
      <c r="A1710">
        <v>1709</v>
      </c>
      <c r="B1710" t="s">
        <v>3674</v>
      </c>
      <c r="C1710">
        <v>49</v>
      </c>
      <c r="J1710">
        <v>1709</v>
      </c>
      <c r="K1710" t="s">
        <v>3674</v>
      </c>
      <c r="L1710">
        <v>49</v>
      </c>
    </row>
    <row r="1711" spans="1:12" x14ac:dyDescent="0.25">
      <c r="A1711">
        <v>1710</v>
      </c>
      <c r="B1711" t="s">
        <v>3675</v>
      </c>
      <c r="C1711">
        <v>51</v>
      </c>
      <c r="J1711">
        <v>1710</v>
      </c>
      <c r="K1711" t="s">
        <v>3675</v>
      </c>
      <c r="L1711">
        <v>51</v>
      </c>
    </row>
    <row r="1712" spans="1:12" x14ac:dyDescent="0.25">
      <c r="A1712">
        <v>1711</v>
      </c>
      <c r="B1712" t="s">
        <v>3676</v>
      </c>
      <c r="C1712">
        <v>76</v>
      </c>
      <c r="J1712">
        <v>1711</v>
      </c>
      <c r="K1712" t="s">
        <v>3676</v>
      </c>
      <c r="L1712">
        <v>76</v>
      </c>
    </row>
    <row r="1713" spans="1:12" x14ac:dyDescent="0.25">
      <c r="A1713">
        <v>1712</v>
      </c>
      <c r="B1713" t="s">
        <v>3677</v>
      </c>
      <c r="C1713">
        <v>25</v>
      </c>
      <c r="J1713">
        <v>1712</v>
      </c>
      <c r="K1713" t="s">
        <v>3677</v>
      </c>
      <c r="L1713">
        <v>25</v>
      </c>
    </row>
    <row r="1714" spans="1:12" x14ac:dyDescent="0.25">
      <c r="A1714">
        <v>1713</v>
      </c>
      <c r="B1714" t="s">
        <v>3678</v>
      </c>
      <c r="C1714">
        <v>38</v>
      </c>
      <c r="J1714">
        <v>1713</v>
      </c>
      <c r="K1714" t="s">
        <v>3678</v>
      </c>
      <c r="L1714">
        <v>38</v>
      </c>
    </row>
    <row r="1715" spans="1:12" x14ac:dyDescent="0.25">
      <c r="A1715">
        <v>1714</v>
      </c>
      <c r="B1715" t="s">
        <v>3679</v>
      </c>
      <c r="C1715">
        <v>44</v>
      </c>
      <c r="J1715">
        <v>1714</v>
      </c>
      <c r="K1715" t="s">
        <v>3679</v>
      </c>
      <c r="L1715">
        <v>44</v>
      </c>
    </row>
    <row r="1716" spans="1:12" x14ac:dyDescent="0.25">
      <c r="A1716">
        <v>1715</v>
      </c>
      <c r="B1716" t="s">
        <v>3680</v>
      </c>
      <c r="C1716">
        <v>83</v>
      </c>
      <c r="J1716">
        <v>1715</v>
      </c>
      <c r="K1716" t="s">
        <v>3680</v>
      </c>
      <c r="L1716">
        <v>83</v>
      </c>
    </row>
    <row r="1717" spans="1:12" x14ac:dyDescent="0.25">
      <c r="A1717">
        <v>1716</v>
      </c>
      <c r="B1717" t="s">
        <v>3681</v>
      </c>
      <c r="C1717">
        <v>67</v>
      </c>
      <c r="J1717">
        <v>1716</v>
      </c>
      <c r="K1717" t="s">
        <v>3681</v>
      </c>
      <c r="L1717">
        <v>67</v>
      </c>
    </row>
    <row r="1718" spans="1:12" x14ac:dyDescent="0.25">
      <c r="A1718">
        <v>1717</v>
      </c>
      <c r="B1718" t="s">
        <v>3682</v>
      </c>
      <c r="C1718">
        <v>80</v>
      </c>
      <c r="J1718">
        <v>1717</v>
      </c>
      <c r="K1718" t="s">
        <v>3682</v>
      </c>
      <c r="L1718">
        <v>80</v>
      </c>
    </row>
    <row r="1719" spans="1:12" x14ac:dyDescent="0.25">
      <c r="A1719">
        <v>1718</v>
      </c>
      <c r="B1719" t="s">
        <v>3683</v>
      </c>
      <c r="C1719">
        <v>84</v>
      </c>
      <c r="J1719">
        <v>1718</v>
      </c>
      <c r="K1719" t="s">
        <v>3683</v>
      </c>
      <c r="L1719">
        <v>84</v>
      </c>
    </row>
    <row r="1720" spans="1:12" x14ac:dyDescent="0.25">
      <c r="A1720">
        <v>1719</v>
      </c>
      <c r="B1720" t="s">
        <v>3684</v>
      </c>
      <c r="C1720">
        <v>81</v>
      </c>
      <c r="J1720">
        <v>1719</v>
      </c>
      <c r="K1720" t="s">
        <v>3684</v>
      </c>
      <c r="L1720">
        <v>81</v>
      </c>
    </row>
    <row r="1721" spans="1:12" x14ac:dyDescent="0.25">
      <c r="A1721">
        <v>1720</v>
      </c>
      <c r="B1721" t="s">
        <v>3685</v>
      </c>
      <c r="C1721">
        <v>39</v>
      </c>
      <c r="J1721">
        <v>1720</v>
      </c>
      <c r="K1721" t="s">
        <v>3685</v>
      </c>
      <c r="L1721">
        <v>39</v>
      </c>
    </row>
    <row r="1722" spans="1:12" x14ac:dyDescent="0.25">
      <c r="A1722">
        <v>1721</v>
      </c>
      <c r="B1722" t="s">
        <v>3686</v>
      </c>
      <c r="C1722">
        <v>32</v>
      </c>
      <c r="J1722">
        <v>1721</v>
      </c>
      <c r="K1722" t="s">
        <v>3686</v>
      </c>
      <c r="L1722">
        <v>32</v>
      </c>
    </row>
    <row r="1723" spans="1:12" x14ac:dyDescent="0.25">
      <c r="A1723">
        <v>1722</v>
      </c>
      <c r="B1723" t="s">
        <v>3687</v>
      </c>
      <c r="C1723">
        <v>53</v>
      </c>
      <c r="J1723">
        <v>1722</v>
      </c>
      <c r="K1723" t="s">
        <v>3687</v>
      </c>
      <c r="L1723">
        <v>53</v>
      </c>
    </row>
    <row r="1724" spans="1:12" x14ac:dyDescent="0.25">
      <c r="A1724">
        <v>1723</v>
      </c>
      <c r="B1724" t="s">
        <v>3688</v>
      </c>
      <c r="C1724">
        <v>58</v>
      </c>
      <c r="J1724">
        <v>1723</v>
      </c>
      <c r="K1724" t="s">
        <v>3688</v>
      </c>
      <c r="L1724">
        <v>58</v>
      </c>
    </row>
    <row r="1725" spans="1:12" x14ac:dyDescent="0.25">
      <c r="A1725">
        <v>1724</v>
      </c>
      <c r="B1725" t="s">
        <v>3689</v>
      </c>
      <c r="C1725">
        <v>53</v>
      </c>
      <c r="J1725">
        <v>1724</v>
      </c>
      <c r="K1725" t="s">
        <v>3689</v>
      </c>
      <c r="L1725">
        <v>53</v>
      </c>
    </row>
    <row r="1726" spans="1:12" x14ac:dyDescent="0.25">
      <c r="A1726">
        <v>1725</v>
      </c>
      <c r="B1726" t="s">
        <v>3690</v>
      </c>
      <c r="C1726">
        <v>33</v>
      </c>
      <c r="J1726">
        <v>1725</v>
      </c>
      <c r="K1726" t="s">
        <v>3690</v>
      </c>
      <c r="L1726">
        <v>33</v>
      </c>
    </row>
    <row r="1727" spans="1:12" x14ac:dyDescent="0.25">
      <c r="A1727">
        <v>1726</v>
      </c>
      <c r="B1727" t="s">
        <v>3691</v>
      </c>
      <c r="C1727">
        <v>53</v>
      </c>
      <c r="J1727">
        <v>1726</v>
      </c>
      <c r="K1727" t="s">
        <v>3691</v>
      </c>
      <c r="L1727">
        <v>53</v>
      </c>
    </row>
    <row r="1728" spans="1:12" x14ac:dyDescent="0.25">
      <c r="A1728">
        <v>1727</v>
      </c>
      <c r="B1728" t="s">
        <v>3692</v>
      </c>
      <c r="C1728">
        <v>44</v>
      </c>
      <c r="J1728">
        <v>1727</v>
      </c>
      <c r="K1728" t="s">
        <v>3692</v>
      </c>
      <c r="L1728">
        <v>44</v>
      </c>
    </row>
    <row r="1729" spans="1:12" x14ac:dyDescent="0.25">
      <c r="A1729">
        <v>1728</v>
      </c>
      <c r="B1729" t="s">
        <v>3693</v>
      </c>
      <c r="C1729">
        <v>56</v>
      </c>
      <c r="J1729">
        <v>1728</v>
      </c>
      <c r="K1729" t="s">
        <v>3693</v>
      </c>
      <c r="L1729">
        <v>56</v>
      </c>
    </row>
    <row r="1730" spans="1:12" x14ac:dyDescent="0.25">
      <c r="A1730">
        <v>1729</v>
      </c>
      <c r="B1730" t="s">
        <v>3694</v>
      </c>
      <c r="C1730">
        <v>61</v>
      </c>
      <c r="J1730">
        <v>1729</v>
      </c>
      <c r="K1730" t="s">
        <v>3694</v>
      </c>
      <c r="L1730">
        <v>61</v>
      </c>
    </row>
    <row r="1731" spans="1:12" x14ac:dyDescent="0.25">
      <c r="A1731">
        <v>1730</v>
      </c>
      <c r="B1731" t="s">
        <v>3695</v>
      </c>
      <c r="C1731">
        <v>48</v>
      </c>
      <c r="J1731">
        <v>1730</v>
      </c>
      <c r="K1731" t="s">
        <v>3695</v>
      </c>
      <c r="L1731">
        <v>48</v>
      </c>
    </row>
    <row r="1732" spans="1:12" x14ac:dyDescent="0.25">
      <c r="A1732">
        <v>1731</v>
      </c>
      <c r="B1732" t="s">
        <v>3696</v>
      </c>
      <c r="C1732">
        <v>65</v>
      </c>
      <c r="J1732">
        <v>1731</v>
      </c>
      <c r="K1732" t="s">
        <v>3696</v>
      </c>
      <c r="L1732">
        <v>65</v>
      </c>
    </row>
    <row r="1733" spans="1:12" x14ac:dyDescent="0.25">
      <c r="A1733">
        <v>1732</v>
      </c>
      <c r="B1733" t="s">
        <v>3697</v>
      </c>
      <c r="C1733">
        <v>67</v>
      </c>
      <c r="J1733">
        <v>1732</v>
      </c>
      <c r="K1733" t="s">
        <v>3697</v>
      </c>
      <c r="L1733">
        <v>67</v>
      </c>
    </row>
    <row r="1734" spans="1:12" x14ac:dyDescent="0.25">
      <c r="A1734">
        <v>1733</v>
      </c>
      <c r="B1734" t="s">
        <v>3698</v>
      </c>
      <c r="C1734">
        <v>6</v>
      </c>
      <c r="J1734">
        <v>1733</v>
      </c>
      <c r="K1734" t="s">
        <v>3698</v>
      </c>
      <c r="L1734">
        <v>6</v>
      </c>
    </row>
    <row r="1735" spans="1:12" x14ac:dyDescent="0.25">
      <c r="A1735">
        <v>1734</v>
      </c>
      <c r="B1735" t="s">
        <v>3699</v>
      </c>
      <c r="C1735">
        <v>56</v>
      </c>
      <c r="J1735">
        <v>1734</v>
      </c>
      <c r="K1735" t="s">
        <v>3699</v>
      </c>
      <c r="L1735">
        <v>56</v>
      </c>
    </row>
    <row r="1736" spans="1:12" x14ac:dyDescent="0.25">
      <c r="A1736">
        <v>1735</v>
      </c>
      <c r="B1736" t="s">
        <v>3700</v>
      </c>
      <c r="C1736">
        <v>42</v>
      </c>
      <c r="J1736">
        <v>1735</v>
      </c>
      <c r="K1736" t="s">
        <v>3700</v>
      </c>
      <c r="L1736">
        <v>42</v>
      </c>
    </row>
    <row r="1737" spans="1:12" x14ac:dyDescent="0.25">
      <c r="A1737">
        <v>1736</v>
      </c>
      <c r="B1737" t="s">
        <v>3701</v>
      </c>
      <c r="C1737">
        <v>52</v>
      </c>
      <c r="J1737">
        <v>1736</v>
      </c>
      <c r="K1737" t="s">
        <v>3701</v>
      </c>
      <c r="L1737">
        <v>52</v>
      </c>
    </row>
    <row r="1738" spans="1:12" x14ac:dyDescent="0.25">
      <c r="A1738">
        <v>1737</v>
      </c>
      <c r="B1738" t="s">
        <v>3702</v>
      </c>
      <c r="C1738">
        <v>52</v>
      </c>
      <c r="J1738">
        <v>1737</v>
      </c>
      <c r="K1738" t="s">
        <v>3702</v>
      </c>
      <c r="L1738">
        <v>52</v>
      </c>
    </row>
    <row r="1739" spans="1:12" x14ac:dyDescent="0.25">
      <c r="A1739">
        <v>1738</v>
      </c>
      <c r="B1739" t="s">
        <v>3703</v>
      </c>
      <c r="C1739">
        <v>55</v>
      </c>
      <c r="J1739">
        <v>1738</v>
      </c>
      <c r="K1739" t="s">
        <v>3703</v>
      </c>
      <c r="L1739">
        <v>55</v>
      </c>
    </row>
    <row r="1740" spans="1:12" x14ac:dyDescent="0.25">
      <c r="A1740">
        <v>1739</v>
      </c>
      <c r="B1740" t="s">
        <v>3704</v>
      </c>
      <c r="C1740">
        <v>29</v>
      </c>
      <c r="J1740">
        <v>1739</v>
      </c>
      <c r="K1740" t="s">
        <v>3704</v>
      </c>
      <c r="L1740">
        <v>29</v>
      </c>
    </row>
    <row r="1741" spans="1:12" x14ac:dyDescent="0.25">
      <c r="A1741">
        <v>1740</v>
      </c>
      <c r="B1741" t="s">
        <v>3705</v>
      </c>
      <c r="C1741">
        <v>9</v>
      </c>
      <c r="J1741">
        <v>1740</v>
      </c>
      <c r="K1741" t="s">
        <v>3705</v>
      </c>
      <c r="L1741">
        <v>9</v>
      </c>
    </row>
    <row r="1742" spans="1:12" x14ac:dyDescent="0.25">
      <c r="A1742">
        <v>1741</v>
      </c>
      <c r="B1742" t="s">
        <v>3706</v>
      </c>
      <c r="C1742">
        <v>12</v>
      </c>
      <c r="J1742">
        <v>1741</v>
      </c>
      <c r="K1742" t="s">
        <v>3706</v>
      </c>
      <c r="L1742">
        <v>12</v>
      </c>
    </row>
    <row r="1743" spans="1:12" x14ac:dyDescent="0.25">
      <c r="A1743">
        <v>1742</v>
      </c>
      <c r="B1743" t="s">
        <v>3707</v>
      </c>
      <c r="C1743">
        <v>12</v>
      </c>
      <c r="J1743">
        <v>1742</v>
      </c>
      <c r="K1743" t="s">
        <v>3707</v>
      </c>
      <c r="L1743">
        <v>12</v>
      </c>
    </row>
    <row r="1744" spans="1:12" x14ac:dyDescent="0.25">
      <c r="A1744">
        <v>1743</v>
      </c>
      <c r="B1744" t="s">
        <v>3708</v>
      </c>
      <c r="C1744">
        <v>6</v>
      </c>
      <c r="J1744">
        <v>1743</v>
      </c>
      <c r="K1744" t="s">
        <v>3708</v>
      </c>
      <c r="L1744">
        <v>6</v>
      </c>
    </row>
    <row r="1745" spans="1:12" x14ac:dyDescent="0.25">
      <c r="A1745">
        <v>1744</v>
      </c>
      <c r="B1745" t="s">
        <v>3709</v>
      </c>
      <c r="C1745">
        <v>6</v>
      </c>
      <c r="J1745">
        <v>1744</v>
      </c>
      <c r="K1745" t="s">
        <v>3709</v>
      </c>
      <c r="L1745">
        <v>6</v>
      </c>
    </row>
    <row r="1746" spans="1:12" x14ac:dyDescent="0.25">
      <c r="A1746">
        <v>1745</v>
      </c>
      <c r="B1746" t="s">
        <v>3710</v>
      </c>
      <c r="C1746">
        <v>12</v>
      </c>
      <c r="J1746">
        <v>1745</v>
      </c>
      <c r="K1746" t="s">
        <v>3710</v>
      </c>
      <c r="L1746">
        <v>12</v>
      </c>
    </row>
    <row r="1747" spans="1:12" x14ac:dyDescent="0.25">
      <c r="A1747">
        <v>1746</v>
      </c>
      <c r="B1747" t="s">
        <v>3711</v>
      </c>
      <c r="C1747">
        <v>70</v>
      </c>
      <c r="J1747">
        <v>1746</v>
      </c>
      <c r="K1747" t="s">
        <v>3711</v>
      </c>
      <c r="L1747">
        <v>70</v>
      </c>
    </row>
    <row r="1748" spans="1:12" x14ac:dyDescent="0.25">
      <c r="A1748">
        <v>1747</v>
      </c>
      <c r="B1748" t="s">
        <v>3712</v>
      </c>
      <c r="C1748">
        <v>58</v>
      </c>
      <c r="J1748">
        <v>1747</v>
      </c>
      <c r="K1748" t="s">
        <v>3712</v>
      </c>
      <c r="L1748">
        <v>58</v>
      </c>
    </row>
    <row r="1749" spans="1:12" x14ac:dyDescent="0.25">
      <c r="A1749">
        <v>1748</v>
      </c>
      <c r="B1749" t="s">
        <v>3713</v>
      </c>
      <c r="C1749">
        <v>56</v>
      </c>
      <c r="J1749">
        <v>1748</v>
      </c>
      <c r="K1749" t="s">
        <v>3713</v>
      </c>
      <c r="L1749">
        <v>56</v>
      </c>
    </row>
    <row r="1750" spans="1:12" x14ac:dyDescent="0.25">
      <c r="A1750">
        <v>1749</v>
      </c>
      <c r="B1750" t="s">
        <v>3714</v>
      </c>
      <c r="C1750">
        <v>6</v>
      </c>
      <c r="J1750">
        <v>1749</v>
      </c>
      <c r="K1750" t="s">
        <v>3714</v>
      </c>
      <c r="L1750">
        <v>6</v>
      </c>
    </row>
    <row r="1751" spans="1:12" x14ac:dyDescent="0.25">
      <c r="A1751">
        <v>1750</v>
      </c>
      <c r="B1751" t="s">
        <v>3715</v>
      </c>
      <c r="C1751">
        <v>49</v>
      </c>
      <c r="J1751">
        <v>1750</v>
      </c>
      <c r="K1751" t="s">
        <v>3715</v>
      </c>
      <c r="L1751">
        <v>49</v>
      </c>
    </row>
    <row r="1752" spans="1:12" x14ac:dyDescent="0.25">
      <c r="A1752">
        <v>1751</v>
      </c>
      <c r="B1752" t="s">
        <v>3716</v>
      </c>
      <c r="C1752">
        <v>43</v>
      </c>
      <c r="J1752">
        <v>1751</v>
      </c>
      <c r="K1752" t="s">
        <v>3716</v>
      </c>
      <c r="L1752">
        <v>43</v>
      </c>
    </row>
    <row r="1753" spans="1:12" x14ac:dyDescent="0.25">
      <c r="A1753">
        <v>1752</v>
      </c>
      <c r="B1753" t="s">
        <v>3717</v>
      </c>
      <c r="C1753">
        <v>75</v>
      </c>
      <c r="J1753">
        <v>1752</v>
      </c>
      <c r="K1753" t="s">
        <v>3717</v>
      </c>
      <c r="L1753">
        <v>75</v>
      </c>
    </row>
    <row r="1754" spans="1:12" x14ac:dyDescent="0.25">
      <c r="A1754">
        <v>1753</v>
      </c>
      <c r="B1754" t="s">
        <v>3718</v>
      </c>
      <c r="C1754">
        <v>38</v>
      </c>
      <c r="J1754">
        <v>1753</v>
      </c>
      <c r="K1754" t="s">
        <v>3718</v>
      </c>
      <c r="L1754">
        <v>38</v>
      </c>
    </row>
    <row r="1755" spans="1:12" x14ac:dyDescent="0.25">
      <c r="A1755">
        <v>1754</v>
      </c>
      <c r="B1755" t="s">
        <v>3719</v>
      </c>
      <c r="C1755">
        <v>12</v>
      </c>
      <c r="J1755">
        <v>1754</v>
      </c>
      <c r="K1755" t="s">
        <v>3719</v>
      </c>
      <c r="L1755">
        <v>12</v>
      </c>
    </row>
    <row r="1756" spans="1:12" x14ac:dyDescent="0.25">
      <c r="A1756">
        <v>1755</v>
      </c>
      <c r="B1756" t="s">
        <v>3720</v>
      </c>
      <c r="C1756">
        <v>9</v>
      </c>
      <c r="J1756">
        <v>1755</v>
      </c>
      <c r="K1756" t="s">
        <v>3720</v>
      </c>
      <c r="L1756">
        <v>9</v>
      </c>
    </row>
    <row r="1757" spans="1:12" x14ac:dyDescent="0.25">
      <c r="A1757">
        <v>1756</v>
      </c>
      <c r="B1757" t="s">
        <v>3721</v>
      </c>
      <c r="C1757">
        <v>9</v>
      </c>
      <c r="J1757">
        <v>1756</v>
      </c>
      <c r="K1757" t="s">
        <v>3721</v>
      </c>
      <c r="L1757">
        <v>9</v>
      </c>
    </row>
    <row r="1758" spans="1:12" x14ac:dyDescent="0.25">
      <c r="A1758">
        <v>1757</v>
      </c>
      <c r="B1758" t="s">
        <v>3722</v>
      </c>
      <c r="C1758">
        <v>9</v>
      </c>
      <c r="J1758">
        <v>1757</v>
      </c>
      <c r="K1758" t="s">
        <v>3722</v>
      </c>
      <c r="L1758">
        <v>9</v>
      </c>
    </row>
    <row r="1759" spans="1:12" x14ac:dyDescent="0.25">
      <c r="A1759">
        <v>1758</v>
      </c>
      <c r="B1759" t="s">
        <v>3723</v>
      </c>
      <c r="C1759">
        <v>18</v>
      </c>
      <c r="J1759">
        <v>1758</v>
      </c>
      <c r="K1759" t="s">
        <v>3723</v>
      </c>
      <c r="L1759">
        <v>18</v>
      </c>
    </row>
    <row r="1760" spans="1:12" x14ac:dyDescent="0.25">
      <c r="A1760">
        <v>1759</v>
      </c>
      <c r="B1760" t="s">
        <v>3724</v>
      </c>
      <c r="C1760">
        <v>18</v>
      </c>
      <c r="J1760">
        <v>1759</v>
      </c>
      <c r="K1760" t="s">
        <v>3724</v>
      </c>
      <c r="L1760">
        <v>18</v>
      </c>
    </row>
    <row r="1761" spans="1:12" x14ac:dyDescent="0.25">
      <c r="A1761">
        <v>1760</v>
      </c>
      <c r="B1761" t="s">
        <v>3725</v>
      </c>
      <c r="C1761">
        <v>11</v>
      </c>
      <c r="J1761">
        <v>1760</v>
      </c>
      <c r="K1761" t="s">
        <v>3725</v>
      </c>
      <c r="L1761">
        <v>11</v>
      </c>
    </row>
    <row r="1762" spans="1:12" x14ac:dyDescent="0.25">
      <c r="A1762">
        <v>1761</v>
      </c>
      <c r="B1762" t="s">
        <v>3726</v>
      </c>
      <c r="C1762">
        <v>18</v>
      </c>
      <c r="J1762">
        <v>1761</v>
      </c>
      <c r="K1762" t="s">
        <v>3726</v>
      </c>
      <c r="L1762">
        <v>18</v>
      </c>
    </row>
    <row r="1763" spans="1:12" x14ac:dyDescent="0.25">
      <c r="A1763">
        <v>1762</v>
      </c>
      <c r="B1763" t="s">
        <v>3727</v>
      </c>
      <c r="C1763">
        <v>31</v>
      </c>
      <c r="J1763">
        <v>1762</v>
      </c>
      <c r="K1763" t="s">
        <v>3727</v>
      </c>
      <c r="L1763">
        <v>31</v>
      </c>
    </row>
    <row r="1764" spans="1:12" x14ac:dyDescent="0.25">
      <c r="A1764">
        <v>1763</v>
      </c>
      <c r="B1764" t="s">
        <v>3728</v>
      </c>
      <c r="C1764">
        <v>60</v>
      </c>
      <c r="J1764">
        <v>1763</v>
      </c>
      <c r="K1764" t="s">
        <v>3728</v>
      </c>
      <c r="L1764">
        <v>60</v>
      </c>
    </row>
    <row r="1765" spans="1:12" x14ac:dyDescent="0.25">
      <c r="A1765">
        <v>1764</v>
      </c>
      <c r="B1765" t="s">
        <v>3729</v>
      </c>
      <c r="C1765">
        <v>12</v>
      </c>
      <c r="J1765">
        <v>1764</v>
      </c>
      <c r="K1765" t="s">
        <v>3729</v>
      </c>
      <c r="L1765">
        <v>12</v>
      </c>
    </row>
    <row r="1766" spans="1:12" x14ac:dyDescent="0.25">
      <c r="A1766">
        <v>1765</v>
      </c>
      <c r="B1766" t="s">
        <v>3730</v>
      </c>
      <c r="C1766">
        <v>67</v>
      </c>
      <c r="J1766">
        <v>1765</v>
      </c>
      <c r="K1766" t="s">
        <v>3730</v>
      </c>
      <c r="L1766">
        <v>67</v>
      </c>
    </row>
    <row r="1767" spans="1:12" x14ac:dyDescent="0.25">
      <c r="A1767">
        <v>1766</v>
      </c>
      <c r="B1767" t="s">
        <v>3731</v>
      </c>
      <c r="C1767">
        <v>70</v>
      </c>
      <c r="J1767">
        <v>1766</v>
      </c>
      <c r="K1767" t="s">
        <v>3731</v>
      </c>
      <c r="L1767">
        <v>70</v>
      </c>
    </row>
    <row r="1768" spans="1:12" x14ac:dyDescent="0.25">
      <c r="A1768">
        <v>1767</v>
      </c>
      <c r="B1768" t="s">
        <v>3732</v>
      </c>
      <c r="C1768">
        <v>54</v>
      </c>
      <c r="J1768">
        <v>1767</v>
      </c>
      <c r="K1768" t="s">
        <v>3732</v>
      </c>
      <c r="L1768">
        <v>54</v>
      </c>
    </row>
    <row r="1769" spans="1:12" x14ac:dyDescent="0.25">
      <c r="A1769">
        <v>1768</v>
      </c>
      <c r="B1769" t="s">
        <v>3733</v>
      </c>
      <c r="C1769">
        <v>79</v>
      </c>
      <c r="J1769">
        <v>1768</v>
      </c>
      <c r="K1769" t="s">
        <v>3733</v>
      </c>
      <c r="L1769">
        <v>79</v>
      </c>
    </row>
    <row r="1770" spans="1:12" x14ac:dyDescent="0.25">
      <c r="A1770">
        <v>1769</v>
      </c>
      <c r="B1770" t="s">
        <v>3734</v>
      </c>
      <c r="C1770">
        <v>86</v>
      </c>
      <c r="J1770">
        <v>1769</v>
      </c>
      <c r="K1770" t="s">
        <v>3734</v>
      </c>
      <c r="L1770">
        <v>86</v>
      </c>
    </row>
    <row r="1771" spans="1:12" x14ac:dyDescent="0.25">
      <c r="A1771">
        <v>1770</v>
      </c>
      <c r="B1771" t="s">
        <v>3735</v>
      </c>
      <c r="C1771">
        <v>64</v>
      </c>
      <c r="J1771">
        <v>1770</v>
      </c>
      <c r="K1771" t="s">
        <v>3735</v>
      </c>
      <c r="L1771">
        <v>64</v>
      </c>
    </row>
    <row r="1772" spans="1:12" x14ac:dyDescent="0.25">
      <c r="A1772">
        <v>1771</v>
      </c>
      <c r="B1772" t="s">
        <v>3736</v>
      </c>
      <c r="C1772">
        <v>74</v>
      </c>
      <c r="J1772">
        <v>1771</v>
      </c>
      <c r="K1772" t="s">
        <v>3736</v>
      </c>
      <c r="L1772">
        <v>74</v>
      </c>
    </row>
    <row r="1773" spans="1:12" x14ac:dyDescent="0.25">
      <c r="A1773">
        <v>1772</v>
      </c>
      <c r="B1773" t="s">
        <v>3737</v>
      </c>
      <c r="C1773">
        <v>91</v>
      </c>
      <c r="J1773">
        <v>1772</v>
      </c>
      <c r="K1773" t="s">
        <v>3737</v>
      </c>
      <c r="L1773">
        <v>91</v>
      </c>
    </row>
    <row r="1774" spans="1:12" x14ac:dyDescent="0.25">
      <c r="A1774">
        <v>1773</v>
      </c>
      <c r="B1774" t="s">
        <v>3738</v>
      </c>
      <c r="C1774">
        <v>80</v>
      </c>
      <c r="J1774">
        <v>1773</v>
      </c>
      <c r="K1774" t="s">
        <v>3738</v>
      </c>
      <c r="L1774">
        <v>80</v>
      </c>
    </row>
    <row r="1775" spans="1:12" x14ac:dyDescent="0.25">
      <c r="A1775">
        <v>1774</v>
      </c>
      <c r="B1775" t="s">
        <v>3739</v>
      </c>
      <c r="C1775">
        <v>68</v>
      </c>
      <c r="J1775">
        <v>1774</v>
      </c>
      <c r="K1775" t="s">
        <v>3739</v>
      </c>
      <c r="L1775">
        <v>68</v>
      </c>
    </row>
    <row r="1776" spans="1:12" x14ac:dyDescent="0.25">
      <c r="A1776">
        <v>1775</v>
      </c>
      <c r="B1776" t="s">
        <v>3740</v>
      </c>
      <c r="C1776">
        <v>99</v>
      </c>
      <c r="J1776">
        <v>1775</v>
      </c>
      <c r="K1776" t="s">
        <v>3740</v>
      </c>
      <c r="L1776">
        <v>99</v>
      </c>
    </row>
    <row r="1777" spans="1:12" x14ac:dyDescent="0.25">
      <c r="A1777">
        <v>1776</v>
      </c>
      <c r="B1777" t="s">
        <v>3741</v>
      </c>
      <c r="C1777">
        <v>91</v>
      </c>
      <c r="J1777">
        <v>1776</v>
      </c>
      <c r="K1777" t="s">
        <v>3741</v>
      </c>
      <c r="L1777">
        <v>91</v>
      </c>
    </row>
    <row r="1778" spans="1:12" x14ac:dyDescent="0.25">
      <c r="A1778">
        <v>1777</v>
      </c>
      <c r="B1778" t="s">
        <v>3742</v>
      </c>
      <c r="C1778">
        <v>89</v>
      </c>
      <c r="J1778">
        <v>1777</v>
      </c>
      <c r="K1778" t="s">
        <v>3742</v>
      </c>
      <c r="L1778">
        <v>89</v>
      </c>
    </row>
    <row r="1779" spans="1:12" x14ac:dyDescent="0.25">
      <c r="A1779">
        <v>1778</v>
      </c>
      <c r="B1779" t="s">
        <v>3743</v>
      </c>
      <c r="C1779">
        <v>98</v>
      </c>
      <c r="J1779">
        <v>1778</v>
      </c>
      <c r="K1779" t="s">
        <v>3743</v>
      </c>
      <c r="L1779">
        <v>98</v>
      </c>
    </row>
    <row r="1780" spans="1:12" x14ac:dyDescent="0.25">
      <c r="A1780">
        <v>1779</v>
      </c>
      <c r="B1780" t="s">
        <v>3744</v>
      </c>
      <c r="C1780">
        <v>80</v>
      </c>
      <c r="J1780">
        <v>1779</v>
      </c>
      <c r="K1780" t="s">
        <v>3744</v>
      </c>
      <c r="L1780">
        <v>80</v>
      </c>
    </row>
    <row r="1781" spans="1:12" x14ac:dyDescent="0.25">
      <c r="A1781">
        <v>1780</v>
      </c>
      <c r="B1781" t="s">
        <v>3745</v>
      </c>
      <c r="C1781">
        <v>84</v>
      </c>
      <c r="J1781">
        <v>1780</v>
      </c>
      <c r="K1781" t="s">
        <v>3745</v>
      </c>
      <c r="L1781">
        <v>84</v>
      </c>
    </row>
    <row r="1782" spans="1:12" x14ac:dyDescent="0.25">
      <c r="A1782">
        <v>1781</v>
      </c>
      <c r="B1782" t="s">
        <v>3746</v>
      </c>
      <c r="C1782">
        <v>68</v>
      </c>
      <c r="J1782">
        <v>1781</v>
      </c>
      <c r="K1782" t="s">
        <v>3746</v>
      </c>
      <c r="L1782">
        <v>68</v>
      </c>
    </row>
    <row r="1783" spans="1:12" x14ac:dyDescent="0.25">
      <c r="A1783">
        <v>1782</v>
      </c>
      <c r="B1783" t="s">
        <v>3747</v>
      </c>
      <c r="C1783">
        <v>68</v>
      </c>
      <c r="J1783">
        <v>1782</v>
      </c>
      <c r="K1783" t="s">
        <v>3747</v>
      </c>
      <c r="L1783">
        <v>68</v>
      </c>
    </row>
    <row r="1784" spans="1:12" x14ac:dyDescent="0.25">
      <c r="A1784">
        <v>1783</v>
      </c>
      <c r="B1784" t="s">
        <v>3748</v>
      </c>
      <c r="C1784">
        <v>74</v>
      </c>
      <c r="J1784">
        <v>1783</v>
      </c>
      <c r="K1784" t="s">
        <v>3748</v>
      </c>
      <c r="L1784">
        <v>74</v>
      </c>
    </row>
    <row r="1785" spans="1:12" x14ac:dyDescent="0.25">
      <c r="A1785">
        <v>1784</v>
      </c>
      <c r="B1785" t="s">
        <v>3749</v>
      </c>
      <c r="C1785">
        <v>68</v>
      </c>
      <c r="J1785">
        <v>1784</v>
      </c>
      <c r="K1785" t="s">
        <v>3749</v>
      </c>
      <c r="L1785">
        <v>68</v>
      </c>
    </row>
    <row r="1786" spans="1:12" x14ac:dyDescent="0.25">
      <c r="A1786">
        <v>1785</v>
      </c>
      <c r="B1786" t="s">
        <v>3750</v>
      </c>
      <c r="C1786">
        <v>59</v>
      </c>
      <c r="J1786">
        <v>1785</v>
      </c>
      <c r="K1786" t="s">
        <v>3750</v>
      </c>
      <c r="L1786">
        <v>59</v>
      </c>
    </row>
    <row r="1787" spans="1:12" x14ac:dyDescent="0.25">
      <c r="A1787">
        <v>1786</v>
      </c>
      <c r="B1787" t="s">
        <v>3751</v>
      </c>
      <c r="C1787">
        <v>25</v>
      </c>
      <c r="J1787">
        <v>1786</v>
      </c>
      <c r="K1787" t="s">
        <v>3751</v>
      </c>
      <c r="L1787">
        <v>25</v>
      </c>
    </row>
    <row r="1788" spans="1:12" x14ac:dyDescent="0.25">
      <c r="A1788">
        <v>1787</v>
      </c>
      <c r="B1788" t="s">
        <v>3752</v>
      </c>
      <c r="C1788">
        <v>31</v>
      </c>
      <c r="J1788">
        <v>1787</v>
      </c>
      <c r="K1788" t="s">
        <v>3752</v>
      </c>
      <c r="L1788">
        <v>31</v>
      </c>
    </row>
    <row r="1789" spans="1:12" x14ac:dyDescent="0.25">
      <c r="A1789">
        <v>1788</v>
      </c>
      <c r="B1789" t="s">
        <v>3753</v>
      </c>
      <c r="C1789">
        <v>36</v>
      </c>
      <c r="J1789">
        <v>1788</v>
      </c>
      <c r="K1789" t="s">
        <v>3753</v>
      </c>
      <c r="L1789">
        <v>36</v>
      </c>
    </row>
    <row r="1790" spans="1:12" x14ac:dyDescent="0.25">
      <c r="A1790">
        <v>1789</v>
      </c>
      <c r="B1790" t="s">
        <v>3754</v>
      </c>
      <c r="C1790">
        <v>80</v>
      </c>
      <c r="J1790">
        <v>1789</v>
      </c>
      <c r="K1790" t="s">
        <v>3754</v>
      </c>
      <c r="L1790">
        <v>80</v>
      </c>
    </row>
    <row r="1791" spans="1:12" x14ac:dyDescent="0.25">
      <c r="A1791">
        <v>1790</v>
      </c>
      <c r="B1791" t="s">
        <v>3755</v>
      </c>
      <c r="C1791">
        <v>102</v>
      </c>
      <c r="J1791">
        <v>1790</v>
      </c>
      <c r="K1791" t="s">
        <v>3755</v>
      </c>
      <c r="L1791">
        <v>102</v>
      </c>
    </row>
    <row r="1792" spans="1:12" x14ac:dyDescent="0.25">
      <c r="A1792">
        <v>1791</v>
      </c>
      <c r="B1792" t="s">
        <v>3756</v>
      </c>
      <c r="C1792">
        <v>113</v>
      </c>
      <c r="J1792">
        <v>1791</v>
      </c>
      <c r="K1792" t="s">
        <v>3756</v>
      </c>
      <c r="L1792">
        <v>113</v>
      </c>
    </row>
    <row r="1793" spans="1:12" x14ac:dyDescent="0.25">
      <c r="A1793">
        <v>1792</v>
      </c>
      <c r="B1793" t="s">
        <v>3757</v>
      </c>
      <c r="C1793">
        <v>60</v>
      </c>
      <c r="J1793">
        <v>1792</v>
      </c>
      <c r="K1793" t="s">
        <v>3757</v>
      </c>
      <c r="L1793">
        <v>60</v>
      </c>
    </row>
    <row r="1794" spans="1:12" x14ac:dyDescent="0.25">
      <c r="A1794">
        <v>1793</v>
      </c>
      <c r="B1794" t="s">
        <v>3758</v>
      </c>
      <c r="C1794">
        <v>90</v>
      </c>
      <c r="J1794">
        <v>1793</v>
      </c>
      <c r="K1794" t="s">
        <v>3758</v>
      </c>
      <c r="L1794">
        <v>90</v>
      </c>
    </row>
    <row r="1795" spans="1:12" x14ac:dyDescent="0.25">
      <c r="A1795">
        <v>1794</v>
      </c>
      <c r="B1795" t="s">
        <v>3759</v>
      </c>
      <c r="C1795">
        <v>78</v>
      </c>
      <c r="J1795">
        <v>1794</v>
      </c>
      <c r="K1795" t="s">
        <v>3759</v>
      </c>
      <c r="L1795">
        <v>78</v>
      </c>
    </row>
    <row r="1796" spans="1:12" x14ac:dyDescent="0.25">
      <c r="A1796">
        <v>1795</v>
      </c>
      <c r="B1796" t="s">
        <v>3760</v>
      </c>
      <c r="C1796">
        <v>76</v>
      </c>
      <c r="J1796">
        <v>1795</v>
      </c>
      <c r="K1796" t="s">
        <v>3760</v>
      </c>
      <c r="L1796">
        <v>76</v>
      </c>
    </row>
    <row r="1797" spans="1:12" x14ac:dyDescent="0.25">
      <c r="A1797">
        <v>1796</v>
      </c>
      <c r="B1797" t="s">
        <v>3761</v>
      </c>
      <c r="C1797">
        <v>87</v>
      </c>
      <c r="J1797">
        <v>1796</v>
      </c>
      <c r="K1797" t="s">
        <v>3761</v>
      </c>
      <c r="L1797">
        <v>87</v>
      </c>
    </row>
    <row r="1798" spans="1:12" x14ac:dyDescent="0.25">
      <c r="A1798">
        <v>1797</v>
      </c>
      <c r="B1798" t="s">
        <v>3762</v>
      </c>
      <c r="C1798">
        <v>105</v>
      </c>
      <c r="J1798">
        <v>1797</v>
      </c>
      <c r="K1798" t="s">
        <v>3762</v>
      </c>
      <c r="L1798">
        <v>105</v>
      </c>
    </row>
    <row r="1799" spans="1:12" x14ac:dyDescent="0.25">
      <c r="A1799">
        <v>1798</v>
      </c>
      <c r="B1799" t="s">
        <v>3763</v>
      </c>
      <c r="C1799">
        <v>101</v>
      </c>
      <c r="J1799">
        <v>1798</v>
      </c>
      <c r="K1799" t="s">
        <v>3763</v>
      </c>
      <c r="L1799">
        <v>101</v>
      </c>
    </row>
    <row r="1800" spans="1:12" x14ac:dyDescent="0.25">
      <c r="A1800">
        <v>1799</v>
      </c>
      <c r="B1800" t="s">
        <v>3764</v>
      </c>
      <c r="C1800">
        <v>84</v>
      </c>
      <c r="J1800">
        <v>1799</v>
      </c>
      <c r="K1800" t="s">
        <v>3764</v>
      </c>
      <c r="L1800">
        <v>84</v>
      </c>
    </row>
    <row r="1801" spans="1:12" x14ac:dyDescent="0.25">
      <c r="A1801">
        <v>1800</v>
      </c>
      <c r="B1801" t="s">
        <v>3765</v>
      </c>
      <c r="C1801">
        <v>45</v>
      </c>
      <c r="J1801">
        <v>1800</v>
      </c>
      <c r="K1801" t="s">
        <v>3765</v>
      </c>
      <c r="L1801">
        <v>45</v>
      </c>
    </row>
    <row r="1802" spans="1:12" x14ac:dyDescent="0.25">
      <c r="A1802">
        <v>1801</v>
      </c>
      <c r="B1802" t="s">
        <v>3766</v>
      </c>
      <c r="C1802">
        <v>57</v>
      </c>
      <c r="J1802">
        <v>1801</v>
      </c>
      <c r="K1802" t="s">
        <v>3766</v>
      </c>
      <c r="L1802">
        <v>57</v>
      </c>
    </row>
    <row r="1803" spans="1:12" x14ac:dyDescent="0.25">
      <c r="A1803">
        <v>1802</v>
      </c>
      <c r="B1803" t="s">
        <v>3767</v>
      </c>
      <c r="C1803">
        <v>61</v>
      </c>
      <c r="J1803">
        <v>1802</v>
      </c>
      <c r="K1803" t="s">
        <v>3767</v>
      </c>
      <c r="L1803">
        <v>61</v>
      </c>
    </row>
    <row r="1804" spans="1:12" x14ac:dyDescent="0.25">
      <c r="A1804">
        <v>1803</v>
      </c>
      <c r="B1804" t="s">
        <v>3768</v>
      </c>
      <c r="C1804">
        <v>39</v>
      </c>
      <c r="J1804">
        <v>1803</v>
      </c>
      <c r="K1804" t="s">
        <v>3768</v>
      </c>
      <c r="L1804">
        <v>39</v>
      </c>
    </row>
    <row r="1805" spans="1:12" x14ac:dyDescent="0.25">
      <c r="A1805">
        <v>1804</v>
      </c>
      <c r="B1805" t="s">
        <v>3769</v>
      </c>
      <c r="C1805">
        <v>59</v>
      </c>
      <c r="J1805">
        <v>1804</v>
      </c>
      <c r="K1805" t="s">
        <v>3769</v>
      </c>
      <c r="L1805">
        <v>59</v>
      </c>
    </row>
    <row r="1806" spans="1:12" x14ac:dyDescent="0.25">
      <c r="A1806">
        <v>1805</v>
      </c>
      <c r="B1806" t="s">
        <v>3770</v>
      </c>
      <c r="C1806">
        <v>52</v>
      </c>
      <c r="J1806">
        <v>1805</v>
      </c>
      <c r="K1806" t="s">
        <v>3770</v>
      </c>
      <c r="L1806">
        <v>52</v>
      </c>
    </row>
    <row r="1807" spans="1:12" x14ac:dyDescent="0.25">
      <c r="A1807">
        <v>1806</v>
      </c>
      <c r="B1807" t="s">
        <v>3771</v>
      </c>
      <c r="C1807">
        <v>47</v>
      </c>
      <c r="J1807">
        <v>1806</v>
      </c>
      <c r="K1807" t="s">
        <v>3771</v>
      </c>
      <c r="L1807">
        <v>47</v>
      </c>
    </row>
    <row r="1808" spans="1:12" x14ac:dyDescent="0.25">
      <c r="A1808">
        <v>1807</v>
      </c>
      <c r="B1808" t="s">
        <v>3772</v>
      </c>
      <c r="C1808">
        <v>83</v>
      </c>
      <c r="J1808">
        <v>1807</v>
      </c>
      <c r="K1808" t="s">
        <v>3772</v>
      </c>
      <c r="L1808">
        <v>83</v>
      </c>
    </row>
    <row r="1809" spans="1:12" x14ac:dyDescent="0.25">
      <c r="A1809">
        <v>1808</v>
      </c>
      <c r="B1809" t="s">
        <v>3773</v>
      </c>
      <c r="C1809">
        <v>80</v>
      </c>
      <c r="J1809">
        <v>1808</v>
      </c>
      <c r="K1809" t="s">
        <v>3773</v>
      </c>
      <c r="L1809">
        <v>80</v>
      </c>
    </row>
    <row r="1810" spans="1:12" x14ac:dyDescent="0.25">
      <c r="A1810">
        <v>1809</v>
      </c>
      <c r="B1810" t="s">
        <v>3774</v>
      </c>
      <c r="C1810">
        <v>90</v>
      </c>
      <c r="J1810">
        <v>1809</v>
      </c>
      <c r="K1810" t="s">
        <v>3774</v>
      </c>
      <c r="L1810">
        <v>90</v>
      </c>
    </row>
    <row r="1811" spans="1:12" x14ac:dyDescent="0.25">
      <c r="A1811">
        <v>1810</v>
      </c>
      <c r="B1811" t="s">
        <v>3775</v>
      </c>
      <c r="C1811">
        <v>102</v>
      </c>
      <c r="J1811">
        <v>1810</v>
      </c>
      <c r="K1811" t="s">
        <v>3775</v>
      </c>
      <c r="L1811">
        <v>102</v>
      </c>
    </row>
    <row r="1812" spans="1:12" x14ac:dyDescent="0.25">
      <c r="A1812">
        <v>1811</v>
      </c>
      <c r="B1812" t="s">
        <v>3776</v>
      </c>
      <c r="C1812">
        <v>65</v>
      </c>
      <c r="J1812">
        <v>1811</v>
      </c>
      <c r="K1812" t="s">
        <v>3776</v>
      </c>
      <c r="L1812">
        <v>65</v>
      </c>
    </row>
    <row r="1813" spans="1:12" x14ac:dyDescent="0.25">
      <c r="A1813">
        <v>1812</v>
      </c>
      <c r="B1813" t="s">
        <v>3777</v>
      </c>
      <c r="C1813">
        <v>93</v>
      </c>
      <c r="J1813">
        <v>1812</v>
      </c>
      <c r="K1813" t="s">
        <v>3777</v>
      </c>
      <c r="L1813">
        <v>93</v>
      </c>
    </row>
    <row r="1814" spans="1:12" x14ac:dyDescent="0.25">
      <c r="A1814">
        <v>1813</v>
      </c>
      <c r="B1814" t="s">
        <v>3778</v>
      </c>
      <c r="C1814">
        <v>109</v>
      </c>
      <c r="J1814">
        <v>1813</v>
      </c>
      <c r="K1814" t="s">
        <v>3778</v>
      </c>
      <c r="L1814">
        <v>109</v>
      </c>
    </row>
    <row r="1815" spans="1:12" x14ac:dyDescent="0.25">
      <c r="A1815">
        <v>1814</v>
      </c>
      <c r="B1815" t="s">
        <v>3779</v>
      </c>
      <c r="C1815">
        <v>64</v>
      </c>
      <c r="J1815">
        <v>1814</v>
      </c>
      <c r="K1815" t="s">
        <v>3779</v>
      </c>
      <c r="L1815">
        <v>64</v>
      </c>
    </row>
    <row r="1816" spans="1:12" x14ac:dyDescent="0.25">
      <c r="A1816">
        <v>1815</v>
      </c>
      <c r="B1816" t="s">
        <v>3780</v>
      </c>
      <c r="C1816">
        <v>6</v>
      </c>
      <c r="J1816">
        <v>1815</v>
      </c>
      <c r="K1816" t="s">
        <v>3780</v>
      </c>
      <c r="L1816">
        <v>6</v>
      </c>
    </row>
    <row r="1817" spans="1:12" x14ac:dyDescent="0.25">
      <c r="A1817">
        <v>1816</v>
      </c>
      <c r="B1817" t="s">
        <v>3781</v>
      </c>
      <c r="C1817">
        <v>6</v>
      </c>
      <c r="J1817">
        <v>1816</v>
      </c>
      <c r="K1817" t="s">
        <v>3781</v>
      </c>
      <c r="L1817">
        <v>6</v>
      </c>
    </row>
    <row r="1818" spans="1:12" x14ac:dyDescent="0.25">
      <c r="A1818">
        <v>1817</v>
      </c>
      <c r="B1818" t="s">
        <v>3782</v>
      </c>
      <c r="C1818">
        <v>97</v>
      </c>
      <c r="J1818">
        <v>1817</v>
      </c>
      <c r="K1818" t="s">
        <v>3782</v>
      </c>
      <c r="L1818">
        <v>97</v>
      </c>
    </row>
    <row r="1819" spans="1:12" x14ac:dyDescent="0.25">
      <c r="A1819">
        <v>1818</v>
      </c>
      <c r="B1819" t="s">
        <v>3783</v>
      </c>
      <c r="C1819">
        <v>83</v>
      </c>
      <c r="J1819">
        <v>1818</v>
      </c>
      <c r="K1819" t="s">
        <v>3783</v>
      </c>
      <c r="L1819">
        <v>83</v>
      </c>
    </row>
    <row r="1820" spans="1:12" x14ac:dyDescent="0.25">
      <c r="A1820">
        <v>1819</v>
      </c>
      <c r="B1820" t="s">
        <v>3784</v>
      </c>
      <c r="C1820">
        <v>103</v>
      </c>
      <c r="J1820">
        <v>1819</v>
      </c>
      <c r="K1820" t="s">
        <v>3784</v>
      </c>
      <c r="L1820">
        <v>103</v>
      </c>
    </row>
    <row r="1821" spans="1:12" x14ac:dyDescent="0.25">
      <c r="A1821">
        <v>1820</v>
      </c>
      <c r="B1821" t="s">
        <v>3785</v>
      </c>
      <c r="C1821">
        <v>78</v>
      </c>
      <c r="J1821">
        <v>1820</v>
      </c>
      <c r="K1821" t="s">
        <v>3785</v>
      </c>
      <c r="L1821">
        <v>78</v>
      </c>
    </row>
    <row r="1822" spans="1:12" x14ac:dyDescent="0.25">
      <c r="A1822">
        <v>1821</v>
      </c>
      <c r="B1822" t="s">
        <v>3786</v>
      </c>
      <c r="C1822">
        <v>115</v>
      </c>
      <c r="J1822">
        <v>1821</v>
      </c>
      <c r="K1822" t="s">
        <v>3786</v>
      </c>
      <c r="L1822">
        <v>115</v>
      </c>
    </row>
    <row r="1823" spans="1:12" x14ac:dyDescent="0.25">
      <c r="A1823">
        <v>1822</v>
      </c>
      <c r="B1823" t="s">
        <v>3787</v>
      </c>
      <c r="C1823">
        <v>84</v>
      </c>
      <c r="J1823">
        <v>1822</v>
      </c>
      <c r="K1823" t="s">
        <v>3787</v>
      </c>
      <c r="L1823">
        <v>84</v>
      </c>
    </row>
    <row r="1824" spans="1:12" x14ac:dyDescent="0.25">
      <c r="A1824">
        <v>1823</v>
      </c>
      <c r="B1824" t="s">
        <v>3788</v>
      </c>
      <c r="C1824">
        <v>112</v>
      </c>
      <c r="J1824">
        <v>1823</v>
      </c>
      <c r="K1824" t="s">
        <v>3788</v>
      </c>
      <c r="L1824">
        <v>112</v>
      </c>
    </row>
    <row r="1825" spans="1:12" x14ac:dyDescent="0.25">
      <c r="A1825">
        <v>1824</v>
      </c>
      <c r="B1825" t="s">
        <v>3789</v>
      </c>
      <c r="C1825">
        <v>79</v>
      </c>
      <c r="J1825">
        <v>1824</v>
      </c>
      <c r="K1825" t="s">
        <v>3789</v>
      </c>
      <c r="L1825">
        <v>79</v>
      </c>
    </row>
    <row r="1826" spans="1:12" x14ac:dyDescent="0.25">
      <c r="A1826">
        <v>1825</v>
      </c>
      <c r="B1826" t="s">
        <v>3790</v>
      </c>
      <c r="C1826">
        <v>44</v>
      </c>
      <c r="J1826">
        <v>1825</v>
      </c>
      <c r="K1826" t="s">
        <v>3790</v>
      </c>
      <c r="L1826">
        <v>44</v>
      </c>
    </row>
    <row r="1827" spans="1:12" x14ac:dyDescent="0.25">
      <c r="A1827">
        <v>1826</v>
      </c>
      <c r="B1827" t="s">
        <v>3791</v>
      </c>
      <c r="C1827">
        <v>86</v>
      </c>
      <c r="J1827">
        <v>1826</v>
      </c>
      <c r="K1827" t="s">
        <v>3791</v>
      </c>
      <c r="L1827">
        <v>86</v>
      </c>
    </row>
    <row r="1828" spans="1:12" x14ac:dyDescent="0.25">
      <c r="A1828">
        <v>1827</v>
      </c>
      <c r="B1828" t="s">
        <v>3792</v>
      </c>
      <c r="C1828">
        <v>24</v>
      </c>
      <c r="J1828">
        <v>1827</v>
      </c>
      <c r="K1828" t="s">
        <v>3792</v>
      </c>
      <c r="L1828">
        <v>24</v>
      </c>
    </row>
    <row r="1829" spans="1:12" x14ac:dyDescent="0.25">
      <c r="A1829">
        <v>1828</v>
      </c>
      <c r="B1829" t="s">
        <v>3793</v>
      </c>
      <c r="C1829">
        <v>20</v>
      </c>
      <c r="J1829">
        <v>1828</v>
      </c>
      <c r="K1829" t="s">
        <v>3793</v>
      </c>
      <c r="L1829">
        <v>20</v>
      </c>
    </row>
    <row r="1830" spans="1:12" x14ac:dyDescent="0.25">
      <c r="A1830">
        <v>1829</v>
      </c>
      <c r="B1830" t="s">
        <v>3794</v>
      </c>
      <c r="C1830">
        <v>33</v>
      </c>
      <c r="J1830">
        <v>1829</v>
      </c>
      <c r="K1830" t="s">
        <v>3794</v>
      </c>
      <c r="L1830">
        <v>33</v>
      </c>
    </row>
    <row r="1831" spans="1:12" x14ac:dyDescent="0.25">
      <c r="A1831">
        <v>1830</v>
      </c>
      <c r="B1831" t="s">
        <v>3795</v>
      </c>
      <c r="C1831">
        <v>50</v>
      </c>
      <c r="J1831">
        <v>1830</v>
      </c>
      <c r="K1831" t="s">
        <v>3795</v>
      </c>
      <c r="L1831">
        <v>50</v>
      </c>
    </row>
    <row r="1832" spans="1:12" x14ac:dyDescent="0.25">
      <c r="A1832">
        <v>1831</v>
      </c>
      <c r="B1832" t="s">
        <v>3796</v>
      </c>
      <c r="C1832">
        <v>37</v>
      </c>
      <c r="J1832">
        <v>1831</v>
      </c>
      <c r="K1832" t="s">
        <v>3796</v>
      </c>
      <c r="L1832">
        <v>37</v>
      </c>
    </row>
    <row r="1833" spans="1:12" x14ac:dyDescent="0.25">
      <c r="A1833">
        <v>1832</v>
      </c>
      <c r="B1833" t="s">
        <v>3797</v>
      </c>
      <c r="C1833">
        <v>6</v>
      </c>
      <c r="J1833">
        <v>1832</v>
      </c>
      <c r="K1833" t="s">
        <v>3797</v>
      </c>
      <c r="L1833">
        <v>6</v>
      </c>
    </row>
    <row r="1834" spans="1:12" x14ac:dyDescent="0.25">
      <c r="A1834">
        <v>1833</v>
      </c>
      <c r="B1834" t="s">
        <v>3798</v>
      </c>
      <c r="C1834">
        <v>6</v>
      </c>
      <c r="J1834">
        <v>1833</v>
      </c>
      <c r="K1834" t="s">
        <v>3798</v>
      </c>
      <c r="L1834">
        <v>6</v>
      </c>
    </row>
    <row r="1835" spans="1:12" x14ac:dyDescent="0.25">
      <c r="A1835">
        <v>1834</v>
      </c>
      <c r="B1835" t="s">
        <v>3799</v>
      </c>
      <c r="C1835">
        <v>23</v>
      </c>
      <c r="J1835">
        <v>1834</v>
      </c>
      <c r="K1835" t="s">
        <v>3799</v>
      </c>
      <c r="L1835">
        <v>23</v>
      </c>
    </row>
    <row r="1836" spans="1:12" x14ac:dyDescent="0.25">
      <c r="A1836">
        <v>1835</v>
      </c>
      <c r="B1836" t="s">
        <v>3800</v>
      </c>
      <c r="C1836">
        <v>6</v>
      </c>
      <c r="J1836">
        <v>1835</v>
      </c>
      <c r="K1836" t="s">
        <v>3800</v>
      </c>
      <c r="L1836">
        <v>6</v>
      </c>
    </row>
    <row r="1837" spans="1:12" x14ac:dyDescent="0.25">
      <c r="A1837">
        <v>1836</v>
      </c>
      <c r="B1837" t="s">
        <v>3801</v>
      </c>
      <c r="C1837">
        <v>0</v>
      </c>
      <c r="J1837">
        <v>1836</v>
      </c>
      <c r="K1837" t="s">
        <v>3801</v>
      </c>
      <c r="L1837">
        <v>0</v>
      </c>
    </row>
    <row r="1838" spans="1:12" x14ac:dyDescent="0.25">
      <c r="A1838">
        <v>1837</v>
      </c>
      <c r="B1838" t="s">
        <v>3802</v>
      </c>
      <c r="C1838">
        <v>9</v>
      </c>
      <c r="J1838">
        <v>1837</v>
      </c>
      <c r="K1838" t="s">
        <v>3802</v>
      </c>
      <c r="L1838">
        <v>9</v>
      </c>
    </row>
    <row r="1839" spans="1:12" x14ac:dyDescent="0.25">
      <c r="A1839">
        <v>1838</v>
      </c>
      <c r="B1839" t="s">
        <v>3803</v>
      </c>
      <c r="C1839">
        <v>9</v>
      </c>
      <c r="J1839">
        <v>1838</v>
      </c>
      <c r="K1839" t="s">
        <v>3803</v>
      </c>
      <c r="L1839">
        <v>9</v>
      </c>
    </row>
    <row r="1840" spans="1:12" x14ac:dyDescent="0.25">
      <c r="A1840">
        <v>1839</v>
      </c>
      <c r="B1840" t="s">
        <v>3804</v>
      </c>
      <c r="C1840">
        <v>0</v>
      </c>
      <c r="J1840">
        <v>1839</v>
      </c>
      <c r="K1840" t="s">
        <v>3804</v>
      </c>
      <c r="L1840">
        <v>0</v>
      </c>
    </row>
    <row r="1841" spans="1:12" x14ac:dyDescent="0.25">
      <c r="A1841">
        <v>1840</v>
      </c>
      <c r="B1841" t="s">
        <v>3805</v>
      </c>
      <c r="C1841">
        <v>6</v>
      </c>
      <c r="J1841">
        <v>1840</v>
      </c>
      <c r="K1841" t="s">
        <v>3805</v>
      </c>
      <c r="L1841">
        <v>6</v>
      </c>
    </row>
    <row r="1842" spans="1:12" x14ac:dyDescent="0.25">
      <c r="A1842">
        <v>1841</v>
      </c>
      <c r="B1842" t="s">
        <v>3806</v>
      </c>
      <c r="C1842">
        <v>66</v>
      </c>
      <c r="J1842">
        <v>1841</v>
      </c>
      <c r="K1842" t="s">
        <v>3806</v>
      </c>
      <c r="L1842">
        <v>66</v>
      </c>
    </row>
    <row r="1843" spans="1:12" x14ac:dyDescent="0.25">
      <c r="A1843">
        <v>1842</v>
      </c>
      <c r="B1843" t="s">
        <v>3807</v>
      </c>
      <c r="C1843">
        <v>67</v>
      </c>
      <c r="J1843">
        <v>1842</v>
      </c>
      <c r="K1843" t="s">
        <v>3807</v>
      </c>
      <c r="L1843">
        <v>67</v>
      </c>
    </row>
    <row r="1844" spans="1:12" x14ac:dyDescent="0.25">
      <c r="A1844">
        <v>1843</v>
      </c>
      <c r="B1844" t="s">
        <v>3808</v>
      </c>
      <c r="C1844">
        <v>65</v>
      </c>
      <c r="J1844">
        <v>1843</v>
      </c>
      <c r="K1844" t="s">
        <v>3808</v>
      </c>
      <c r="L1844">
        <v>65</v>
      </c>
    </row>
    <row r="1845" spans="1:12" x14ac:dyDescent="0.25">
      <c r="A1845">
        <v>1844</v>
      </c>
      <c r="B1845" t="s">
        <v>3809</v>
      </c>
      <c r="C1845">
        <v>79</v>
      </c>
      <c r="J1845">
        <v>1844</v>
      </c>
      <c r="K1845" t="s">
        <v>3809</v>
      </c>
      <c r="L1845">
        <v>79</v>
      </c>
    </row>
    <row r="1846" spans="1:12" x14ac:dyDescent="0.25">
      <c r="A1846">
        <v>1845</v>
      </c>
      <c r="B1846" t="s">
        <v>3810</v>
      </c>
      <c r="C1846">
        <v>71</v>
      </c>
      <c r="J1846">
        <v>1845</v>
      </c>
      <c r="K1846" t="s">
        <v>3810</v>
      </c>
      <c r="L1846">
        <v>71</v>
      </c>
    </row>
    <row r="1847" spans="1:12" x14ac:dyDescent="0.25">
      <c r="A1847">
        <v>1846</v>
      </c>
      <c r="B1847" t="s">
        <v>3811</v>
      </c>
      <c r="C1847">
        <v>0</v>
      </c>
      <c r="J1847">
        <v>1846</v>
      </c>
      <c r="K1847" t="s">
        <v>3811</v>
      </c>
      <c r="L1847">
        <v>0</v>
      </c>
    </row>
    <row r="1848" spans="1:12" x14ac:dyDescent="0.25">
      <c r="A1848">
        <v>1847</v>
      </c>
      <c r="B1848" t="s">
        <v>3812</v>
      </c>
      <c r="C1848">
        <v>0</v>
      </c>
      <c r="J1848">
        <v>1847</v>
      </c>
      <c r="K1848" t="s">
        <v>3812</v>
      </c>
      <c r="L1848">
        <v>0</v>
      </c>
    </row>
    <row r="1849" spans="1:12" x14ac:dyDescent="0.25">
      <c r="A1849">
        <v>1848</v>
      </c>
      <c r="B1849" t="s">
        <v>3813</v>
      </c>
      <c r="C1849">
        <v>0</v>
      </c>
      <c r="J1849">
        <v>1848</v>
      </c>
      <c r="K1849" t="s">
        <v>3813</v>
      </c>
      <c r="L1849">
        <v>0</v>
      </c>
    </row>
    <row r="1850" spans="1:12" x14ac:dyDescent="0.25">
      <c r="A1850">
        <v>1849</v>
      </c>
      <c r="B1850" t="s">
        <v>3814</v>
      </c>
      <c r="C1850">
        <v>0</v>
      </c>
      <c r="J1850">
        <v>1849</v>
      </c>
      <c r="K1850" t="s">
        <v>3814</v>
      </c>
      <c r="L1850">
        <v>0</v>
      </c>
    </row>
    <row r="1851" spans="1:12" x14ac:dyDescent="0.25">
      <c r="A1851">
        <v>1850</v>
      </c>
      <c r="B1851" t="s">
        <v>3815</v>
      </c>
      <c r="C1851">
        <v>0</v>
      </c>
      <c r="J1851">
        <v>1850</v>
      </c>
      <c r="K1851" t="s">
        <v>3815</v>
      </c>
      <c r="L1851">
        <v>0</v>
      </c>
    </row>
    <row r="1852" spans="1:12" x14ac:dyDescent="0.25">
      <c r="A1852">
        <v>1851</v>
      </c>
      <c r="B1852" t="s">
        <v>3816</v>
      </c>
      <c r="C1852">
        <v>0</v>
      </c>
      <c r="J1852">
        <v>1851</v>
      </c>
      <c r="K1852" t="s">
        <v>3816</v>
      </c>
      <c r="L1852">
        <v>0</v>
      </c>
    </row>
    <row r="1853" spans="1:12" x14ac:dyDescent="0.25">
      <c r="A1853">
        <v>1852</v>
      </c>
      <c r="B1853" t="s">
        <v>3817</v>
      </c>
      <c r="C1853">
        <v>0</v>
      </c>
      <c r="J1853">
        <v>1852</v>
      </c>
      <c r="K1853" t="s">
        <v>3817</v>
      </c>
      <c r="L1853">
        <v>0</v>
      </c>
    </row>
    <row r="1854" spans="1:12" x14ac:dyDescent="0.25">
      <c r="A1854">
        <v>1853</v>
      </c>
      <c r="B1854" t="s">
        <v>3818</v>
      </c>
      <c r="C1854">
        <v>0</v>
      </c>
      <c r="J1854">
        <v>1853</v>
      </c>
      <c r="K1854" t="s">
        <v>3818</v>
      </c>
      <c r="L1854">
        <v>0</v>
      </c>
    </row>
    <row r="1855" spans="1:12" x14ac:dyDescent="0.25">
      <c r="A1855">
        <v>1854</v>
      </c>
      <c r="B1855" t="s">
        <v>3819</v>
      </c>
      <c r="C1855">
        <v>0</v>
      </c>
      <c r="J1855">
        <v>1854</v>
      </c>
      <c r="K1855" t="s">
        <v>3819</v>
      </c>
      <c r="L1855">
        <v>0</v>
      </c>
    </row>
    <row r="1856" spans="1:12" x14ac:dyDescent="0.25">
      <c r="A1856">
        <v>1855</v>
      </c>
      <c r="B1856" t="s">
        <v>3820</v>
      </c>
      <c r="C1856">
        <v>0</v>
      </c>
      <c r="J1856">
        <v>1855</v>
      </c>
      <c r="K1856" t="s">
        <v>3820</v>
      </c>
      <c r="L1856">
        <v>0</v>
      </c>
    </row>
    <row r="1857" spans="1:12" x14ac:dyDescent="0.25">
      <c r="A1857">
        <v>1856</v>
      </c>
      <c r="B1857" t="s">
        <v>3821</v>
      </c>
      <c r="C1857">
        <v>0</v>
      </c>
      <c r="J1857">
        <v>1856</v>
      </c>
      <c r="K1857" t="s">
        <v>3821</v>
      </c>
      <c r="L1857">
        <v>0</v>
      </c>
    </row>
    <row r="1858" spans="1:12" x14ac:dyDescent="0.25">
      <c r="A1858">
        <v>1857</v>
      </c>
      <c r="B1858" t="s">
        <v>3822</v>
      </c>
      <c r="C1858">
        <v>0</v>
      </c>
      <c r="J1858">
        <v>1857</v>
      </c>
      <c r="K1858" t="s">
        <v>3822</v>
      </c>
      <c r="L1858">
        <v>0</v>
      </c>
    </row>
    <row r="1859" spans="1:12" x14ac:dyDescent="0.25">
      <c r="A1859">
        <v>1858</v>
      </c>
      <c r="B1859" t="s">
        <v>3823</v>
      </c>
      <c r="C1859">
        <v>0</v>
      </c>
      <c r="J1859">
        <v>1858</v>
      </c>
      <c r="K1859" t="s">
        <v>3823</v>
      </c>
      <c r="L1859">
        <v>0</v>
      </c>
    </row>
    <row r="1860" spans="1:12" x14ac:dyDescent="0.25">
      <c r="A1860">
        <v>1859</v>
      </c>
      <c r="B1860" t="s">
        <v>3824</v>
      </c>
      <c r="C1860">
        <v>0</v>
      </c>
      <c r="J1860">
        <v>1859</v>
      </c>
      <c r="K1860" t="s">
        <v>3824</v>
      </c>
      <c r="L1860">
        <v>0</v>
      </c>
    </row>
    <row r="1861" spans="1:12" x14ac:dyDescent="0.25">
      <c r="A1861">
        <v>1860</v>
      </c>
      <c r="B1861" t="s">
        <v>3825</v>
      </c>
      <c r="C1861">
        <v>0</v>
      </c>
      <c r="J1861">
        <v>1860</v>
      </c>
      <c r="K1861" t="s">
        <v>3825</v>
      </c>
      <c r="L1861">
        <v>0</v>
      </c>
    </row>
    <row r="1862" spans="1:12" x14ac:dyDescent="0.25">
      <c r="A1862">
        <v>1861</v>
      </c>
      <c r="B1862" t="s">
        <v>3826</v>
      </c>
      <c r="C1862">
        <v>0</v>
      </c>
      <c r="J1862">
        <v>1861</v>
      </c>
      <c r="K1862" t="s">
        <v>3826</v>
      </c>
      <c r="L1862">
        <v>0</v>
      </c>
    </row>
    <row r="1863" spans="1:12" x14ac:dyDescent="0.25">
      <c r="A1863">
        <v>1862</v>
      </c>
      <c r="B1863" t="s">
        <v>3827</v>
      </c>
      <c r="C1863">
        <v>0</v>
      </c>
      <c r="J1863">
        <v>1862</v>
      </c>
      <c r="K1863" t="s">
        <v>3827</v>
      </c>
      <c r="L1863">
        <v>0</v>
      </c>
    </row>
    <row r="1864" spans="1:12" x14ac:dyDescent="0.25">
      <c r="A1864">
        <v>1863</v>
      </c>
      <c r="B1864" t="s">
        <v>3828</v>
      </c>
      <c r="C1864">
        <v>0</v>
      </c>
      <c r="J1864">
        <v>1863</v>
      </c>
      <c r="K1864" t="s">
        <v>3828</v>
      </c>
      <c r="L1864">
        <v>0</v>
      </c>
    </row>
    <row r="1865" spans="1:12" x14ac:dyDescent="0.25">
      <c r="A1865">
        <v>1864</v>
      </c>
      <c r="B1865" t="s">
        <v>3829</v>
      </c>
      <c r="C1865">
        <v>0</v>
      </c>
      <c r="J1865">
        <v>1864</v>
      </c>
      <c r="K1865" t="s">
        <v>3829</v>
      </c>
      <c r="L1865">
        <v>0</v>
      </c>
    </row>
    <row r="1866" spans="1:12" x14ac:dyDescent="0.25">
      <c r="A1866">
        <v>1865</v>
      </c>
      <c r="B1866" t="s">
        <v>3830</v>
      </c>
      <c r="C1866">
        <v>0</v>
      </c>
      <c r="J1866">
        <v>1865</v>
      </c>
      <c r="K1866" t="s">
        <v>3830</v>
      </c>
      <c r="L1866">
        <v>0</v>
      </c>
    </row>
    <row r="1867" spans="1:12" x14ac:dyDescent="0.25">
      <c r="A1867">
        <v>1866</v>
      </c>
      <c r="B1867" t="s">
        <v>3831</v>
      </c>
      <c r="C1867">
        <v>0</v>
      </c>
      <c r="J1867">
        <v>1866</v>
      </c>
      <c r="K1867" t="s">
        <v>3831</v>
      </c>
      <c r="L1867">
        <v>0</v>
      </c>
    </row>
    <row r="1868" spans="1:12" x14ac:dyDescent="0.25">
      <c r="A1868">
        <v>1867</v>
      </c>
      <c r="B1868" t="s">
        <v>3832</v>
      </c>
      <c r="C1868">
        <v>0</v>
      </c>
      <c r="J1868">
        <v>1867</v>
      </c>
      <c r="K1868" t="s">
        <v>3832</v>
      </c>
      <c r="L1868">
        <v>0</v>
      </c>
    </row>
    <row r="1869" spans="1:12" x14ac:dyDescent="0.25">
      <c r="A1869">
        <v>1868</v>
      </c>
      <c r="B1869" t="s">
        <v>3833</v>
      </c>
      <c r="C1869">
        <v>0</v>
      </c>
      <c r="J1869">
        <v>1868</v>
      </c>
      <c r="K1869" t="s">
        <v>3833</v>
      </c>
      <c r="L1869">
        <v>0</v>
      </c>
    </row>
    <row r="1870" spans="1:12" x14ac:dyDescent="0.25">
      <c r="A1870">
        <v>1869</v>
      </c>
      <c r="B1870" t="s">
        <v>3834</v>
      </c>
      <c r="C1870">
        <v>0</v>
      </c>
      <c r="J1870">
        <v>1869</v>
      </c>
      <c r="K1870" t="s">
        <v>3834</v>
      </c>
      <c r="L1870">
        <v>0</v>
      </c>
    </row>
    <row r="1871" spans="1:12" x14ac:dyDescent="0.25">
      <c r="A1871">
        <v>1870</v>
      </c>
      <c r="B1871" t="s">
        <v>3835</v>
      </c>
      <c r="C1871">
        <v>0</v>
      </c>
      <c r="J1871">
        <v>1870</v>
      </c>
      <c r="K1871" t="s">
        <v>3835</v>
      </c>
      <c r="L1871">
        <v>0</v>
      </c>
    </row>
    <row r="1872" spans="1:12" x14ac:dyDescent="0.25">
      <c r="A1872">
        <v>1871</v>
      </c>
      <c r="B1872" t="s">
        <v>3836</v>
      </c>
      <c r="C1872">
        <v>0</v>
      </c>
      <c r="J1872">
        <v>1871</v>
      </c>
      <c r="K1872" t="s">
        <v>3836</v>
      </c>
      <c r="L1872">
        <v>0</v>
      </c>
    </row>
    <row r="1873" spans="1:12" x14ac:dyDescent="0.25">
      <c r="A1873">
        <v>1872</v>
      </c>
      <c r="B1873" t="s">
        <v>3837</v>
      </c>
      <c r="C1873">
        <v>0</v>
      </c>
      <c r="J1873">
        <v>1872</v>
      </c>
      <c r="K1873" t="s">
        <v>3837</v>
      </c>
      <c r="L1873">
        <v>0</v>
      </c>
    </row>
    <row r="1874" spans="1:12" x14ac:dyDescent="0.25">
      <c r="A1874">
        <v>1873</v>
      </c>
      <c r="B1874" t="s">
        <v>3838</v>
      </c>
      <c r="C1874">
        <v>0</v>
      </c>
      <c r="J1874">
        <v>1873</v>
      </c>
      <c r="K1874" t="s">
        <v>3838</v>
      </c>
      <c r="L1874">
        <v>0</v>
      </c>
    </row>
    <row r="1875" spans="1:12" x14ac:dyDescent="0.25">
      <c r="A1875">
        <v>1874</v>
      </c>
      <c r="B1875" t="s">
        <v>3839</v>
      </c>
      <c r="C1875">
        <v>0</v>
      </c>
      <c r="J1875">
        <v>1874</v>
      </c>
      <c r="K1875" t="s">
        <v>3839</v>
      </c>
      <c r="L1875">
        <v>0</v>
      </c>
    </row>
    <row r="1876" spans="1:12" x14ac:dyDescent="0.25">
      <c r="A1876">
        <v>1875</v>
      </c>
      <c r="B1876" t="s">
        <v>3840</v>
      </c>
      <c r="C1876">
        <v>0</v>
      </c>
      <c r="J1876">
        <v>1875</v>
      </c>
      <c r="K1876" t="s">
        <v>3840</v>
      </c>
      <c r="L1876">
        <v>0</v>
      </c>
    </row>
    <row r="1877" spans="1:12" x14ac:dyDescent="0.25">
      <c r="A1877">
        <v>1876</v>
      </c>
      <c r="B1877" t="s">
        <v>3841</v>
      </c>
      <c r="C1877">
        <v>0</v>
      </c>
      <c r="J1877">
        <v>1876</v>
      </c>
      <c r="K1877" t="s">
        <v>3841</v>
      </c>
      <c r="L1877">
        <v>0</v>
      </c>
    </row>
    <row r="1878" spans="1:12" x14ac:dyDescent="0.25">
      <c r="A1878">
        <v>1877</v>
      </c>
      <c r="B1878" t="s">
        <v>3842</v>
      </c>
      <c r="C1878">
        <v>0</v>
      </c>
      <c r="J1878">
        <v>1877</v>
      </c>
      <c r="K1878" t="s">
        <v>3842</v>
      </c>
      <c r="L1878">
        <v>0</v>
      </c>
    </row>
    <row r="1879" spans="1:12" x14ac:dyDescent="0.25">
      <c r="A1879">
        <v>1878</v>
      </c>
      <c r="B1879" t="s">
        <v>3843</v>
      </c>
      <c r="C1879">
        <v>0</v>
      </c>
      <c r="J1879">
        <v>1878</v>
      </c>
      <c r="K1879" t="s">
        <v>3843</v>
      </c>
      <c r="L1879">
        <v>0</v>
      </c>
    </row>
    <row r="1880" spans="1:12" x14ac:dyDescent="0.25">
      <c r="A1880">
        <v>1879</v>
      </c>
      <c r="B1880" t="s">
        <v>3844</v>
      </c>
      <c r="C1880">
        <v>0</v>
      </c>
      <c r="J1880">
        <v>1879</v>
      </c>
      <c r="K1880" t="s">
        <v>3844</v>
      </c>
      <c r="L1880">
        <v>0</v>
      </c>
    </row>
    <row r="1881" spans="1:12" x14ac:dyDescent="0.25">
      <c r="A1881">
        <v>1880</v>
      </c>
      <c r="B1881" t="s">
        <v>3845</v>
      </c>
      <c r="C1881">
        <v>0</v>
      </c>
      <c r="J1881">
        <v>1880</v>
      </c>
      <c r="K1881" t="s">
        <v>3845</v>
      </c>
      <c r="L1881">
        <v>0</v>
      </c>
    </row>
    <row r="1882" spans="1:12" x14ac:dyDescent="0.25">
      <c r="A1882">
        <v>1881</v>
      </c>
      <c r="B1882" t="s">
        <v>3846</v>
      </c>
      <c r="C1882">
        <v>0</v>
      </c>
      <c r="J1882">
        <v>1881</v>
      </c>
      <c r="K1882" t="s">
        <v>3846</v>
      </c>
      <c r="L1882">
        <v>0</v>
      </c>
    </row>
    <row r="1883" spans="1:12" x14ac:dyDescent="0.25">
      <c r="A1883">
        <v>1882</v>
      </c>
      <c r="B1883" t="s">
        <v>3847</v>
      </c>
      <c r="C1883">
        <v>0</v>
      </c>
      <c r="J1883">
        <v>1882</v>
      </c>
      <c r="K1883" t="s">
        <v>3847</v>
      </c>
      <c r="L1883">
        <v>0</v>
      </c>
    </row>
    <row r="1884" spans="1:12" x14ac:dyDescent="0.25">
      <c r="A1884">
        <v>1883</v>
      </c>
      <c r="B1884" t="s">
        <v>3848</v>
      </c>
      <c r="C1884">
        <v>0</v>
      </c>
      <c r="J1884">
        <v>1883</v>
      </c>
      <c r="K1884" t="s">
        <v>3848</v>
      </c>
      <c r="L1884">
        <v>0</v>
      </c>
    </row>
    <row r="1885" spans="1:12" x14ac:dyDescent="0.25">
      <c r="A1885">
        <v>1884</v>
      </c>
      <c r="B1885" t="s">
        <v>3849</v>
      </c>
      <c r="C1885">
        <v>0</v>
      </c>
      <c r="J1885">
        <v>1884</v>
      </c>
      <c r="K1885" t="s">
        <v>3849</v>
      </c>
      <c r="L1885">
        <v>0</v>
      </c>
    </row>
    <row r="1886" spans="1:12" x14ac:dyDescent="0.25">
      <c r="A1886">
        <v>1885</v>
      </c>
      <c r="B1886" t="s">
        <v>3850</v>
      </c>
      <c r="C1886">
        <v>0</v>
      </c>
      <c r="J1886">
        <v>1885</v>
      </c>
      <c r="K1886" t="s">
        <v>3850</v>
      </c>
      <c r="L1886">
        <v>0</v>
      </c>
    </row>
    <row r="1887" spans="1:12" x14ac:dyDescent="0.25">
      <c r="A1887">
        <v>1886</v>
      </c>
      <c r="B1887" t="s">
        <v>3851</v>
      </c>
      <c r="C1887">
        <v>0</v>
      </c>
      <c r="J1887">
        <v>1886</v>
      </c>
      <c r="K1887" t="s">
        <v>3851</v>
      </c>
      <c r="L1887">
        <v>0</v>
      </c>
    </row>
    <row r="1888" spans="1:12" x14ac:dyDescent="0.25">
      <c r="A1888">
        <v>1887</v>
      </c>
      <c r="B1888" t="s">
        <v>3852</v>
      </c>
      <c r="C1888">
        <v>0</v>
      </c>
      <c r="J1888">
        <v>1887</v>
      </c>
      <c r="K1888" t="s">
        <v>3852</v>
      </c>
      <c r="L1888">
        <v>0</v>
      </c>
    </row>
    <row r="1889" spans="1:12" x14ac:dyDescent="0.25">
      <c r="A1889">
        <v>1888</v>
      </c>
      <c r="B1889" t="s">
        <v>3853</v>
      </c>
      <c r="C1889">
        <v>0</v>
      </c>
      <c r="J1889">
        <v>1888</v>
      </c>
      <c r="K1889" t="s">
        <v>3853</v>
      </c>
      <c r="L1889">
        <v>0</v>
      </c>
    </row>
    <row r="1890" spans="1:12" x14ac:dyDescent="0.25">
      <c r="A1890">
        <v>1889</v>
      </c>
      <c r="B1890" t="s">
        <v>3854</v>
      </c>
      <c r="C1890">
        <v>0</v>
      </c>
      <c r="J1890">
        <v>1889</v>
      </c>
      <c r="K1890" t="s">
        <v>3854</v>
      </c>
      <c r="L1890">
        <v>0</v>
      </c>
    </row>
    <row r="1891" spans="1:12" x14ac:dyDescent="0.25">
      <c r="A1891">
        <v>1890</v>
      </c>
      <c r="B1891" t="s">
        <v>3855</v>
      </c>
      <c r="C1891">
        <v>0</v>
      </c>
      <c r="J1891">
        <v>1890</v>
      </c>
      <c r="K1891" t="s">
        <v>3855</v>
      </c>
      <c r="L1891">
        <v>0</v>
      </c>
    </row>
    <row r="1892" spans="1:12" x14ac:dyDescent="0.25">
      <c r="A1892">
        <v>1891</v>
      </c>
      <c r="B1892" t="s">
        <v>3856</v>
      </c>
      <c r="C1892">
        <v>0</v>
      </c>
      <c r="J1892">
        <v>1891</v>
      </c>
      <c r="K1892" t="s">
        <v>3856</v>
      </c>
      <c r="L1892">
        <v>0</v>
      </c>
    </row>
    <row r="1893" spans="1:12" x14ac:dyDescent="0.25">
      <c r="A1893">
        <v>1892</v>
      </c>
      <c r="B1893" t="s">
        <v>3857</v>
      </c>
      <c r="C1893">
        <v>0</v>
      </c>
      <c r="J1893">
        <v>1892</v>
      </c>
      <c r="K1893" t="s">
        <v>3857</v>
      </c>
      <c r="L1893">
        <v>0</v>
      </c>
    </row>
    <row r="1894" spans="1:12" x14ac:dyDescent="0.25">
      <c r="A1894">
        <v>1893</v>
      </c>
      <c r="B1894" t="s">
        <v>3858</v>
      </c>
      <c r="C1894">
        <v>0</v>
      </c>
      <c r="J1894">
        <v>1893</v>
      </c>
      <c r="K1894" t="s">
        <v>3858</v>
      </c>
      <c r="L1894">
        <v>0</v>
      </c>
    </row>
    <row r="1895" spans="1:12" x14ac:dyDescent="0.25">
      <c r="A1895">
        <v>1894</v>
      </c>
      <c r="B1895" t="s">
        <v>3859</v>
      </c>
      <c r="C1895">
        <v>0</v>
      </c>
      <c r="J1895">
        <v>1894</v>
      </c>
      <c r="K1895" t="s">
        <v>3859</v>
      </c>
      <c r="L1895">
        <v>0</v>
      </c>
    </row>
    <row r="1896" spans="1:12" x14ac:dyDescent="0.25">
      <c r="A1896">
        <v>1895</v>
      </c>
      <c r="B1896" t="s">
        <v>3860</v>
      </c>
      <c r="C1896">
        <v>0</v>
      </c>
      <c r="J1896">
        <v>1895</v>
      </c>
      <c r="K1896" t="s">
        <v>3860</v>
      </c>
      <c r="L1896">
        <v>0</v>
      </c>
    </row>
    <row r="1897" spans="1:12" x14ac:dyDescent="0.25">
      <c r="A1897">
        <v>1896</v>
      </c>
      <c r="B1897" t="s">
        <v>3861</v>
      </c>
      <c r="C1897">
        <v>0</v>
      </c>
      <c r="J1897">
        <v>1896</v>
      </c>
      <c r="K1897" t="s">
        <v>3861</v>
      </c>
      <c r="L1897">
        <v>0</v>
      </c>
    </row>
    <row r="1898" spans="1:12" x14ac:dyDescent="0.25">
      <c r="A1898">
        <v>1897</v>
      </c>
      <c r="B1898" t="s">
        <v>3862</v>
      </c>
      <c r="C1898">
        <v>0</v>
      </c>
      <c r="J1898">
        <v>1897</v>
      </c>
      <c r="K1898" t="s">
        <v>3862</v>
      </c>
      <c r="L1898">
        <v>0</v>
      </c>
    </row>
    <row r="1899" spans="1:12" x14ac:dyDescent="0.25">
      <c r="A1899">
        <v>1898</v>
      </c>
      <c r="B1899" t="s">
        <v>3863</v>
      </c>
      <c r="C1899">
        <v>0</v>
      </c>
      <c r="J1899">
        <v>1898</v>
      </c>
      <c r="K1899" t="s">
        <v>3863</v>
      </c>
      <c r="L1899">
        <v>0</v>
      </c>
    </row>
    <row r="1900" spans="1:12" x14ac:dyDescent="0.25">
      <c r="A1900">
        <v>1899</v>
      </c>
      <c r="B1900" t="s">
        <v>3864</v>
      </c>
      <c r="C1900">
        <v>0</v>
      </c>
      <c r="J1900">
        <v>1899</v>
      </c>
      <c r="K1900" t="s">
        <v>3864</v>
      </c>
      <c r="L1900">
        <v>0</v>
      </c>
    </row>
    <row r="1901" spans="1:12" x14ac:dyDescent="0.25">
      <c r="A1901">
        <v>1900</v>
      </c>
      <c r="B1901" t="s">
        <v>3865</v>
      </c>
      <c r="C1901">
        <v>0</v>
      </c>
      <c r="J1901">
        <v>1900</v>
      </c>
      <c r="K1901" t="s">
        <v>3865</v>
      </c>
      <c r="L1901">
        <v>0</v>
      </c>
    </row>
    <row r="1902" spans="1:12" x14ac:dyDescent="0.25">
      <c r="A1902">
        <v>1901</v>
      </c>
      <c r="B1902" t="s">
        <v>3866</v>
      </c>
      <c r="C1902">
        <v>0</v>
      </c>
      <c r="J1902">
        <v>1901</v>
      </c>
      <c r="K1902" t="s">
        <v>3866</v>
      </c>
      <c r="L1902">
        <v>0</v>
      </c>
    </row>
    <row r="1903" spans="1:12" x14ac:dyDescent="0.25">
      <c r="A1903">
        <v>1902</v>
      </c>
      <c r="B1903" t="s">
        <v>3867</v>
      </c>
      <c r="C1903">
        <v>0</v>
      </c>
      <c r="J1903">
        <v>1902</v>
      </c>
      <c r="K1903" t="s">
        <v>3867</v>
      </c>
      <c r="L1903">
        <v>0</v>
      </c>
    </row>
    <row r="1904" spans="1:12" x14ac:dyDescent="0.25">
      <c r="A1904">
        <v>1903</v>
      </c>
      <c r="B1904" t="s">
        <v>3868</v>
      </c>
      <c r="C1904">
        <v>0</v>
      </c>
      <c r="J1904">
        <v>1903</v>
      </c>
      <c r="K1904" t="s">
        <v>3868</v>
      </c>
      <c r="L1904">
        <v>0</v>
      </c>
    </row>
    <row r="1905" spans="1:12" x14ac:dyDescent="0.25">
      <c r="A1905">
        <v>1904</v>
      </c>
      <c r="B1905" t="s">
        <v>3869</v>
      </c>
      <c r="C1905">
        <v>0</v>
      </c>
      <c r="J1905">
        <v>1904</v>
      </c>
      <c r="K1905" t="s">
        <v>3869</v>
      </c>
      <c r="L1905">
        <v>0</v>
      </c>
    </row>
    <row r="1906" spans="1:12" x14ac:dyDescent="0.25">
      <c r="A1906">
        <v>1905</v>
      </c>
      <c r="B1906" t="s">
        <v>3870</v>
      </c>
      <c r="C1906">
        <v>0</v>
      </c>
      <c r="J1906">
        <v>1905</v>
      </c>
      <c r="K1906" t="s">
        <v>3870</v>
      </c>
      <c r="L1906">
        <v>0</v>
      </c>
    </row>
    <row r="1907" spans="1:12" x14ac:dyDescent="0.25">
      <c r="A1907">
        <v>1906</v>
      </c>
      <c r="B1907" t="s">
        <v>3871</v>
      </c>
      <c r="C1907">
        <v>0</v>
      </c>
      <c r="J1907">
        <v>1906</v>
      </c>
      <c r="K1907" t="s">
        <v>3871</v>
      </c>
      <c r="L1907">
        <v>0</v>
      </c>
    </row>
    <row r="1908" spans="1:12" x14ac:dyDescent="0.25">
      <c r="A1908">
        <v>1907</v>
      </c>
      <c r="B1908" t="s">
        <v>3872</v>
      </c>
      <c r="C1908">
        <v>0</v>
      </c>
      <c r="J1908">
        <v>1907</v>
      </c>
      <c r="K1908" t="s">
        <v>3872</v>
      </c>
      <c r="L1908">
        <v>0</v>
      </c>
    </row>
    <row r="1909" spans="1:12" x14ac:dyDescent="0.25">
      <c r="A1909">
        <v>1908</v>
      </c>
      <c r="B1909" t="s">
        <v>3873</v>
      </c>
      <c r="C1909">
        <v>0</v>
      </c>
      <c r="J1909">
        <v>1908</v>
      </c>
      <c r="K1909" t="s">
        <v>3873</v>
      </c>
      <c r="L1909">
        <v>0</v>
      </c>
    </row>
    <row r="1910" spans="1:12" x14ac:dyDescent="0.25">
      <c r="A1910">
        <v>1909</v>
      </c>
      <c r="B1910" t="s">
        <v>3874</v>
      </c>
      <c r="C1910">
        <v>0</v>
      </c>
      <c r="J1910">
        <v>1909</v>
      </c>
      <c r="K1910" t="s">
        <v>3874</v>
      </c>
      <c r="L1910">
        <v>0</v>
      </c>
    </row>
    <row r="1911" spans="1:12" x14ac:dyDescent="0.25">
      <c r="A1911">
        <v>1910</v>
      </c>
      <c r="B1911" t="s">
        <v>3875</v>
      </c>
      <c r="C1911">
        <v>0</v>
      </c>
      <c r="J1911">
        <v>1910</v>
      </c>
      <c r="K1911" t="s">
        <v>3875</v>
      </c>
      <c r="L1911">
        <v>0</v>
      </c>
    </row>
    <row r="1912" spans="1:12" x14ac:dyDescent="0.25">
      <c r="A1912">
        <v>1911</v>
      </c>
      <c r="B1912" t="s">
        <v>3876</v>
      </c>
      <c r="C1912">
        <v>0</v>
      </c>
      <c r="J1912">
        <v>1911</v>
      </c>
      <c r="K1912" t="s">
        <v>3876</v>
      </c>
      <c r="L1912">
        <v>0</v>
      </c>
    </row>
    <row r="1913" spans="1:12" x14ac:dyDescent="0.25">
      <c r="A1913">
        <v>1912</v>
      </c>
      <c r="B1913" t="s">
        <v>3877</v>
      </c>
      <c r="C1913">
        <v>0</v>
      </c>
      <c r="J1913">
        <v>1912</v>
      </c>
      <c r="K1913" t="s">
        <v>3877</v>
      </c>
      <c r="L1913">
        <v>0</v>
      </c>
    </row>
    <row r="1914" spans="1:12" x14ac:dyDescent="0.25">
      <c r="A1914">
        <v>1913</v>
      </c>
      <c r="B1914" t="s">
        <v>3878</v>
      </c>
      <c r="C1914">
        <v>0</v>
      </c>
      <c r="J1914">
        <v>1913</v>
      </c>
      <c r="K1914" t="s">
        <v>3878</v>
      </c>
      <c r="L1914">
        <v>0</v>
      </c>
    </row>
    <row r="1915" spans="1:12" x14ac:dyDescent="0.25">
      <c r="A1915">
        <v>1914</v>
      </c>
      <c r="B1915" t="s">
        <v>3879</v>
      </c>
      <c r="C1915">
        <v>0</v>
      </c>
      <c r="J1915">
        <v>1914</v>
      </c>
      <c r="K1915" t="s">
        <v>3879</v>
      </c>
      <c r="L1915">
        <v>0</v>
      </c>
    </row>
    <row r="1916" spans="1:12" x14ac:dyDescent="0.25">
      <c r="A1916">
        <v>1915</v>
      </c>
      <c r="B1916" t="s">
        <v>3880</v>
      </c>
      <c r="C1916">
        <v>0</v>
      </c>
      <c r="J1916">
        <v>1915</v>
      </c>
      <c r="K1916" t="s">
        <v>3880</v>
      </c>
      <c r="L1916">
        <v>0</v>
      </c>
    </row>
    <row r="1917" spans="1:12" x14ac:dyDescent="0.25">
      <c r="A1917">
        <v>1916</v>
      </c>
      <c r="B1917" t="s">
        <v>3881</v>
      </c>
      <c r="C1917">
        <v>0</v>
      </c>
      <c r="J1917">
        <v>1916</v>
      </c>
      <c r="K1917" t="s">
        <v>3881</v>
      </c>
      <c r="L1917">
        <v>0</v>
      </c>
    </row>
    <row r="1918" spans="1:12" x14ac:dyDescent="0.25">
      <c r="A1918">
        <v>1917</v>
      </c>
      <c r="B1918" t="s">
        <v>3882</v>
      </c>
      <c r="C1918">
        <v>0</v>
      </c>
      <c r="J1918">
        <v>1917</v>
      </c>
      <c r="K1918" t="s">
        <v>3882</v>
      </c>
      <c r="L1918">
        <v>0</v>
      </c>
    </row>
    <row r="1919" spans="1:12" x14ac:dyDescent="0.25">
      <c r="A1919">
        <v>1918</v>
      </c>
      <c r="B1919" t="s">
        <v>3883</v>
      </c>
      <c r="C1919">
        <v>0</v>
      </c>
      <c r="J1919">
        <v>1918</v>
      </c>
      <c r="K1919" t="s">
        <v>3883</v>
      </c>
      <c r="L1919">
        <v>0</v>
      </c>
    </row>
    <row r="1920" spans="1:12" x14ac:dyDescent="0.25">
      <c r="A1920">
        <v>1919</v>
      </c>
      <c r="B1920" t="s">
        <v>3884</v>
      </c>
      <c r="C1920">
        <v>0</v>
      </c>
      <c r="J1920">
        <v>1919</v>
      </c>
      <c r="K1920" t="s">
        <v>3884</v>
      </c>
      <c r="L1920">
        <v>0</v>
      </c>
    </row>
    <row r="1921" spans="1:12" x14ac:dyDescent="0.25">
      <c r="A1921">
        <v>1920</v>
      </c>
      <c r="B1921" t="s">
        <v>3885</v>
      </c>
      <c r="C1921">
        <v>0</v>
      </c>
      <c r="J1921">
        <v>1920</v>
      </c>
      <c r="K1921" t="s">
        <v>3885</v>
      </c>
      <c r="L1921">
        <v>0</v>
      </c>
    </row>
    <row r="1922" spans="1:12" x14ac:dyDescent="0.25">
      <c r="A1922">
        <v>1921</v>
      </c>
      <c r="B1922" t="s">
        <v>3886</v>
      </c>
      <c r="C1922">
        <v>0</v>
      </c>
      <c r="J1922">
        <v>1921</v>
      </c>
      <c r="K1922" t="s">
        <v>3886</v>
      </c>
      <c r="L1922">
        <v>0</v>
      </c>
    </row>
    <row r="1923" spans="1:12" x14ac:dyDescent="0.25">
      <c r="A1923">
        <v>1922</v>
      </c>
      <c r="B1923" t="s">
        <v>3887</v>
      </c>
      <c r="C1923">
        <v>0</v>
      </c>
      <c r="J1923">
        <v>1922</v>
      </c>
      <c r="K1923" t="s">
        <v>3887</v>
      </c>
      <c r="L1923">
        <v>0</v>
      </c>
    </row>
    <row r="1924" spans="1:12" x14ac:dyDescent="0.25">
      <c r="A1924">
        <v>1923</v>
      </c>
      <c r="B1924" t="s">
        <v>3888</v>
      </c>
      <c r="C1924">
        <v>0</v>
      </c>
      <c r="J1924">
        <v>1923</v>
      </c>
      <c r="K1924" t="s">
        <v>3888</v>
      </c>
      <c r="L1924">
        <v>0</v>
      </c>
    </row>
    <row r="1925" spans="1:12" x14ac:dyDescent="0.25">
      <c r="A1925">
        <v>1924</v>
      </c>
      <c r="B1925" t="s">
        <v>3889</v>
      </c>
      <c r="C1925">
        <v>0</v>
      </c>
      <c r="J1925">
        <v>1924</v>
      </c>
      <c r="K1925" t="s">
        <v>3889</v>
      </c>
      <c r="L1925">
        <v>0</v>
      </c>
    </row>
    <row r="1926" spans="1:12" x14ac:dyDescent="0.25">
      <c r="A1926">
        <v>1925</v>
      </c>
      <c r="B1926" t="s">
        <v>3890</v>
      </c>
      <c r="C1926">
        <v>0</v>
      </c>
      <c r="J1926">
        <v>1925</v>
      </c>
      <c r="K1926" t="s">
        <v>3890</v>
      </c>
      <c r="L1926">
        <v>0</v>
      </c>
    </row>
    <row r="1927" spans="1:12" x14ac:dyDescent="0.25">
      <c r="A1927">
        <v>1926</v>
      </c>
      <c r="B1927" t="s">
        <v>3891</v>
      </c>
      <c r="C1927">
        <v>0</v>
      </c>
      <c r="J1927">
        <v>1926</v>
      </c>
      <c r="K1927" t="s">
        <v>3891</v>
      </c>
      <c r="L1927">
        <v>0</v>
      </c>
    </row>
    <row r="1928" spans="1:12" x14ac:dyDescent="0.25">
      <c r="A1928">
        <v>1927</v>
      </c>
      <c r="B1928" t="s">
        <v>3892</v>
      </c>
      <c r="C1928">
        <v>0</v>
      </c>
      <c r="J1928">
        <v>1927</v>
      </c>
      <c r="K1928" t="s">
        <v>3892</v>
      </c>
      <c r="L1928">
        <v>0</v>
      </c>
    </row>
    <row r="1929" spans="1:12" x14ac:dyDescent="0.25">
      <c r="A1929">
        <v>1928</v>
      </c>
      <c r="B1929" t="s">
        <v>3893</v>
      </c>
      <c r="C1929">
        <v>0</v>
      </c>
      <c r="J1929">
        <v>1928</v>
      </c>
      <c r="K1929" t="s">
        <v>3893</v>
      </c>
      <c r="L1929">
        <v>0</v>
      </c>
    </row>
    <row r="1930" spans="1:12" x14ac:dyDescent="0.25">
      <c r="A1930">
        <v>1929</v>
      </c>
      <c r="B1930" t="s">
        <v>3894</v>
      </c>
      <c r="C1930">
        <v>0</v>
      </c>
      <c r="J1930">
        <v>1929</v>
      </c>
      <c r="K1930" t="s">
        <v>3894</v>
      </c>
      <c r="L1930">
        <v>0</v>
      </c>
    </row>
    <row r="1931" spans="1:12" x14ac:dyDescent="0.25">
      <c r="A1931">
        <v>1930</v>
      </c>
      <c r="B1931" t="s">
        <v>3895</v>
      </c>
      <c r="C1931">
        <v>0</v>
      </c>
      <c r="J1931">
        <v>1930</v>
      </c>
      <c r="K1931" t="s">
        <v>3895</v>
      </c>
      <c r="L1931">
        <v>0</v>
      </c>
    </row>
    <row r="1932" spans="1:12" x14ac:dyDescent="0.25">
      <c r="A1932">
        <v>1931</v>
      </c>
      <c r="B1932" t="s">
        <v>3896</v>
      </c>
      <c r="C1932">
        <v>0</v>
      </c>
      <c r="J1932">
        <v>1931</v>
      </c>
      <c r="K1932" t="s">
        <v>3896</v>
      </c>
      <c r="L1932">
        <v>0</v>
      </c>
    </row>
    <row r="1933" spans="1:12" x14ac:dyDescent="0.25">
      <c r="A1933">
        <v>1932</v>
      </c>
      <c r="B1933" t="s">
        <v>3897</v>
      </c>
      <c r="C1933">
        <v>0</v>
      </c>
      <c r="J1933">
        <v>1932</v>
      </c>
      <c r="K1933" t="s">
        <v>3897</v>
      </c>
      <c r="L1933">
        <v>0</v>
      </c>
    </row>
    <row r="1934" spans="1:12" x14ac:dyDescent="0.25">
      <c r="A1934">
        <v>1933</v>
      </c>
      <c r="B1934" t="s">
        <v>3898</v>
      </c>
      <c r="C1934">
        <v>0</v>
      </c>
      <c r="J1934">
        <v>1933</v>
      </c>
      <c r="K1934" t="s">
        <v>3898</v>
      </c>
      <c r="L1934">
        <v>0</v>
      </c>
    </row>
    <row r="1935" spans="1:12" x14ac:dyDescent="0.25">
      <c r="A1935">
        <v>1934</v>
      </c>
      <c r="B1935" t="s">
        <v>3899</v>
      </c>
      <c r="C1935">
        <v>0</v>
      </c>
      <c r="J1935">
        <v>1934</v>
      </c>
      <c r="K1935" t="s">
        <v>3899</v>
      </c>
      <c r="L1935">
        <v>0</v>
      </c>
    </row>
    <row r="1936" spans="1:12" x14ac:dyDescent="0.25">
      <c r="A1936">
        <v>1935</v>
      </c>
      <c r="B1936" t="s">
        <v>3900</v>
      </c>
      <c r="C1936">
        <v>0</v>
      </c>
      <c r="J1936">
        <v>1935</v>
      </c>
      <c r="K1936" t="s">
        <v>3900</v>
      </c>
      <c r="L1936">
        <v>0</v>
      </c>
    </row>
    <row r="1937" spans="1:12" x14ac:dyDescent="0.25">
      <c r="A1937">
        <v>1936</v>
      </c>
      <c r="B1937" t="s">
        <v>3901</v>
      </c>
      <c r="C1937">
        <v>0</v>
      </c>
      <c r="J1937">
        <v>1936</v>
      </c>
      <c r="K1937" t="s">
        <v>3901</v>
      </c>
      <c r="L1937">
        <v>0</v>
      </c>
    </row>
    <row r="1938" spans="1:12" x14ac:dyDescent="0.25">
      <c r="A1938">
        <v>1937</v>
      </c>
      <c r="B1938" t="s">
        <v>3902</v>
      </c>
      <c r="C1938">
        <v>0</v>
      </c>
      <c r="J1938">
        <v>1937</v>
      </c>
      <c r="K1938" t="s">
        <v>3902</v>
      </c>
      <c r="L1938">
        <v>0</v>
      </c>
    </row>
    <row r="1939" spans="1:12" x14ac:dyDescent="0.25">
      <c r="A1939">
        <v>1938</v>
      </c>
      <c r="B1939" t="s">
        <v>3903</v>
      </c>
      <c r="C1939">
        <v>0</v>
      </c>
      <c r="J1939">
        <v>1938</v>
      </c>
      <c r="K1939" t="s">
        <v>3903</v>
      </c>
      <c r="L1939">
        <v>0</v>
      </c>
    </row>
    <row r="1940" spans="1:12" x14ac:dyDescent="0.25">
      <c r="A1940">
        <v>1939</v>
      </c>
      <c r="B1940" t="s">
        <v>3904</v>
      </c>
      <c r="C1940">
        <v>0</v>
      </c>
      <c r="J1940">
        <v>1939</v>
      </c>
      <c r="K1940" t="s">
        <v>3904</v>
      </c>
      <c r="L1940">
        <v>0</v>
      </c>
    </row>
    <row r="1941" spans="1:12" x14ac:dyDescent="0.25">
      <c r="A1941">
        <v>1940</v>
      </c>
      <c r="B1941" t="s">
        <v>3905</v>
      </c>
      <c r="C1941">
        <v>0</v>
      </c>
      <c r="J1941">
        <v>1940</v>
      </c>
      <c r="K1941" t="s">
        <v>3905</v>
      </c>
      <c r="L1941">
        <v>0</v>
      </c>
    </row>
    <row r="1942" spans="1:12" x14ac:dyDescent="0.25">
      <c r="A1942">
        <v>1941</v>
      </c>
      <c r="B1942" t="s">
        <v>3906</v>
      </c>
      <c r="C1942">
        <v>0</v>
      </c>
      <c r="J1942">
        <v>1941</v>
      </c>
      <c r="K1942" t="s">
        <v>3906</v>
      </c>
      <c r="L1942">
        <v>0</v>
      </c>
    </row>
    <row r="1943" spans="1:12" x14ac:dyDescent="0.25">
      <c r="A1943">
        <v>1942</v>
      </c>
      <c r="B1943" t="s">
        <v>3907</v>
      </c>
      <c r="C1943">
        <v>0</v>
      </c>
      <c r="J1943">
        <v>1942</v>
      </c>
      <c r="K1943" t="s">
        <v>3907</v>
      </c>
      <c r="L1943">
        <v>0</v>
      </c>
    </row>
    <row r="1944" spans="1:12" x14ac:dyDescent="0.25">
      <c r="A1944">
        <v>1943</v>
      </c>
      <c r="B1944" t="s">
        <v>3908</v>
      </c>
      <c r="C1944">
        <v>0</v>
      </c>
      <c r="J1944">
        <v>1943</v>
      </c>
      <c r="K1944" t="s">
        <v>3908</v>
      </c>
      <c r="L1944">
        <v>0</v>
      </c>
    </row>
    <row r="1945" spans="1:12" x14ac:dyDescent="0.25">
      <c r="A1945">
        <v>1944</v>
      </c>
      <c r="B1945" t="s">
        <v>3909</v>
      </c>
      <c r="C1945">
        <v>0</v>
      </c>
      <c r="J1945">
        <v>1944</v>
      </c>
      <c r="K1945" t="s">
        <v>3909</v>
      </c>
      <c r="L1945">
        <v>0</v>
      </c>
    </row>
    <row r="1946" spans="1:12" x14ac:dyDescent="0.25">
      <c r="A1946">
        <v>1945</v>
      </c>
      <c r="B1946" t="s">
        <v>3910</v>
      </c>
      <c r="C1946">
        <v>0</v>
      </c>
      <c r="J1946">
        <v>1945</v>
      </c>
      <c r="K1946" t="s">
        <v>3910</v>
      </c>
      <c r="L1946">
        <v>0</v>
      </c>
    </row>
    <row r="1947" spans="1:12" x14ac:dyDescent="0.25">
      <c r="A1947">
        <v>1946</v>
      </c>
      <c r="B1947" t="s">
        <v>3911</v>
      </c>
      <c r="C1947">
        <v>0</v>
      </c>
      <c r="J1947">
        <v>1946</v>
      </c>
      <c r="K1947" t="s">
        <v>3911</v>
      </c>
      <c r="L1947">
        <v>0</v>
      </c>
    </row>
    <row r="1948" spans="1:12" x14ac:dyDescent="0.25">
      <c r="A1948">
        <v>1947</v>
      </c>
      <c r="B1948" t="s">
        <v>3912</v>
      </c>
      <c r="C1948">
        <v>0</v>
      </c>
      <c r="J1948">
        <v>1947</v>
      </c>
      <c r="K1948" t="s">
        <v>3912</v>
      </c>
      <c r="L1948">
        <v>0</v>
      </c>
    </row>
    <row r="1949" spans="1:12" x14ac:dyDescent="0.25">
      <c r="A1949">
        <v>1948</v>
      </c>
      <c r="B1949" t="s">
        <v>3913</v>
      </c>
      <c r="C1949">
        <v>0</v>
      </c>
      <c r="J1949">
        <v>1948</v>
      </c>
      <c r="K1949" t="s">
        <v>3913</v>
      </c>
      <c r="L1949">
        <v>0</v>
      </c>
    </row>
    <row r="1950" spans="1:12" x14ac:dyDescent="0.25">
      <c r="A1950">
        <v>1949</v>
      </c>
      <c r="B1950" t="s">
        <v>3914</v>
      </c>
      <c r="C1950">
        <v>0</v>
      </c>
      <c r="J1950">
        <v>1949</v>
      </c>
      <c r="K1950" t="s">
        <v>3914</v>
      </c>
      <c r="L1950">
        <v>0</v>
      </c>
    </row>
    <row r="1951" spans="1:12" x14ac:dyDescent="0.25">
      <c r="A1951">
        <v>1950</v>
      </c>
      <c r="B1951" t="s">
        <v>3915</v>
      </c>
      <c r="C1951">
        <v>0</v>
      </c>
      <c r="J1951">
        <v>1950</v>
      </c>
      <c r="K1951" t="s">
        <v>3915</v>
      </c>
      <c r="L1951">
        <v>0</v>
      </c>
    </row>
    <row r="1952" spans="1:12" x14ac:dyDescent="0.25">
      <c r="A1952">
        <v>1951</v>
      </c>
      <c r="B1952" t="s">
        <v>3916</v>
      </c>
      <c r="C1952">
        <v>0</v>
      </c>
      <c r="J1952">
        <v>1951</v>
      </c>
      <c r="K1952" t="s">
        <v>3916</v>
      </c>
      <c r="L1952">
        <v>0</v>
      </c>
    </row>
    <row r="1953" spans="1:12" x14ac:dyDescent="0.25">
      <c r="A1953">
        <v>1952</v>
      </c>
      <c r="B1953" t="s">
        <v>3917</v>
      </c>
      <c r="C1953">
        <v>0</v>
      </c>
      <c r="J1953">
        <v>1952</v>
      </c>
      <c r="K1953" t="s">
        <v>3917</v>
      </c>
      <c r="L1953">
        <v>0</v>
      </c>
    </row>
    <row r="1954" spans="1:12" x14ac:dyDescent="0.25">
      <c r="A1954">
        <v>1953</v>
      </c>
      <c r="B1954" t="s">
        <v>3918</v>
      </c>
      <c r="C1954">
        <v>0</v>
      </c>
      <c r="J1954">
        <v>1953</v>
      </c>
      <c r="K1954" t="s">
        <v>3918</v>
      </c>
      <c r="L1954">
        <v>0</v>
      </c>
    </row>
    <row r="1955" spans="1:12" x14ac:dyDescent="0.25">
      <c r="A1955">
        <v>1954</v>
      </c>
      <c r="B1955" t="s">
        <v>3919</v>
      </c>
      <c r="C1955">
        <v>0</v>
      </c>
      <c r="J1955">
        <v>1954</v>
      </c>
      <c r="K1955" t="s">
        <v>3919</v>
      </c>
      <c r="L1955">
        <v>0</v>
      </c>
    </row>
    <row r="1956" spans="1:12" x14ac:dyDescent="0.25">
      <c r="A1956">
        <v>1955</v>
      </c>
      <c r="B1956" t="s">
        <v>3920</v>
      </c>
      <c r="C1956">
        <v>0</v>
      </c>
      <c r="J1956">
        <v>1955</v>
      </c>
      <c r="K1956" t="s">
        <v>3920</v>
      </c>
      <c r="L1956">
        <v>0</v>
      </c>
    </row>
    <row r="1957" spans="1:12" x14ac:dyDescent="0.25">
      <c r="A1957">
        <v>1956</v>
      </c>
      <c r="B1957" t="s">
        <v>3921</v>
      </c>
      <c r="C1957">
        <v>0</v>
      </c>
      <c r="J1957">
        <v>1956</v>
      </c>
      <c r="K1957" t="s">
        <v>3921</v>
      </c>
      <c r="L1957">
        <v>0</v>
      </c>
    </row>
    <row r="1958" spans="1:12" x14ac:dyDescent="0.25">
      <c r="A1958">
        <v>1957</v>
      </c>
      <c r="B1958" t="s">
        <v>3922</v>
      </c>
      <c r="C1958">
        <v>0</v>
      </c>
      <c r="J1958">
        <v>1957</v>
      </c>
      <c r="K1958" t="s">
        <v>3922</v>
      </c>
      <c r="L1958">
        <v>0</v>
      </c>
    </row>
    <row r="1959" spans="1:12" x14ac:dyDescent="0.25">
      <c r="A1959">
        <v>1958</v>
      </c>
      <c r="B1959" t="s">
        <v>3923</v>
      </c>
      <c r="C1959">
        <v>0</v>
      </c>
      <c r="J1959">
        <v>1958</v>
      </c>
      <c r="K1959" t="s">
        <v>3923</v>
      </c>
      <c r="L1959">
        <v>0</v>
      </c>
    </row>
    <row r="1960" spans="1:12" x14ac:dyDescent="0.25">
      <c r="A1960">
        <v>1959</v>
      </c>
      <c r="B1960" t="s">
        <v>3924</v>
      </c>
      <c r="C1960">
        <v>0</v>
      </c>
      <c r="J1960">
        <v>1959</v>
      </c>
      <c r="K1960" t="s">
        <v>3924</v>
      </c>
      <c r="L1960">
        <v>0</v>
      </c>
    </row>
    <row r="1961" spans="1:12" x14ac:dyDescent="0.25">
      <c r="A1961">
        <v>1960</v>
      </c>
      <c r="B1961" t="s">
        <v>3925</v>
      </c>
      <c r="C1961">
        <v>0</v>
      </c>
      <c r="J1961">
        <v>1960</v>
      </c>
      <c r="K1961" t="s">
        <v>3925</v>
      </c>
      <c r="L1961">
        <v>0</v>
      </c>
    </row>
    <row r="1962" spans="1:12" x14ac:dyDescent="0.25">
      <c r="A1962">
        <v>1961</v>
      </c>
      <c r="B1962" t="s">
        <v>3926</v>
      </c>
      <c r="C1962">
        <v>0</v>
      </c>
      <c r="J1962">
        <v>1961</v>
      </c>
      <c r="K1962" t="s">
        <v>3926</v>
      </c>
      <c r="L1962">
        <v>0</v>
      </c>
    </row>
    <row r="1963" spans="1:12" x14ac:dyDescent="0.25">
      <c r="A1963">
        <v>1962</v>
      </c>
      <c r="B1963" t="s">
        <v>3927</v>
      </c>
      <c r="C1963">
        <v>0</v>
      </c>
      <c r="J1963">
        <v>1962</v>
      </c>
      <c r="K1963" t="s">
        <v>3927</v>
      </c>
      <c r="L1963">
        <v>0</v>
      </c>
    </row>
    <row r="1964" spans="1:12" x14ac:dyDescent="0.25">
      <c r="A1964">
        <v>1963</v>
      </c>
      <c r="B1964" t="s">
        <v>3928</v>
      </c>
      <c r="C1964">
        <v>0</v>
      </c>
      <c r="J1964">
        <v>1963</v>
      </c>
      <c r="K1964" t="s">
        <v>3928</v>
      </c>
      <c r="L1964">
        <v>0</v>
      </c>
    </row>
    <row r="1965" spans="1:12" x14ac:dyDescent="0.25">
      <c r="A1965">
        <v>1964</v>
      </c>
      <c r="B1965" t="s">
        <v>3929</v>
      </c>
      <c r="C1965">
        <v>0</v>
      </c>
      <c r="J1965">
        <v>1964</v>
      </c>
      <c r="K1965" t="s">
        <v>3929</v>
      </c>
      <c r="L1965">
        <v>0</v>
      </c>
    </row>
    <row r="1966" spans="1:12" x14ac:dyDescent="0.25">
      <c r="A1966">
        <v>1965</v>
      </c>
      <c r="B1966" t="s">
        <v>3930</v>
      </c>
      <c r="C1966">
        <v>0</v>
      </c>
      <c r="J1966">
        <v>1965</v>
      </c>
      <c r="K1966" t="s">
        <v>3930</v>
      </c>
      <c r="L1966">
        <v>0</v>
      </c>
    </row>
    <row r="1967" spans="1:12" x14ac:dyDescent="0.25">
      <c r="A1967">
        <v>1966</v>
      </c>
      <c r="B1967" t="s">
        <v>3931</v>
      </c>
      <c r="C1967">
        <v>0</v>
      </c>
      <c r="J1967">
        <v>1966</v>
      </c>
      <c r="K1967" t="s">
        <v>3931</v>
      </c>
      <c r="L1967">
        <v>0</v>
      </c>
    </row>
    <row r="1968" spans="1:12" x14ac:dyDescent="0.25">
      <c r="A1968">
        <v>1967</v>
      </c>
      <c r="B1968" t="s">
        <v>3932</v>
      </c>
      <c r="C1968">
        <v>0</v>
      </c>
      <c r="J1968">
        <v>1967</v>
      </c>
      <c r="K1968" t="s">
        <v>3932</v>
      </c>
      <c r="L1968">
        <v>0</v>
      </c>
    </row>
    <row r="1969" spans="1:12" x14ac:dyDescent="0.25">
      <c r="A1969">
        <v>1968</v>
      </c>
      <c r="B1969" t="s">
        <v>3933</v>
      </c>
      <c r="C1969">
        <v>0</v>
      </c>
      <c r="J1969">
        <v>1968</v>
      </c>
      <c r="K1969" t="s">
        <v>3933</v>
      </c>
      <c r="L1969">
        <v>0</v>
      </c>
    </row>
    <row r="1970" spans="1:12" x14ac:dyDescent="0.25">
      <c r="A1970">
        <v>1969</v>
      </c>
      <c r="B1970" t="s">
        <v>3934</v>
      </c>
      <c r="C1970">
        <v>0</v>
      </c>
      <c r="J1970">
        <v>1969</v>
      </c>
      <c r="K1970" t="s">
        <v>3934</v>
      </c>
      <c r="L1970">
        <v>0</v>
      </c>
    </row>
    <row r="1971" spans="1:12" x14ac:dyDescent="0.25">
      <c r="A1971">
        <v>1970</v>
      </c>
      <c r="B1971" t="s">
        <v>3935</v>
      </c>
      <c r="C1971">
        <v>0</v>
      </c>
      <c r="J1971">
        <v>1970</v>
      </c>
      <c r="K1971" t="s">
        <v>3935</v>
      </c>
      <c r="L1971">
        <v>0</v>
      </c>
    </row>
    <row r="1972" spans="1:12" x14ac:dyDescent="0.25">
      <c r="A1972">
        <v>1971</v>
      </c>
      <c r="B1972" t="s">
        <v>3936</v>
      </c>
      <c r="C1972">
        <v>0</v>
      </c>
      <c r="J1972">
        <v>1971</v>
      </c>
      <c r="K1972" t="s">
        <v>3936</v>
      </c>
      <c r="L1972">
        <v>0</v>
      </c>
    </row>
    <row r="1973" spans="1:12" x14ac:dyDescent="0.25">
      <c r="A1973">
        <v>1972</v>
      </c>
      <c r="B1973" t="s">
        <v>3937</v>
      </c>
      <c r="C1973">
        <v>0</v>
      </c>
      <c r="J1973">
        <v>1972</v>
      </c>
      <c r="K1973" t="s">
        <v>3937</v>
      </c>
      <c r="L1973">
        <v>0</v>
      </c>
    </row>
    <row r="1974" spans="1:12" x14ac:dyDescent="0.25">
      <c r="A1974">
        <v>1973</v>
      </c>
      <c r="B1974" t="s">
        <v>3938</v>
      </c>
      <c r="C1974">
        <v>0</v>
      </c>
      <c r="J1974">
        <v>1973</v>
      </c>
      <c r="K1974" t="s">
        <v>3938</v>
      </c>
      <c r="L1974">
        <v>0</v>
      </c>
    </row>
    <row r="1975" spans="1:12" x14ac:dyDescent="0.25">
      <c r="A1975">
        <v>1974</v>
      </c>
      <c r="B1975" t="s">
        <v>3939</v>
      </c>
      <c r="C1975">
        <v>0</v>
      </c>
      <c r="J1975">
        <v>1974</v>
      </c>
      <c r="K1975" t="s">
        <v>3939</v>
      </c>
      <c r="L1975">
        <v>0</v>
      </c>
    </row>
    <row r="1976" spans="1:12" x14ac:dyDescent="0.25">
      <c r="A1976">
        <v>1975</v>
      </c>
      <c r="B1976" t="s">
        <v>3940</v>
      </c>
      <c r="C1976">
        <v>0</v>
      </c>
      <c r="J1976">
        <v>1975</v>
      </c>
      <c r="K1976" t="s">
        <v>3940</v>
      </c>
      <c r="L1976">
        <v>0</v>
      </c>
    </row>
    <row r="1977" spans="1:12" x14ac:dyDescent="0.25">
      <c r="A1977">
        <v>1976</v>
      </c>
      <c r="B1977" t="s">
        <v>3941</v>
      </c>
      <c r="C1977">
        <v>0</v>
      </c>
      <c r="J1977">
        <v>1976</v>
      </c>
      <c r="K1977" t="s">
        <v>3941</v>
      </c>
      <c r="L1977">
        <v>0</v>
      </c>
    </row>
    <row r="1978" spans="1:12" x14ac:dyDescent="0.25">
      <c r="A1978">
        <v>1977</v>
      </c>
      <c r="B1978" t="s">
        <v>3942</v>
      </c>
      <c r="C1978">
        <v>0</v>
      </c>
      <c r="J1978">
        <v>1977</v>
      </c>
      <c r="K1978" t="s">
        <v>3942</v>
      </c>
      <c r="L1978">
        <v>0</v>
      </c>
    </row>
    <row r="1979" spans="1:12" x14ac:dyDescent="0.25">
      <c r="A1979">
        <v>1978</v>
      </c>
      <c r="B1979" t="s">
        <v>3943</v>
      </c>
      <c r="C1979">
        <v>0</v>
      </c>
      <c r="J1979">
        <v>1978</v>
      </c>
      <c r="K1979" t="s">
        <v>3943</v>
      </c>
      <c r="L1979">
        <v>0</v>
      </c>
    </row>
    <row r="1980" spans="1:12" x14ac:dyDescent="0.25">
      <c r="A1980">
        <v>1979</v>
      </c>
      <c r="B1980" t="s">
        <v>3944</v>
      </c>
      <c r="C1980">
        <v>0</v>
      </c>
      <c r="J1980">
        <v>1979</v>
      </c>
      <c r="K1980" t="s">
        <v>3944</v>
      </c>
      <c r="L1980">
        <v>0</v>
      </c>
    </row>
    <row r="1981" spans="1:12" x14ac:dyDescent="0.25">
      <c r="A1981">
        <v>1980</v>
      </c>
      <c r="B1981" t="s">
        <v>3945</v>
      </c>
      <c r="C1981">
        <v>0</v>
      </c>
      <c r="J1981">
        <v>1980</v>
      </c>
      <c r="K1981" t="s">
        <v>3945</v>
      </c>
      <c r="L1981">
        <v>0</v>
      </c>
    </row>
    <row r="1982" spans="1:12" x14ac:dyDescent="0.25">
      <c r="A1982">
        <v>1981</v>
      </c>
      <c r="B1982" t="s">
        <v>3946</v>
      </c>
      <c r="C1982">
        <v>0</v>
      </c>
      <c r="J1982">
        <v>1981</v>
      </c>
      <c r="K1982" t="s">
        <v>3946</v>
      </c>
      <c r="L1982">
        <v>0</v>
      </c>
    </row>
    <row r="1983" spans="1:12" x14ac:dyDescent="0.25">
      <c r="A1983">
        <v>1982</v>
      </c>
      <c r="B1983" t="s">
        <v>3947</v>
      </c>
      <c r="C1983">
        <v>0</v>
      </c>
      <c r="J1983">
        <v>1982</v>
      </c>
      <c r="K1983" t="s">
        <v>3947</v>
      </c>
      <c r="L1983">
        <v>0</v>
      </c>
    </row>
    <row r="1984" spans="1:12" x14ac:dyDescent="0.25">
      <c r="A1984">
        <v>1983</v>
      </c>
      <c r="B1984" t="s">
        <v>3948</v>
      </c>
      <c r="C1984">
        <v>0</v>
      </c>
      <c r="J1984">
        <v>1983</v>
      </c>
      <c r="K1984" t="s">
        <v>3948</v>
      </c>
      <c r="L1984">
        <v>0</v>
      </c>
    </row>
    <row r="1985" spans="1:12" x14ac:dyDescent="0.25">
      <c r="A1985">
        <v>1984</v>
      </c>
      <c r="B1985" t="s">
        <v>3949</v>
      </c>
      <c r="C1985">
        <v>0</v>
      </c>
      <c r="J1985">
        <v>1984</v>
      </c>
      <c r="K1985" t="s">
        <v>3949</v>
      </c>
      <c r="L1985">
        <v>0</v>
      </c>
    </row>
    <row r="1986" spans="1:12" x14ac:dyDescent="0.25">
      <c r="A1986">
        <v>1985</v>
      </c>
      <c r="B1986" t="s">
        <v>3950</v>
      </c>
      <c r="C1986">
        <v>0</v>
      </c>
      <c r="J1986">
        <v>1985</v>
      </c>
      <c r="K1986" t="s">
        <v>3950</v>
      </c>
      <c r="L1986">
        <v>0</v>
      </c>
    </row>
    <row r="1987" spans="1:12" x14ac:dyDescent="0.25">
      <c r="A1987">
        <v>1986</v>
      </c>
      <c r="B1987" t="s">
        <v>3951</v>
      </c>
      <c r="C1987">
        <v>0</v>
      </c>
      <c r="J1987">
        <v>1986</v>
      </c>
      <c r="K1987" t="s">
        <v>3951</v>
      </c>
      <c r="L1987">
        <v>0</v>
      </c>
    </row>
    <row r="1988" spans="1:12" x14ac:dyDescent="0.25">
      <c r="A1988">
        <v>1987</v>
      </c>
      <c r="B1988" t="s">
        <v>3952</v>
      </c>
      <c r="C1988">
        <v>0</v>
      </c>
      <c r="J1988">
        <v>1987</v>
      </c>
      <c r="K1988" t="s">
        <v>3952</v>
      </c>
      <c r="L1988">
        <v>0</v>
      </c>
    </row>
    <row r="1989" spans="1:12" x14ac:dyDescent="0.25">
      <c r="A1989">
        <v>1988</v>
      </c>
      <c r="B1989" t="s">
        <v>3953</v>
      </c>
      <c r="C1989">
        <v>0</v>
      </c>
      <c r="J1989">
        <v>1988</v>
      </c>
      <c r="K1989" t="s">
        <v>3953</v>
      </c>
      <c r="L1989">
        <v>0</v>
      </c>
    </row>
    <row r="1990" spans="1:12" x14ac:dyDescent="0.25">
      <c r="A1990">
        <v>1989</v>
      </c>
      <c r="B1990" t="s">
        <v>3954</v>
      </c>
      <c r="C1990">
        <v>0</v>
      </c>
      <c r="J1990">
        <v>1989</v>
      </c>
      <c r="K1990" t="s">
        <v>3954</v>
      </c>
      <c r="L1990">
        <v>0</v>
      </c>
    </row>
    <row r="1991" spans="1:12" x14ac:dyDescent="0.25">
      <c r="A1991">
        <v>1990</v>
      </c>
      <c r="B1991" t="s">
        <v>3955</v>
      </c>
      <c r="C1991">
        <v>0</v>
      </c>
      <c r="J1991">
        <v>1990</v>
      </c>
      <c r="K1991" t="s">
        <v>3955</v>
      </c>
      <c r="L1991">
        <v>0</v>
      </c>
    </row>
    <row r="1992" spans="1:12" x14ac:dyDescent="0.25">
      <c r="A1992">
        <v>1991</v>
      </c>
      <c r="B1992" t="s">
        <v>3956</v>
      </c>
      <c r="C1992">
        <v>0</v>
      </c>
      <c r="J1992">
        <v>1991</v>
      </c>
      <c r="K1992" t="s">
        <v>3956</v>
      </c>
      <c r="L1992">
        <v>0</v>
      </c>
    </row>
    <row r="1993" spans="1:12" x14ac:dyDescent="0.25">
      <c r="A1993">
        <v>1992</v>
      </c>
      <c r="B1993" t="s">
        <v>3957</v>
      </c>
      <c r="C1993">
        <v>0</v>
      </c>
      <c r="J1993">
        <v>1992</v>
      </c>
      <c r="K1993" t="s">
        <v>3957</v>
      </c>
      <c r="L1993">
        <v>0</v>
      </c>
    </row>
    <row r="1994" spans="1:12" x14ac:dyDescent="0.25">
      <c r="A1994">
        <v>1993</v>
      </c>
      <c r="B1994" t="s">
        <v>3958</v>
      </c>
      <c r="C1994">
        <v>0</v>
      </c>
      <c r="J1994">
        <v>1993</v>
      </c>
      <c r="K1994" t="s">
        <v>3958</v>
      </c>
      <c r="L1994">
        <v>0</v>
      </c>
    </row>
    <row r="1995" spans="1:12" x14ac:dyDescent="0.25">
      <c r="A1995">
        <v>1994</v>
      </c>
      <c r="B1995" t="s">
        <v>3959</v>
      </c>
      <c r="C1995">
        <v>0</v>
      </c>
      <c r="J1995">
        <v>1994</v>
      </c>
      <c r="K1995" t="s">
        <v>3959</v>
      </c>
      <c r="L1995">
        <v>0</v>
      </c>
    </row>
    <row r="1996" spans="1:12" x14ac:dyDescent="0.25">
      <c r="A1996">
        <v>1995</v>
      </c>
      <c r="B1996" t="s">
        <v>3960</v>
      </c>
      <c r="C1996">
        <v>0</v>
      </c>
      <c r="J1996">
        <v>1995</v>
      </c>
      <c r="K1996" t="s">
        <v>3960</v>
      </c>
      <c r="L1996">
        <v>0</v>
      </c>
    </row>
    <row r="1997" spans="1:12" x14ac:dyDescent="0.25">
      <c r="A1997">
        <v>1996</v>
      </c>
      <c r="B1997" t="s">
        <v>3961</v>
      </c>
      <c r="C1997">
        <v>0</v>
      </c>
      <c r="J1997">
        <v>1996</v>
      </c>
      <c r="K1997" t="s">
        <v>3961</v>
      </c>
      <c r="L1997">
        <v>0</v>
      </c>
    </row>
    <row r="1998" spans="1:12" x14ac:dyDescent="0.25">
      <c r="A1998">
        <v>1997</v>
      </c>
      <c r="B1998" t="s">
        <v>3962</v>
      </c>
      <c r="C1998">
        <v>0</v>
      </c>
      <c r="J1998">
        <v>1997</v>
      </c>
      <c r="K1998" t="s">
        <v>3962</v>
      </c>
      <c r="L1998">
        <v>0</v>
      </c>
    </row>
    <row r="1999" spans="1:12" x14ac:dyDescent="0.25">
      <c r="A1999">
        <v>1998</v>
      </c>
      <c r="B1999" t="s">
        <v>3963</v>
      </c>
      <c r="C1999">
        <v>0</v>
      </c>
      <c r="J1999">
        <v>1998</v>
      </c>
      <c r="K1999" t="s">
        <v>3963</v>
      </c>
      <c r="L1999">
        <v>0</v>
      </c>
    </row>
    <row r="2000" spans="1:12" x14ac:dyDescent="0.25">
      <c r="A2000">
        <v>1999</v>
      </c>
      <c r="B2000" t="s">
        <v>3964</v>
      </c>
      <c r="C2000">
        <v>0</v>
      </c>
      <c r="J2000">
        <v>1999</v>
      </c>
      <c r="K2000" t="s">
        <v>3964</v>
      </c>
      <c r="L2000">
        <v>0</v>
      </c>
    </row>
    <row r="2001" spans="1:12" x14ac:dyDescent="0.25">
      <c r="A2001">
        <v>2000</v>
      </c>
      <c r="B2001" t="s">
        <v>3965</v>
      </c>
      <c r="C2001">
        <v>0</v>
      </c>
      <c r="J2001">
        <v>2000</v>
      </c>
      <c r="K2001" t="s">
        <v>3965</v>
      </c>
      <c r="L2001">
        <v>0</v>
      </c>
    </row>
    <row r="2002" spans="1:12" x14ac:dyDescent="0.25">
      <c r="A2002">
        <v>2001</v>
      </c>
      <c r="B2002" t="s">
        <v>3966</v>
      </c>
      <c r="C2002">
        <v>0</v>
      </c>
      <c r="J2002">
        <v>2001</v>
      </c>
      <c r="K2002" t="s">
        <v>3966</v>
      </c>
      <c r="L2002">
        <v>0</v>
      </c>
    </row>
    <row r="2003" spans="1:12" x14ac:dyDescent="0.25">
      <c r="A2003">
        <v>2002</v>
      </c>
      <c r="B2003" t="s">
        <v>3967</v>
      </c>
      <c r="C2003">
        <v>0</v>
      </c>
      <c r="J2003">
        <v>2002</v>
      </c>
      <c r="K2003" t="s">
        <v>3967</v>
      </c>
      <c r="L2003">
        <v>0</v>
      </c>
    </row>
    <row r="2004" spans="1:12" x14ac:dyDescent="0.25">
      <c r="A2004">
        <v>2003</v>
      </c>
      <c r="B2004" t="s">
        <v>3968</v>
      </c>
      <c r="C2004">
        <v>0</v>
      </c>
      <c r="J2004">
        <v>2003</v>
      </c>
      <c r="K2004" t="s">
        <v>3968</v>
      </c>
      <c r="L2004">
        <v>0</v>
      </c>
    </row>
    <row r="2005" spans="1:12" x14ac:dyDescent="0.25">
      <c r="A2005">
        <v>2004</v>
      </c>
      <c r="B2005" t="s">
        <v>3969</v>
      </c>
      <c r="C2005">
        <v>0</v>
      </c>
      <c r="J2005">
        <v>2004</v>
      </c>
      <c r="K2005" t="s">
        <v>3969</v>
      </c>
      <c r="L2005">
        <v>0</v>
      </c>
    </row>
    <row r="2006" spans="1:12" x14ac:dyDescent="0.25">
      <c r="A2006">
        <v>2005</v>
      </c>
      <c r="B2006" t="s">
        <v>3970</v>
      </c>
      <c r="C2006">
        <v>0</v>
      </c>
      <c r="J2006">
        <v>2005</v>
      </c>
      <c r="K2006" t="s">
        <v>3970</v>
      </c>
      <c r="L2006">
        <v>0</v>
      </c>
    </row>
    <row r="2007" spans="1:12" x14ac:dyDescent="0.25">
      <c r="A2007">
        <v>2006</v>
      </c>
      <c r="B2007" t="s">
        <v>3971</v>
      </c>
      <c r="C2007">
        <v>0</v>
      </c>
      <c r="J2007">
        <v>2006</v>
      </c>
      <c r="K2007" t="s">
        <v>3971</v>
      </c>
      <c r="L2007">
        <v>0</v>
      </c>
    </row>
    <row r="2008" spans="1:12" x14ac:dyDescent="0.25">
      <c r="A2008">
        <v>2007</v>
      </c>
      <c r="B2008" t="s">
        <v>3972</v>
      </c>
      <c r="C2008">
        <v>0</v>
      </c>
      <c r="J2008">
        <v>2007</v>
      </c>
      <c r="K2008" t="s">
        <v>3972</v>
      </c>
      <c r="L2008">
        <v>0</v>
      </c>
    </row>
    <row r="2009" spans="1:12" x14ac:dyDescent="0.25">
      <c r="A2009">
        <v>2008</v>
      </c>
      <c r="B2009" t="s">
        <v>3973</v>
      </c>
      <c r="C2009">
        <v>0</v>
      </c>
      <c r="J2009">
        <v>2008</v>
      </c>
      <c r="K2009" t="s">
        <v>3973</v>
      </c>
      <c r="L2009">
        <v>0</v>
      </c>
    </row>
    <row r="2010" spans="1:12" x14ac:dyDescent="0.25">
      <c r="A2010">
        <v>2009</v>
      </c>
      <c r="B2010" t="s">
        <v>3974</v>
      </c>
      <c r="C2010">
        <v>0</v>
      </c>
      <c r="J2010">
        <v>2009</v>
      </c>
      <c r="K2010" t="s">
        <v>3974</v>
      </c>
      <c r="L2010">
        <v>0</v>
      </c>
    </row>
    <row r="2011" spans="1:12" x14ac:dyDescent="0.25">
      <c r="A2011">
        <v>2010</v>
      </c>
      <c r="B2011" t="s">
        <v>3975</v>
      </c>
      <c r="C2011">
        <v>0</v>
      </c>
      <c r="J2011">
        <v>2010</v>
      </c>
      <c r="K2011" t="s">
        <v>3975</v>
      </c>
      <c r="L2011">
        <v>0</v>
      </c>
    </row>
    <row r="2012" spans="1:12" x14ac:dyDescent="0.25">
      <c r="A2012">
        <v>2011</v>
      </c>
      <c r="B2012" t="s">
        <v>3976</v>
      </c>
      <c r="C2012">
        <v>0</v>
      </c>
      <c r="J2012">
        <v>2011</v>
      </c>
      <c r="K2012" t="s">
        <v>3976</v>
      </c>
      <c r="L2012">
        <v>0</v>
      </c>
    </row>
    <row r="2013" spans="1:12" x14ac:dyDescent="0.25">
      <c r="A2013">
        <v>2012</v>
      </c>
      <c r="B2013" t="s">
        <v>3977</v>
      </c>
      <c r="C2013">
        <v>0</v>
      </c>
      <c r="J2013">
        <v>2012</v>
      </c>
      <c r="K2013" t="s">
        <v>3977</v>
      </c>
      <c r="L2013">
        <v>0</v>
      </c>
    </row>
    <row r="2014" spans="1:12" x14ac:dyDescent="0.25">
      <c r="A2014">
        <v>2013</v>
      </c>
      <c r="B2014" t="s">
        <v>3978</v>
      </c>
      <c r="C2014">
        <v>0</v>
      </c>
      <c r="J2014">
        <v>2013</v>
      </c>
      <c r="K2014" t="s">
        <v>3978</v>
      </c>
      <c r="L2014">
        <v>0</v>
      </c>
    </row>
    <row r="2015" spans="1:12" x14ac:dyDescent="0.25">
      <c r="A2015">
        <v>2014</v>
      </c>
      <c r="B2015" t="s">
        <v>3979</v>
      </c>
      <c r="C2015">
        <v>0</v>
      </c>
      <c r="J2015">
        <v>2014</v>
      </c>
      <c r="K2015" t="s">
        <v>3979</v>
      </c>
      <c r="L2015">
        <v>0</v>
      </c>
    </row>
    <row r="2016" spans="1:12" x14ac:dyDescent="0.25">
      <c r="A2016">
        <v>2015</v>
      </c>
      <c r="B2016" t="s">
        <v>3980</v>
      </c>
      <c r="C2016">
        <v>0</v>
      </c>
      <c r="J2016">
        <v>2015</v>
      </c>
      <c r="K2016" t="s">
        <v>3980</v>
      </c>
      <c r="L2016">
        <v>0</v>
      </c>
    </row>
    <row r="2017" spans="1:12" x14ac:dyDescent="0.25">
      <c r="A2017">
        <v>2016</v>
      </c>
      <c r="B2017" t="s">
        <v>3981</v>
      </c>
      <c r="C2017">
        <v>0</v>
      </c>
      <c r="J2017">
        <v>2016</v>
      </c>
      <c r="K2017" t="s">
        <v>3981</v>
      </c>
      <c r="L2017">
        <v>0</v>
      </c>
    </row>
    <row r="2018" spans="1:12" x14ac:dyDescent="0.25">
      <c r="A2018">
        <v>2017</v>
      </c>
      <c r="B2018" t="s">
        <v>3982</v>
      </c>
      <c r="C2018">
        <v>0</v>
      </c>
      <c r="J2018">
        <v>2017</v>
      </c>
      <c r="K2018" t="s">
        <v>3982</v>
      </c>
      <c r="L2018">
        <v>0</v>
      </c>
    </row>
    <row r="2019" spans="1:12" x14ac:dyDescent="0.25">
      <c r="A2019">
        <v>2018</v>
      </c>
      <c r="B2019" t="s">
        <v>3983</v>
      </c>
      <c r="C2019">
        <v>0</v>
      </c>
      <c r="J2019">
        <v>2018</v>
      </c>
      <c r="K2019" t="s">
        <v>3983</v>
      </c>
      <c r="L2019">
        <v>0</v>
      </c>
    </row>
    <row r="2020" spans="1:12" x14ac:dyDescent="0.25">
      <c r="A2020">
        <v>2019</v>
      </c>
      <c r="B2020" t="s">
        <v>3984</v>
      </c>
      <c r="C2020">
        <v>0</v>
      </c>
      <c r="J2020">
        <v>2019</v>
      </c>
      <c r="K2020" t="s">
        <v>3984</v>
      </c>
      <c r="L2020">
        <v>0</v>
      </c>
    </row>
    <row r="2021" spans="1:12" x14ac:dyDescent="0.25">
      <c r="A2021">
        <v>2020</v>
      </c>
      <c r="B2021" t="s">
        <v>3985</v>
      </c>
      <c r="C2021">
        <v>0</v>
      </c>
      <c r="J2021">
        <v>2020</v>
      </c>
      <c r="K2021" t="s">
        <v>3985</v>
      </c>
      <c r="L2021">
        <v>0</v>
      </c>
    </row>
    <row r="2022" spans="1:12" x14ac:dyDescent="0.25">
      <c r="A2022">
        <v>2021</v>
      </c>
      <c r="B2022" t="s">
        <v>3986</v>
      </c>
      <c r="C2022">
        <v>0</v>
      </c>
      <c r="J2022">
        <v>2021</v>
      </c>
      <c r="K2022" t="s">
        <v>3986</v>
      </c>
      <c r="L2022">
        <v>0</v>
      </c>
    </row>
    <row r="2023" spans="1:12" x14ac:dyDescent="0.25">
      <c r="A2023">
        <v>2022</v>
      </c>
      <c r="B2023" t="s">
        <v>3987</v>
      </c>
      <c r="C2023">
        <v>0</v>
      </c>
      <c r="J2023">
        <v>2022</v>
      </c>
      <c r="K2023" t="s">
        <v>3987</v>
      </c>
      <c r="L2023">
        <v>0</v>
      </c>
    </row>
    <row r="2024" spans="1:12" x14ac:dyDescent="0.25">
      <c r="A2024">
        <v>2023</v>
      </c>
      <c r="B2024" t="s">
        <v>3988</v>
      </c>
      <c r="C2024">
        <v>0</v>
      </c>
      <c r="J2024">
        <v>2023</v>
      </c>
      <c r="K2024" t="s">
        <v>3988</v>
      </c>
      <c r="L2024">
        <v>0</v>
      </c>
    </row>
    <row r="2025" spans="1:12" x14ac:dyDescent="0.25">
      <c r="A2025">
        <v>2024</v>
      </c>
      <c r="B2025" t="s">
        <v>3989</v>
      </c>
      <c r="C2025">
        <v>0</v>
      </c>
      <c r="J2025">
        <v>2024</v>
      </c>
      <c r="K2025" t="s">
        <v>3989</v>
      </c>
      <c r="L2025">
        <v>0</v>
      </c>
    </row>
    <row r="2026" spans="1:12" x14ac:dyDescent="0.25">
      <c r="A2026">
        <v>2025</v>
      </c>
      <c r="B2026" t="s">
        <v>3990</v>
      </c>
      <c r="C2026">
        <v>0</v>
      </c>
      <c r="J2026">
        <v>2025</v>
      </c>
      <c r="K2026" t="s">
        <v>3990</v>
      </c>
      <c r="L2026">
        <v>0</v>
      </c>
    </row>
    <row r="2027" spans="1:12" x14ac:dyDescent="0.25">
      <c r="A2027">
        <v>2026</v>
      </c>
      <c r="B2027" t="s">
        <v>3991</v>
      </c>
      <c r="C2027">
        <v>0</v>
      </c>
      <c r="J2027">
        <v>2026</v>
      </c>
      <c r="K2027" t="s">
        <v>3991</v>
      </c>
      <c r="L2027">
        <v>0</v>
      </c>
    </row>
    <row r="2028" spans="1:12" x14ac:dyDescent="0.25">
      <c r="A2028">
        <v>2027</v>
      </c>
      <c r="B2028" t="s">
        <v>3992</v>
      </c>
      <c r="C2028">
        <v>0</v>
      </c>
      <c r="J2028">
        <v>2027</v>
      </c>
      <c r="K2028" t="s">
        <v>3992</v>
      </c>
      <c r="L2028">
        <v>0</v>
      </c>
    </row>
    <row r="2029" spans="1:12" x14ac:dyDescent="0.25">
      <c r="A2029">
        <v>2028</v>
      </c>
      <c r="B2029" t="s">
        <v>3993</v>
      </c>
      <c r="C2029">
        <v>0</v>
      </c>
      <c r="J2029">
        <v>2028</v>
      </c>
      <c r="K2029" t="s">
        <v>3993</v>
      </c>
      <c r="L2029">
        <v>0</v>
      </c>
    </row>
    <row r="2030" spans="1:12" x14ac:dyDescent="0.25">
      <c r="A2030">
        <v>2029</v>
      </c>
      <c r="B2030" t="s">
        <v>3994</v>
      </c>
      <c r="C2030">
        <v>0</v>
      </c>
      <c r="J2030">
        <v>2029</v>
      </c>
      <c r="K2030" t="s">
        <v>3994</v>
      </c>
      <c r="L2030">
        <v>0</v>
      </c>
    </row>
    <row r="2031" spans="1:12" x14ac:dyDescent="0.25">
      <c r="A2031">
        <v>2030</v>
      </c>
      <c r="B2031" t="s">
        <v>3995</v>
      </c>
      <c r="C2031">
        <v>0</v>
      </c>
      <c r="J2031">
        <v>2030</v>
      </c>
      <c r="K2031" t="s">
        <v>3995</v>
      </c>
      <c r="L2031">
        <v>0</v>
      </c>
    </row>
    <row r="2032" spans="1:12" x14ac:dyDescent="0.25">
      <c r="A2032">
        <v>2031</v>
      </c>
      <c r="B2032" t="s">
        <v>3996</v>
      </c>
      <c r="C2032">
        <v>0</v>
      </c>
      <c r="J2032">
        <v>2031</v>
      </c>
      <c r="K2032" t="s">
        <v>3996</v>
      </c>
      <c r="L2032">
        <v>0</v>
      </c>
    </row>
    <row r="2033" spans="1:12" x14ac:dyDescent="0.25">
      <c r="A2033">
        <v>2032</v>
      </c>
      <c r="B2033" t="s">
        <v>3997</v>
      </c>
      <c r="C2033">
        <v>0</v>
      </c>
      <c r="J2033">
        <v>2032</v>
      </c>
      <c r="K2033" t="s">
        <v>3997</v>
      </c>
      <c r="L2033">
        <v>0</v>
      </c>
    </row>
    <row r="2034" spans="1:12" x14ac:dyDescent="0.25">
      <c r="A2034">
        <v>2033</v>
      </c>
      <c r="B2034" t="s">
        <v>3998</v>
      </c>
      <c r="C2034">
        <v>0</v>
      </c>
      <c r="J2034">
        <v>2033</v>
      </c>
      <c r="K2034" t="s">
        <v>3998</v>
      </c>
      <c r="L2034">
        <v>0</v>
      </c>
    </row>
    <row r="2035" spans="1:12" x14ac:dyDescent="0.25">
      <c r="A2035">
        <v>2034</v>
      </c>
      <c r="B2035" t="s">
        <v>3999</v>
      </c>
      <c r="C2035">
        <v>0</v>
      </c>
      <c r="J2035">
        <v>2034</v>
      </c>
      <c r="K2035" t="s">
        <v>3999</v>
      </c>
      <c r="L2035">
        <v>0</v>
      </c>
    </row>
    <row r="2036" spans="1:12" x14ac:dyDescent="0.25">
      <c r="A2036">
        <v>2035</v>
      </c>
      <c r="B2036" t="s">
        <v>4000</v>
      </c>
      <c r="C2036">
        <v>0</v>
      </c>
      <c r="J2036">
        <v>2035</v>
      </c>
      <c r="K2036" t="s">
        <v>4000</v>
      </c>
      <c r="L2036">
        <v>0</v>
      </c>
    </row>
    <row r="2037" spans="1:12" x14ac:dyDescent="0.25">
      <c r="A2037">
        <v>2036</v>
      </c>
      <c r="B2037" t="s">
        <v>4001</v>
      </c>
      <c r="C2037">
        <v>0</v>
      </c>
      <c r="J2037">
        <v>2036</v>
      </c>
      <c r="K2037" t="s">
        <v>4001</v>
      </c>
      <c r="L2037">
        <v>0</v>
      </c>
    </row>
    <row r="2038" spans="1:12" x14ac:dyDescent="0.25">
      <c r="A2038">
        <v>2037</v>
      </c>
      <c r="B2038" t="s">
        <v>4002</v>
      </c>
      <c r="C2038">
        <v>0</v>
      </c>
      <c r="J2038">
        <v>2037</v>
      </c>
      <c r="K2038" t="s">
        <v>4002</v>
      </c>
      <c r="L2038">
        <v>0</v>
      </c>
    </row>
    <row r="2039" spans="1:12" x14ac:dyDescent="0.25">
      <c r="A2039">
        <v>2038</v>
      </c>
      <c r="B2039" t="s">
        <v>4003</v>
      </c>
      <c r="C2039">
        <v>0</v>
      </c>
      <c r="J2039">
        <v>2038</v>
      </c>
      <c r="K2039" t="s">
        <v>4003</v>
      </c>
      <c r="L2039">
        <v>0</v>
      </c>
    </row>
    <row r="2040" spans="1:12" x14ac:dyDescent="0.25">
      <c r="A2040">
        <v>2039</v>
      </c>
      <c r="B2040" t="s">
        <v>4004</v>
      </c>
      <c r="C2040">
        <v>0</v>
      </c>
      <c r="J2040">
        <v>2039</v>
      </c>
      <c r="K2040" t="s">
        <v>4004</v>
      </c>
      <c r="L2040">
        <v>0</v>
      </c>
    </row>
    <row r="2041" spans="1:12" x14ac:dyDescent="0.25">
      <c r="A2041">
        <v>2040</v>
      </c>
      <c r="B2041" t="s">
        <v>4005</v>
      </c>
      <c r="C2041">
        <v>0</v>
      </c>
      <c r="J2041">
        <v>2040</v>
      </c>
      <c r="K2041" t="s">
        <v>4005</v>
      </c>
      <c r="L2041">
        <v>0</v>
      </c>
    </row>
    <row r="2042" spans="1:12" x14ac:dyDescent="0.25">
      <c r="A2042">
        <v>2041</v>
      </c>
      <c r="B2042" t="s">
        <v>4006</v>
      </c>
      <c r="C2042">
        <v>0</v>
      </c>
      <c r="J2042">
        <v>2041</v>
      </c>
      <c r="K2042" t="s">
        <v>4006</v>
      </c>
      <c r="L2042">
        <v>0</v>
      </c>
    </row>
    <row r="2043" spans="1:12" x14ac:dyDescent="0.25">
      <c r="A2043">
        <v>2042</v>
      </c>
      <c r="B2043" t="s">
        <v>4007</v>
      </c>
      <c r="C2043">
        <v>0</v>
      </c>
      <c r="J2043">
        <v>2042</v>
      </c>
      <c r="K2043" t="s">
        <v>4007</v>
      </c>
      <c r="L2043">
        <v>0</v>
      </c>
    </row>
    <row r="2044" spans="1:12" x14ac:dyDescent="0.25">
      <c r="A2044">
        <v>2043</v>
      </c>
      <c r="B2044" t="s">
        <v>4008</v>
      </c>
      <c r="C2044">
        <v>0</v>
      </c>
      <c r="J2044">
        <v>2043</v>
      </c>
      <c r="K2044" t="s">
        <v>4008</v>
      </c>
      <c r="L2044">
        <v>0</v>
      </c>
    </row>
    <row r="2045" spans="1:12" x14ac:dyDescent="0.25">
      <c r="A2045">
        <v>2044</v>
      </c>
      <c r="B2045" t="s">
        <v>4009</v>
      </c>
      <c r="C2045">
        <v>0</v>
      </c>
      <c r="J2045">
        <v>2044</v>
      </c>
      <c r="K2045" t="s">
        <v>4009</v>
      </c>
      <c r="L2045">
        <v>0</v>
      </c>
    </row>
    <row r="2046" spans="1:12" x14ac:dyDescent="0.25">
      <c r="A2046">
        <v>2045</v>
      </c>
      <c r="B2046" t="s">
        <v>4010</v>
      </c>
      <c r="C2046">
        <v>0</v>
      </c>
      <c r="J2046">
        <v>2045</v>
      </c>
      <c r="K2046" t="s">
        <v>4010</v>
      </c>
      <c r="L2046">
        <v>0</v>
      </c>
    </row>
    <row r="2047" spans="1:12" x14ac:dyDescent="0.25">
      <c r="A2047">
        <v>2046</v>
      </c>
      <c r="B2047" t="s">
        <v>4011</v>
      </c>
      <c r="C2047">
        <v>0</v>
      </c>
      <c r="J2047">
        <v>2046</v>
      </c>
      <c r="K2047" t="s">
        <v>4011</v>
      </c>
      <c r="L2047">
        <v>0</v>
      </c>
    </row>
    <row r="2048" spans="1:12" x14ac:dyDescent="0.25">
      <c r="A2048">
        <v>2047</v>
      </c>
      <c r="B2048" t="s">
        <v>4012</v>
      </c>
      <c r="C2048">
        <v>0</v>
      </c>
      <c r="J2048">
        <v>2047</v>
      </c>
      <c r="K2048" t="s">
        <v>4012</v>
      </c>
      <c r="L2048">
        <v>0</v>
      </c>
    </row>
    <row r="2049" spans="1:12" x14ac:dyDescent="0.25">
      <c r="A2049">
        <v>2048</v>
      </c>
      <c r="B2049" t="s">
        <v>4013</v>
      </c>
      <c r="C2049">
        <v>0</v>
      </c>
      <c r="J2049">
        <v>2048</v>
      </c>
      <c r="K2049" t="s">
        <v>4013</v>
      </c>
      <c r="L2049">
        <v>0</v>
      </c>
    </row>
    <row r="2050" spans="1:12" x14ac:dyDescent="0.25">
      <c r="A2050">
        <v>2049</v>
      </c>
      <c r="B2050" t="s">
        <v>4014</v>
      </c>
      <c r="C2050">
        <v>0</v>
      </c>
      <c r="J2050">
        <v>2049</v>
      </c>
      <c r="K2050" t="s">
        <v>4014</v>
      </c>
      <c r="L2050">
        <v>0</v>
      </c>
    </row>
    <row r="2051" spans="1:12" x14ac:dyDescent="0.25">
      <c r="A2051">
        <v>2050</v>
      </c>
      <c r="B2051" t="s">
        <v>4015</v>
      </c>
      <c r="C2051">
        <v>0</v>
      </c>
      <c r="J2051">
        <v>2050</v>
      </c>
      <c r="K2051" t="s">
        <v>4015</v>
      </c>
      <c r="L2051">
        <v>0</v>
      </c>
    </row>
    <row r="2052" spans="1:12" x14ac:dyDescent="0.25">
      <c r="A2052">
        <v>2051</v>
      </c>
      <c r="B2052" t="s">
        <v>4016</v>
      </c>
      <c r="C2052">
        <v>0</v>
      </c>
      <c r="J2052">
        <v>2051</v>
      </c>
      <c r="K2052" t="s">
        <v>4016</v>
      </c>
      <c r="L2052">
        <v>0</v>
      </c>
    </row>
    <row r="2053" spans="1:12" x14ac:dyDescent="0.25">
      <c r="A2053">
        <v>2052</v>
      </c>
      <c r="B2053" t="s">
        <v>4017</v>
      </c>
      <c r="C2053">
        <v>0</v>
      </c>
      <c r="J2053">
        <v>2052</v>
      </c>
      <c r="K2053" t="s">
        <v>4017</v>
      </c>
      <c r="L2053">
        <v>0</v>
      </c>
    </row>
    <row r="2054" spans="1:12" x14ac:dyDescent="0.25">
      <c r="A2054">
        <v>2053</v>
      </c>
      <c r="B2054" t="s">
        <v>4018</v>
      </c>
      <c r="C2054">
        <v>0</v>
      </c>
      <c r="J2054">
        <v>2053</v>
      </c>
      <c r="K2054" t="s">
        <v>4018</v>
      </c>
      <c r="L2054">
        <v>0</v>
      </c>
    </row>
    <row r="2055" spans="1:12" x14ac:dyDescent="0.25">
      <c r="A2055">
        <v>2054</v>
      </c>
      <c r="B2055" t="s">
        <v>4019</v>
      </c>
      <c r="C2055">
        <v>0</v>
      </c>
      <c r="J2055">
        <v>2054</v>
      </c>
      <c r="K2055" t="s">
        <v>4019</v>
      </c>
      <c r="L2055">
        <v>0</v>
      </c>
    </row>
    <row r="2056" spans="1:12" x14ac:dyDescent="0.25">
      <c r="A2056">
        <v>2055</v>
      </c>
      <c r="B2056" t="s">
        <v>4020</v>
      </c>
      <c r="C2056">
        <v>0</v>
      </c>
      <c r="J2056">
        <v>2055</v>
      </c>
      <c r="K2056" t="s">
        <v>4020</v>
      </c>
      <c r="L2056">
        <v>0</v>
      </c>
    </row>
    <row r="2057" spans="1:12" x14ac:dyDescent="0.25">
      <c r="A2057">
        <v>2056</v>
      </c>
      <c r="B2057" t="s">
        <v>4021</v>
      </c>
      <c r="C2057">
        <v>0</v>
      </c>
      <c r="J2057">
        <v>2056</v>
      </c>
      <c r="K2057" t="s">
        <v>4021</v>
      </c>
      <c r="L2057">
        <v>0</v>
      </c>
    </row>
    <row r="2058" spans="1:12" x14ac:dyDescent="0.25">
      <c r="A2058">
        <v>2057</v>
      </c>
      <c r="B2058" t="s">
        <v>4022</v>
      </c>
      <c r="C2058">
        <v>0</v>
      </c>
      <c r="J2058">
        <v>2057</v>
      </c>
      <c r="K2058" t="s">
        <v>4022</v>
      </c>
      <c r="L2058">
        <v>0</v>
      </c>
    </row>
    <row r="2059" spans="1:12" x14ac:dyDescent="0.25">
      <c r="A2059">
        <v>2058</v>
      </c>
      <c r="B2059" t="s">
        <v>4023</v>
      </c>
      <c r="C2059">
        <v>0</v>
      </c>
      <c r="J2059">
        <v>2058</v>
      </c>
      <c r="K2059" t="s">
        <v>4023</v>
      </c>
      <c r="L2059">
        <v>0</v>
      </c>
    </row>
    <row r="2060" spans="1:12" x14ac:dyDescent="0.25">
      <c r="A2060">
        <v>2059</v>
      </c>
      <c r="B2060" t="s">
        <v>4024</v>
      </c>
      <c r="C2060">
        <v>0</v>
      </c>
      <c r="J2060">
        <v>2059</v>
      </c>
      <c r="K2060" t="s">
        <v>4024</v>
      </c>
      <c r="L2060">
        <v>0</v>
      </c>
    </row>
    <row r="2061" spans="1:12" x14ac:dyDescent="0.25">
      <c r="A2061">
        <v>2060</v>
      </c>
      <c r="B2061" t="s">
        <v>4025</v>
      </c>
      <c r="C2061">
        <v>0</v>
      </c>
      <c r="J2061">
        <v>2060</v>
      </c>
      <c r="K2061" t="s">
        <v>4025</v>
      </c>
      <c r="L2061">
        <v>0</v>
      </c>
    </row>
    <row r="2062" spans="1:12" x14ac:dyDescent="0.25">
      <c r="A2062">
        <v>2061</v>
      </c>
      <c r="B2062" t="s">
        <v>4026</v>
      </c>
      <c r="C2062">
        <v>0</v>
      </c>
      <c r="J2062">
        <v>2061</v>
      </c>
      <c r="K2062" t="s">
        <v>4026</v>
      </c>
      <c r="L2062">
        <v>0</v>
      </c>
    </row>
    <row r="2063" spans="1:12" x14ac:dyDescent="0.25">
      <c r="A2063">
        <v>2062</v>
      </c>
      <c r="B2063" t="s">
        <v>4027</v>
      </c>
      <c r="C2063">
        <v>0</v>
      </c>
      <c r="J2063">
        <v>2062</v>
      </c>
      <c r="K2063" t="s">
        <v>4027</v>
      </c>
      <c r="L2063">
        <v>0</v>
      </c>
    </row>
    <row r="2064" spans="1:12" x14ac:dyDescent="0.25">
      <c r="A2064">
        <v>2063</v>
      </c>
      <c r="B2064" t="s">
        <v>4028</v>
      </c>
      <c r="C2064">
        <v>0</v>
      </c>
      <c r="J2064">
        <v>2063</v>
      </c>
      <c r="K2064" t="s">
        <v>4028</v>
      </c>
      <c r="L2064">
        <v>0</v>
      </c>
    </row>
    <row r="2065" spans="1:12" x14ac:dyDescent="0.25">
      <c r="A2065">
        <v>2064</v>
      </c>
      <c r="B2065" t="s">
        <v>4029</v>
      </c>
      <c r="C2065">
        <v>0</v>
      </c>
      <c r="J2065">
        <v>2064</v>
      </c>
      <c r="K2065" t="s">
        <v>4029</v>
      </c>
      <c r="L2065">
        <v>0</v>
      </c>
    </row>
    <row r="2066" spans="1:12" x14ac:dyDescent="0.25">
      <c r="A2066">
        <v>2065</v>
      </c>
      <c r="B2066" t="s">
        <v>4030</v>
      </c>
      <c r="C2066">
        <v>0</v>
      </c>
      <c r="J2066">
        <v>2065</v>
      </c>
      <c r="K2066" t="s">
        <v>4030</v>
      </c>
      <c r="L2066">
        <v>0</v>
      </c>
    </row>
    <row r="2067" spans="1:12" x14ac:dyDescent="0.25">
      <c r="A2067">
        <v>2066</v>
      </c>
      <c r="B2067" t="s">
        <v>4031</v>
      </c>
      <c r="C2067">
        <v>0</v>
      </c>
      <c r="J2067">
        <v>2066</v>
      </c>
      <c r="K2067" t="s">
        <v>4031</v>
      </c>
      <c r="L2067">
        <v>0</v>
      </c>
    </row>
    <row r="2068" spans="1:12" x14ac:dyDescent="0.25">
      <c r="A2068">
        <v>2067</v>
      </c>
      <c r="B2068" t="s">
        <v>4032</v>
      </c>
      <c r="C2068">
        <v>0</v>
      </c>
      <c r="J2068">
        <v>2067</v>
      </c>
      <c r="K2068" t="s">
        <v>4032</v>
      </c>
      <c r="L2068">
        <v>0</v>
      </c>
    </row>
    <row r="2069" spans="1:12" x14ac:dyDescent="0.25">
      <c r="A2069">
        <v>2068</v>
      </c>
      <c r="B2069" t="s">
        <v>4033</v>
      </c>
      <c r="C2069">
        <v>0</v>
      </c>
      <c r="J2069">
        <v>2068</v>
      </c>
      <c r="K2069" t="s">
        <v>4033</v>
      </c>
      <c r="L2069">
        <v>0</v>
      </c>
    </row>
    <row r="2070" spans="1:12" x14ac:dyDescent="0.25">
      <c r="A2070">
        <v>2069</v>
      </c>
      <c r="B2070" t="s">
        <v>4034</v>
      </c>
      <c r="C2070">
        <v>0</v>
      </c>
      <c r="J2070">
        <v>2069</v>
      </c>
      <c r="K2070" t="s">
        <v>4034</v>
      </c>
      <c r="L2070">
        <v>0</v>
      </c>
    </row>
    <row r="2071" spans="1:12" x14ac:dyDescent="0.25">
      <c r="A2071">
        <v>2070</v>
      </c>
      <c r="B2071" t="s">
        <v>4035</v>
      </c>
      <c r="C2071">
        <v>0</v>
      </c>
      <c r="J2071">
        <v>2070</v>
      </c>
      <c r="K2071" t="s">
        <v>4035</v>
      </c>
      <c r="L2071">
        <v>0</v>
      </c>
    </row>
    <row r="2072" spans="1:12" x14ac:dyDescent="0.25">
      <c r="A2072">
        <v>2071</v>
      </c>
      <c r="B2072" t="s">
        <v>4036</v>
      </c>
      <c r="C2072">
        <v>0</v>
      </c>
      <c r="J2072">
        <v>2071</v>
      </c>
      <c r="K2072" t="s">
        <v>4036</v>
      </c>
      <c r="L2072">
        <v>0</v>
      </c>
    </row>
    <row r="2073" spans="1:12" x14ac:dyDescent="0.25">
      <c r="A2073">
        <v>2072</v>
      </c>
      <c r="B2073" t="s">
        <v>4037</v>
      </c>
      <c r="C2073">
        <v>0</v>
      </c>
      <c r="J2073">
        <v>2072</v>
      </c>
      <c r="K2073" t="s">
        <v>4037</v>
      </c>
      <c r="L2073">
        <v>0</v>
      </c>
    </row>
    <row r="2074" spans="1:12" x14ac:dyDescent="0.25">
      <c r="A2074">
        <v>2073</v>
      </c>
      <c r="B2074" t="s">
        <v>4038</v>
      </c>
      <c r="C2074">
        <v>0</v>
      </c>
      <c r="J2074">
        <v>2073</v>
      </c>
      <c r="K2074" t="s">
        <v>4038</v>
      </c>
      <c r="L2074">
        <v>0</v>
      </c>
    </row>
    <row r="2075" spans="1:12" x14ac:dyDescent="0.25">
      <c r="A2075">
        <v>2074</v>
      </c>
      <c r="B2075" t="s">
        <v>4039</v>
      </c>
      <c r="C2075">
        <v>0</v>
      </c>
      <c r="J2075">
        <v>2074</v>
      </c>
      <c r="K2075" t="s">
        <v>4039</v>
      </c>
      <c r="L2075">
        <v>0</v>
      </c>
    </row>
    <row r="2076" spans="1:12" x14ac:dyDescent="0.25">
      <c r="A2076">
        <v>2075</v>
      </c>
      <c r="B2076" t="s">
        <v>4040</v>
      </c>
      <c r="C2076">
        <v>0</v>
      </c>
      <c r="J2076">
        <v>2075</v>
      </c>
      <c r="K2076" t="s">
        <v>4040</v>
      </c>
      <c r="L2076">
        <v>0</v>
      </c>
    </row>
    <row r="2077" spans="1:12" x14ac:dyDescent="0.25">
      <c r="A2077">
        <v>2076</v>
      </c>
      <c r="B2077" t="s">
        <v>4041</v>
      </c>
      <c r="C2077">
        <v>0</v>
      </c>
      <c r="J2077">
        <v>2076</v>
      </c>
      <c r="K2077" t="s">
        <v>4041</v>
      </c>
      <c r="L2077">
        <v>0</v>
      </c>
    </row>
    <row r="2078" spans="1:12" x14ac:dyDescent="0.25">
      <c r="A2078">
        <v>2077</v>
      </c>
      <c r="B2078" t="s">
        <v>4042</v>
      </c>
      <c r="C2078">
        <v>0</v>
      </c>
      <c r="J2078">
        <v>2077</v>
      </c>
      <c r="K2078" t="s">
        <v>4042</v>
      </c>
      <c r="L2078">
        <v>0</v>
      </c>
    </row>
    <row r="2079" spans="1:12" x14ac:dyDescent="0.25">
      <c r="A2079">
        <v>2078</v>
      </c>
      <c r="B2079" t="s">
        <v>4043</v>
      </c>
      <c r="C2079">
        <v>0</v>
      </c>
      <c r="J2079">
        <v>2078</v>
      </c>
      <c r="K2079" t="s">
        <v>4043</v>
      </c>
      <c r="L2079">
        <v>0</v>
      </c>
    </row>
    <row r="2080" spans="1:12" x14ac:dyDescent="0.25">
      <c r="A2080">
        <v>2079</v>
      </c>
      <c r="B2080" t="s">
        <v>4044</v>
      </c>
      <c r="C2080">
        <v>0</v>
      </c>
      <c r="J2080">
        <v>2079</v>
      </c>
      <c r="K2080" t="s">
        <v>4044</v>
      </c>
      <c r="L2080">
        <v>0</v>
      </c>
    </row>
    <row r="2081" spans="1:12" x14ac:dyDescent="0.25">
      <c r="A2081">
        <v>2080</v>
      </c>
      <c r="B2081" t="s">
        <v>4045</v>
      </c>
      <c r="C2081">
        <v>0</v>
      </c>
      <c r="J2081">
        <v>2080</v>
      </c>
      <c r="K2081" t="s">
        <v>4045</v>
      </c>
      <c r="L2081">
        <v>0</v>
      </c>
    </row>
    <row r="2082" spans="1:12" x14ac:dyDescent="0.25">
      <c r="A2082">
        <v>2081</v>
      </c>
      <c r="B2082" t="s">
        <v>4046</v>
      </c>
      <c r="C2082">
        <v>0</v>
      </c>
      <c r="J2082">
        <v>2081</v>
      </c>
      <c r="K2082" t="s">
        <v>4046</v>
      </c>
      <c r="L2082">
        <v>0</v>
      </c>
    </row>
    <row r="2083" spans="1:12" x14ac:dyDescent="0.25">
      <c r="A2083">
        <v>2082</v>
      </c>
      <c r="B2083" t="s">
        <v>4047</v>
      </c>
      <c r="C2083">
        <v>0</v>
      </c>
      <c r="J2083">
        <v>2082</v>
      </c>
      <c r="K2083" t="s">
        <v>4047</v>
      </c>
      <c r="L2083">
        <v>0</v>
      </c>
    </row>
    <row r="2084" spans="1:12" x14ac:dyDescent="0.25">
      <c r="A2084">
        <v>2083</v>
      </c>
      <c r="B2084" t="s">
        <v>4048</v>
      </c>
      <c r="C2084">
        <v>0</v>
      </c>
      <c r="J2084">
        <v>2083</v>
      </c>
      <c r="K2084" t="s">
        <v>4048</v>
      </c>
      <c r="L2084">
        <v>0</v>
      </c>
    </row>
    <row r="2085" spans="1:12" x14ac:dyDescent="0.25">
      <c r="A2085">
        <v>2084</v>
      </c>
      <c r="B2085" t="s">
        <v>4049</v>
      </c>
      <c r="C2085">
        <v>0</v>
      </c>
      <c r="J2085">
        <v>2084</v>
      </c>
      <c r="K2085" t="s">
        <v>4049</v>
      </c>
      <c r="L2085">
        <v>0</v>
      </c>
    </row>
    <row r="2086" spans="1:12" x14ac:dyDescent="0.25">
      <c r="A2086">
        <v>2085</v>
      </c>
      <c r="B2086" t="s">
        <v>4050</v>
      </c>
      <c r="C2086">
        <v>0</v>
      </c>
      <c r="J2086">
        <v>2085</v>
      </c>
      <c r="K2086" t="s">
        <v>4050</v>
      </c>
      <c r="L2086">
        <v>0</v>
      </c>
    </row>
    <row r="2087" spans="1:12" x14ac:dyDescent="0.25">
      <c r="A2087">
        <v>2086</v>
      </c>
      <c r="B2087" t="s">
        <v>4051</v>
      </c>
      <c r="C2087">
        <v>0</v>
      </c>
      <c r="J2087">
        <v>2086</v>
      </c>
      <c r="K2087" t="s">
        <v>4051</v>
      </c>
      <c r="L2087">
        <v>0</v>
      </c>
    </row>
    <row r="2088" spans="1:12" x14ac:dyDescent="0.25">
      <c r="A2088">
        <v>2087</v>
      </c>
      <c r="B2088" t="s">
        <v>4052</v>
      </c>
      <c r="C2088">
        <v>0</v>
      </c>
      <c r="J2088">
        <v>2087</v>
      </c>
      <c r="K2088" t="s">
        <v>4052</v>
      </c>
      <c r="L2088">
        <v>0</v>
      </c>
    </row>
    <row r="2089" spans="1:12" x14ac:dyDescent="0.25">
      <c r="A2089">
        <v>2088</v>
      </c>
      <c r="B2089" t="s">
        <v>4053</v>
      </c>
      <c r="C2089">
        <v>0</v>
      </c>
      <c r="J2089">
        <v>2088</v>
      </c>
      <c r="K2089" t="s">
        <v>4053</v>
      </c>
      <c r="L2089">
        <v>0</v>
      </c>
    </row>
    <row r="2090" spans="1:12" x14ac:dyDescent="0.25">
      <c r="A2090">
        <v>2089</v>
      </c>
      <c r="B2090" t="s">
        <v>4054</v>
      </c>
      <c r="C2090">
        <v>0</v>
      </c>
      <c r="J2090">
        <v>2089</v>
      </c>
      <c r="K2090" t="s">
        <v>4054</v>
      </c>
      <c r="L2090">
        <v>0</v>
      </c>
    </row>
    <row r="2091" spans="1:12" x14ac:dyDescent="0.25">
      <c r="A2091">
        <v>2090</v>
      </c>
      <c r="B2091" t="s">
        <v>4055</v>
      </c>
      <c r="C2091">
        <v>0</v>
      </c>
      <c r="J2091">
        <v>2090</v>
      </c>
      <c r="K2091" t="s">
        <v>4055</v>
      </c>
      <c r="L2091">
        <v>0</v>
      </c>
    </row>
    <row r="2092" spans="1:12" x14ac:dyDescent="0.25">
      <c r="A2092">
        <v>2091</v>
      </c>
      <c r="B2092" t="s">
        <v>4056</v>
      </c>
      <c r="C2092">
        <v>0</v>
      </c>
      <c r="J2092">
        <v>2091</v>
      </c>
      <c r="K2092" t="s">
        <v>4056</v>
      </c>
      <c r="L2092">
        <v>0</v>
      </c>
    </row>
    <row r="2093" spans="1:12" x14ac:dyDescent="0.25">
      <c r="A2093">
        <v>2092</v>
      </c>
      <c r="B2093" t="s">
        <v>4057</v>
      </c>
      <c r="C2093">
        <v>83</v>
      </c>
      <c r="J2093">
        <v>2092</v>
      </c>
      <c r="K2093" t="s">
        <v>4057</v>
      </c>
      <c r="L2093">
        <v>83</v>
      </c>
    </row>
    <row r="2094" spans="1:12" x14ac:dyDescent="0.25">
      <c r="A2094">
        <v>2093</v>
      </c>
      <c r="B2094" t="s">
        <v>4058</v>
      </c>
      <c r="C2094">
        <v>0</v>
      </c>
      <c r="J2094">
        <v>2093</v>
      </c>
      <c r="K2094" t="s">
        <v>4058</v>
      </c>
      <c r="L2094">
        <v>0</v>
      </c>
    </row>
    <row r="2095" spans="1:12" x14ac:dyDescent="0.25">
      <c r="A2095">
        <v>2094</v>
      </c>
      <c r="B2095" t="s">
        <v>4059</v>
      </c>
      <c r="C2095">
        <v>0</v>
      </c>
      <c r="J2095">
        <v>2094</v>
      </c>
      <c r="K2095" t="s">
        <v>4059</v>
      </c>
      <c r="L2095">
        <v>0</v>
      </c>
    </row>
    <row r="2096" spans="1:12" x14ac:dyDescent="0.25">
      <c r="A2096">
        <v>2095</v>
      </c>
      <c r="B2096" t="s">
        <v>4060</v>
      </c>
      <c r="C2096">
        <v>0</v>
      </c>
      <c r="J2096">
        <v>2095</v>
      </c>
      <c r="K2096" t="s">
        <v>4060</v>
      </c>
      <c r="L2096">
        <v>0</v>
      </c>
    </row>
    <row r="2097" spans="1:12" x14ac:dyDescent="0.25">
      <c r="A2097">
        <v>2096</v>
      </c>
      <c r="B2097" t="s">
        <v>4061</v>
      </c>
      <c r="C2097">
        <v>0</v>
      </c>
      <c r="J2097">
        <v>2096</v>
      </c>
      <c r="K2097" t="s">
        <v>4061</v>
      </c>
      <c r="L2097">
        <v>0</v>
      </c>
    </row>
    <row r="2098" spans="1:12" x14ac:dyDescent="0.25">
      <c r="A2098">
        <v>2097</v>
      </c>
      <c r="B2098" t="s">
        <v>4062</v>
      </c>
      <c r="C2098">
        <v>0</v>
      </c>
      <c r="J2098">
        <v>2097</v>
      </c>
      <c r="K2098" t="s">
        <v>4062</v>
      </c>
      <c r="L2098">
        <v>0</v>
      </c>
    </row>
    <row r="2099" spans="1:12" x14ac:dyDescent="0.25">
      <c r="A2099">
        <v>2098</v>
      </c>
      <c r="B2099" t="s">
        <v>4063</v>
      </c>
      <c r="C2099">
        <v>0</v>
      </c>
      <c r="J2099">
        <v>2098</v>
      </c>
      <c r="K2099" t="s">
        <v>4063</v>
      </c>
      <c r="L2099">
        <v>0</v>
      </c>
    </row>
    <row r="2100" spans="1:12" x14ac:dyDescent="0.25">
      <c r="A2100">
        <v>2099</v>
      </c>
      <c r="B2100" t="s">
        <v>4064</v>
      </c>
      <c r="C2100">
        <v>0</v>
      </c>
      <c r="J2100">
        <v>2099</v>
      </c>
      <c r="K2100" t="s">
        <v>4064</v>
      </c>
      <c r="L2100">
        <v>0</v>
      </c>
    </row>
    <row r="2101" spans="1:12" x14ac:dyDescent="0.25">
      <c r="A2101">
        <v>2100</v>
      </c>
      <c r="B2101" t="s">
        <v>4065</v>
      </c>
      <c r="C2101">
        <v>0</v>
      </c>
      <c r="J2101">
        <v>2100</v>
      </c>
      <c r="K2101" t="s">
        <v>4065</v>
      </c>
      <c r="L2101">
        <v>0</v>
      </c>
    </row>
    <row r="2102" spans="1:12" x14ac:dyDescent="0.25">
      <c r="A2102">
        <v>2101</v>
      </c>
      <c r="B2102" t="s">
        <v>4066</v>
      </c>
      <c r="C2102">
        <v>0</v>
      </c>
      <c r="J2102">
        <v>2101</v>
      </c>
      <c r="K2102" t="s">
        <v>4066</v>
      </c>
      <c r="L2102">
        <v>0</v>
      </c>
    </row>
    <row r="2103" spans="1:12" x14ac:dyDescent="0.25">
      <c r="A2103">
        <v>2102</v>
      </c>
      <c r="B2103" t="s">
        <v>4067</v>
      </c>
      <c r="C2103">
        <v>0</v>
      </c>
      <c r="J2103">
        <v>2102</v>
      </c>
      <c r="K2103" t="s">
        <v>4067</v>
      </c>
      <c r="L2103">
        <v>0</v>
      </c>
    </row>
    <row r="2104" spans="1:12" x14ac:dyDescent="0.25">
      <c r="A2104">
        <v>2103</v>
      </c>
      <c r="B2104" t="s">
        <v>4068</v>
      </c>
      <c r="C2104">
        <v>0</v>
      </c>
      <c r="J2104">
        <v>2103</v>
      </c>
      <c r="K2104" t="s">
        <v>4068</v>
      </c>
      <c r="L2104">
        <v>0</v>
      </c>
    </row>
    <row r="2105" spans="1:12" x14ac:dyDescent="0.25">
      <c r="A2105">
        <v>2104</v>
      </c>
      <c r="B2105" t="s">
        <v>4069</v>
      </c>
      <c r="C2105">
        <v>0</v>
      </c>
      <c r="J2105">
        <v>2104</v>
      </c>
      <c r="K2105" t="s">
        <v>4069</v>
      </c>
      <c r="L2105">
        <v>0</v>
      </c>
    </row>
    <row r="2106" spans="1:12" x14ac:dyDescent="0.25">
      <c r="A2106">
        <v>2105</v>
      </c>
      <c r="B2106" t="s">
        <v>4070</v>
      </c>
      <c r="C2106">
        <v>0</v>
      </c>
      <c r="J2106">
        <v>2105</v>
      </c>
      <c r="K2106" t="s">
        <v>4070</v>
      </c>
      <c r="L2106">
        <v>0</v>
      </c>
    </row>
    <row r="2107" spans="1:12" x14ac:dyDescent="0.25">
      <c r="A2107">
        <v>2106</v>
      </c>
      <c r="B2107" t="s">
        <v>4071</v>
      </c>
      <c r="C2107">
        <v>0</v>
      </c>
      <c r="J2107">
        <v>2106</v>
      </c>
      <c r="K2107" t="s">
        <v>4071</v>
      </c>
      <c r="L2107">
        <v>0</v>
      </c>
    </row>
    <row r="2108" spans="1:12" x14ac:dyDescent="0.25">
      <c r="A2108">
        <v>2107</v>
      </c>
      <c r="B2108" t="s">
        <v>4072</v>
      </c>
      <c r="C2108">
        <v>0</v>
      </c>
      <c r="J2108">
        <v>2107</v>
      </c>
      <c r="K2108" t="s">
        <v>4072</v>
      </c>
      <c r="L2108">
        <v>0</v>
      </c>
    </row>
    <row r="2109" spans="1:12" x14ac:dyDescent="0.25">
      <c r="A2109">
        <v>2108</v>
      </c>
      <c r="B2109" t="s">
        <v>4073</v>
      </c>
      <c r="C2109">
        <v>0</v>
      </c>
      <c r="J2109">
        <v>2108</v>
      </c>
      <c r="K2109" t="s">
        <v>4073</v>
      </c>
      <c r="L2109">
        <v>0</v>
      </c>
    </row>
    <row r="2110" spans="1:12" x14ac:dyDescent="0.25">
      <c r="A2110">
        <v>2109</v>
      </c>
      <c r="B2110" t="s">
        <v>4074</v>
      </c>
      <c r="C2110">
        <v>0</v>
      </c>
      <c r="J2110">
        <v>2109</v>
      </c>
      <c r="K2110" t="s">
        <v>4074</v>
      </c>
      <c r="L2110">
        <v>0</v>
      </c>
    </row>
    <row r="2111" spans="1:12" x14ac:dyDescent="0.25">
      <c r="A2111">
        <v>2110</v>
      </c>
      <c r="B2111" t="s">
        <v>4075</v>
      </c>
      <c r="C2111">
        <v>0</v>
      </c>
      <c r="J2111">
        <v>2110</v>
      </c>
      <c r="K2111" t="s">
        <v>4075</v>
      </c>
      <c r="L2111">
        <v>0</v>
      </c>
    </row>
    <row r="2112" spans="1:12" x14ac:dyDescent="0.25">
      <c r="A2112">
        <v>2111</v>
      </c>
      <c r="B2112" t="s">
        <v>4076</v>
      </c>
      <c r="C2112">
        <v>0</v>
      </c>
      <c r="J2112">
        <v>2111</v>
      </c>
      <c r="K2112" t="s">
        <v>4076</v>
      </c>
      <c r="L2112">
        <v>0</v>
      </c>
    </row>
    <row r="2113" spans="1:12" x14ac:dyDescent="0.25">
      <c r="A2113">
        <v>2112</v>
      </c>
      <c r="B2113" t="s">
        <v>4077</v>
      </c>
      <c r="C2113">
        <v>0</v>
      </c>
      <c r="J2113">
        <v>2112</v>
      </c>
      <c r="K2113" t="s">
        <v>4077</v>
      </c>
      <c r="L2113">
        <v>0</v>
      </c>
    </row>
    <row r="2114" spans="1:12" x14ac:dyDescent="0.25">
      <c r="A2114">
        <v>2113</v>
      </c>
      <c r="B2114" t="s">
        <v>4078</v>
      </c>
      <c r="C2114">
        <v>0</v>
      </c>
      <c r="J2114">
        <v>2113</v>
      </c>
      <c r="K2114" t="s">
        <v>4078</v>
      </c>
      <c r="L2114">
        <v>0</v>
      </c>
    </row>
    <row r="2115" spans="1:12" x14ac:dyDescent="0.25">
      <c r="A2115">
        <v>2114</v>
      </c>
      <c r="B2115" t="s">
        <v>4079</v>
      </c>
      <c r="C2115">
        <v>0</v>
      </c>
      <c r="J2115">
        <v>2114</v>
      </c>
      <c r="K2115" t="s">
        <v>4079</v>
      </c>
      <c r="L2115">
        <v>0</v>
      </c>
    </row>
    <row r="2116" spans="1:12" x14ac:dyDescent="0.25">
      <c r="A2116">
        <v>2115</v>
      </c>
      <c r="B2116" t="s">
        <v>4080</v>
      </c>
      <c r="C2116">
        <v>0</v>
      </c>
      <c r="J2116">
        <v>2115</v>
      </c>
      <c r="K2116" t="s">
        <v>4080</v>
      </c>
      <c r="L2116">
        <v>0</v>
      </c>
    </row>
    <row r="2117" spans="1:12" x14ac:dyDescent="0.25">
      <c r="A2117">
        <v>2116</v>
      </c>
      <c r="B2117" t="s">
        <v>4081</v>
      </c>
      <c r="C2117">
        <v>0</v>
      </c>
      <c r="J2117">
        <v>2116</v>
      </c>
      <c r="K2117" t="s">
        <v>4081</v>
      </c>
      <c r="L2117">
        <v>0</v>
      </c>
    </row>
    <row r="2118" spans="1:12" x14ac:dyDescent="0.25">
      <c r="A2118">
        <v>2117</v>
      </c>
      <c r="B2118" t="s">
        <v>4082</v>
      </c>
      <c r="C2118">
        <v>0</v>
      </c>
      <c r="J2118">
        <v>2117</v>
      </c>
      <c r="K2118" t="s">
        <v>4082</v>
      </c>
      <c r="L2118">
        <v>0</v>
      </c>
    </row>
    <row r="2119" spans="1:12" x14ac:dyDescent="0.25">
      <c r="A2119">
        <v>2118</v>
      </c>
      <c r="B2119" t="s">
        <v>4083</v>
      </c>
      <c r="C2119">
        <v>0</v>
      </c>
      <c r="J2119">
        <v>2118</v>
      </c>
      <c r="K2119" t="s">
        <v>4083</v>
      </c>
      <c r="L2119">
        <v>0</v>
      </c>
    </row>
    <row r="2120" spans="1:12" x14ac:dyDescent="0.25">
      <c r="A2120">
        <v>2119</v>
      </c>
      <c r="B2120" t="s">
        <v>4084</v>
      </c>
      <c r="C2120">
        <v>0</v>
      </c>
      <c r="J2120">
        <v>2119</v>
      </c>
      <c r="K2120" t="s">
        <v>4084</v>
      </c>
      <c r="L2120">
        <v>0</v>
      </c>
    </row>
    <row r="2121" spans="1:12" x14ac:dyDescent="0.25">
      <c r="A2121">
        <v>2120</v>
      </c>
      <c r="B2121" t="s">
        <v>4085</v>
      </c>
      <c r="C2121">
        <v>0</v>
      </c>
      <c r="J2121">
        <v>2120</v>
      </c>
      <c r="K2121" t="s">
        <v>4085</v>
      </c>
      <c r="L2121">
        <v>0</v>
      </c>
    </row>
    <row r="2122" spans="1:12" x14ac:dyDescent="0.25">
      <c r="A2122">
        <v>2121</v>
      </c>
      <c r="B2122" t="s">
        <v>4086</v>
      </c>
      <c r="C2122">
        <v>0</v>
      </c>
      <c r="J2122">
        <v>2121</v>
      </c>
      <c r="K2122" t="s">
        <v>4086</v>
      </c>
      <c r="L2122">
        <v>0</v>
      </c>
    </row>
    <row r="2123" spans="1:12" x14ac:dyDescent="0.25">
      <c r="A2123">
        <v>2122</v>
      </c>
      <c r="B2123" t="s">
        <v>4087</v>
      </c>
      <c r="C2123">
        <v>0</v>
      </c>
      <c r="J2123">
        <v>2122</v>
      </c>
      <c r="K2123" t="s">
        <v>4087</v>
      </c>
      <c r="L2123">
        <v>0</v>
      </c>
    </row>
    <row r="2124" spans="1:12" x14ac:dyDescent="0.25">
      <c r="A2124">
        <v>2123</v>
      </c>
      <c r="B2124" t="s">
        <v>4088</v>
      </c>
      <c r="C2124">
        <v>0</v>
      </c>
      <c r="J2124">
        <v>2123</v>
      </c>
      <c r="K2124" t="s">
        <v>4088</v>
      </c>
      <c r="L2124">
        <v>0</v>
      </c>
    </row>
    <row r="2125" spans="1:12" x14ac:dyDescent="0.25">
      <c r="A2125">
        <v>2124</v>
      </c>
      <c r="B2125" t="s">
        <v>4089</v>
      </c>
      <c r="C2125">
        <v>0</v>
      </c>
      <c r="J2125">
        <v>2124</v>
      </c>
      <c r="K2125" t="s">
        <v>4089</v>
      </c>
      <c r="L2125">
        <v>0</v>
      </c>
    </row>
    <row r="2126" spans="1:12" x14ac:dyDescent="0.25">
      <c r="A2126">
        <v>2125</v>
      </c>
      <c r="B2126" t="s">
        <v>4090</v>
      </c>
      <c r="C2126">
        <v>0</v>
      </c>
      <c r="J2126">
        <v>2125</v>
      </c>
      <c r="K2126" t="s">
        <v>4090</v>
      </c>
      <c r="L2126">
        <v>0</v>
      </c>
    </row>
    <row r="2127" spans="1:12" x14ac:dyDescent="0.25">
      <c r="A2127">
        <v>2126</v>
      </c>
      <c r="B2127" t="s">
        <v>4091</v>
      </c>
      <c r="C2127">
        <v>0</v>
      </c>
      <c r="J2127">
        <v>2126</v>
      </c>
      <c r="K2127" t="s">
        <v>4091</v>
      </c>
      <c r="L2127">
        <v>0</v>
      </c>
    </row>
    <row r="2128" spans="1:12" x14ac:dyDescent="0.25">
      <c r="A2128">
        <v>2127</v>
      </c>
      <c r="B2128" t="s">
        <v>4092</v>
      </c>
      <c r="C2128">
        <v>0</v>
      </c>
      <c r="J2128">
        <v>2127</v>
      </c>
      <c r="K2128" t="s">
        <v>4092</v>
      </c>
      <c r="L2128">
        <v>0</v>
      </c>
    </row>
    <row r="2129" spans="1:12" x14ac:dyDescent="0.25">
      <c r="A2129">
        <v>2128</v>
      </c>
      <c r="B2129" t="s">
        <v>4093</v>
      </c>
      <c r="C2129">
        <v>0</v>
      </c>
      <c r="J2129">
        <v>2128</v>
      </c>
      <c r="K2129" t="s">
        <v>4093</v>
      </c>
      <c r="L2129">
        <v>0</v>
      </c>
    </row>
    <row r="2130" spans="1:12" x14ac:dyDescent="0.25">
      <c r="A2130">
        <v>2129</v>
      </c>
      <c r="B2130" t="s">
        <v>4094</v>
      </c>
      <c r="C2130">
        <v>0</v>
      </c>
      <c r="J2130">
        <v>2129</v>
      </c>
      <c r="K2130" t="s">
        <v>4094</v>
      </c>
      <c r="L2130">
        <v>0</v>
      </c>
    </row>
    <row r="2131" spans="1:12" x14ac:dyDescent="0.25">
      <c r="A2131">
        <v>2130</v>
      </c>
      <c r="B2131" t="s">
        <v>4095</v>
      </c>
      <c r="C2131">
        <v>0</v>
      </c>
      <c r="J2131">
        <v>2130</v>
      </c>
      <c r="K2131" t="s">
        <v>4095</v>
      </c>
      <c r="L2131">
        <v>0</v>
      </c>
    </row>
    <row r="2132" spans="1:12" x14ac:dyDescent="0.25">
      <c r="A2132">
        <v>2131</v>
      </c>
      <c r="B2132" t="s">
        <v>4096</v>
      </c>
      <c r="C2132">
        <v>0</v>
      </c>
      <c r="J2132">
        <v>2131</v>
      </c>
      <c r="K2132" t="s">
        <v>4096</v>
      </c>
      <c r="L2132">
        <v>0</v>
      </c>
    </row>
    <row r="2133" spans="1:12" x14ac:dyDescent="0.25">
      <c r="A2133">
        <v>2132</v>
      </c>
      <c r="B2133" t="s">
        <v>4097</v>
      </c>
      <c r="C2133">
        <v>0</v>
      </c>
      <c r="J2133">
        <v>2132</v>
      </c>
      <c r="K2133" t="s">
        <v>4097</v>
      </c>
      <c r="L2133">
        <v>0</v>
      </c>
    </row>
    <row r="2134" spans="1:12" x14ac:dyDescent="0.25">
      <c r="A2134">
        <v>2133</v>
      </c>
      <c r="B2134" t="s">
        <v>4098</v>
      </c>
      <c r="C2134">
        <v>0</v>
      </c>
      <c r="J2134">
        <v>2133</v>
      </c>
      <c r="K2134" t="s">
        <v>4098</v>
      </c>
      <c r="L2134">
        <v>0</v>
      </c>
    </row>
    <row r="2135" spans="1:12" x14ac:dyDescent="0.25">
      <c r="A2135">
        <v>2134</v>
      </c>
      <c r="B2135" t="s">
        <v>4099</v>
      </c>
      <c r="C2135">
        <v>0</v>
      </c>
      <c r="J2135">
        <v>2134</v>
      </c>
      <c r="K2135" t="s">
        <v>4099</v>
      </c>
      <c r="L2135">
        <v>0</v>
      </c>
    </row>
    <row r="2136" spans="1:12" x14ac:dyDescent="0.25">
      <c r="A2136">
        <v>2135</v>
      </c>
      <c r="B2136" t="s">
        <v>4100</v>
      </c>
      <c r="C2136">
        <v>0</v>
      </c>
      <c r="J2136">
        <v>2135</v>
      </c>
      <c r="K2136" t="s">
        <v>4100</v>
      </c>
      <c r="L2136">
        <v>0</v>
      </c>
    </row>
    <row r="2137" spans="1:12" x14ac:dyDescent="0.25">
      <c r="A2137">
        <v>2136</v>
      </c>
      <c r="B2137" t="s">
        <v>4101</v>
      </c>
      <c r="C2137">
        <v>0</v>
      </c>
      <c r="J2137">
        <v>2136</v>
      </c>
      <c r="K2137" t="s">
        <v>4101</v>
      </c>
      <c r="L2137">
        <v>0</v>
      </c>
    </row>
    <row r="2138" spans="1:12" x14ac:dyDescent="0.25">
      <c r="A2138">
        <v>2137</v>
      </c>
      <c r="B2138" t="s">
        <v>4102</v>
      </c>
      <c r="C2138">
        <v>0</v>
      </c>
      <c r="J2138">
        <v>2137</v>
      </c>
      <c r="K2138" t="s">
        <v>4102</v>
      </c>
      <c r="L2138">
        <v>0</v>
      </c>
    </row>
    <row r="2139" spans="1:12" x14ac:dyDescent="0.25">
      <c r="A2139">
        <v>2138</v>
      </c>
      <c r="B2139" t="s">
        <v>4103</v>
      </c>
      <c r="C2139">
        <v>0</v>
      </c>
      <c r="J2139">
        <v>2138</v>
      </c>
      <c r="K2139" t="s">
        <v>4103</v>
      </c>
      <c r="L2139">
        <v>0</v>
      </c>
    </row>
    <row r="2140" spans="1:12" x14ac:dyDescent="0.25">
      <c r="A2140">
        <v>2139</v>
      </c>
      <c r="B2140" t="s">
        <v>4104</v>
      </c>
      <c r="C2140">
        <v>0</v>
      </c>
      <c r="J2140">
        <v>2139</v>
      </c>
      <c r="K2140" t="s">
        <v>4104</v>
      </c>
      <c r="L2140">
        <v>0</v>
      </c>
    </row>
    <row r="2141" spans="1:12" x14ac:dyDescent="0.25">
      <c r="A2141">
        <v>2140</v>
      </c>
      <c r="B2141" t="s">
        <v>4105</v>
      </c>
      <c r="C2141">
        <v>0</v>
      </c>
      <c r="J2141">
        <v>2140</v>
      </c>
      <c r="K2141" t="s">
        <v>4105</v>
      </c>
      <c r="L2141">
        <v>0</v>
      </c>
    </row>
    <row r="2142" spans="1:12" x14ac:dyDescent="0.25">
      <c r="A2142">
        <v>2141</v>
      </c>
      <c r="B2142" t="s">
        <v>4106</v>
      </c>
      <c r="C2142">
        <v>0</v>
      </c>
      <c r="J2142">
        <v>2141</v>
      </c>
      <c r="K2142" t="s">
        <v>4106</v>
      </c>
      <c r="L2142">
        <v>0</v>
      </c>
    </row>
    <row r="2143" spans="1:12" x14ac:dyDescent="0.25">
      <c r="A2143">
        <v>2142</v>
      </c>
      <c r="B2143" t="s">
        <v>4107</v>
      </c>
      <c r="C2143">
        <v>0</v>
      </c>
      <c r="J2143">
        <v>2142</v>
      </c>
      <c r="K2143" t="s">
        <v>4107</v>
      </c>
      <c r="L2143">
        <v>0</v>
      </c>
    </row>
    <row r="2144" spans="1:12" x14ac:dyDescent="0.25">
      <c r="A2144">
        <v>2143</v>
      </c>
      <c r="B2144" t="s">
        <v>4108</v>
      </c>
      <c r="C2144">
        <v>0</v>
      </c>
      <c r="J2144">
        <v>2143</v>
      </c>
      <c r="K2144" t="s">
        <v>4108</v>
      </c>
      <c r="L2144">
        <v>0</v>
      </c>
    </row>
    <row r="2145" spans="1:12" x14ac:dyDescent="0.25">
      <c r="A2145">
        <v>2144</v>
      </c>
      <c r="B2145" t="s">
        <v>4109</v>
      </c>
      <c r="C2145">
        <v>0</v>
      </c>
      <c r="J2145">
        <v>2144</v>
      </c>
      <c r="K2145" t="s">
        <v>4109</v>
      </c>
      <c r="L2145">
        <v>0</v>
      </c>
    </row>
    <row r="2146" spans="1:12" x14ac:dyDescent="0.25">
      <c r="A2146">
        <v>2145</v>
      </c>
      <c r="B2146" t="s">
        <v>4110</v>
      </c>
      <c r="C2146">
        <v>0</v>
      </c>
      <c r="J2146">
        <v>2145</v>
      </c>
      <c r="K2146" t="s">
        <v>4110</v>
      </c>
      <c r="L2146">
        <v>0</v>
      </c>
    </row>
    <row r="2147" spans="1:12" x14ac:dyDescent="0.25">
      <c r="A2147">
        <v>2146</v>
      </c>
      <c r="B2147" t="s">
        <v>4111</v>
      </c>
      <c r="C2147">
        <v>0</v>
      </c>
      <c r="J2147">
        <v>2146</v>
      </c>
      <c r="K2147" t="s">
        <v>4111</v>
      </c>
      <c r="L2147">
        <v>0</v>
      </c>
    </row>
    <row r="2148" spans="1:12" x14ac:dyDescent="0.25">
      <c r="A2148">
        <v>2147</v>
      </c>
      <c r="B2148" t="s">
        <v>4112</v>
      </c>
      <c r="C2148">
        <v>0</v>
      </c>
      <c r="J2148">
        <v>2147</v>
      </c>
      <c r="K2148" t="s">
        <v>4112</v>
      </c>
      <c r="L2148">
        <v>0</v>
      </c>
    </row>
    <row r="2149" spans="1:12" x14ac:dyDescent="0.25">
      <c r="A2149">
        <v>2148</v>
      </c>
      <c r="B2149" t="s">
        <v>4113</v>
      </c>
      <c r="C2149">
        <v>0</v>
      </c>
      <c r="J2149">
        <v>2148</v>
      </c>
      <c r="K2149" t="s">
        <v>4113</v>
      </c>
      <c r="L2149">
        <v>0</v>
      </c>
    </row>
    <row r="2150" spans="1:12" x14ac:dyDescent="0.25">
      <c r="A2150">
        <v>2149</v>
      </c>
      <c r="B2150" t="s">
        <v>4114</v>
      </c>
      <c r="C2150">
        <v>0</v>
      </c>
      <c r="J2150">
        <v>2149</v>
      </c>
      <c r="K2150" t="s">
        <v>4114</v>
      </c>
      <c r="L2150">
        <v>0</v>
      </c>
    </row>
    <row r="2151" spans="1:12" x14ac:dyDescent="0.25">
      <c r="A2151">
        <v>2150</v>
      </c>
      <c r="B2151" t="s">
        <v>4115</v>
      </c>
      <c r="C2151">
        <v>0</v>
      </c>
      <c r="J2151">
        <v>2150</v>
      </c>
      <c r="K2151" t="s">
        <v>4115</v>
      </c>
      <c r="L2151">
        <v>0</v>
      </c>
    </row>
    <row r="2152" spans="1:12" x14ac:dyDescent="0.25">
      <c r="A2152">
        <v>2151</v>
      </c>
      <c r="B2152" t="s">
        <v>4116</v>
      </c>
      <c r="C2152">
        <v>0</v>
      </c>
      <c r="J2152">
        <v>2151</v>
      </c>
      <c r="K2152" t="s">
        <v>4116</v>
      </c>
      <c r="L2152">
        <v>0</v>
      </c>
    </row>
    <row r="2153" spans="1:12" x14ac:dyDescent="0.25">
      <c r="A2153">
        <v>2152</v>
      </c>
      <c r="B2153" t="s">
        <v>4117</v>
      </c>
      <c r="C2153">
        <v>0</v>
      </c>
      <c r="J2153">
        <v>2152</v>
      </c>
      <c r="K2153" t="s">
        <v>4117</v>
      </c>
      <c r="L2153">
        <v>0</v>
      </c>
    </row>
    <row r="2154" spans="1:12" x14ac:dyDescent="0.25">
      <c r="A2154">
        <v>2153</v>
      </c>
      <c r="B2154" t="s">
        <v>4118</v>
      </c>
      <c r="C2154">
        <v>0</v>
      </c>
      <c r="J2154">
        <v>2153</v>
      </c>
      <c r="K2154" t="s">
        <v>4118</v>
      </c>
      <c r="L2154">
        <v>0</v>
      </c>
    </row>
    <row r="2155" spans="1:12" x14ac:dyDescent="0.25">
      <c r="A2155">
        <v>2154</v>
      </c>
      <c r="B2155" t="s">
        <v>4119</v>
      </c>
      <c r="C2155">
        <v>0</v>
      </c>
      <c r="J2155">
        <v>2154</v>
      </c>
      <c r="K2155" t="s">
        <v>4119</v>
      </c>
      <c r="L2155">
        <v>0</v>
      </c>
    </row>
    <row r="2156" spans="1:12" x14ac:dyDescent="0.25">
      <c r="A2156">
        <v>2155</v>
      </c>
      <c r="B2156" t="s">
        <v>4120</v>
      </c>
      <c r="C2156">
        <v>0</v>
      </c>
      <c r="J2156">
        <v>2155</v>
      </c>
      <c r="K2156" t="s">
        <v>4120</v>
      </c>
      <c r="L2156">
        <v>0</v>
      </c>
    </row>
    <row r="2157" spans="1:12" x14ac:dyDescent="0.25">
      <c r="A2157">
        <v>2156</v>
      </c>
      <c r="B2157" t="s">
        <v>4121</v>
      </c>
      <c r="C2157">
        <v>0</v>
      </c>
      <c r="J2157">
        <v>2156</v>
      </c>
      <c r="K2157" t="s">
        <v>4121</v>
      </c>
      <c r="L2157">
        <v>0</v>
      </c>
    </row>
    <row r="2158" spans="1:12" x14ac:dyDescent="0.25">
      <c r="A2158">
        <v>2157</v>
      </c>
      <c r="B2158" t="s">
        <v>4122</v>
      </c>
      <c r="C2158">
        <v>0</v>
      </c>
      <c r="J2158">
        <v>2157</v>
      </c>
      <c r="K2158" t="s">
        <v>4122</v>
      </c>
      <c r="L2158">
        <v>0</v>
      </c>
    </row>
    <row r="2159" spans="1:12" x14ac:dyDescent="0.25">
      <c r="A2159">
        <v>2158</v>
      </c>
      <c r="B2159" t="s">
        <v>4123</v>
      </c>
      <c r="C2159">
        <v>0</v>
      </c>
      <c r="J2159">
        <v>2158</v>
      </c>
      <c r="K2159" t="s">
        <v>4123</v>
      </c>
      <c r="L2159">
        <v>0</v>
      </c>
    </row>
    <row r="2160" spans="1:12" x14ac:dyDescent="0.25">
      <c r="A2160">
        <v>2159</v>
      </c>
      <c r="B2160" t="s">
        <v>4124</v>
      </c>
      <c r="C2160">
        <v>0</v>
      </c>
      <c r="J2160">
        <v>2159</v>
      </c>
      <c r="K2160" t="s">
        <v>4124</v>
      </c>
      <c r="L2160">
        <v>0</v>
      </c>
    </row>
    <row r="2161" spans="1:12" x14ac:dyDescent="0.25">
      <c r="A2161">
        <v>2160</v>
      </c>
      <c r="B2161" t="s">
        <v>4125</v>
      </c>
      <c r="C2161">
        <v>0</v>
      </c>
      <c r="J2161">
        <v>2160</v>
      </c>
      <c r="K2161" t="s">
        <v>4125</v>
      </c>
      <c r="L2161">
        <v>0</v>
      </c>
    </row>
    <row r="2162" spans="1:12" x14ac:dyDescent="0.25">
      <c r="A2162">
        <v>2161</v>
      </c>
      <c r="B2162" t="s">
        <v>4126</v>
      </c>
      <c r="C2162">
        <v>0</v>
      </c>
      <c r="J2162">
        <v>2161</v>
      </c>
      <c r="K2162" t="s">
        <v>4126</v>
      </c>
      <c r="L2162">
        <v>0</v>
      </c>
    </row>
    <row r="2163" spans="1:12" x14ac:dyDescent="0.25">
      <c r="A2163">
        <v>2162</v>
      </c>
      <c r="B2163" t="s">
        <v>4127</v>
      </c>
      <c r="C2163">
        <v>0</v>
      </c>
      <c r="J2163">
        <v>2162</v>
      </c>
      <c r="K2163" t="s">
        <v>4127</v>
      </c>
      <c r="L2163">
        <v>0</v>
      </c>
    </row>
    <row r="2164" spans="1:12" x14ac:dyDescent="0.25">
      <c r="A2164">
        <v>2163</v>
      </c>
      <c r="B2164" t="s">
        <v>4128</v>
      </c>
      <c r="C2164">
        <v>0</v>
      </c>
      <c r="J2164">
        <v>2163</v>
      </c>
      <c r="K2164" t="s">
        <v>4128</v>
      </c>
      <c r="L2164">
        <v>0</v>
      </c>
    </row>
    <row r="2165" spans="1:12" x14ac:dyDescent="0.25">
      <c r="A2165">
        <v>2164</v>
      </c>
      <c r="B2165" t="s">
        <v>4129</v>
      </c>
      <c r="C2165">
        <v>0</v>
      </c>
      <c r="J2165">
        <v>2164</v>
      </c>
      <c r="K2165" t="s">
        <v>4129</v>
      </c>
      <c r="L2165">
        <v>0</v>
      </c>
    </row>
    <row r="2166" spans="1:12" x14ac:dyDescent="0.25">
      <c r="A2166">
        <v>2165</v>
      </c>
      <c r="B2166" t="s">
        <v>4130</v>
      </c>
      <c r="C2166">
        <v>0</v>
      </c>
      <c r="J2166">
        <v>2165</v>
      </c>
      <c r="K2166" t="s">
        <v>4130</v>
      </c>
      <c r="L2166">
        <v>0</v>
      </c>
    </row>
    <row r="2167" spans="1:12" x14ac:dyDescent="0.25">
      <c r="A2167">
        <v>2166</v>
      </c>
      <c r="B2167" t="s">
        <v>4131</v>
      </c>
      <c r="C2167">
        <v>0</v>
      </c>
      <c r="J2167">
        <v>2166</v>
      </c>
      <c r="K2167" t="s">
        <v>4131</v>
      </c>
      <c r="L2167">
        <v>0</v>
      </c>
    </row>
    <row r="2168" spans="1:12" x14ac:dyDescent="0.25">
      <c r="A2168">
        <v>2167</v>
      </c>
      <c r="B2168" t="s">
        <v>4132</v>
      </c>
      <c r="C2168">
        <v>0</v>
      </c>
      <c r="J2168">
        <v>2167</v>
      </c>
      <c r="K2168" t="s">
        <v>4132</v>
      </c>
      <c r="L2168">
        <v>0</v>
      </c>
    </row>
    <row r="2169" spans="1:12" x14ac:dyDescent="0.25">
      <c r="A2169">
        <v>2168</v>
      </c>
      <c r="B2169" t="s">
        <v>4133</v>
      </c>
      <c r="C2169">
        <v>0</v>
      </c>
      <c r="J2169">
        <v>2168</v>
      </c>
      <c r="K2169" t="s">
        <v>4133</v>
      </c>
      <c r="L2169">
        <v>0</v>
      </c>
    </row>
    <row r="2170" spans="1:12" x14ac:dyDescent="0.25">
      <c r="A2170">
        <v>2169</v>
      </c>
      <c r="B2170" t="s">
        <v>4134</v>
      </c>
      <c r="C2170">
        <v>0</v>
      </c>
      <c r="J2170">
        <v>2169</v>
      </c>
      <c r="K2170" t="s">
        <v>4134</v>
      </c>
      <c r="L2170">
        <v>0</v>
      </c>
    </row>
    <row r="2171" spans="1:12" x14ac:dyDescent="0.25">
      <c r="A2171">
        <v>2170</v>
      </c>
      <c r="B2171" t="s">
        <v>4135</v>
      </c>
      <c r="C2171">
        <v>0</v>
      </c>
      <c r="J2171">
        <v>2170</v>
      </c>
      <c r="K2171" t="s">
        <v>4135</v>
      </c>
      <c r="L2171">
        <v>0</v>
      </c>
    </row>
    <row r="2172" spans="1:12" x14ac:dyDescent="0.25">
      <c r="A2172">
        <v>2171</v>
      </c>
      <c r="B2172" t="s">
        <v>4136</v>
      </c>
      <c r="C2172">
        <v>0</v>
      </c>
      <c r="J2172">
        <v>2171</v>
      </c>
      <c r="K2172" t="s">
        <v>4136</v>
      </c>
      <c r="L2172">
        <v>0</v>
      </c>
    </row>
    <row r="2173" spans="1:12" x14ac:dyDescent="0.25">
      <c r="A2173">
        <v>2172</v>
      </c>
      <c r="B2173" t="s">
        <v>4137</v>
      </c>
      <c r="C2173">
        <v>0</v>
      </c>
      <c r="J2173">
        <v>2172</v>
      </c>
      <c r="K2173" t="s">
        <v>4137</v>
      </c>
      <c r="L2173">
        <v>0</v>
      </c>
    </row>
    <row r="2174" spans="1:12" x14ac:dyDescent="0.25">
      <c r="A2174">
        <v>2173</v>
      </c>
      <c r="B2174" t="s">
        <v>4138</v>
      </c>
      <c r="C2174">
        <v>0</v>
      </c>
      <c r="J2174">
        <v>2173</v>
      </c>
      <c r="K2174" t="s">
        <v>4138</v>
      </c>
      <c r="L2174">
        <v>0</v>
      </c>
    </row>
    <row r="2175" spans="1:12" x14ac:dyDescent="0.25">
      <c r="A2175">
        <v>2174</v>
      </c>
      <c r="B2175" t="s">
        <v>4139</v>
      </c>
      <c r="C2175">
        <v>0</v>
      </c>
      <c r="J2175">
        <v>2174</v>
      </c>
      <c r="K2175" t="s">
        <v>4139</v>
      </c>
      <c r="L2175">
        <v>0</v>
      </c>
    </row>
    <row r="2176" spans="1:12" x14ac:dyDescent="0.25">
      <c r="A2176">
        <v>2175</v>
      </c>
      <c r="B2176" t="s">
        <v>4140</v>
      </c>
      <c r="C2176">
        <v>0</v>
      </c>
      <c r="J2176">
        <v>2175</v>
      </c>
      <c r="K2176" t="s">
        <v>4140</v>
      </c>
      <c r="L2176">
        <v>0</v>
      </c>
    </row>
    <row r="2177" spans="1:12" x14ac:dyDescent="0.25">
      <c r="A2177">
        <v>2176</v>
      </c>
      <c r="B2177" t="s">
        <v>4141</v>
      </c>
      <c r="C2177">
        <v>0</v>
      </c>
      <c r="J2177">
        <v>2176</v>
      </c>
      <c r="K2177" t="s">
        <v>4141</v>
      </c>
      <c r="L2177">
        <v>0</v>
      </c>
    </row>
    <row r="2178" spans="1:12" x14ac:dyDescent="0.25">
      <c r="A2178">
        <v>2177</v>
      </c>
      <c r="B2178" t="s">
        <v>4142</v>
      </c>
      <c r="C2178">
        <v>0</v>
      </c>
      <c r="J2178">
        <v>2177</v>
      </c>
      <c r="K2178" t="s">
        <v>4142</v>
      </c>
      <c r="L2178">
        <v>0</v>
      </c>
    </row>
    <row r="2179" spans="1:12" x14ac:dyDescent="0.25">
      <c r="A2179">
        <v>2178</v>
      </c>
      <c r="B2179" t="s">
        <v>4143</v>
      </c>
      <c r="C2179">
        <v>0</v>
      </c>
      <c r="J2179">
        <v>2178</v>
      </c>
      <c r="K2179" t="s">
        <v>4143</v>
      </c>
      <c r="L2179">
        <v>0</v>
      </c>
    </row>
    <row r="2180" spans="1:12" x14ac:dyDescent="0.25">
      <c r="A2180">
        <v>2179</v>
      </c>
      <c r="B2180" t="s">
        <v>4144</v>
      </c>
      <c r="C2180">
        <v>0</v>
      </c>
      <c r="J2180">
        <v>2179</v>
      </c>
      <c r="K2180" t="s">
        <v>4144</v>
      </c>
      <c r="L2180">
        <v>0</v>
      </c>
    </row>
    <row r="2181" spans="1:12" x14ac:dyDescent="0.25">
      <c r="A2181">
        <v>2180</v>
      </c>
      <c r="B2181" t="s">
        <v>4145</v>
      </c>
      <c r="C2181">
        <v>0</v>
      </c>
      <c r="J2181">
        <v>2180</v>
      </c>
      <c r="K2181" t="s">
        <v>4145</v>
      </c>
      <c r="L2181">
        <v>0</v>
      </c>
    </row>
    <row r="2182" spans="1:12" x14ac:dyDescent="0.25">
      <c r="A2182">
        <v>2181</v>
      </c>
      <c r="B2182" t="s">
        <v>4146</v>
      </c>
      <c r="C2182">
        <v>0</v>
      </c>
      <c r="J2182">
        <v>2181</v>
      </c>
      <c r="K2182" t="s">
        <v>4146</v>
      </c>
      <c r="L2182">
        <v>0</v>
      </c>
    </row>
    <row r="2183" spans="1:12" x14ac:dyDescent="0.25">
      <c r="A2183">
        <v>2182</v>
      </c>
      <c r="B2183" t="s">
        <v>4147</v>
      </c>
      <c r="C2183">
        <v>0</v>
      </c>
      <c r="J2183">
        <v>2182</v>
      </c>
      <c r="K2183" t="s">
        <v>4147</v>
      </c>
      <c r="L2183">
        <v>0</v>
      </c>
    </row>
    <row r="2184" spans="1:12" x14ac:dyDescent="0.25">
      <c r="A2184">
        <v>2183</v>
      </c>
      <c r="B2184" t="s">
        <v>4148</v>
      </c>
      <c r="C2184">
        <v>0</v>
      </c>
      <c r="J2184">
        <v>2183</v>
      </c>
      <c r="K2184" t="s">
        <v>4148</v>
      </c>
      <c r="L2184">
        <v>0</v>
      </c>
    </row>
    <row r="2185" spans="1:12" x14ac:dyDescent="0.25">
      <c r="A2185">
        <v>2184</v>
      </c>
      <c r="B2185" t="s">
        <v>4149</v>
      </c>
      <c r="C2185">
        <v>0</v>
      </c>
      <c r="J2185">
        <v>2184</v>
      </c>
      <c r="K2185" t="s">
        <v>4149</v>
      </c>
      <c r="L2185">
        <v>0</v>
      </c>
    </row>
    <row r="2186" spans="1:12" x14ac:dyDescent="0.25">
      <c r="A2186">
        <v>2185</v>
      </c>
      <c r="B2186" t="s">
        <v>4150</v>
      </c>
      <c r="C2186">
        <v>0</v>
      </c>
      <c r="J2186">
        <v>2185</v>
      </c>
      <c r="K2186" t="s">
        <v>4150</v>
      </c>
      <c r="L2186">
        <v>0</v>
      </c>
    </row>
    <row r="2187" spans="1:12" x14ac:dyDescent="0.25">
      <c r="A2187">
        <v>2186</v>
      </c>
      <c r="B2187" t="s">
        <v>4151</v>
      </c>
      <c r="C2187">
        <v>0</v>
      </c>
      <c r="J2187">
        <v>2186</v>
      </c>
      <c r="K2187" t="s">
        <v>4151</v>
      </c>
      <c r="L2187">
        <v>0</v>
      </c>
    </row>
    <row r="2188" spans="1:12" x14ac:dyDescent="0.25">
      <c r="A2188">
        <v>2187</v>
      </c>
      <c r="B2188" t="s">
        <v>4152</v>
      </c>
      <c r="C2188">
        <v>0</v>
      </c>
      <c r="J2188">
        <v>2187</v>
      </c>
      <c r="K2188" t="s">
        <v>4152</v>
      </c>
      <c r="L2188">
        <v>0</v>
      </c>
    </row>
    <row r="2189" spans="1:12" x14ac:dyDescent="0.25">
      <c r="A2189">
        <v>2188</v>
      </c>
      <c r="B2189" t="s">
        <v>4153</v>
      </c>
      <c r="C2189">
        <v>0</v>
      </c>
      <c r="J2189">
        <v>2188</v>
      </c>
      <c r="K2189" t="s">
        <v>4153</v>
      </c>
      <c r="L2189">
        <v>0</v>
      </c>
    </row>
    <row r="2190" spans="1:12" x14ac:dyDescent="0.25">
      <c r="A2190">
        <v>2189</v>
      </c>
      <c r="B2190" t="s">
        <v>4154</v>
      </c>
      <c r="C2190">
        <v>0</v>
      </c>
      <c r="J2190">
        <v>2189</v>
      </c>
      <c r="K2190" t="s">
        <v>4154</v>
      </c>
      <c r="L2190">
        <v>0</v>
      </c>
    </row>
    <row r="2191" spans="1:12" x14ac:dyDescent="0.25">
      <c r="A2191">
        <v>2190</v>
      </c>
      <c r="B2191" t="s">
        <v>4155</v>
      </c>
      <c r="C2191">
        <v>0</v>
      </c>
      <c r="J2191">
        <v>2190</v>
      </c>
      <c r="K2191" t="s">
        <v>4155</v>
      </c>
      <c r="L2191">
        <v>0</v>
      </c>
    </row>
    <row r="2192" spans="1:12" x14ac:dyDescent="0.25">
      <c r="A2192">
        <v>2191</v>
      </c>
      <c r="B2192" t="s">
        <v>4156</v>
      </c>
      <c r="C2192">
        <v>0</v>
      </c>
      <c r="J2192">
        <v>2191</v>
      </c>
      <c r="K2192" t="s">
        <v>4156</v>
      </c>
      <c r="L2192">
        <v>0</v>
      </c>
    </row>
    <row r="2193" spans="1:12" x14ac:dyDescent="0.25">
      <c r="A2193">
        <v>2192</v>
      </c>
      <c r="B2193" t="s">
        <v>4157</v>
      </c>
      <c r="C2193">
        <v>0</v>
      </c>
      <c r="J2193">
        <v>2192</v>
      </c>
      <c r="K2193" t="s">
        <v>4157</v>
      </c>
      <c r="L2193">
        <v>0</v>
      </c>
    </row>
    <row r="2194" spans="1:12" x14ac:dyDescent="0.25">
      <c r="A2194">
        <v>2193</v>
      </c>
      <c r="B2194" t="s">
        <v>4158</v>
      </c>
      <c r="C2194">
        <v>0</v>
      </c>
      <c r="J2194">
        <v>2193</v>
      </c>
      <c r="K2194" t="s">
        <v>4158</v>
      </c>
      <c r="L2194">
        <v>0</v>
      </c>
    </row>
    <row r="2195" spans="1:12" x14ac:dyDescent="0.25">
      <c r="A2195">
        <v>2194</v>
      </c>
      <c r="B2195" t="s">
        <v>4159</v>
      </c>
      <c r="C2195">
        <v>0</v>
      </c>
      <c r="J2195">
        <v>2194</v>
      </c>
      <c r="K2195" t="s">
        <v>4159</v>
      </c>
      <c r="L2195">
        <v>0</v>
      </c>
    </row>
    <row r="2196" spans="1:12" x14ac:dyDescent="0.25">
      <c r="A2196">
        <v>2195</v>
      </c>
      <c r="B2196" t="s">
        <v>4160</v>
      </c>
      <c r="C2196">
        <v>0</v>
      </c>
      <c r="J2196">
        <v>2195</v>
      </c>
      <c r="K2196" t="s">
        <v>4160</v>
      </c>
      <c r="L2196">
        <v>0</v>
      </c>
    </row>
    <row r="2197" spans="1:12" x14ac:dyDescent="0.25">
      <c r="A2197">
        <v>2196</v>
      </c>
      <c r="B2197" t="s">
        <v>4161</v>
      </c>
      <c r="C2197">
        <v>0</v>
      </c>
      <c r="J2197">
        <v>2196</v>
      </c>
      <c r="K2197" t="s">
        <v>4161</v>
      </c>
      <c r="L2197">
        <v>0</v>
      </c>
    </row>
    <row r="2198" spans="1:12" x14ac:dyDescent="0.25">
      <c r="A2198">
        <v>2197</v>
      </c>
      <c r="B2198" t="s">
        <v>4162</v>
      </c>
      <c r="C2198">
        <v>0</v>
      </c>
      <c r="J2198">
        <v>2197</v>
      </c>
      <c r="K2198" t="s">
        <v>4162</v>
      </c>
      <c r="L2198">
        <v>0</v>
      </c>
    </row>
    <row r="2199" spans="1:12" x14ac:dyDescent="0.25">
      <c r="A2199">
        <v>2198</v>
      </c>
      <c r="B2199" t="s">
        <v>4163</v>
      </c>
      <c r="C2199">
        <v>0</v>
      </c>
      <c r="J2199">
        <v>2198</v>
      </c>
      <c r="K2199" t="s">
        <v>4163</v>
      </c>
      <c r="L2199">
        <v>0</v>
      </c>
    </row>
    <row r="2200" spans="1:12" x14ac:dyDescent="0.25">
      <c r="A2200">
        <v>2199</v>
      </c>
      <c r="B2200" t="s">
        <v>4164</v>
      </c>
      <c r="C2200">
        <v>0</v>
      </c>
      <c r="J2200">
        <v>2199</v>
      </c>
      <c r="K2200" t="s">
        <v>4164</v>
      </c>
      <c r="L2200">
        <v>0</v>
      </c>
    </row>
    <row r="2201" spans="1:12" x14ac:dyDescent="0.25">
      <c r="A2201">
        <v>2200</v>
      </c>
      <c r="B2201" t="s">
        <v>4165</v>
      </c>
      <c r="C2201">
        <v>0</v>
      </c>
      <c r="J2201">
        <v>2200</v>
      </c>
      <c r="K2201" t="s">
        <v>4165</v>
      </c>
      <c r="L2201">
        <v>0</v>
      </c>
    </row>
    <row r="2202" spans="1:12" x14ac:dyDescent="0.25">
      <c r="A2202">
        <v>2201</v>
      </c>
      <c r="B2202" t="s">
        <v>4166</v>
      </c>
      <c r="C2202">
        <v>0</v>
      </c>
      <c r="J2202">
        <v>2201</v>
      </c>
      <c r="K2202" t="s">
        <v>4166</v>
      </c>
      <c r="L2202">
        <v>0</v>
      </c>
    </row>
    <row r="2203" spans="1:12" x14ac:dyDescent="0.25">
      <c r="A2203">
        <v>2202</v>
      </c>
      <c r="B2203" t="s">
        <v>4167</v>
      </c>
      <c r="C2203">
        <v>0</v>
      </c>
      <c r="J2203">
        <v>2202</v>
      </c>
      <c r="K2203" t="s">
        <v>4167</v>
      </c>
      <c r="L2203">
        <v>0</v>
      </c>
    </row>
    <row r="2204" spans="1:12" x14ac:dyDescent="0.25">
      <c r="A2204">
        <v>2203</v>
      </c>
      <c r="B2204" t="s">
        <v>4168</v>
      </c>
      <c r="C2204">
        <v>0</v>
      </c>
      <c r="J2204">
        <v>2203</v>
      </c>
      <c r="K2204" t="s">
        <v>4168</v>
      </c>
      <c r="L2204">
        <v>0</v>
      </c>
    </row>
    <row r="2205" spans="1:12" x14ac:dyDescent="0.25">
      <c r="A2205">
        <v>2204</v>
      </c>
      <c r="B2205" t="s">
        <v>4169</v>
      </c>
      <c r="C2205">
        <v>0</v>
      </c>
      <c r="J2205">
        <v>2204</v>
      </c>
      <c r="K2205" t="s">
        <v>4169</v>
      </c>
      <c r="L2205">
        <v>0</v>
      </c>
    </row>
    <row r="2206" spans="1:12" x14ac:dyDescent="0.25">
      <c r="A2206">
        <v>2205</v>
      </c>
      <c r="B2206" t="s">
        <v>4170</v>
      </c>
      <c r="C2206">
        <v>0</v>
      </c>
      <c r="J2206">
        <v>2205</v>
      </c>
      <c r="K2206" t="s">
        <v>4170</v>
      </c>
      <c r="L2206">
        <v>0</v>
      </c>
    </row>
    <row r="2207" spans="1:12" x14ac:dyDescent="0.25">
      <c r="A2207">
        <v>2206</v>
      </c>
      <c r="B2207" t="s">
        <v>4171</v>
      </c>
      <c r="C2207">
        <v>0</v>
      </c>
      <c r="J2207">
        <v>2206</v>
      </c>
      <c r="K2207" t="s">
        <v>4171</v>
      </c>
      <c r="L2207">
        <v>0</v>
      </c>
    </row>
    <row r="2208" spans="1:12" x14ac:dyDescent="0.25">
      <c r="A2208">
        <v>2207</v>
      </c>
      <c r="B2208" t="s">
        <v>4172</v>
      </c>
      <c r="C2208">
        <v>0</v>
      </c>
      <c r="J2208">
        <v>2207</v>
      </c>
      <c r="K2208" t="s">
        <v>4172</v>
      </c>
      <c r="L2208">
        <v>0</v>
      </c>
    </row>
    <row r="2209" spans="1:12" x14ac:dyDescent="0.25">
      <c r="A2209">
        <v>2208</v>
      </c>
      <c r="B2209" t="s">
        <v>4173</v>
      </c>
      <c r="C2209">
        <v>0</v>
      </c>
      <c r="J2209">
        <v>2208</v>
      </c>
      <c r="K2209" t="s">
        <v>4173</v>
      </c>
      <c r="L2209">
        <v>0</v>
      </c>
    </row>
    <row r="2210" spans="1:12" x14ac:dyDescent="0.25">
      <c r="A2210">
        <v>2209</v>
      </c>
      <c r="B2210" t="s">
        <v>4174</v>
      </c>
      <c r="C2210">
        <v>0</v>
      </c>
      <c r="J2210">
        <v>2209</v>
      </c>
      <c r="K2210" t="s">
        <v>4174</v>
      </c>
      <c r="L2210">
        <v>0</v>
      </c>
    </row>
    <row r="2211" spans="1:12" x14ac:dyDescent="0.25">
      <c r="A2211">
        <v>2210</v>
      </c>
      <c r="B2211" t="s">
        <v>4175</v>
      </c>
      <c r="C2211">
        <v>0</v>
      </c>
      <c r="J2211">
        <v>2210</v>
      </c>
      <c r="K2211" t="s">
        <v>4175</v>
      </c>
      <c r="L2211">
        <v>0</v>
      </c>
    </row>
    <row r="2212" spans="1:12" x14ac:dyDescent="0.25">
      <c r="A2212">
        <v>2211</v>
      </c>
      <c r="B2212" t="s">
        <v>4176</v>
      </c>
      <c r="C2212">
        <v>0</v>
      </c>
      <c r="J2212">
        <v>2211</v>
      </c>
      <c r="K2212" t="s">
        <v>4176</v>
      </c>
      <c r="L2212">
        <v>0</v>
      </c>
    </row>
    <row r="2213" spans="1:12" x14ac:dyDescent="0.25">
      <c r="A2213">
        <v>2212</v>
      </c>
      <c r="B2213" t="s">
        <v>4177</v>
      </c>
      <c r="C2213">
        <v>0</v>
      </c>
      <c r="J2213">
        <v>2212</v>
      </c>
      <c r="K2213" t="s">
        <v>4177</v>
      </c>
      <c r="L2213">
        <v>0</v>
      </c>
    </row>
    <row r="2214" spans="1:12" x14ac:dyDescent="0.25">
      <c r="A2214">
        <v>2213</v>
      </c>
      <c r="B2214" t="s">
        <v>4178</v>
      </c>
      <c r="C2214">
        <v>0</v>
      </c>
      <c r="J2214">
        <v>2213</v>
      </c>
      <c r="K2214" t="s">
        <v>4178</v>
      </c>
      <c r="L2214">
        <v>0</v>
      </c>
    </row>
    <row r="2215" spans="1:12" x14ac:dyDescent="0.25">
      <c r="A2215">
        <v>2214</v>
      </c>
      <c r="B2215" t="s">
        <v>4179</v>
      </c>
      <c r="C2215">
        <v>0</v>
      </c>
      <c r="J2215">
        <v>2214</v>
      </c>
      <c r="K2215" t="s">
        <v>4179</v>
      </c>
      <c r="L2215">
        <v>0</v>
      </c>
    </row>
    <row r="2216" spans="1:12" x14ac:dyDescent="0.25">
      <c r="A2216">
        <v>2215</v>
      </c>
      <c r="B2216" t="s">
        <v>4180</v>
      </c>
      <c r="C2216">
        <v>0</v>
      </c>
      <c r="J2216">
        <v>2215</v>
      </c>
      <c r="K2216" t="s">
        <v>4180</v>
      </c>
      <c r="L2216">
        <v>0</v>
      </c>
    </row>
    <row r="2217" spans="1:12" x14ac:dyDescent="0.25">
      <c r="A2217">
        <v>2216</v>
      </c>
      <c r="B2217" t="s">
        <v>4181</v>
      </c>
      <c r="C2217">
        <v>0</v>
      </c>
      <c r="J2217">
        <v>2216</v>
      </c>
      <c r="K2217" t="s">
        <v>4181</v>
      </c>
      <c r="L2217">
        <v>0</v>
      </c>
    </row>
    <row r="2218" spans="1:12" x14ac:dyDescent="0.25">
      <c r="A2218">
        <v>2217</v>
      </c>
      <c r="B2218" t="s">
        <v>4182</v>
      </c>
      <c r="C2218">
        <v>0</v>
      </c>
      <c r="J2218">
        <v>2217</v>
      </c>
      <c r="K2218" t="s">
        <v>4182</v>
      </c>
      <c r="L2218">
        <v>0</v>
      </c>
    </row>
    <row r="2219" spans="1:12" x14ac:dyDescent="0.25">
      <c r="A2219">
        <v>2218</v>
      </c>
      <c r="B2219" t="s">
        <v>4183</v>
      </c>
      <c r="C2219">
        <v>0</v>
      </c>
      <c r="J2219">
        <v>2218</v>
      </c>
      <c r="K2219" t="s">
        <v>4183</v>
      </c>
      <c r="L2219">
        <v>0</v>
      </c>
    </row>
    <row r="2220" spans="1:12" x14ac:dyDescent="0.25">
      <c r="A2220">
        <v>2219</v>
      </c>
      <c r="B2220" t="s">
        <v>4184</v>
      </c>
      <c r="C2220">
        <v>0</v>
      </c>
      <c r="J2220">
        <v>2219</v>
      </c>
      <c r="K2220" t="s">
        <v>4184</v>
      </c>
      <c r="L2220">
        <v>0</v>
      </c>
    </row>
    <row r="2221" spans="1:12" x14ac:dyDescent="0.25">
      <c r="A2221">
        <v>2220</v>
      </c>
      <c r="B2221" t="s">
        <v>4185</v>
      </c>
      <c r="C2221">
        <v>0</v>
      </c>
      <c r="J2221">
        <v>2220</v>
      </c>
      <c r="K2221" t="s">
        <v>4185</v>
      </c>
      <c r="L2221">
        <v>0</v>
      </c>
    </row>
    <row r="2222" spans="1:12" x14ac:dyDescent="0.25">
      <c r="A2222">
        <v>2221</v>
      </c>
      <c r="B2222" t="s">
        <v>4186</v>
      </c>
      <c r="C2222">
        <v>0</v>
      </c>
      <c r="J2222">
        <v>2221</v>
      </c>
      <c r="K2222" t="s">
        <v>4186</v>
      </c>
      <c r="L2222">
        <v>0</v>
      </c>
    </row>
    <row r="2223" spans="1:12" x14ac:dyDescent="0.25">
      <c r="A2223">
        <v>2222</v>
      </c>
      <c r="B2223" t="s">
        <v>4187</v>
      </c>
      <c r="C2223">
        <v>0</v>
      </c>
      <c r="J2223">
        <v>2222</v>
      </c>
      <c r="K2223" t="s">
        <v>4187</v>
      </c>
      <c r="L2223">
        <v>0</v>
      </c>
    </row>
    <row r="2224" spans="1:12" x14ac:dyDescent="0.25">
      <c r="A2224">
        <v>2223</v>
      </c>
      <c r="B2224" t="s">
        <v>4188</v>
      </c>
      <c r="C2224">
        <v>0</v>
      </c>
      <c r="J2224">
        <v>2223</v>
      </c>
      <c r="K2224" t="s">
        <v>4188</v>
      </c>
      <c r="L2224">
        <v>0</v>
      </c>
    </row>
    <row r="2225" spans="1:12" x14ac:dyDescent="0.25">
      <c r="A2225">
        <v>2224</v>
      </c>
      <c r="B2225" t="s">
        <v>4189</v>
      </c>
      <c r="C2225">
        <v>0</v>
      </c>
      <c r="J2225">
        <v>2224</v>
      </c>
      <c r="K2225" t="s">
        <v>4189</v>
      </c>
      <c r="L2225">
        <v>0</v>
      </c>
    </row>
    <row r="2226" spans="1:12" x14ac:dyDescent="0.25">
      <c r="A2226">
        <v>2225</v>
      </c>
      <c r="B2226" t="s">
        <v>4190</v>
      </c>
      <c r="C2226">
        <v>0</v>
      </c>
      <c r="J2226">
        <v>2225</v>
      </c>
      <c r="K2226" t="s">
        <v>4190</v>
      </c>
      <c r="L2226">
        <v>0</v>
      </c>
    </row>
    <row r="2227" spans="1:12" x14ac:dyDescent="0.25">
      <c r="A2227">
        <v>2226</v>
      </c>
      <c r="B2227" t="s">
        <v>4191</v>
      </c>
      <c r="C2227">
        <v>0</v>
      </c>
      <c r="J2227">
        <v>2226</v>
      </c>
      <c r="K2227" t="s">
        <v>4191</v>
      </c>
      <c r="L2227">
        <v>0</v>
      </c>
    </row>
    <row r="2228" spans="1:12" x14ac:dyDescent="0.25">
      <c r="A2228">
        <v>2227</v>
      </c>
      <c r="B2228" t="s">
        <v>4192</v>
      </c>
      <c r="C2228">
        <v>0</v>
      </c>
      <c r="J2228">
        <v>2227</v>
      </c>
      <c r="K2228" t="s">
        <v>4192</v>
      </c>
      <c r="L2228">
        <v>0</v>
      </c>
    </row>
    <row r="2229" spans="1:12" x14ac:dyDescent="0.25">
      <c r="A2229">
        <v>2228</v>
      </c>
      <c r="B2229" t="s">
        <v>4193</v>
      </c>
      <c r="C2229">
        <v>0</v>
      </c>
      <c r="J2229">
        <v>2228</v>
      </c>
      <c r="K2229" t="s">
        <v>4193</v>
      </c>
      <c r="L2229">
        <v>0</v>
      </c>
    </row>
    <row r="2230" spans="1:12" x14ac:dyDescent="0.25">
      <c r="A2230">
        <v>2229</v>
      </c>
      <c r="B2230" t="s">
        <v>4194</v>
      </c>
      <c r="C2230">
        <v>0</v>
      </c>
      <c r="J2230">
        <v>2229</v>
      </c>
      <c r="K2230" t="s">
        <v>4194</v>
      </c>
      <c r="L2230">
        <v>0</v>
      </c>
    </row>
    <row r="2231" spans="1:12" x14ac:dyDescent="0.25">
      <c r="A2231">
        <v>2230</v>
      </c>
      <c r="B2231" t="s">
        <v>4195</v>
      </c>
      <c r="C2231">
        <v>0</v>
      </c>
      <c r="J2231">
        <v>2230</v>
      </c>
      <c r="K2231" t="s">
        <v>4195</v>
      </c>
      <c r="L2231">
        <v>0</v>
      </c>
    </row>
    <row r="2232" spans="1:12" x14ac:dyDescent="0.25">
      <c r="A2232">
        <v>2231</v>
      </c>
      <c r="B2232" t="s">
        <v>4196</v>
      </c>
      <c r="C2232">
        <v>0</v>
      </c>
      <c r="J2232">
        <v>2231</v>
      </c>
      <c r="K2232" t="s">
        <v>4196</v>
      </c>
      <c r="L2232">
        <v>0</v>
      </c>
    </row>
    <row r="2233" spans="1:12" x14ac:dyDescent="0.25">
      <c r="A2233">
        <v>2232</v>
      </c>
      <c r="B2233" t="s">
        <v>4197</v>
      </c>
      <c r="C2233">
        <v>0</v>
      </c>
      <c r="J2233">
        <v>2232</v>
      </c>
      <c r="K2233" t="s">
        <v>4197</v>
      </c>
      <c r="L2233">
        <v>0</v>
      </c>
    </row>
    <row r="2234" spans="1:12" x14ac:dyDescent="0.25">
      <c r="A2234">
        <v>2233</v>
      </c>
      <c r="B2234" t="s">
        <v>4198</v>
      </c>
      <c r="C2234">
        <v>0</v>
      </c>
      <c r="J2234">
        <v>2233</v>
      </c>
      <c r="K2234" t="s">
        <v>4198</v>
      </c>
      <c r="L2234">
        <v>0</v>
      </c>
    </row>
    <row r="2235" spans="1:12" x14ac:dyDescent="0.25">
      <c r="A2235">
        <v>2234</v>
      </c>
      <c r="B2235" t="s">
        <v>4199</v>
      </c>
      <c r="C2235">
        <v>0</v>
      </c>
      <c r="J2235">
        <v>2234</v>
      </c>
      <c r="K2235" t="s">
        <v>4199</v>
      </c>
      <c r="L2235">
        <v>0</v>
      </c>
    </row>
    <row r="2236" spans="1:12" x14ac:dyDescent="0.25">
      <c r="A2236">
        <v>2235</v>
      </c>
      <c r="B2236" t="s">
        <v>4200</v>
      </c>
      <c r="C2236">
        <v>0</v>
      </c>
      <c r="J2236">
        <v>2235</v>
      </c>
      <c r="K2236" t="s">
        <v>4200</v>
      </c>
      <c r="L2236">
        <v>0</v>
      </c>
    </row>
    <row r="2237" spans="1:12" x14ac:dyDescent="0.25">
      <c r="A2237">
        <v>2236</v>
      </c>
      <c r="B2237" t="s">
        <v>4201</v>
      </c>
      <c r="C2237">
        <v>0</v>
      </c>
      <c r="J2237">
        <v>2236</v>
      </c>
      <c r="K2237" t="s">
        <v>4201</v>
      </c>
      <c r="L2237">
        <v>0</v>
      </c>
    </row>
    <row r="2238" spans="1:12" x14ac:dyDescent="0.25">
      <c r="A2238">
        <v>2237</v>
      </c>
      <c r="B2238" t="s">
        <v>4202</v>
      </c>
      <c r="C2238">
        <v>0</v>
      </c>
      <c r="J2238">
        <v>2237</v>
      </c>
      <c r="K2238" t="s">
        <v>4202</v>
      </c>
      <c r="L2238">
        <v>0</v>
      </c>
    </row>
    <row r="2239" spans="1:12" x14ac:dyDescent="0.25">
      <c r="A2239">
        <v>2238</v>
      </c>
      <c r="B2239" t="s">
        <v>4203</v>
      </c>
      <c r="C2239">
        <v>0</v>
      </c>
      <c r="J2239">
        <v>2238</v>
      </c>
      <c r="K2239" t="s">
        <v>4203</v>
      </c>
      <c r="L2239">
        <v>0</v>
      </c>
    </row>
    <row r="2240" spans="1:12" x14ac:dyDescent="0.25">
      <c r="A2240">
        <v>2239</v>
      </c>
      <c r="B2240" t="s">
        <v>4204</v>
      </c>
      <c r="C2240">
        <v>0</v>
      </c>
      <c r="J2240">
        <v>2239</v>
      </c>
      <c r="K2240" t="s">
        <v>4204</v>
      </c>
      <c r="L2240">
        <v>0</v>
      </c>
    </row>
    <row r="2241" spans="1:12" x14ac:dyDescent="0.25">
      <c r="A2241">
        <v>2240</v>
      </c>
      <c r="B2241" t="s">
        <v>4205</v>
      </c>
      <c r="C2241">
        <v>0</v>
      </c>
      <c r="J2241">
        <v>2240</v>
      </c>
      <c r="K2241" t="s">
        <v>4205</v>
      </c>
      <c r="L2241">
        <v>0</v>
      </c>
    </row>
    <row r="2242" spans="1:12" x14ac:dyDescent="0.25">
      <c r="A2242">
        <v>2241</v>
      </c>
      <c r="B2242" t="s">
        <v>4206</v>
      </c>
      <c r="C2242">
        <v>0</v>
      </c>
      <c r="J2242">
        <v>2241</v>
      </c>
      <c r="K2242" t="s">
        <v>4206</v>
      </c>
      <c r="L2242">
        <v>0</v>
      </c>
    </row>
    <row r="2243" spans="1:12" x14ac:dyDescent="0.25">
      <c r="A2243">
        <v>2242</v>
      </c>
      <c r="B2243" t="s">
        <v>4207</v>
      </c>
      <c r="C2243">
        <v>0</v>
      </c>
      <c r="J2243">
        <v>2242</v>
      </c>
      <c r="K2243" t="s">
        <v>4207</v>
      </c>
      <c r="L2243">
        <v>0</v>
      </c>
    </row>
    <row r="2244" spans="1:12" x14ac:dyDescent="0.25">
      <c r="A2244">
        <v>2243</v>
      </c>
      <c r="B2244" t="s">
        <v>4208</v>
      </c>
      <c r="C2244">
        <v>0</v>
      </c>
      <c r="J2244">
        <v>2243</v>
      </c>
      <c r="K2244" t="s">
        <v>4208</v>
      </c>
      <c r="L2244">
        <v>0</v>
      </c>
    </row>
    <row r="2245" spans="1:12" x14ac:dyDescent="0.25">
      <c r="A2245">
        <v>2244</v>
      </c>
      <c r="B2245" t="s">
        <v>4209</v>
      </c>
      <c r="C2245">
        <v>0</v>
      </c>
      <c r="J2245">
        <v>2244</v>
      </c>
      <c r="K2245" t="s">
        <v>4209</v>
      </c>
      <c r="L2245">
        <v>0</v>
      </c>
    </row>
    <row r="2246" spans="1:12" x14ac:dyDescent="0.25">
      <c r="A2246">
        <v>2245</v>
      </c>
      <c r="B2246" t="s">
        <v>4210</v>
      </c>
      <c r="C2246">
        <v>0</v>
      </c>
      <c r="J2246">
        <v>2245</v>
      </c>
      <c r="K2246" t="s">
        <v>4210</v>
      </c>
      <c r="L2246">
        <v>0</v>
      </c>
    </row>
    <row r="2247" spans="1:12" x14ac:dyDescent="0.25">
      <c r="A2247">
        <v>2246</v>
      </c>
      <c r="B2247" t="s">
        <v>4211</v>
      </c>
      <c r="C2247">
        <v>0</v>
      </c>
      <c r="J2247">
        <v>2246</v>
      </c>
      <c r="K2247" t="s">
        <v>4211</v>
      </c>
      <c r="L2247">
        <v>0</v>
      </c>
    </row>
    <row r="2248" spans="1:12" x14ac:dyDescent="0.25">
      <c r="A2248">
        <v>2247</v>
      </c>
      <c r="B2248" t="s">
        <v>4212</v>
      </c>
      <c r="C2248">
        <v>0</v>
      </c>
      <c r="J2248">
        <v>2247</v>
      </c>
      <c r="K2248" t="s">
        <v>4212</v>
      </c>
      <c r="L2248">
        <v>0</v>
      </c>
    </row>
    <row r="2249" spans="1:12" x14ac:dyDescent="0.25">
      <c r="A2249">
        <v>2248</v>
      </c>
      <c r="B2249" t="s">
        <v>4213</v>
      </c>
      <c r="C2249">
        <v>0</v>
      </c>
      <c r="J2249">
        <v>2248</v>
      </c>
      <c r="K2249" t="s">
        <v>4213</v>
      </c>
      <c r="L2249">
        <v>0</v>
      </c>
    </row>
    <row r="2250" spans="1:12" x14ac:dyDescent="0.25">
      <c r="A2250">
        <v>2249</v>
      </c>
      <c r="B2250" t="s">
        <v>4214</v>
      </c>
      <c r="C2250">
        <v>0</v>
      </c>
      <c r="J2250">
        <v>2249</v>
      </c>
      <c r="K2250" t="s">
        <v>4214</v>
      </c>
      <c r="L2250">
        <v>0</v>
      </c>
    </row>
    <row r="2251" spans="1:12" x14ac:dyDescent="0.25">
      <c r="A2251">
        <v>2250</v>
      </c>
      <c r="B2251" t="s">
        <v>4215</v>
      </c>
      <c r="C2251">
        <v>0</v>
      </c>
      <c r="J2251">
        <v>2250</v>
      </c>
      <c r="K2251" t="s">
        <v>4215</v>
      </c>
      <c r="L2251">
        <v>0</v>
      </c>
    </row>
    <row r="2252" spans="1:12" x14ac:dyDescent="0.25">
      <c r="A2252">
        <v>2251</v>
      </c>
      <c r="B2252" t="s">
        <v>4216</v>
      </c>
      <c r="C2252">
        <v>0</v>
      </c>
      <c r="J2252">
        <v>2251</v>
      </c>
      <c r="K2252" t="s">
        <v>4216</v>
      </c>
      <c r="L2252">
        <v>0</v>
      </c>
    </row>
    <row r="2253" spans="1:12" x14ac:dyDescent="0.25">
      <c r="A2253">
        <v>2252</v>
      </c>
      <c r="B2253" t="s">
        <v>4217</v>
      </c>
      <c r="C2253">
        <v>0</v>
      </c>
      <c r="J2253">
        <v>2252</v>
      </c>
      <c r="K2253" t="s">
        <v>4217</v>
      </c>
      <c r="L2253">
        <v>0</v>
      </c>
    </row>
    <row r="2254" spans="1:12" x14ac:dyDescent="0.25">
      <c r="A2254">
        <v>2253</v>
      </c>
      <c r="B2254" t="s">
        <v>4218</v>
      </c>
      <c r="C2254">
        <v>0</v>
      </c>
      <c r="J2254">
        <v>2253</v>
      </c>
      <c r="K2254" t="s">
        <v>4218</v>
      </c>
      <c r="L2254">
        <v>0</v>
      </c>
    </row>
    <row r="2255" spans="1:12" x14ac:dyDescent="0.25">
      <c r="A2255">
        <v>2254</v>
      </c>
      <c r="B2255" t="s">
        <v>4219</v>
      </c>
      <c r="C2255">
        <v>0</v>
      </c>
      <c r="J2255">
        <v>2254</v>
      </c>
      <c r="K2255" t="s">
        <v>4219</v>
      </c>
      <c r="L2255">
        <v>0</v>
      </c>
    </row>
    <row r="2256" spans="1:12" x14ac:dyDescent="0.25">
      <c r="A2256">
        <v>2255</v>
      </c>
      <c r="B2256" t="s">
        <v>4220</v>
      </c>
      <c r="C2256">
        <v>0</v>
      </c>
      <c r="J2256">
        <v>2255</v>
      </c>
      <c r="K2256" t="s">
        <v>4220</v>
      </c>
      <c r="L2256">
        <v>0</v>
      </c>
    </row>
    <row r="2257" spans="1:12" x14ac:dyDescent="0.25">
      <c r="A2257">
        <v>2256</v>
      </c>
      <c r="B2257" t="s">
        <v>4221</v>
      </c>
      <c r="C2257">
        <v>0</v>
      </c>
      <c r="J2257">
        <v>2256</v>
      </c>
      <c r="K2257" t="s">
        <v>4221</v>
      </c>
      <c r="L2257">
        <v>0</v>
      </c>
    </row>
    <row r="2258" spans="1:12" x14ac:dyDescent="0.25">
      <c r="A2258">
        <v>2257</v>
      </c>
      <c r="B2258" t="s">
        <v>4222</v>
      </c>
      <c r="C2258">
        <v>0</v>
      </c>
      <c r="J2258">
        <v>2257</v>
      </c>
      <c r="K2258" t="s">
        <v>4222</v>
      </c>
      <c r="L2258">
        <v>0</v>
      </c>
    </row>
    <row r="2259" spans="1:12" x14ac:dyDescent="0.25">
      <c r="A2259">
        <v>2258</v>
      </c>
      <c r="B2259" t="s">
        <v>4223</v>
      </c>
      <c r="C2259">
        <v>0</v>
      </c>
      <c r="J2259">
        <v>2258</v>
      </c>
      <c r="K2259" t="s">
        <v>4223</v>
      </c>
      <c r="L2259">
        <v>0</v>
      </c>
    </row>
    <row r="2260" spans="1:12" x14ac:dyDescent="0.25">
      <c r="A2260">
        <v>2259</v>
      </c>
      <c r="B2260" t="s">
        <v>4224</v>
      </c>
      <c r="C2260">
        <v>0</v>
      </c>
      <c r="J2260">
        <v>2259</v>
      </c>
      <c r="K2260" t="s">
        <v>4224</v>
      </c>
      <c r="L2260">
        <v>0</v>
      </c>
    </row>
    <row r="2261" spans="1:12" x14ac:dyDescent="0.25">
      <c r="A2261">
        <v>2260</v>
      </c>
      <c r="B2261" t="s">
        <v>4225</v>
      </c>
      <c r="C2261">
        <v>0</v>
      </c>
      <c r="J2261">
        <v>2260</v>
      </c>
      <c r="K2261" t="s">
        <v>4225</v>
      </c>
      <c r="L2261">
        <v>0</v>
      </c>
    </row>
    <row r="2262" spans="1:12" x14ac:dyDescent="0.25">
      <c r="A2262">
        <v>2261</v>
      </c>
      <c r="B2262" t="s">
        <v>4226</v>
      </c>
      <c r="C2262">
        <v>0</v>
      </c>
      <c r="J2262">
        <v>2261</v>
      </c>
      <c r="K2262" t="s">
        <v>4226</v>
      </c>
      <c r="L2262">
        <v>0</v>
      </c>
    </row>
    <row r="2263" spans="1:12" x14ac:dyDescent="0.25">
      <c r="A2263">
        <v>2262</v>
      </c>
      <c r="B2263" t="s">
        <v>4227</v>
      </c>
      <c r="C2263">
        <v>0</v>
      </c>
      <c r="J2263">
        <v>2262</v>
      </c>
      <c r="K2263" t="s">
        <v>4227</v>
      </c>
      <c r="L2263">
        <v>0</v>
      </c>
    </row>
    <row r="2264" spans="1:12" x14ac:dyDescent="0.25">
      <c r="A2264">
        <v>2263</v>
      </c>
      <c r="B2264" t="s">
        <v>4228</v>
      </c>
      <c r="C2264">
        <v>0</v>
      </c>
      <c r="J2264">
        <v>2263</v>
      </c>
      <c r="K2264" t="s">
        <v>4228</v>
      </c>
      <c r="L2264">
        <v>0</v>
      </c>
    </row>
    <row r="2265" spans="1:12" x14ac:dyDescent="0.25">
      <c r="A2265">
        <v>2264</v>
      </c>
      <c r="B2265" t="s">
        <v>4229</v>
      </c>
      <c r="C2265">
        <v>0</v>
      </c>
      <c r="J2265">
        <v>2264</v>
      </c>
      <c r="K2265" t="s">
        <v>4229</v>
      </c>
      <c r="L2265">
        <v>0</v>
      </c>
    </row>
    <row r="2266" spans="1:12" x14ac:dyDescent="0.25">
      <c r="A2266">
        <v>2265</v>
      </c>
      <c r="B2266" t="s">
        <v>4230</v>
      </c>
      <c r="C2266">
        <v>0</v>
      </c>
      <c r="J2266">
        <v>2265</v>
      </c>
      <c r="K2266" t="s">
        <v>4230</v>
      </c>
      <c r="L2266">
        <v>0</v>
      </c>
    </row>
    <row r="2267" spans="1:12" x14ac:dyDescent="0.25">
      <c r="A2267">
        <v>2266</v>
      </c>
      <c r="B2267" t="s">
        <v>4231</v>
      </c>
      <c r="C2267">
        <v>0</v>
      </c>
      <c r="J2267">
        <v>2266</v>
      </c>
      <c r="K2267" t="s">
        <v>4231</v>
      </c>
      <c r="L2267">
        <v>0</v>
      </c>
    </row>
    <row r="2268" spans="1:12" x14ac:dyDescent="0.25">
      <c r="A2268">
        <v>2267</v>
      </c>
      <c r="B2268" t="s">
        <v>4232</v>
      </c>
      <c r="C2268">
        <v>0</v>
      </c>
      <c r="J2268">
        <v>2267</v>
      </c>
      <c r="K2268" t="s">
        <v>4232</v>
      </c>
      <c r="L2268">
        <v>0</v>
      </c>
    </row>
    <row r="2269" spans="1:12" x14ac:dyDescent="0.25">
      <c r="A2269">
        <v>2268</v>
      </c>
      <c r="B2269" t="s">
        <v>4233</v>
      </c>
      <c r="C2269">
        <v>0</v>
      </c>
      <c r="J2269">
        <v>2268</v>
      </c>
      <c r="K2269" t="s">
        <v>4233</v>
      </c>
      <c r="L2269">
        <v>0</v>
      </c>
    </row>
    <row r="2270" spans="1:12" x14ac:dyDescent="0.25">
      <c r="A2270">
        <v>2269</v>
      </c>
      <c r="B2270" t="s">
        <v>4234</v>
      </c>
      <c r="C2270">
        <v>0</v>
      </c>
      <c r="J2270">
        <v>2269</v>
      </c>
      <c r="K2270" t="s">
        <v>4234</v>
      </c>
      <c r="L2270">
        <v>0</v>
      </c>
    </row>
    <row r="2271" spans="1:12" x14ac:dyDescent="0.25">
      <c r="A2271">
        <v>2270</v>
      </c>
      <c r="B2271" t="s">
        <v>4235</v>
      </c>
      <c r="C2271">
        <v>0</v>
      </c>
      <c r="J2271">
        <v>2270</v>
      </c>
      <c r="K2271" t="s">
        <v>4235</v>
      </c>
      <c r="L2271">
        <v>0</v>
      </c>
    </row>
    <row r="2272" spans="1:12" x14ac:dyDescent="0.25">
      <c r="A2272">
        <v>2271</v>
      </c>
      <c r="B2272" t="s">
        <v>4236</v>
      </c>
      <c r="C2272">
        <v>0</v>
      </c>
      <c r="J2272">
        <v>2271</v>
      </c>
      <c r="K2272" t="s">
        <v>4236</v>
      </c>
      <c r="L2272">
        <v>0</v>
      </c>
    </row>
    <row r="2273" spans="1:12" x14ac:dyDescent="0.25">
      <c r="A2273">
        <v>2272</v>
      </c>
      <c r="B2273" t="s">
        <v>4237</v>
      </c>
      <c r="C2273">
        <v>0</v>
      </c>
      <c r="J2273">
        <v>2272</v>
      </c>
      <c r="K2273" t="s">
        <v>4237</v>
      </c>
      <c r="L2273">
        <v>0</v>
      </c>
    </row>
    <row r="2274" spans="1:12" x14ac:dyDescent="0.25">
      <c r="A2274">
        <v>2273</v>
      </c>
      <c r="B2274" t="s">
        <v>4238</v>
      </c>
      <c r="C2274">
        <v>0</v>
      </c>
      <c r="J2274">
        <v>2273</v>
      </c>
      <c r="K2274" t="s">
        <v>4238</v>
      </c>
      <c r="L2274">
        <v>0</v>
      </c>
    </row>
    <row r="2275" spans="1:12" x14ac:dyDescent="0.25">
      <c r="A2275">
        <v>2274</v>
      </c>
      <c r="B2275" t="s">
        <v>4239</v>
      </c>
      <c r="C2275">
        <v>0</v>
      </c>
      <c r="J2275">
        <v>2274</v>
      </c>
      <c r="K2275" t="s">
        <v>4239</v>
      </c>
      <c r="L2275">
        <v>0</v>
      </c>
    </row>
    <row r="2276" spans="1:12" x14ac:dyDescent="0.25">
      <c r="A2276">
        <v>2275</v>
      </c>
      <c r="B2276" t="s">
        <v>4240</v>
      </c>
      <c r="C2276">
        <v>0</v>
      </c>
      <c r="J2276">
        <v>2275</v>
      </c>
      <c r="K2276" t="s">
        <v>4240</v>
      </c>
      <c r="L2276">
        <v>0</v>
      </c>
    </row>
    <row r="2277" spans="1:12" x14ac:dyDescent="0.25">
      <c r="A2277">
        <v>2276</v>
      </c>
      <c r="B2277" t="s">
        <v>4241</v>
      </c>
      <c r="C2277">
        <v>0</v>
      </c>
      <c r="J2277">
        <v>2276</v>
      </c>
      <c r="K2277" t="s">
        <v>4241</v>
      </c>
      <c r="L2277">
        <v>0</v>
      </c>
    </row>
    <row r="2278" spans="1:12" x14ac:dyDescent="0.25">
      <c r="A2278">
        <v>2277</v>
      </c>
      <c r="B2278" t="s">
        <v>4242</v>
      </c>
      <c r="C2278">
        <v>0</v>
      </c>
      <c r="J2278">
        <v>2277</v>
      </c>
      <c r="K2278" t="s">
        <v>4242</v>
      </c>
      <c r="L2278">
        <v>0</v>
      </c>
    </row>
    <row r="2279" spans="1:12" x14ac:dyDescent="0.25">
      <c r="A2279">
        <v>2278</v>
      </c>
      <c r="B2279" t="s">
        <v>4243</v>
      </c>
      <c r="C2279">
        <v>0</v>
      </c>
      <c r="J2279">
        <v>2278</v>
      </c>
      <c r="K2279" t="s">
        <v>4243</v>
      </c>
      <c r="L2279">
        <v>0</v>
      </c>
    </row>
    <row r="2280" spans="1:12" x14ac:dyDescent="0.25">
      <c r="A2280">
        <v>2279</v>
      </c>
      <c r="B2280" t="s">
        <v>4244</v>
      </c>
      <c r="C2280">
        <v>0</v>
      </c>
      <c r="J2280">
        <v>2279</v>
      </c>
      <c r="K2280" t="s">
        <v>4244</v>
      </c>
      <c r="L2280">
        <v>0</v>
      </c>
    </row>
    <row r="2281" spans="1:12" x14ac:dyDescent="0.25">
      <c r="A2281">
        <v>2280</v>
      </c>
      <c r="B2281" t="s">
        <v>4245</v>
      </c>
      <c r="C2281">
        <v>0</v>
      </c>
      <c r="J2281">
        <v>2280</v>
      </c>
      <c r="K2281" t="s">
        <v>4245</v>
      </c>
      <c r="L2281">
        <v>0</v>
      </c>
    </row>
    <row r="2282" spans="1:12" x14ac:dyDescent="0.25">
      <c r="A2282">
        <v>2281</v>
      </c>
      <c r="B2282" t="s">
        <v>4246</v>
      </c>
      <c r="C2282">
        <v>0</v>
      </c>
      <c r="J2282">
        <v>2281</v>
      </c>
      <c r="K2282" t="s">
        <v>4246</v>
      </c>
      <c r="L2282">
        <v>0</v>
      </c>
    </row>
    <row r="2283" spans="1:12" x14ac:dyDescent="0.25">
      <c r="A2283">
        <v>2282</v>
      </c>
      <c r="B2283" t="s">
        <v>4247</v>
      </c>
      <c r="C2283">
        <v>0</v>
      </c>
      <c r="J2283">
        <v>2282</v>
      </c>
      <c r="K2283" t="s">
        <v>4247</v>
      </c>
      <c r="L2283">
        <v>0</v>
      </c>
    </row>
    <row r="2284" spans="1:12" x14ac:dyDescent="0.25">
      <c r="A2284">
        <v>2283</v>
      </c>
      <c r="B2284" t="s">
        <v>4248</v>
      </c>
      <c r="C2284">
        <v>0</v>
      </c>
      <c r="J2284">
        <v>2283</v>
      </c>
      <c r="K2284" t="s">
        <v>4248</v>
      </c>
      <c r="L2284">
        <v>0</v>
      </c>
    </row>
    <row r="2285" spans="1:12" x14ac:dyDescent="0.25">
      <c r="A2285">
        <v>2284</v>
      </c>
      <c r="B2285" t="s">
        <v>4249</v>
      </c>
      <c r="C2285">
        <v>0</v>
      </c>
      <c r="J2285">
        <v>2284</v>
      </c>
      <c r="K2285" t="s">
        <v>4249</v>
      </c>
      <c r="L2285">
        <v>0</v>
      </c>
    </row>
    <row r="2286" spans="1:12" x14ac:dyDescent="0.25">
      <c r="A2286">
        <v>2285</v>
      </c>
      <c r="B2286" t="s">
        <v>4250</v>
      </c>
      <c r="C2286">
        <v>0</v>
      </c>
      <c r="J2286">
        <v>2285</v>
      </c>
      <c r="K2286" t="s">
        <v>4250</v>
      </c>
      <c r="L2286">
        <v>0</v>
      </c>
    </row>
    <row r="2287" spans="1:12" x14ac:dyDescent="0.25">
      <c r="A2287">
        <v>2286</v>
      </c>
      <c r="B2287" t="s">
        <v>4251</v>
      </c>
      <c r="C2287">
        <v>0</v>
      </c>
      <c r="J2287">
        <v>2286</v>
      </c>
      <c r="K2287" t="s">
        <v>4251</v>
      </c>
      <c r="L2287">
        <v>0</v>
      </c>
    </row>
    <row r="2288" spans="1:12" x14ac:dyDescent="0.25">
      <c r="A2288">
        <v>2287</v>
      </c>
      <c r="B2288" t="s">
        <v>4252</v>
      </c>
      <c r="C2288">
        <v>0</v>
      </c>
      <c r="J2288">
        <v>2287</v>
      </c>
      <c r="K2288" t="s">
        <v>4252</v>
      </c>
      <c r="L2288">
        <v>0</v>
      </c>
    </row>
    <row r="2289" spans="1:12" x14ac:dyDescent="0.25">
      <c r="A2289">
        <v>2288</v>
      </c>
      <c r="B2289" t="s">
        <v>4253</v>
      </c>
      <c r="C2289">
        <v>0</v>
      </c>
      <c r="J2289">
        <v>2288</v>
      </c>
      <c r="K2289" t="s">
        <v>4253</v>
      </c>
      <c r="L2289">
        <v>0</v>
      </c>
    </row>
    <row r="2290" spans="1:12" x14ac:dyDescent="0.25">
      <c r="A2290">
        <v>2289</v>
      </c>
      <c r="B2290" t="s">
        <v>4254</v>
      </c>
      <c r="C2290">
        <v>0</v>
      </c>
      <c r="J2290">
        <v>2289</v>
      </c>
      <c r="K2290" t="s">
        <v>4254</v>
      </c>
      <c r="L2290">
        <v>0</v>
      </c>
    </row>
    <row r="2291" spans="1:12" x14ac:dyDescent="0.25">
      <c r="A2291">
        <v>2290</v>
      </c>
      <c r="B2291" t="s">
        <v>4255</v>
      </c>
      <c r="C2291">
        <v>0</v>
      </c>
      <c r="J2291">
        <v>2290</v>
      </c>
      <c r="K2291" t="s">
        <v>4255</v>
      </c>
      <c r="L2291">
        <v>0</v>
      </c>
    </row>
    <row r="2292" spans="1:12" x14ac:dyDescent="0.25">
      <c r="A2292">
        <v>2291</v>
      </c>
      <c r="B2292" t="s">
        <v>4256</v>
      </c>
      <c r="C2292">
        <v>0</v>
      </c>
      <c r="J2292">
        <v>2291</v>
      </c>
      <c r="K2292" t="s">
        <v>4256</v>
      </c>
      <c r="L2292">
        <v>0</v>
      </c>
    </row>
    <row r="2293" spans="1:12" x14ac:dyDescent="0.25">
      <c r="A2293">
        <v>2292</v>
      </c>
      <c r="B2293" t="s">
        <v>4257</v>
      </c>
      <c r="C2293">
        <v>0</v>
      </c>
      <c r="J2293">
        <v>2292</v>
      </c>
      <c r="K2293" t="s">
        <v>4257</v>
      </c>
      <c r="L2293">
        <v>0</v>
      </c>
    </row>
    <row r="2294" spans="1:12" x14ac:dyDescent="0.25">
      <c r="A2294">
        <v>2293</v>
      </c>
      <c r="B2294" t="s">
        <v>4258</v>
      </c>
      <c r="C2294">
        <v>0</v>
      </c>
      <c r="J2294">
        <v>2293</v>
      </c>
      <c r="K2294" t="s">
        <v>4258</v>
      </c>
      <c r="L2294">
        <v>0</v>
      </c>
    </row>
    <row r="2295" spans="1:12" x14ac:dyDescent="0.25">
      <c r="A2295">
        <v>2294</v>
      </c>
      <c r="B2295" t="s">
        <v>4259</v>
      </c>
      <c r="C2295">
        <v>0</v>
      </c>
      <c r="J2295">
        <v>2294</v>
      </c>
      <c r="K2295" t="s">
        <v>4259</v>
      </c>
      <c r="L2295">
        <v>0</v>
      </c>
    </row>
    <row r="2296" spans="1:12" x14ac:dyDescent="0.25">
      <c r="A2296">
        <v>2295</v>
      </c>
      <c r="B2296" t="s">
        <v>4260</v>
      </c>
      <c r="C2296">
        <v>0</v>
      </c>
      <c r="J2296">
        <v>2295</v>
      </c>
      <c r="K2296" t="s">
        <v>4260</v>
      </c>
      <c r="L2296">
        <v>0</v>
      </c>
    </row>
    <row r="2297" spans="1:12" x14ac:dyDescent="0.25">
      <c r="A2297">
        <v>2296</v>
      </c>
      <c r="B2297" t="s">
        <v>4261</v>
      </c>
      <c r="C2297">
        <v>0</v>
      </c>
      <c r="J2297">
        <v>2296</v>
      </c>
      <c r="K2297" t="s">
        <v>4261</v>
      </c>
      <c r="L2297">
        <v>0</v>
      </c>
    </row>
    <row r="2298" spans="1:12" x14ac:dyDescent="0.25">
      <c r="A2298">
        <v>2297</v>
      </c>
      <c r="B2298" t="s">
        <v>4262</v>
      </c>
      <c r="C2298">
        <v>0</v>
      </c>
      <c r="J2298">
        <v>2297</v>
      </c>
      <c r="K2298" t="s">
        <v>4262</v>
      </c>
      <c r="L2298">
        <v>0</v>
      </c>
    </row>
    <row r="2299" spans="1:12" x14ac:dyDescent="0.25">
      <c r="A2299">
        <v>2298</v>
      </c>
      <c r="B2299" t="s">
        <v>4263</v>
      </c>
      <c r="C2299">
        <v>0</v>
      </c>
      <c r="J2299">
        <v>2298</v>
      </c>
      <c r="K2299" t="s">
        <v>4263</v>
      </c>
      <c r="L2299">
        <v>0</v>
      </c>
    </row>
    <row r="2300" spans="1:12" x14ac:dyDescent="0.25">
      <c r="A2300">
        <v>2299</v>
      </c>
      <c r="B2300" t="s">
        <v>4264</v>
      </c>
      <c r="C2300">
        <v>0</v>
      </c>
      <c r="J2300">
        <v>2299</v>
      </c>
      <c r="K2300" t="s">
        <v>4264</v>
      </c>
      <c r="L2300">
        <v>0</v>
      </c>
    </row>
    <row r="2301" spans="1:12" x14ac:dyDescent="0.25">
      <c r="A2301">
        <v>2300</v>
      </c>
      <c r="B2301" t="s">
        <v>4265</v>
      </c>
      <c r="C2301">
        <v>0</v>
      </c>
      <c r="J2301">
        <v>2300</v>
      </c>
      <c r="K2301" t="s">
        <v>4265</v>
      </c>
      <c r="L2301">
        <v>0</v>
      </c>
    </row>
    <row r="2302" spans="1:12" x14ac:dyDescent="0.25">
      <c r="A2302">
        <v>2301</v>
      </c>
      <c r="B2302" t="s">
        <v>4266</v>
      </c>
      <c r="C2302">
        <v>0</v>
      </c>
      <c r="J2302">
        <v>2301</v>
      </c>
      <c r="K2302" t="s">
        <v>4266</v>
      </c>
      <c r="L2302">
        <v>0</v>
      </c>
    </row>
    <row r="2303" spans="1:12" x14ac:dyDescent="0.25">
      <c r="A2303">
        <v>2302</v>
      </c>
      <c r="B2303" t="s">
        <v>4267</v>
      </c>
      <c r="C2303">
        <v>0</v>
      </c>
      <c r="J2303">
        <v>2302</v>
      </c>
      <c r="K2303" t="s">
        <v>4267</v>
      </c>
      <c r="L2303">
        <v>0</v>
      </c>
    </row>
    <row r="2304" spans="1:12" x14ac:dyDescent="0.25">
      <c r="A2304">
        <v>2303</v>
      </c>
      <c r="B2304" t="s">
        <v>4268</v>
      </c>
      <c r="C2304">
        <v>45</v>
      </c>
      <c r="J2304">
        <v>2303</v>
      </c>
      <c r="K2304" t="s">
        <v>4268</v>
      </c>
      <c r="L2304">
        <v>45</v>
      </c>
    </row>
    <row r="2305" spans="1:12" x14ac:dyDescent="0.25">
      <c r="A2305">
        <v>2304</v>
      </c>
      <c r="B2305" t="s">
        <v>4269</v>
      </c>
      <c r="C2305">
        <v>0</v>
      </c>
      <c r="J2305">
        <v>2304</v>
      </c>
      <c r="K2305" t="s">
        <v>4269</v>
      </c>
      <c r="L2305">
        <v>0</v>
      </c>
    </row>
    <row r="2306" spans="1:12" x14ac:dyDescent="0.25">
      <c r="A2306">
        <v>2305</v>
      </c>
      <c r="B2306" t="s">
        <v>4270</v>
      </c>
      <c r="C2306">
        <v>0</v>
      </c>
      <c r="J2306">
        <v>2305</v>
      </c>
      <c r="K2306" t="s">
        <v>4270</v>
      </c>
      <c r="L2306">
        <v>0</v>
      </c>
    </row>
    <row r="2307" spans="1:12" x14ac:dyDescent="0.25">
      <c r="A2307">
        <v>2306</v>
      </c>
      <c r="B2307" t="s">
        <v>4271</v>
      </c>
      <c r="C2307">
        <v>0</v>
      </c>
      <c r="J2307">
        <v>2306</v>
      </c>
      <c r="K2307" t="s">
        <v>4271</v>
      </c>
      <c r="L2307">
        <v>0</v>
      </c>
    </row>
    <row r="2308" spans="1:12" x14ac:dyDescent="0.25">
      <c r="A2308">
        <v>2307</v>
      </c>
      <c r="B2308" t="s">
        <v>4272</v>
      </c>
      <c r="C2308">
        <v>140</v>
      </c>
      <c r="J2308">
        <v>2307</v>
      </c>
      <c r="K2308" t="s">
        <v>4272</v>
      </c>
      <c r="L2308">
        <v>140</v>
      </c>
    </row>
    <row r="2309" spans="1:12" x14ac:dyDescent="0.25">
      <c r="A2309">
        <v>2308</v>
      </c>
      <c r="B2309" t="s">
        <v>4273</v>
      </c>
      <c r="C2309">
        <v>0</v>
      </c>
      <c r="J2309">
        <v>2308</v>
      </c>
      <c r="K2309" t="s">
        <v>4273</v>
      </c>
      <c r="L2309">
        <v>0</v>
      </c>
    </row>
    <row r="2310" spans="1:12" x14ac:dyDescent="0.25">
      <c r="A2310">
        <v>2309</v>
      </c>
      <c r="B2310" t="s">
        <v>4274</v>
      </c>
      <c r="C2310">
        <v>0</v>
      </c>
      <c r="J2310">
        <v>2309</v>
      </c>
      <c r="K2310" t="s">
        <v>4274</v>
      </c>
      <c r="L2310">
        <v>0</v>
      </c>
    </row>
    <row r="2311" spans="1:12" x14ac:dyDescent="0.25">
      <c r="A2311">
        <v>2310</v>
      </c>
      <c r="B2311" t="s">
        <v>4275</v>
      </c>
      <c r="C2311">
        <v>0</v>
      </c>
      <c r="J2311">
        <v>2310</v>
      </c>
      <c r="K2311" t="s">
        <v>4275</v>
      </c>
      <c r="L2311">
        <v>0</v>
      </c>
    </row>
    <row r="2312" spans="1:12" x14ac:dyDescent="0.25">
      <c r="A2312">
        <v>2311</v>
      </c>
      <c r="B2312" t="s">
        <v>4276</v>
      </c>
      <c r="C2312">
        <v>0</v>
      </c>
      <c r="J2312">
        <v>2311</v>
      </c>
      <c r="K2312" t="s">
        <v>4276</v>
      </c>
      <c r="L2312">
        <v>0</v>
      </c>
    </row>
    <row r="2313" spans="1:12" x14ac:dyDescent="0.25">
      <c r="A2313">
        <v>2312</v>
      </c>
      <c r="B2313" t="s">
        <v>4277</v>
      </c>
      <c r="C2313">
        <v>0</v>
      </c>
      <c r="J2313">
        <v>2312</v>
      </c>
      <c r="K2313" t="s">
        <v>4277</v>
      </c>
      <c r="L2313">
        <v>0</v>
      </c>
    </row>
    <row r="2314" spans="1:12" x14ac:dyDescent="0.25">
      <c r="A2314">
        <v>2313</v>
      </c>
      <c r="B2314" t="s">
        <v>4278</v>
      </c>
      <c r="C2314">
        <v>0</v>
      </c>
      <c r="J2314">
        <v>2313</v>
      </c>
      <c r="K2314" t="s">
        <v>4278</v>
      </c>
      <c r="L2314">
        <v>0</v>
      </c>
    </row>
    <row r="2315" spans="1:12" x14ac:dyDescent="0.25">
      <c r="A2315">
        <v>2314</v>
      </c>
      <c r="B2315" t="s">
        <v>4279</v>
      </c>
      <c r="C2315">
        <v>0</v>
      </c>
      <c r="J2315">
        <v>2314</v>
      </c>
      <c r="K2315" t="s">
        <v>4279</v>
      </c>
      <c r="L2315">
        <v>0</v>
      </c>
    </row>
    <row r="2316" spans="1:12" x14ac:dyDescent="0.25">
      <c r="A2316">
        <v>2315</v>
      </c>
      <c r="B2316" t="s">
        <v>4280</v>
      </c>
      <c r="C2316">
        <v>0</v>
      </c>
      <c r="J2316">
        <v>2315</v>
      </c>
      <c r="K2316" t="s">
        <v>4280</v>
      </c>
      <c r="L2316">
        <v>0</v>
      </c>
    </row>
    <row r="2317" spans="1:12" x14ac:dyDescent="0.25">
      <c r="A2317">
        <v>2316</v>
      </c>
      <c r="B2317" t="s">
        <v>4281</v>
      </c>
      <c r="C2317">
        <v>0</v>
      </c>
      <c r="J2317">
        <v>2316</v>
      </c>
      <c r="K2317" t="s">
        <v>4281</v>
      </c>
      <c r="L2317">
        <v>0</v>
      </c>
    </row>
    <row r="2318" spans="1:12" x14ac:dyDescent="0.25">
      <c r="A2318">
        <v>2317</v>
      </c>
      <c r="B2318" t="s">
        <v>4282</v>
      </c>
      <c r="C2318">
        <v>0</v>
      </c>
      <c r="J2318">
        <v>2317</v>
      </c>
      <c r="K2318" t="s">
        <v>4282</v>
      </c>
      <c r="L2318">
        <v>0</v>
      </c>
    </row>
    <row r="2319" spans="1:12" x14ac:dyDescent="0.25">
      <c r="A2319">
        <v>2318</v>
      </c>
      <c r="B2319" t="s">
        <v>4283</v>
      </c>
      <c r="C2319">
        <v>0</v>
      </c>
      <c r="J2319">
        <v>2318</v>
      </c>
      <c r="K2319" t="s">
        <v>4283</v>
      </c>
      <c r="L2319">
        <v>0</v>
      </c>
    </row>
    <row r="2320" spans="1:12" x14ac:dyDescent="0.25">
      <c r="A2320">
        <v>2319</v>
      </c>
      <c r="B2320" t="s">
        <v>4284</v>
      </c>
      <c r="C2320">
        <v>0</v>
      </c>
      <c r="J2320">
        <v>2319</v>
      </c>
      <c r="K2320" t="s">
        <v>4284</v>
      </c>
      <c r="L2320">
        <v>0</v>
      </c>
    </row>
    <row r="2321" spans="1:12" x14ac:dyDescent="0.25">
      <c r="A2321">
        <v>2320</v>
      </c>
      <c r="B2321" t="s">
        <v>4285</v>
      </c>
      <c r="C2321">
        <v>0</v>
      </c>
      <c r="J2321">
        <v>2320</v>
      </c>
      <c r="K2321" t="s">
        <v>4285</v>
      </c>
      <c r="L2321">
        <v>0</v>
      </c>
    </row>
    <row r="2322" spans="1:12" x14ac:dyDescent="0.25">
      <c r="A2322">
        <v>2321</v>
      </c>
      <c r="B2322" t="s">
        <v>4286</v>
      </c>
      <c r="C2322">
        <v>0</v>
      </c>
      <c r="J2322">
        <v>2321</v>
      </c>
      <c r="K2322" t="s">
        <v>4286</v>
      </c>
      <c r="L2322">
        <v>0</v>
      </c>
    </row>
    <row r="2323" spans="1:12" x14ac:dyDescent="0.25">
      <c r="A2323">
        <v>2322</v>
      </c>
      <c r="B2323" t="s">
        <v>4287</v>
      </c>
      <c r="C2323">
        <v>0</v>
      </c>
      <c r="J2323">
        <v>2322</v>
      </c>
      <c r="K2323" t="s">
        <v>4287</v>
      </c>
      <c r="L2323">
        <v>0</v>
      </c>
    </row>
    <row r="2324" spans="1:12" x14ac:dyDescent="0.25">
      <c r="A2324">
        <v>2323</v>
      </c>
      <c r="B2324" t="s">
        <v>4288</v>
      </c>
      <c r="C2324">
        <v>0</v>
      </c>
      <c r="J2324">
        <v>2323</v>
      </c>
      <c r="K2324" t="s">
        <v>4288</v>
      </c>
      <c r="L2324">
        <v>0</v>
      </c>
    </row>
    <row r="2325" spans="1:12" x14ac:dyDescent="0.25">
      <c r="A2325">
        <v>2324</v>
      </c>
      <c r="B2325" t="s">
        <v>4289</v>
      </c>
      <c r="C2325">
        <v>0</v>
      </c>
      <c r="J2325">
        <v>2324</v>
      </c>
      <c r="K2325" t="s">
        <v>4289</v>
      </c>
      <c r="L2325">
        <v>0</v>
      </c>
    </row>
    <row r="2326" spans="1:12" x14ac:dyDescent="0.25">
      <c r="A2326">
        <v>2325</v>
      </c>
      <c r="B2326" t="s">
        <v>4290</v>
      </c>
      <c r="C2326">
        <v>0</v>
      </c>
      <c r="J2326">
        <v>2325</v>
      </c>
      <c r="K2326" t="s">
        <v>4290</v>
      </c>
      <c r="L2326">
        <v>0</v>
      </c>
    </row>
    <row r="2327" spans="1:12" x14ac:dyDescent="0.25">
      <c r="A2327">
        <v>2326</v>
      </c>
      <c r="B2327" t="s">
        <v>4291</v>
      </c>
      <c r="C2327">
        <v>0</v>
      </c>
      <c r="J2327">
        <v>2326</v>
      </c>
      <c r="K2327" t="s">
        <v>4291</v>
      </c>
      <c r="L2327">
        <v>0</v>
      </c>
    </row>
    <row r="2328" spans="1:12" x14ac:dyDescent="0.25">
      <c r="A2328">
        <v>2327</v>
      </c>
      <c r="B2328" t="s">
        <v>4292</v>
      </c>
      <c r="C2328">
        <v>0</v>
      </c>
      <c r="J2328">
        <v>2327</v>
      </c>
      <c r="K2328" t="s">
        <v>4292</v>
      </c>
      <c r="L2328">
        <v>0</v>
      </c>
    </row>
    <row r="2329" spans="1:12" x14ac:dyDescent="0.25">
      <c r="A2329">
        <v>2328</v>
      </c>
      <c r="B2329" t="s">
        <v>4293</v>
      </c>
      <c r="C2329">
        <v>0</v>
      </c>
      <c r="J2329">
        <v>2328</v>
      </c>
      <c r="K2329" t="s">
        <v>4293</v>
      </c>
      <c r="L2329">
        <v>0</v>
      </c>
    </row>
    <row r="2330" spans="1:12" x14ac:dyDescent="0.25">
      <c r="A2330">
        <v>2329</v>
      </c>
      <c r="B2330" t="s">
        <v>4294</v>
      </c>
      <c r="C2330">
        <v>0</v>
      </c>
      <c r="J2330">
        <v>2329</v>
      </c>
      <c r="K2330" t="s">
        <v>4294</v>
      </c>
      <c r="L2330">
        <v>0</v>
      </c>
    </row>
    <row r="2331" spans="1:12" x14ac:dyDescent="0.25">
      <c r="A2331">
        <v>2330</v>
      </c>
      <c r="B2331" t="s">
        <v>4295</v>
      </c>
      <c r="C2331">
        <v>0</v>
      </c>
      <c r="J2331">
        <v>2330</v>
      </c>
      <c r="K2331" t="s">
        <v>4295</v>
      </c>
      <c r="L2331">
        <v>0</v>
      </c>
    </row>
    <row r="2332" spans="1:12" x14ac:dyDescent="0.25">
      <c r="A2332">
        <v>2331</v>
      </c>
      <c r="B2332" t="s">
        <v>4296</v>
      </c>
      <c r="C2332">
        <v>0</v>
      </c>
      <c r="J2332">
        <v>2331</v>
      </c>
      <c r="K2332" t="s">
        <v>4296</v>
      </c>
      <c r="L2332">
        <v>0</v>
      </c>
    </row>
    <row r="2333" spans="1:12" x14ac:dyDescent="0.25">
      <c r="A2333">
        <v>2332</v>
      </c>
      <c r="B2333" t="s">
        <v>4297</v>
      </c>
      <c r="C2333">
        <v>0</v>
      </c>
      <c r="J2333">
        <v>2332</v>
      </c>
      <c r="K2333" t="s">
        <v>4297</v>
      </c>
      <c r="L2333">
        <v>0</v>
      </c>
    </row>
    <row r="2334" spans="1:12" x14ac:dyDescent="0.25">
      <c r="A2334">
        <v>2333</v>
      </c>
      <c r="B2334" t="s">
        <v>4298</v>
      </c>
      <c r="C2334">
        <v>0</v>
      </c>
      <c r="J2334">
        <v>2333</v>
      </c>
      <c r="K2334" t="s">
        <v>4298</v>
      </c>
      <c r="L2334">
        <v>0</v>
      </c>
    </row>
    <row r="2335" spans="1:12" x14ac:dyDescent="0.25">
      <c r="A2335">
        <v>2334</v>
      </c>
      <c r="B2335" t="s">
        <v>4299</v>
      </c>
      <c r="C2335">
        <v>0</v>
      </c>
      <c r="J2335">
        <v>2334</v>
      </c>
      <c r="K2335" t="s">
        <v>4299</v>
      </c>
      <c r="L2335">
        <v>0</v>
      </c>
    </row>
    <row r="2336" spans="1:12" x14ac:dyDescent="0.25">
      <c r="A2336">
        <v>2335</v>
      </c>
      <c r="B2336" t="s">
        <v>4300</v>
      </c>
      <c r="C2336">
        <v>0</v>
      </c>
      <c r="J2336">
        <v>2335</v>
      </c>
      <c r="K2336" t="s">
        <v>4300</v>
      </c>
      <c r="L2336">
        <v>0</v>
      </c>
    </row>
    <row r="2337" spans="1:12" x14ac:dyDescent="0.25">
      <c r="A2337">
        <v>2336</v>
      </c>
      <c r="B2337" t="s">
        <v>4301</v>
      </c>
      <c r="C2337">
        <v>0</v>
      </c>
      <c r="J2337">
        <v>2336</v>
      </c>
      <c r="K2337" t="s">
        <v>4301</v>
      </c>
      <c r="L2337">
        <v>0</v>
      </c>
    </row>
    <row r="2338" spans="1:12" x14ac:dyDescent="0.25">
      <c r="A2338">
        <v>2337</v>
      </c>
      <c r="B2338" t="s">
        <v>4302</v>
      </c>
      <c r="C2338">
        <v>0</v>
      </c>
      <c r="J2338">
        <v>2337</v>
      </c>
      <c r="K2338" t="s">
        <v>4302</v>
      </c>
      <c r="L2338">
        <v>0</v>
      </c>
    </row>
    <row r="2339" spans="1:12" x14ac:dyDescent="0.25">
      <c r="A2339">
        <v>2338</v>
      </c>
      <c r="B2339" t="s">
        <v>4303</v>
      </c>
      <c r="C2339">
        <v>0</v>
      </c>
      <c r="J2339">
        <v>2338</v>
      </c>
      <c r="K2339" t="s">
        <v>4303</v>
      </c>
      <c r="L2339">
        <v>0</v>
      </c>
    </row>
    <row r="2340" spans="1:12" x14ac:dyDescent="0.25">
      <c r="A2340">
        <v>2339</v>
      </c>
      <c r="B2340" t="s">
        <v>4304</v>
      </c>
      <c r="C2340">
        <v>0</v>
      </c>
      <c r="J2340">
        <v>2339</v>
      </c>
      <c r="K2340" t="s">
        <v>4304</v>
      </c>
      <c r="L2340">
        <v>0</v>
      </c>
    </row>
    <row r="2341" spans="1:12" x14ac:dyDescent="0.25">
      <c r="A2341">
        <v>2340</v>
      </c>
      <c r="B2341" t="s">
        <v>4305</v>
      </c>
      <c r="C2341">
        <v>0</v>
      </c>
      <c r="J2341">
        <v>2340</v>
      </c>
      <c r="K2341" t="s">
        <v>4305</v>
      </c>
      <c r="L2341">
        <v>0</v>
      </c>
    </row>
    <row r="2342" spans="1:12" x14ac:dyDescent="0.25">
      <c r="A2342">
        <v>2341</v>
      </c>
      <c r="B2342" t="s">
        <v>4306</v>
      </c>
      <c r="C2342">
        <v>0</v>
      </c>
      <c r="J2342">
        <v>2341</v>
      </c>
      <c r="K2342" t="s">
        <v>4306</v>
      </c>
      <c r="L2342">
        <v>0</v>
      </c>
    </row>
    <row r="2343" spans="1:12" x14ac:dyDescent="0.25">
      <c r="A2343">
        <v>2342</v>
      </c>
      <c r="B2343" t="s">
        <v>4307</v>
      </c>
      <c r="C2343">
        <v>0</v>
      </c>
      <c r="J2343">
        <v>2342</v>
      </c>
      <c r="K2343" t="s">
        <v>4307</v>
      </c>
      <c r="L2343">
        <v>0</v>
      </c>
    </row>
    <row r="2344" spans="1:12" x14ac:dyDescent="0.25">
      <c r="A2344">
        <v>2343</v>
      </c>
      <c r="B2344" t="s">
        <v>4308</v>
      </c>
      <c r="C2344">
        <v>0</v>
      </c>
      <c r="J2344">
        <v>2343</v>
      </c>
      <c r="K2344" t="s">
        <v>4308</v>
      </c>
      <c r="L2344">
        <v>0</v>
      </c>
    </row>
    <row r="2345" spans="1:12" x14ac:dyDescent="0.25">
      <c r="A2345">
        <v>2344</v>
      </c>
      <c r="B2345" t="s">
        <v>4309</v>
      </c>
      <c r="C2345">
        <v>0</v>
      </c>
      <c r="J2345">
        <v>2344</v>
      </c>
      <c r="K2345" t="s">
        <v>4309</v>
      </c>
      <c r="L2345">
        <v>0</v>
      </c>
    </row>
    <row r="2346" spans="1:12" x14ac:dyDescent="0.25">
      <c r="A2346">
        <v>2345</v>
      </c>
      <c r="B2346" t="s">
        <v>4310</v>
      </c>
      <c r="C2346">
        <v>0</v>
      </c>
      <c r="J2346">
        <v>2345</v>
      </c>
      <c r="K2346" t="s">
        <v>4310</v>
      </c>
      <c r="L2346">
        <v>0</v>
      </c>
    </row>
    <row r="2347" spans="1:12" x14ac:dyDescent="0.25">
      <c r="A2347">
        <v>2346</v>
      </c>
      <c r="B2347" t="s">
        <v>4311</v>
      </c>
      <c r="C2347">
        <v>0</v>
      </c>
      <c r="J2347">
        <v>2346</v>
      </c>
      <c r="K2347" t="s">
        <v>4311</v>
      </c>
      <c r="L2347">
        <v>0</v>
      </c>
    </row>
    <row r="2348" spans="1:12" x14ac:dyDescent="0.25">
      <c r="A2348">
        <v>2347</v>
      </c>
      <c r="B2348" t="s">
        <v>4312</v>
      </c>
      <c r="C2348">
        <v>0</v>
      </c>
      <c r="J2348">
        <v>2347</v>
      </c>
      <c r="K2348" t="s">
        <v>4312</v>
      </c>
      <c r="L2348">
        <v>0</v>
      </c>
    </row>
    <row r="2349" spans="1:12" x14ac:dyDescent="0.25">
      <c r="A2349">
        <v>2348</v>
      </c>
      <c r="B2349" t="s">
        <v>4313</v>
      </c>
      <c r="C2349">
        <v>0</v>
      </c>
      <c r="J2349">
        <v>2348</v>
      </c>
      <c r="K2349" t="s">
        <v>4313</v>
      </c>
      <c r="L2349">
        <v>0</v>
      </c>
    </row>
    <row r="2350" spans="1:12" x14ac:dyDescent="0.25">
      <c r="A2350">
        <v>2349</v>
      </c>
      <c r="B2350" t="s">
        <v>4314</v>
      </c>
      <c r="C2350">
        <v>0</v>
      </c>
      <c r="J2350">
        <v>2349</v>
      </c>
      <c r="K2350" t="s">
        <v>4314</v>
      </c>
      <c r="L2350">
        <v>0</v>
      </c>
    </row>
    <row r="2351" spans="1:12" x14ac:dyDescent="0.25">
      <c r="A2351">
        <v>2350</v>
      </c>
      <c r="B2351" t="s">
        <v>4315</v>
      </c>
      <c r="C2351">
        <v>0</v>
      </c>
      <c r="J2351">
        <v>2350</v>
      </c>
      <c r="K2351" t="s">
        <v>4315</v>
      </c>
      <c r="L2351">
        <v>0</v>
      </c>
    </row>
    <row r="2352" spans="1:12" x14ac:dyDescent="0.25">
      <c r="A2352">
        <v>2351</v>
      </c>
      <c r="B2352" t="s">
        <v>4316</v>
      </c>
      <c r="C2352">
        <v>0</v>
      </c>
      <c r="J2352">
        <v>2351</v>
      </c>
      <c r="K2352" t="s">
        <v>4316</v>
      </c>
      <c r="L2352">
        <v>0</v>
      </c>
    </row>
    <row r="2353" spans="1:12" x14ac:dyDescent="0.25">
      <c r="A2353">
        <v>2352</v>
      </c>
      <c r="B2353" t="s">
        <v>4317</v>
      </c>
      <c r="C2353">
        <v>0</v>
      </c>
      <c r="J2353">
        <v>2352</v>
      </c>
      <c r="K2353" t="s">
        <v>4317</v>
      </c>
      <c r="L2353">
        <v>0</v>
      </c>
    </row>
    <row r="2354" spans="1:12" x14ac:dyDescent="0.25">
      <c r="A2354">
        <v>2353</v>
      </c>
      <c r="B2354" t="s">
        <v>4318</v>
      </c>
      <c r="C2354">
        <v>0</v>
      </c>
      <c r="J2354">
        <v>2353</v>
      </c>
      <c r="K2354" t="s">
        <v>4318</v>
      </c>
      <c r="L2354">
        <v>0</v>
      </c>
    </row>
    <row r="2355" spans="1:12" x14ac:dyDescent="0.25">
      <c r="A2355">
        <v>2354</v>
      </c>
      <c r="B2355" t="s">
        <v>4319</v>
      </c>
      <c r="C2355">
        <v>0</v>
      </c>
      <c r="J2355">
        <v>2354</v>
      </c>
      <c r="K2355" t="s">
        <v>4319</v>
      </c>
      <c r="L2355">
        <v>0</v>
      </c>
    </row>
    <row r="2356" spans="1:12" x14ac:dyDescent="0.25">
      <c r="A2356">
        <v>2355</v>
      </c>
      <c r="B2356" t="s">
        <v>4320</v>
      </c>
      <c r="C2356">
        <v>0</v>
      </c>
      <c r="J2356">
        <v>2355</v>
      </c>
      <c r="K2356" t="s">
        <v>4320</v>
      </c>
      <c r="L2356">
        <v>0</v>
      </c>
    </row>
    <row r="2357" spans="1:12" x14ac:dyDescent="0.25">
      <c r="A2357">
        <v>2356</v>
      </c>
      <c r="B2357" t="s">
        <v>4321</v>
      </c>
      <c r="C2357">
        <v>0</v>
      </c>
      <c r="J2357">
        <v>2356</v>
      </c>
      <c r="K2357" t="s">
        <v>4321</v>
      </c>
      <c r="L2357">
        <v>0</v>
      </c>
    </row>
    <row r="2358" spans="1:12" x14ac:dyDescent="0.25">
      <c r="A2358">
        <v>2357</v>
      </c>
      <c r="B2358" t="s">
        <v>4322</v>
      </c>
      <c r="C2358">
        <v>0</v>
      </c>
      <c r="J2358">
        <v>2357</v>
      </c>
      <c r="K2358" t="s">
        <v>4322</v>
      </c>
      <c r="L2358">
        <v>0</v>
      </c>
    </row>
    <row r="2359" spans="1:12" x14ac:dyDescent="0.25">
      <c r="A2359">
        <v>2358</v>
      </c>
      <c r="B2359" t="s">
        <v>4323</v>
      </c>
      <c r="C2359">
        <v>0</v>
      </c>
      <c r="J2359">
        <v>2358</v>
      </c>
      <c r="K2359" t="s">
        <v>4323</v>
      </c>
      <c r="L2359">
        <v>0</v>
      </c>
    </row>
    <row r="2360" spans="1:12" x14ac:dyDescent="0.25">
      <c r="A2360">
        <v>2359</v>
      </c>
      <c r="B2360" t="s">
        <v>4324</v>
      </c>
      <c r="C2360">
        <v>0</v>
      </c>
      <c r="J2360">
        <v>2359</v>
      </c>
      <c r="K2360" t="s">
        <v>4324</v>
      </c>
      <c r="L2360">
        <v>0</v>
      </c>
    </row>
    <row r="2361" spans="1:12" x14ac:dyDescent="0.25">
      <c r="A2361">
        <v>2360</v>
      </c>
      <c r="B2361" t="s">
        <v>4325</v>
      </c>
      <c r="C2361">
        <v>0</v>
      </c>
      <c r="J2361">
        <v>2360</v>
      </c>
      <c r="K2361" t="s">
        <v>4325</v>
      </c>
      <c r="L2361">
        <v>0</v>
      </c>
    </row>
    <row r="2362" spans="1:12" x14ac:dyDescent="0.25">
      <c r="A2362">
        <v>2361</v>
      </c>
      <c r="B2362" t="s">
        <v>4326</v>
      </c>
      <c r="C2362">
        <v>0</v>
      </c>
      <c r="J2362">
        <v>2361</v>
      </c>
      <c r="K2362" t="s">
        <v>4326</v>
      </c>
      <c r="L2362">
        <v>0</v>
      </c>
    </row>
    <row r="2363" spans="1:12" x14ac:dyDescent="0.25">
      <c r="A2363">
        <v>2362</v>
      </c>
      <c r="B2363" t="s">
        <v>4327</v>
      </c>
      <c r="C2363">
        <v>0</v>
      </c>
      <c r="J2363">
        <v>2362</v>
      </c>
      <c r="K2363" t="s">
        <v>4327</v>
      </c>
      <c r="L2363">
        <v>0</v>
      </c>
    </row>
    <row r="2364" spans="1:12" x14ac:dyDescent="0.25">
      <c r="A2364">
        <v>2363</v>
      </c>
      <c r="B2364" t="s">
        <v>4328</v>
      </c>
      <c r="C2364">
        <v>0</v>
      </c>
      <c r="J2364">
        <v>2363</v>
      </c>
      <c r="K2364" t="s">
        <v>4328</v>
      </c>
      <c r="L2364">
        <v>0</v>
      </c>
    </row>
    <row r="2365" spans="1:12" x14ac:dyDescent="0.25">
      <c r="A2365">
        <v>2364</v>
      </c>
      <c r="B2365" t="s">
        <v>4329</v>
      </c>
      <c r="C2365">
        <v>0</v>
      </c>
      <c r="J2365">
        <v>2364</v>
      </c>
      <c r="K2365" t="s">
        <v>4329</v>
      </c>
      <c r="L2365">
        <v>0</v>
      </c>
    </row>
    <row r="2366" spans="1:12" x14ac:dyDescent="0.25">
      <c r="A2366">
        <v>2365</v>
      </c>
      <c r="B2366" t="s">
        <v>4330</v>
      </c>
      <c r="C2366">
        <v>0</v>
      </c>
      <c r="J2366">
        <v>2365</v>
      </c>
      <c r="K2366" t="s">
        <v>4330</v>
      </c>
      <c r="L2366">
        <v>0</v>
      </c>
    </row>
    <row r="2367" spans="1:12" x14ac:dyDescent="0.25">
      <c r="A2367">
        <v>2366</v>
      </c>
      <c r="B2367" t="s">
        <v>4331</v>
      </c>
      <c r="C2367">
        <v>0</v>
      </c>
      <c r="J2367">
        <v>2366</v>
      </c>
      <c r="K2367" t="s">
        <v>4331</v>
      </c>
      <c r="L2367">
        <v>0</v>
      </c>
    </row>
    <row r="2368" spans="1:12" x14ac:dyDescent="0.25">
      <c r="A2368">
        <v>2367</v>
      </c>
      <c r="B2368" t="s">
        <v>4332</v>
      </c>
      <c r="C2368">
        <v>0</v>
      </c>
      <c r="J2368">
        <v>2367</v>
      </c>
      <c r="K2368" t="s">
        <v>4332</v>
      </c>
      <c r="L2368">
        <v>0</v>
      </c>
    </row>
    <row r="2369" spans="1:12" x14ac:dyDescent="0.25">
      <c r="A2369">
        <v>2368</v>
      </c>
      <c r="B2369" t="s">
        <v>4333</v>
      </c>
      <c r="C2369">
        <v>0</v>
      </c>
      <c r="J2369">
        <v>2368</v>
      </c>
      <c r="K2369" t="s">
        <v>4333</v>
      </c>
      <c r="L2369">
        <v>0</v>
      </c>
    </row>
    <row r="2370" spans="1:12" x14ac:dyDescent="0.25">
      <c r="A2370">
        <v>2369</v>
      </c>
      <c r="B2370" t="s">
        <v>4334</v>
      </c>
      <c r="C2370">
        <v>0</v>
      </c>
      <c r="J2370">
        <v>2369</v>
      </c>
      <c r="K2370" t="s">
        <v>4334</v>
      </c>
      <c r="L2370">
        <v>0</v>
      </c>
    </row>
    <row r="2371" spans="1:12" x14ac:dyDescent="0.25">
      <c r="A2371">
        <v>2370</v>
      </c>
      <c r="B2371" t="s">
        <v>4335</v>
      </c>
      <c r="C2371">
        <v>0</v>
      </c>
      <c r="J2371">
        <v>2370</v>
      </c>
      <c r="K2371" t="s">
        <v>4335</v>
      </c>
      <c r="L2371">
        <v>0</v>
      </c>
    </row>
    <row r="2372" spans="1:12" x14ac:dyDescent="0.25">
      <c r="A2372">
        <v>2371</v>
      </c>
      <c r="B2372" t="s">
        <v>4336</v>
      </c>
      <c r="C2372">
        <v>0</v>
      </c>
      <c r="J2372">
        <v>2371</v>
      </c>
      <c r="K2372" t="s">
        <v>4336</v>
      </c>
      <c r="L2372">
        <v>0</v>
      </c>
    </row>
    <row r="2373" spans="1:12" x14ac:dyDescent="0.25">
      <c r="A2373">
        <v>2372</v>
      </c>
      <c r="B2373" t="s">
        <v>4337</v>
      </c>
      <c r="C2373">
        <v>0</v>
      </c>
      <c r="J2373">
        <v>2372</v>
      </c>
      <c r="K2373" t="s">
        <v>4337</v>
      </c>
      <c r="L2373">
        <v>0</v>
      </c>
    </row>
    <row r="2374" spans="1:12" x14ac:dyDescent="0.25">
      <c r="A2374">
        <v>2373</v>
      </c>
      <c r="B2374" t="s">
        <v>4338</v>
      </c>
      <c r="C2374">
        <v>0</v>
      </c>
      <c r="J2374">
        <v>2373</v>
      </c>
      <c r="K2374" t="s">
        <v>4338</v>
      </c>
      <c r="L2374">
        <v>0</v>
      </c>
    </row>
    <row r="2375" spans="1:12" x14ac:dyDescent="0.25">
      <c r="A2375">
        <v>2374</v>
      </c>
      <c r="B2375" t="s">
        <v>4339</v>
      </c>
      <c r="C2375">
        <v>0</v>
      </c>
      <c r="J2375">
        <v>2374</v>
      </c>
      <c r="K2375" t="s">
        <v>4339</v>
      </c>
      <c r="L2375">
        <v>0</v>
      </c>
    </row>
    <row r="2376" spans="1:12" x14ac:dyDescent="0.25">
      <c r="A2376">
        <v>2375</v>
      </c>
      <c r="B2376" t="s">
        <v>4340</v>
      </c>
      <c r="C2376">
        <v>0</v>
      </c>
      <c r="J2376">
        <v>2375</v>
      </c>
      <c r="K2376" t="s">
        <v>4340</v>
      </c>
      <c r="L2376">
        <v>0</v>
      </c>
    </row>
    <row r="2377" spans="1:12" x14ac:dyDescent="0.25">
      <c r="A2377">
        <v>2376</v>
      </c>
      <c r="B2377" t="s">
        <v>4341</v>
      </c>
      <c r="C2377">
        <v>0</v>
      </c>
      <c r="J2377">
        <v>2376</v>
      </c>
      <c r="K2377" t="s">
        <v>4341</v>
      </c>
      <c r="L2377">
        <v>0</v>
      </c>
    </row>
    <row r="2378" spans="1:12" x14ac:dyDescent="0.25">
      <c r="A2378">
        <v>2377</v>
      </c>
      <c r="B2378" t="s">
        <v>4342</v>
      </c>
      <c r="C2378">
        <v>0</v>
      </c>
      <c r="J2378">
        <v>2377</v>
      </c>
      <c r="K2378" t="s">
        <v>4342</v>
      </c>
      <c r="L2378">
        <v>0</v>
      </c>
    </row>
    <row r="2379" spans="1:12" x14ac:dyDescent="0.25">
      <c r="A2379">
        <v>2378</v>
      </c>
      <c r="B2379" t="s">
        <v>4343</v>
      </c>
      <c r="C2379">
        <v>0</v>
      </c>
      <c r="J2379">
        <v>2378</v>
      </c>
      <c r="K2379" t="s">
        <v>4343</v>
      </c>
      <c r="L2379">
        <v>0</v>
      </c>
    </row>
    <row r="2380" spans="1:12" x14ac:dyDescent="0.25">
      <c r="A2380">
        <v>2379</v>
      </c>
      <c r="B2380" t="s">
        <v>4344</v>
      </c>
      <c r="C2380">
        <v>0</v>
      </c>
      <c r="J2380">
        <v>2379</v>
      </c>
      <c r="K2380" t="s">
        <v>4344</v>
      </c>
      <c r="L2380">
        <v>0</v>
      </c>
    </row>
    <row r="2381" spans="1:12" x14ac:dyDescent="0.25">
      <c r="A2381">
        <v>2380</v>
      </c>
      <c r="B2381" t="s">
        <v>4345</v>
      </c>
      <c r="C2381">
        <v>0</v>
      </c>
      <c r="J2381">
        <v>2380</v>
      </c>
      <c r="K2381" t="s">
        <v>4345</v>
      </c>
      <c r="L2381">
        <v>0</v>
      </c>
    </row>
    <row r="2382" spans="1:12" x14ac:dyDescent="0.25">
      <c r="A2382">
        <v>2381</v>
      </c>
      <c r="B2382" t="s">
        <v>4346</v>
      </c>
      <c r="C2382">
        <v>0</v>
      </c>
      <c r="J2382">
        <v>2381</v>
      </c>
      <c r="K2382" t="s">
        <v>4346</v>
      </c>
      <c r="L2382">
        <v>0</v>
      </c>
    </row>
    <row r="2383" spans="1:12" x14ac:dyDescent="0.25">
      <c r="A2383">
        <v>2382</v>
      </c>
      <c r="B2383" t="s">
        <v>4347</v>
      </c>
      <c r="C2383">
        <v>0</v>
      </c>
      <c r="J2383">
        <v>2382</v>
      </c>
      <c r="K2383" t="s">
        <v>4347</v>
      </c>
      <c r="L2383">
        <v>0</v>
      </c>
    </row>
    <row r="2384" spans="1:12" x14ac:dyDescent="0.25">
      <c r="A2384">
        <v>2383</v>
      </c>
      <c r="B2384" t="s">
        <v>4348</v>
      </c>
      <c r="C2384">
        <v>0</v>
      </c>
      <c r="J2384">
        <v>2383</v>
      </c>
      <c r="K2384" t="s">
        <v>4348</v>
      </c>
      <c r="L2384">
        <v>0</v>
      </c>
    </row>
    <row r="2385" spans="1:12" x14ac:dyDescent="0.25">
      <c r="A2385">
        <v>2384</v>
      </c>
      <c r="B2385" t="s">
        <v>4349</v>
      </c>
      <c r="C2385">
        <v>0</v>
      </c>
      <c r="J2385">
        <v>2384</v>
      </c>
      <c r="K2385" t="s">
        <v>4349</v>
      </c>
      <c r="L2385">
        <v>0</v>
      </c>
    </row>
    <row r="2386" spans="1:12" x14ac:dyDescent="0.25">
      <c r="A2386">
        <v>2385</v>
      </c>
      <c r="B2386" t="s">
        <v>4350</v>
      </c>
      <c r="C2386">
        <v>0</v>
      </c>
      <c r="J2386">
        <v>2385</v>
      </c>
      <c r="K2386" t="s">
        <v>4350</v>
      </c>
      <c r="L2386">
        <v>0</v>
      </c>
    </row>
    <row r="2387" spans="1:12" x14ac:dyDescent="0.25">
      <c r="A2387">
        <v>2386</v>
      </c>
      <c r="B2387" t="s">
        <v>4351</v>
      </c>
      <c r="C2387">
        <v>0</v>
      </c>
      <c r="J2387">
        <v>2386</v>
      </c>
      <c r="K2387" t="s">
        <v>4351</v>
      </c>
      <c r="L2387">
        <v>0</v>
      </c>
    </row>
    <row r="2388" spans="1:12" x14ac:dyDescent="0.25">
      <c r="A2388">
        <v>2387</v>
      </c>
      <c r="B2388" t="s">
        <v>4352</v>
      </c>
      <c r="C2388">
        <v>0</v>
      </c>
      <c r="J2388">
        <v>2387</v>
      </c>
      <c r="K2388" t="s">
        <v>4352</v>
      </c>
      <c r="L2388">
        <v>0</v>
      </c>
    </row>
    <row r="2389" spans="1:12" x14ac:dyDescent="0.25">
      <c r="A2389">
        <v>2388</v>
      </c>
      <c r="B2389" t="s">
        <v>4353</v>
      </c>
      <c r="C2389">
        <v>0</v>
      </c>
      <c r="J2389">
        <v>2388</v>
      </c>
      <c r="K2389" t="s">
        <v>4353</v>
      </c>
      <c r="L2389">
        <v>0</v>
      </c>
    </row>
    <row r="2390" spans="1:12" x14ac:dyDescent="0.25">
      <c r="A2390">
        <v>2389</v>
      </c>
      <c r="B2390" t="s">
        <v>4354</v>
      </c>
      <c r="C2390">
        <v>0</v>
      </c>
      <c r="J2390">
        <v>2389</v>
      </c>
      <c r="K2390" t="s">
        <v>4354</v>
      </c>
      <c r="L2390">
        <v>0</v>
      </c>
    </row>
    <row r="2391" spans="1:12" x14ac:dyDescent="0.25">
      <c r="A2391">
        <v>2390</v>
      </c>
      <c r="B2391" t="s">
        <v>4355</v>
      </c>
      <c r="C2391">
        <v>0</v>
      </c>
      <c r="J2391">
        <v>2390</v>
      </c>
      <c r="K2391" t="s">
        <v>4355</v>
      </c>
      <c r="L2391">
        <v>0</v>
      </c>
    </row>
    <row r="2392" spans="1:12" x14ac:dyDescent="0.25">
      <c r="A2392">
        <v>2391</v>
      </c>
      <c r="B2392" t="s">
        <v>4356</v>
      </c>
      <c r="C2392">
        <v>0</v>
      </c>
      <c r="J2392">
        <v>2391</v>
      </c>
      <c r="K2392" t="s">
        <v>4356</v>
      </c>
      <c r="L2392">
        <v>0</v>
      </c>
    </row>
    <row r="2393" spans="1:12" x14ac:dyDescent="0.25">
      <c r="A2393">
        <v>2392</v>
      </c>
      <c r="B2393" t="s">
        <v>4357</v>
      </c>
      <c r="C2393">
        <v>0</v>
      </c>
      <c r="J2393">
        <v>2392</v>
      </c>
      <c r="K2393" t="s">
        <v>4357</v>
      </c>
      <c r="L2393">
        <v>0</v>
      </c>
    </row>
    <row r="2394" spans="1:12" x14ac:dyDescent="0.25">
      <c r="A2394">
        <v>2393</v>
      </c>
      <c r="B2394" t="s">
        <v>4358</v>
      </c>
      <c r="C2394">
        <v>0</v>
      </c>
      <c r="J2394">
        <v>2393</v>
      </c>
      <c r="K2394" t="s">
        <v>4358</v>
      </c>
      <c r="L2394">
        <v>0</v>
      </c>
    </row>
    <row r="2395" spans="1:12" x14ac:dyDescent="0.25">
      <c r="A2395">
        <v>2394</v>
      </c>
      <c r="B2395" t="s">
        <v>4359</v>
      </c>
      <c r="C2395">
        <v>0</v>
      </c>
      <c r="J2395">
        <v>2394</v>
      </c>
      <c r="K2395" t="s">
        <v>4359</v>
      </c>
      <c r="L2395">
        <v>0</v>
      </c>
    </row>
    <row r="2396" spans="1:12" x14ac:dyDescent="0.25">
      <c r="A2396">
        <v>2395</v>
      </c>
      <c r="B2396" t="s">
        <v>4360</v>
      </c>
      <c r="C2396">
        <v>0</v>
      </c>
      <c r="J2396">
        <v>2395</v>
      </c>
      <c r="K2396" t="s">
        <v>4360</v>
      </c>
      <c r="L2396">
        <v>0</v>
      </c>
    </row>
    <row r="2397" spans="1:12" x14ac:dyDescent="0.25">
      <c r="A2397">
        <v>2396</v>
      </c>
      <c r="B2397" t="s">
        <v>4361</v>
      </c>
      <c r="C2397">
        <v>0</v>
      </c>
      <c r="J2397">
        <v>2396</v>
      </c>
      <c r="K2397" t="s">
        <v>4361</v>
      </c>
      <c r="L2397">
        <v>0</v>
      </c>
    </row>
    <row r="2398" spans="1:12" x14ac:dyDescent="0.25">
      <c r="A2398">
        <v>2397</v>
      </c>
      <c r="B2398" t="s">
        <v>4362</v>
      </c>
      <c r="C2398">
        <v>0</v>
      </c>
      <c r="J2398">
        <v>2397</v>
      </c>
      <c r="K2398" t="s">
        <v>4362</v>
      </c>
      <c r="L2398">
        <v>0</v>
      </c>
    </row>
    <row r="2399" spans="1:12" x14ac:dyDescent="0.25">
      <c r="A2399">
        <v>2398</v>
      </c>
      <c r="B2399" t="s">
        <v>4363</v>
      </c>
      <c r="C2399">
        <v>0</v>
      </c>
      <c r="J2399">
        <v>2398</v>
      </c>
      <c r="K2399" t="s">
        <v>4363</v>
      </c>
      <c r="L2399">
        <v>0</v>
      </c>
    </row>
    <row r="2400" spans="1:12" x14ac:dyDescent="0.25">
      <c r="A2400">
        <v>2399</v>
      </c>
      <c r="B2400" t="s">
        <v>4364</v>
      </c>
      <c r="C2400">
        <v>0</v>
      </c>
      <c r="J2400">
        <v>2399</v>
      </c>
      <c r="K2400" t="s">
        <v>4364</v>
      </c>
      <c r="L2400">
        <v>0</v>
      </c>
    </row>
    <row r="2401" spans="1:12" x14ac:dyDescent="0.25">
      <c r="A2401">
        <v>2400</v>
      </c>
      <c r="B2401" t="s">
        <v>4365</v>
      </c>
      <c r="C2401">
        <v>0</v>
      </c>
      <c r="J2401">
        <v>2400</v>
      </c>
      <c r="K2401" t="s">
        <v>4365</v>
      </c>
      <c r="L2401">
        <v>0</v>
      </c>
    </row>
    <row r="2402" spans="1:12" x14ac:dyDescent="0.25">
      <c r="A2402">
        <v>2401</v>
      </c>
      <c r="B2402" t="s">
        <v>4366</v>
      </c>
      <c r="C2402">
        <v>0</v>
      </c>
      <c r="J2402">
        <v>2401</v>
      </c>
      <c r="K2402" t="s">
        <v>4366</v>
      </c>
      <c r="L2402">
        <v>0</v>
      </c>
    </row>
    <row r="2403" spans="1:12" x14ac:dyDescent="0.25">
      <c r="A2403">
        <v>2402</v>
      </c>
      <c r="B2403" t="s">
        <v>4367</v>
      </c>
      <c r="C2403">
        <v>0</v>
      </c>
      <c r="J2403">
        <v>2402</v>
      </c>
      <c r="K2403" t="s">
        <v>4367</v>
      </c>
      <c r="L2403">
        <v>0</v>
      </c>
    </row>
    <row r="2404" spans="1:12" x14ac:dyDescent="0.25">
      <c r="A2404">
        <v>2403</v>
      </c>
      <c r="B2404" t="s">
        <v>4368</v>
      </c>
      <c r="C2404">
        <v>0</v>
      </c>
      <c r="J2404">
        <v>2403</v>
      </c>
      <c r="K2404" t="s">
        <v>4368</v>
      </c>
      <c r="L2404">
        <v>0</v>
      </c>
    </row>
    <row r="2405" spans="1:12" x14ac:dyDescent="0.25">
      <c r="A2405">
        <v>2404</v>
      </c>
      <c r="B2405" t="s">
        <v>4369</v>
      </c>
      <c r="C2405">
        <v>0</v>
      </c>
      <c r="J2405">
        <v>2404</v>
      </c>
      <c r="K2405" t="s">
        <v>4369</v>
      </c>
      <c r="L2405">
        <v>0</v>
      </c>
    </row>
    <row r="2406" spans="1:12" x14ac:dyDescent="0.25">
      <c r="A2406">
        <v>2405</v>
      </c>
      <c r="B2406" t="s">
        <v>4370</v>
      </c>
      <c r="C2406">
        <v>0</v>
      </c>
      <c r="J2406">
        <v>2405</v>
      </c>
      <c r="K2406" t="s">
        <v>4370</v>
      </c>
      <c r="L2406">
        <v>0</v>
      </c>
    </row>
    <row r="2407" spans="1:12" x14ac:dyDescent="0.25">
      <c r="A2407">
        <v>2406</v>
      </c>
      <c r="B2407" t="s">
        <v>4371</v>
      </c>
      <c r="C2407">
        <v>0</v>
      </c>
      <c r="J2407">
        <v>2406</v>
      </c>
      <c r="K2407" t="s">
        <v>4371</v>
      </c>
      <c r="L2407">
        <v>0</v>
      </c>
    </row>
    <row r="2408" spans="1:12" x14ac:dyDescent="0.25">
      <c r="A2408">
        <v>2407</v>
      </c>
      <c r="B2408" t="s">
        <v>4372</v>
      </c>
      <c r="C2408">
        <v>0</v>
      </c>
      <c r="J2408">
        <v>2407</v>
      </c>
      <c r="K2408" t="s">
        <v>4372</v>
      </c>
      <c r="L2408">
        <v>0</v>
      </c>
    </row>
    <row r="2409" spans="1:12" x14ac:dyDescent="0.25">
      <c r="A2409">
        <v>2408</v>
      </c>
      <c r="B2409" t="s">
        <v>4373</v>
      </c>
      <c r="C2409">
        <v>0</v>
      </c>
      <c r="J2409">
        <v>2408</v>
      </c>
      <c r="K2409" t="s">
        <v>4373</v>
      </c>
      <c r="L2409">
        <v>0</v>
      </c>
    </row>
    <row r="2410" spans="1:12" x14ac:dyDescent="0.25">
      <c r="A2410">
        <v>2409</v>
      </c>
      <c r="B2410" t="s">
        <v>4374</v>
      </c>
      <c r="C2410">
        <v>0</v>
      </c>
      <c r="J2410">
        <v>2409</v>
      </c>
      <c r="K2410" t="s">
        <v>4374</v>
      </c>
      <c r="L2410">
        <v>0</v>
      </c>
    </row>
    <row r="2411" spans="1:12" x14ac:dyDescent="0.25">
      <c r="A2411">
        <v>2410</v>
      </c>
      <c r="B2411" t="s">
        <v>4375</v>
      </c>
      <c r="C2411">
        <v>0</v>
      </c>
      <c r="J2411">
        <v>2410</v>
      </c>
      <c r="K2411" t="s">
        <v>4375</v>
      </c>
      <c r="L2411">
        <v>0</v>
      </c>
    </row>
    <row r="2412" spans="1:12" x14ac:dyDescent="0.25">
      <c r="A2412">
        <v>2411</v>
      </c>
      <c r="B2412" t="s">
        <v>4376</v>
      </c>
      <c r="C2412">
        <v>0</v>
      </c>
      <c r="J2412">
        <v>2411</v>
      </c>
      <c r="K2412" t="s">
        <v>4376</v>
      </c>
      <c r="L2412">
        <v>0</v>
      </c>
    </row>
    <row r="2413" spans="1:12" x14ac:dyDescent="0.25">
      <c r="A2413">
        <v>2412</v>
      </c>
      <c r="B2413" t="s">
        <v>4377</v>
      </c>
      <c r="C2413">
        <v>0</v>
      </c>
      <c r="J2413">
        <v>2412</v>
      </c>
      <c r="K2413" t="s">
        <v>4377</v>
      </c>
      <c r="L2413">
        <v>0</v>
      </c>
    </row>
    <row r="2414" spans="1:12" x14ac:dyDescent="0.25">
      <c r="A2414">
        <v>2413</v>
      </c>
      <c r="B2414" t="s">
        <v>4378</v>
      </c>
      <c r="C2414">
        <v>0</v>
      </c>
      <c r="J2414">
        <v>2413</v>
      </c>
      <c r="K2414" t="s">
        <v>4378</v>
      </c>
      <c r="L2414">
        <v>0</v>
      </c>
    </row>
    <row r="2415" spans="1:12" x14ac:dyDescent="0.25">
      <c r="A2415">
        <v>2414</v>
      </c>
      <c r="B2415" t="s">
        <v>4379</v>
      </c>
      <c r="C2415">
        <v>0</v>
      </c>
      <c r="J2415">
        <v>2414</v>
      </c>
      <c r="K2415" t="s">
        <v>4379</v>
      </c>
      <c r="L2415">
        <v>0</v>
      </c>
    </row>
    <row r="2416" spans="1:12" x14ac:dyDescent="0.25">
      <c r="A2416">
        <v>2415</v>
      </c>
      <c r="B2416" t="s">
        <v>4380</v>
      </c>
      <c r="C2416">
        <v>0</v>
      </c>
      <c r="J2416">
        <v>2415</v>
      </c>
      <c r="K2416" t="s">
        <v>4380</v>
      </c>
      <c r="L2416">
        <v>0</v>
      </c>
    </row>
    <row r="2417" spans="1:12" x14ac:dyDescent="0.25">
      <c r="A2417">
        <v>2416</v>
      </c>
      <c r="B2417" t="s">
        <v>4381</v>
      </c>
      <c r="C2417">
        <v>0</v>
      </c>
      <c r="J2417">
        <v>2416</v>
      </c>
      <c r="K2417" t="s">
        <v>4381</v>
      </c>
      <c r="L2417">
        <v>0</v>
      </c>
    </row>
    <row r="2418" spans="1:12" x14ac:dyDescent="0.25">
      <c r="A2418">
        <v>2417</v>
      </c>
      <c r="B2418" t="s">
        <v>4382</v>
      </c>
      <c r="C2418">
        <v>0</v>
      </c>
      <c r="J2418">
        <v>2417</v>
      </c>
      <c r="K2418" t="s">
        <v>4382</v>
      </c>
      <c r="L2418">
        <v>0</v>
      </c>
    </row>
    <row r="2419" spans="1:12" x14ac:dyDescent="0.25">
      <c r="A2419">
        <v>2418</v>
      </c>
      <c r="B2419" t="s">
        <v>4383</v>
      </c>
      <c r="C2419">
        <v>0</v>
      </c>
      <c r="J2419">
        <v>2418</v>
      </c>
      <c r="K2419" t="s">
        <v>4383</v>
      </c>
      <c r="L2419">
        <v>0</v>
      </c>
    </row>
    <row r="2420" spans="1:12" x14ac:dyDescent="0.25">
      <c r="A2420">
        <v>2419</v>
      </c>
      <c r="B2420" t="s">
        <v>4384</v>
      </c>
      <c r="C2420">
        <v>0</v>
      </c>
      <c r="J2420">
        <v>2419</v>
      </c>
      <c r="K2420" t="s">
        <v>4384</v>
      </c>
      <c r="L2420">
        <v>0</v>
      </c>
    </row>
    <row r="2421" spans="1:12" x14ac:dyDescent="0.25">
      <c r="A2421">
        <v>2420</v>
      </c>
      <c r="B2421" t="s">
        <v>4385</v>
      </c>
      <c r="C2421">
        <v>0</v>
      </c>
      <c r="J2421">
        <v>2420</v>
      </c>
      <c r="K2421" t="s">
        <v>4385</v>
      </c>
      <c r="L2421">
        <v>0</v>
      </c>
    </row>
    <row r="2422" spans="1:12" x14ac:dyDescent="0.25">
      <c r="A2422">
        <v>2421</v>
      </c>
      <c r="B2422" t="s">
        <v>4386</v>
      </c>
      <c r="C2422">
        <v>0</v>
      </c>
      <c r="J2422">
        <v>2421</v>
      </c>
      <c r="K2422" t="s">
        <v>4386</v>
      </c>
      <c r="L2422">
        <v>0</v>
      </c>
    </row>
    <row r="2423" spans="1:12" x14ac:dyDescent="0.25">
      <c r="A2423">
        <v>2422</v>
      </c>
      <c r="B2423" t="s">
        <v>4387</v>
      </c>
      <c r="C2423">
        <v>0</v>
      </c>
      <c r="J2423">
        <v>2422</v>
      </c>
      <c r="K2423" t="s">
        <v>4387</v>
      </c>
      <c r="L2423">
        <v>0</v>
      </c>
    </row>
    <row r="2424" spans="1:12" x14ac:dyDescent="0.25">
      <c r="A2424">
        <v>2423</v>
      </c>
      <c r="B2424" t="s">
        <v>4388</v>
      </c>
      <c r="C2424">
        <v>0</v>
      </c>
      <c r="J2424">
        <v>2423</v>
      </c>
      <c r="K2424" t="s">
        <v>4388</v>
      </c>
      <c r="L2424">
        <v>0</v>
      </c>
    </row>
    <row r="2425" spans="1:12" x14ac:dyDescent="0.25">
      <c r="A2425">
        <v>2424</v>
      </c>
      <c r="B2425" t="s">
        <v>4389</v>
      </c>
      <c r="C2425">
        <v>0</v>
      </c>
      <c r="J2425">
        <v>2424</v>
      </c>
      <c r="K2425" t="s">
        <v>4389</v>
      </c>
      <c r="L2425">
        <v>0</v>
      </c>
    </row>
    <row r="2426" spans="1:12" x14ac:dyDescent="0.25">
      <c r="A2426">
        <v>2425</v>
      </c>
      <c r="B2426" t="s">
        <v>4390</v>
      </c>
      <c r="C2426">
        <v>0</v>
      </c>
      <c r="J2426">
        <v>2425</v>
      </c>
      <c r="K2426" t="s">
        <v>4390</v>
      </c>
      <c r="L2426">
        <v>0</v>
      </c>
    </row>
    <row r="2427" spans="1:12" x14ac:dyDescent="0.25">
      <c r="A2427">
        <v>2426</v>
      </c>
      <c r="B2427" t="s">
        <v>4391</v>
      </c>
      <c r="C2427">
        <v>0</v>
      </c>
      <c r="J2427">
        <v>2426</v>
      </c>
      <c r="K2427" t="s">
        <v>4391</v>
      </c>
      <c r="L2427">
        <v>0</v>
      </c>
    </row>
    <row r="2428" spans="1:12" x14ac:dyDescent="0.25">
      <c r="A2428">
        <v>2427</v>
      </c>
      <c r="B2428" t="s">
        <v>4392</v>
      </c>
      <c r="C2428">
        <v>0</v>
      </c>
      <c r="J2428">
        <v>2427</v>
      </c>
      <c r="K2428" t="s">
        <v>4392</v>
      </c>
      <c r="L2428">
        <v>0</v>
      </c>
    </row>
    <row r="2429" spans="1:12" x14ac:dyDescent="0.25">
      <c r="A2429">
        <v>2428</v>
      </c>
      <c r="B2429" t="s">
        <v>4393</v>
      </c>
      <c r="C2429">
        <v>0</v>
      </c>
      <c r="J2429">
        <v>2428</v>
      </c>
      <c r="K2429" t="s">
        <v>4393</v>
      </c>
      <c r="L2429">
        <v>0</v>
      </c>
    </row>
    <row r="2430" spans="1:12" x14ac:dyDescent="0.25">
      <c r="A2430">
        <v>2429</v>
      </c>
      <c r="B2430" t="s">
        <v>4394</v>
      </c>
      <c r="C2430">
        <v>0</v>
      </c>
      <c r="J2430">
        <v>2429</v>
      </c>
      <c r="K2430" t="s">
        <v>4394</v>
      </c>
      <c r="L2430">
        <v>0</v>
      </c>
    </row>
    <row r="2431" spans="1:12" x14ac:dyDescent="0.25">
      <c r="A2431">
        <v>2430</v>
      </c>
      <c r="B2431" t="s">
        <v>4395</v>
      </c>
      <c r="C2431">
        <v>0</v>
      </c>
      <c r="J2431">
        <v>2430</v>
      </c>
      <c r="K2431" t="s">
        <v>4395</v>
      </c>
      <c r="L2431">
        <v>0</v>
      </c>
    </row>
    <row r="2432" spans="1:12" x14ac:dyDescent="0.25">
      <c r="A2432">
        <v>2431</v>
      </c>
      <c r="B2432" t="s">
        <v>4396</v>
      </c>
      <c r="C2432">
        <v>35</v>
      </c>
      <c r="J2432">
        <v>2431</v>
      </c>
      <c r="K2432" t="s">
        <v>4396</v>
      </c>
      <c r="L2432">
        <v>35</v>
      </c>
    </row>
    <row r="2433" spans="1:12" x14ac:dyDescent="0.25">
      <c r="A2433">
        <v>2432</v>
      </c>
      <c r="B2433" t="s">
        <v>4397</v>
      </c>
      <c r="C2433">
        <v>0</v>
      </c>
      <c r="J2433">
        <v>2432</v>
      </c>
      <c r="K2433" t="s">
        <v>4397</v>
      </c>
      <c r="L2433">
        <v>0</v>
      </c>
    </row>
    <row r="2434" spans="1:12" x14ac:dyDescent="0.25">
      <c r="A2434">
        <v>2433</v>
      </c>
      <c r="B2434" t="s">
        <v>4398</v>
      </c>
      <c r="C2434">
        <v>0</v>
      </c>
      <c r="J2434">
        <v>2433</v>
      </c>
      <c r="K2434" t="s">
        <v>4398</v>
      </c>
      <c r="L2434">
        <v>0</v>
      </c>
    </row>
    <row r="2435" spans="1:12" x14ac:dyDescent="0.25">
      <c r="A2435">
        <v>2434</v>
      </c>
      <c r="B2435" t="s">
        <v>4399</v>
      </c>
      <c r="C2435">
        <v>0</v>
      </c>
      <c r="J2435">
        <v>2434</v>
      </c>
      <c r="K2435" t="s">
        <v>4399</v>
      </c>
      <c r="L2435">
        <v>0</v>
      </c>
    </row>
    <row r="2436" spans="1:12" x14ac:dyDescent="0.25">
      <c r="A2436">
        <v>2435</v>
      </c>
      <c r="B2436" t="s">
        <v>4400</v>
      </c>
      <c r="C2436">
        <v>0</v>
      </c>
      <c r="J2436">
        <v>2435</v>
      </c>
      <c r="K2436" t="s">
        <v>4400</v>
      </c>
      <c r="L2436">
        <v>0</v>
      </c>
    </row>
    <row r="2437" spans="1:12" x14ac:dyDescent="0.25">
      <c r="A2437">
        <v>2436</v>
      </c>
      <c r="B2437" t="s">
        <v>4401</v>
      </c>
      <c r="C2437">
        <v>0</v>
      </c>
      <c r="J2437">
        <v>2436</v>
      </c>
      <c r="K2437" t="s">
        <v>4401</v>
      </c>
      <c r="L2437">
        <v>0</v>
      </c>
    </row>
    <row r="2438" spans="1:12" x14ac:dyDescent="0.25">
      <c r="A2438">
        <v>2437</v>
      </c>
      <c r="B2438" t="s">
        <v>4402</v>
      </c>
      <c r="C2438">
        <v>0</v>
      </c>
      <c r="J2438">
        <v>2437</v>
      </c>
      <c r="K2438" t="s">
        <v>4402</v>
      </c>
      <c r="L2438">
        <v>0</v>
      </c>
    </row>
    <row r="2439" spans="1:12" x14ac:dyDescent="0.25">
      <c r="A2439">
        <v>2438</v>
      </c>
      <c r="B2439" t="s">
        <v>4403</v>
      </c>
      <c r="C2439">
        <v>0</v>
      </c>
      <c r="J2439">
        <v>2438</v>
      </c>
      <c r="K2439" t="s">
        <v>4403</v>
      </c>
      <c r="L2439">
        <v>0</v>
      </c>
    </row>
    <row r="2440" spans="1:12" x14ac:dyDescent="0.25">
      <c r="A2440">
        <v>2439</v>
      </c>
      <c r="B2440" t="s">
        <v>4404</v>
      </c>
      <c r="C2440">
        <v>0</v>
      </c>
      <c r="J2440">
        <v>2439</v>
      </c>
      <c r="K2440" t="s">
        <v>4404</v>
      </c>
      <c r="L2440">
        <v>0</v>
      </c>
    </row>
    <row r="2441" spans="1:12" x14ac:dyDescent="0.25">
      <c r="A2441">
        <v>2440</v>
      </c>
      <c r="B2441" t="s">
        <v>4405</v>
      </c>
      <c r="C2441">
        <v>0</v>
      </c>
      <c r="J2441">
        <v>2440</v>
      </c>
      <c r="K2441" t="s">
        <v>4405</v>
      </c>
      <c r="L2441">
        <v>0</v>
      </c>
    </row>
    <row r="2442" spans="1:12" x14ac:dyDescent="0.25">
      <c r="A2442">
        <v>2441</v>
      </c>
      <c r="B2442" t="s">
        <v>4406</v>
      </c>
      <c r="C2442">
        <v>0</v>
      </c>
      <c r="J2442">
        <v>2441</v>
      </c>
      <c r="K2442" t="s">
        <v>4406</v>
      </c>
      <c r="L2442">
        <v>0</v>
      </c>
    </row>
    <row r="2443" spans="1:12" x14ac:dyDescent="0.25">
      <c r="A2443">
        <v>2442</v>
      </c>
      <c r="B2443" t="s">
        <v>4407</v>
      </c>
      <c r="C2443">
        <v>0</v>
      </c>
      <c r="J2443">
        <v>2442</v>
      </c>
      <c r="K2443" t="s">
        <v>4407</v>
      </c>
      <c r="L2443">
        <v>0</v>
      </c>
    </row>
    <row r="2444" spans="1:12" x14ac:dyDescent="0.25">
      <c r="A2444">
        <v>2443</v>
      </c>
      <c r="B2444" t="s">
        <v>4408</v>
      </c>
      <c r="C2444">
        <v>0</v>
      </c>
      <c r="J2444">
        <v>2443</v>
      </c>
      <c r="K2444" t="s">
        <v>4408</v>
      </c>
      <c r="L2444">
        <v>0</v>
      </c>
    </row>
    <row r="2445" spans="1:12" x14ac:dyDescent="0.25">
      <c r="A2445">
        <v>2444</v>
      </c>
      <c r="B2445" t="s">
        <v>4409</v>
      </c>
      <c r="C2445">
        <v>0</v>
      </c>
      <c r="J2445">
        <v>2444</v>
      </c>
      <c r="K2445" t="s">
        <v>4409</v>
      </c>
      <c r="L2445">
        <v>0</v>
      </c>
    </row>
    <row r="2446" spans="1:12" x14ac:dyDescent="0.25">
      <c r="A2446">
        <v>2445</v>
      </c>
      <c r="B2446" t="s">
        <v>4410</v>
      </c>
      <c r="C2446">
        <v>0</v>
      </c>
      <c r="J2446">
        <v>2445</v>
      </c>
      <c r="K2446" t="s">
        <v>4410</v>
      </c>
      <c r="L2446">
        <v>0</v>
      </c>
    </row>
    <row r="2447" spans="1:12" x14ac:dyDescent="0.25">
      <c r="A2447">
        <v>2446</v>
      </c>
      <c r="B2447" t="s">
        <v>4411</v>
      </c>
      <c r="C2447">
        <v>0</v>
      </c>
      <c r="J2447">
        <v>2446</v>
      </c>
      <c r="K2447" t="s">
        <v>4411</v>
      </c>
      <c r="L2447">
        <v>0</v>
      </c>
    </row>
    <row r="2448" spans="1:12" x14ac:dyDescent="0.25">
      <c r="A2448">
        <v>2447</v>
      </c>
      <c r="B2448" t="s">
        <v>4412</v>
      </c>
      <c r="C2448">
        <v>0</v>
      </c>
      <c r="J2448">
        <v>2447</v>
      </c>
      <c r="K2448" t="s">
        <v>4412</v>
      </c>
      <c r="L2448">
        <v>0</v>
      </c>
    </row>
    <row r="2449" spans="1:12" x14ac:dyDescent="0.25">
      <c r="A2449">
        <v>2448</v>
      </c>
      <c r="B2449" t="s">
        <v>4413</v>
      </c>
      <c r="C2449">
        <v>0</v>
      </c>
      <c r="J2449">
        <v>2448</v>
      </c>
      <c r="K2449" t="s">
        <v>4413</v>
      </c>
      <c r="L2449">
        <v>0</v>
      </c>
    </row>
    <row r="2450" spans="1:12" x14ac:dyDescent="0.25">
      <c r="A2450">
        <v>2449</v>
      </c>
      <c r="B2450" t="s">
        <v>4414</v>
      </c>
      <c r="C2450">
        <v>0</v>
      </c>
      <c r="J2450">
        <v>2449</v>
      </c>
      <c r="K2450" t="s">
        <v>4414</v>
      </c>
      <c r="L2450">
        <v>0</v>
      </c>
    </row>
    <row r="2451" spans="1:12" x14ac:dyDescent="0.25">
      <c r="A2451">
        <v>2450</v>
      </c>
      <c r="B2451" t="s">
        <v>4415</v>
      </c>
      <c r="C2451">
        <v>0</v>
      </c>
      <c r="J2451">
        <v>2450</v>
      </c>
      <c r="K2451" t="s">
        <v>4415</v>
      </c>
      <c r="L2451">
        <v>0</v>
      </c>
    </row>
    <row r="2452" spans="1:12" x14ac:dyDescent="0.25">
      <c r="A2452">
        <v>2451</v>
      </c>
      <c r="B2452" t="s">
        <v>4416</v>
      </c>
      <c r="C2452">
        <v>0</v>
      </c>
      <c r="J2452">
        <v>2451</v>
      </c>
      <c r="K2452" t="s">
        <v>4416</v>
      </c>
      <c r="L2452">
        <v>0</v>
      </c>
    </row>
    <row r="2453" spans="1:12" x14ac:dyDescent="0.25">
      <c r="A2453">
        <v>2452</v>
      </c>
      <c r="B2453" t="s">
        <v>4417</v>
      </c>
      <c r="C2453">
        <v>0</v>
      </c>
      <c r="J2453">
        <v>2452</v>
      </c>
      <c r="K2453" t="s">
        <v>4417</v>
      </c>
      <c r="L2453">
        <v>0</v>
      </c>
    </row>
    <row r="2454" spans="1:12" x14ac:dyDescent="0.25">
      <c r="A2454">
        <v>2453</v>
      </c>
      <c r="B2454" t="s">
        <v>4418</v>
      </c>
      <c r="C2454">
        <v>0</v>
      </c>
      <c r="J2454">
        <v>2453</v>
      </c>
      <c r="K2454" t="s">
        <v>4418</v>
      </c>
      <c r="L2454">
        <v>0</v>
      </c>
    </row>
    <row r="2455" spans="1:12" x14ac:dyDescent="0.25">
      <c r="A2455">
        <v>2454</v>
      </c>
      <c r="B2455" t="s">
        <v>4419</v>
      </c>
      <c r="C2455">
        <v>0</v>
      </c>
      <c r="J2455">
        <v>2454</v>
      </c>
      <c r="K2455" t="s">
        <v>4419</v>
      </c>
      <c r="L2455">
        <v>0</v>
      </c>
    </row>
    <row r="2456" spans="1:12" x14ac:dyDescent="0.25">
      <c r="A2456">
        <v>2455</v>
      </c>
      <c r="B2456" t="s">
        <v>4420</v>
      </c>
      <c r="C2456">
        <v>0</v>
      </c>
      <c r="J2456">
        <v>2455</v>
      </c>
      <c r="K2456" t="s">
        <v>4420</v>
      </c>
      <c r="L2456">
        <v>0</v>
      </c>
    </row>
    <row r="2457" spans="1:12" x14ac:dyDescent="0.25">
      <c r="A2457">
        <v>2456</v>
      </c>
      <c r="B2457" t="s">
        <v>4421</v>
      </c>
      <c r="C2457">
        <v>0</v>
      </c>
      <c r="J2457">
        <v>2456</v>
      </c>
      <c r="K2457" t="s">
        <v>4421</v>
      </c>
      <c r="L2457">
        <v>0</v>
      </c>
    </row>
    <row r="2458" spans="1:12" x14ac:dyDescent="0.25">
      <c r="A2458">
        <v>2457</v>
      </c>
      <c r="B2458" t="s">
        <v>4422</v>
      </c>
      <c r="C2458">
        <v>0</v>
      </c>
      <c r="J2458">
        <v>2457</v>
      </c>
      <c r="K2458" t="s">
        <v>4422</v>
      </c>
      <c r="L2458">
        <v>0</v>
      </c>
    </row>
    <row r="2459" spans="1:12" x14ac:dyDescent="0.25">
      <c r="A2459">
        <v>2458</v>
      </c>
      <c r="B2459" t="s">
        <v>4423</v>
      </c>
      <c r="C2459">
        <v>0</v>
      </c>
      <c r="J2459">
        <v>2458</v>
      </c>
      <c r="K2459" t="s">
        <v>4423</v>
      </c>
      <c r="L2459">
        <v>0</v>
      </c>
    </row>
    <row r="2460" spans="1:12" x14ac:dyDescent="0.25">
      <c r="A2460">
        <v>2459</v>
      </c>
      <c r="B2460" t="s">
        <v>4424</v>
      </c>
      <c r="C2460">
        <v>0</v>
      </c>
      <c r="J2460">
        <v>2459</v>
      </c>
      <c r="K2460" t="s">
        <v>4424</v>
      </c>
      <c r="L2460">
        <v>0</v>
      </c>
    </row>
    <row r="2461" spans="1:12" x14ac:dyDescent="0.25">
      <c r="A2461">
        <v>2460</v>
      </c>
      <c r="B2461" t="s">
        <v>4425</v>
      </c>
      <c r="C2461">
        <v>0</v>
      </c>
      <c r="J2461">
        <v>2460</v>
      </c>
      <c r="K2461" t="s">
        <v>4425</v>
      </c>
      <c r="L2461">
        <v>0</v>
      </c>
    </row>
    <row r="2462" spans="1:12" x14ac:dyDescent="0.25">
      <c r="A2462">
        <v>2461</v>
      </c>
      <c r="B2462" t="s">
        <v>4426</v>
      </c>
      <c r="C2462">
        <v>0</v>
      </c>
      <c r="J2462">
        <v>2461</v>
      </c>
      <c r="K2462" t="s">
        <v>4426</v>
      </c>
      <c r="L2462">
        <v>0</v>
      </c>
    </row>
    <row r="2463" spans="1:12" x14ac:dyDescent="0.25">
      <c r="A2463">
        <v>2462</v>
      </c>
      <c r="B2463" t="s">
        <v>4427</v>
      </c>
      <c r="C2463">
        <v>0</v>
      </c>
      <c r="J2463">
        <v>2462</v>
      </c>
      <c r="K2463" t="s">
        <v>4427</v>
      </c>
      <c r="L2463">
        <v>0</v>
      </c>
    </row>
    <row r="2464" spans="1:12" x14ac:dyDescent="0.25">
      <c r="A2464">
        <v>2463</v>
      </c>
      <c r="B2464" t="s">
        <v>4428</v>
      </c>
      <c r="C2464">
        <v>0</v>
      </c>
      <c r="J2464">
        <v>2463</v>
      </c>
      <c r="K2464" t="s">
        <v>4428</v>
      </c>
      <c r="L2464">
        <v>0</v>
      </c>
    </row>
    <row r="2465" spans="1:12" x14ac:dyDescent="0.25">
      <c r="A2465">
        <v>2464</v>
      </c>
      <c r="B2465" t="s">
        <v>4429</v>
      </c>
      <c r="C2465">
        <v>0</v>
      </c>
      <c r="J2465">
        <v>2464</v>
      </c>
      <c r="K2465" t="s">
        <v>4429</v>
      </c>
      <c r="L2465">
        <v>0</v>
      </c>
    </row>
    <row r="2466" spans="1:12" x14ac:dyDescent="0.25">
      <c r="A2466">
        <v>2465</v>
      </c>
      <c r="B2466" t="s">
        <v>4430</v>
      </c>
      <c r="C2466">
        <v>0</v>
      </c>
      <c r="J2466">
        <v>2465</v>
      </c>
      <c r="K2466" t="s">
        <v>4430</v>
      </c>
      <c r="L2466">
        <v>0</v>
      </c>
    </row>
    <row r="2467" spans="1:12" x14ac:dyDescent="0.25">
      <c r="A2467">
        <v>2466</v>
      </c>
      <c r="B2467" t="s">
        <v>4431</v>
      </c>
      <c r="C2467">
        <v>0</v>
      </c>
      <c r="J2467">
        <v>2466</v>
      </c>
      <c r="K2467" t="s">
        <v>4431</v>
      </c>
      <c r="L2467">
        <v>0</v>
      </c>
    </row>
    <row r="2468" spans="1:12" x14ac:dyDescent="0.25">
      <c r="A2468">
        <v>2467</v>
      </c>
      <c r="B2468" t="s">
        <v>4432</v>
      </c>
      <c r="C2468">
        <v>0</v>
      </c>
      <c r="J2468">
        <v>2467</v>
      </c>
      <c r="K2468" t="s">
        <v>4432</v>
      </c>
      <c r="L2468">
        <v>0</v>
      </c>
    </row>
    <row r="2469" spans="1:12" x14ac:dyDescent="0.25">
      <c r="A2469">
        <v>2468</v>
      </c>
      <c r="B2469" t="s">
        <v>4433</v>
      </c>
      <c r="C2469">
        <v>0</v>
      </c>
      <c r="J2469">
        <v>2468</v>
      </c>
      <c r="K2469" t="s">
        <v>4433</v>
      </c>
      <c r="L2469">
        <v>0</v>
      </c>
    </row>
    <row r="2470" spans="1:12" x14ac:dyDescent="0.25">
      <c r="A2470">
        <v>2469</v>
      </c>
      <c r="B2470" t="s">
        <v>4434</v>
      </c>
      <c r="C2470">
        <v>0</v>
      </c>
      <c r="J2470">
        <v>2469</v>
      </c>
      <c r="K2470" t="s">
        <v>4434</v>
      </c>
      <c r="L2470">
        <v>0</v>
      </c>
    </row>
    <row r="2471" spans="1:12" x14ac:dyDescent="0.25">
      <c r="A2471">
        <v>2470</v>
      </c>
      <c r="B2471" t="s">
        <v>4435</v>
      </c>
      <c r="C2471">
        <v>0</v>
      </c>
      <c r="J2471">
        <v>2470</v>
      </c>
      <c r="K2471" t="s">
        <v>4435</v>
      </c>
      <c r="L2471">
        <v>0</v>
      </c>
    </row>
    <row r="2472" spans="1:12" x14ac:dyDescent="0.25">
      <c r="A2472">
        <v>2471</v>
      </c>
      <c r="B2472" t="s">
        <v>4436</v>
      </c>
      <c r="C2472">
        <v>0</v>
      </c>
      <c r="J2472">
        <v>2471</v>
      </c>
      <c r="K2472" t="s">
        <v>4436</v>
      </c>
      <c r="L2472">
        <v>0</v>
      </c>
    </row>
    <row r="2473" spans="1:12" x14ac:dyDescent="0.25">
      <c r="A2473">
        <v>2472</v>
      </c>
      <c r="B2473" t="s">
        <v>4437</v>
      </c>
      <c r="C2473">
        <v>0</v>
      </c>
      <c r="J2473">
        <v>2472</v>
      </c>
      <c r="K2473" t="s">
        <v>4437</v>
      </c>
      <c r="L2473">
        <v>0</v>
      </c>
    </row>
    <row r="2474" spans="1:12" x14ac:dyDescent="0.25">
      <c r="A2474">
        <v>2473</v>
      </c>
      <c r="B2474" t="s">
        <v>4438</v>
      </c>
      <c r="C2474">
        <v>0</v>
      </c>
      <c r="J2474">
        <v>2473</v>
      </c>
      <c r="K2474" t="s">
        <v>4438</v>
      </c>
      <c r="L2474">
        <v>0</v>
      </c>
    </row>
    <row r="2475" spans="1:12" x14ac:dyDescent="0.25">
      <c r="A2475">
        <v>2474</v>
      </c>
      <c r="B2475" t="s">
        <v>4439</v>
      </c>
      <c r="C2475">
        <v>0</v>
      </c>
      <c r="J2475">
        <v>2474</v>
      </c>
      <c r="K2475" t="s">
        <v>4439</v>
      </c>
      <c r="L2475">
        <v>0</v>
      </c>
    </row>
    <row r="2476" spans="1:12" x14ac:dyDescent="0.25">
      <c r="A2476">
        <v>2475</v>
      </c>
      <c r="B2476" t="s">
        <v>4440</v>
      </c>
      <c r="C2476">
        <v>0</v>
      </c>
      <c r="J2476">
        <v>2475</v>
      </c>
      <c r="K2476" t="s">
        <v>4440</v>
      </c>
      <c r="L2476">
        <v>0</v>
      </c>
    </row>
    <row r="2477" spans="1:12" x14ac:dyDescent="0.25">
      <c r="A2477">
        <v>2476</v>
      </c>
      <c r="B2477" t="s">
        <v>4441</v>
      </c>
      <c r="C2477">
        <v>0</v>
      </c>
      <c r="J2477">
        <v>2476</v>
      </c>
      <c r="K2477" t="s">
        <v>4441</v>
      </c>
      <c r="L2477">
        <v>0</v>
      </c>
    </row>
    <row r="2478" spans="1:12" x14ac:dyDescent="0.25">
      <c r="A2478">
        <v>2477</v>
      </c>
      <c r="B2478" t="s">
        <v>4442</v>
      </c>
      <c r="C2478">
        <v>0</v>
      </c>
      <c r="J2478">
        <v>2477</v>
      </c>
      <c r="K2478" t="s">
        <v>4442</v>
      </c>
      <c r="L2478">
        <v>0</v>
      </c>
    </row>
    <row r="2479" spans="1:12" x14ac:dyDescent="0.25">
      <c r="A2479">
        <v>2478</v>
      </c>
      <c r="B2479" t="s">
        <v>4443</v>
      </c>
      <c r="C2479">
        <v>0</v>
      </c>
      <c r="J2479">
        <v>2478</v>
      </c>
      <c r="K2479" t="s">
        <v>4443</v>
      </c>
      <c r="L2479">
        <v>0</v>
      </c>
    </row>
    <row r="2480" spans="1:12" x14ac:dyDescent="0.25">
      <c r="A2480">
        <v>2479</v>
      </c>
      <c r="B2480" t="s">
        <v>4444</v>
      </c>
      <c r="C2480">
        <v>0</v>
      </c>
      <c r="J2480">
        <v>2479</v>
      </c>
      <c r="K2480" t="s">
        <v>4444</v>
      </c>
      <c r="L2480">
        <v>0</v>
      </c>
    </row>
    <row r="2481" spans="1:12" x14ac:dyDescent="0.25">
      <c r="A2481">
        <v>2480</v>
      </c>
      <c r="B2481" t="s">
        <v>4445</v>
      </c>
      <c r="C2481">
        <v>0</v>
      </c>
      <c r="J2481">
        <v>2480</v>
      </c>
      <c r="K2481" t="s">
        <v>4445</v>
      </c>
      <c r="L2481">
        <v>0</v>
      </c>
    </row>
    <row r="2482" spans="1:12" x14ac:dyDescent="0.25">
      <c r="A2482">
        <v>2481</v>
      </c>
      <c r="B2482" t="s">
        <v>4446</v>
      </c>
      <c r="C2482">
        <v>0</v>
      </c>
      <c r="J2482">
        <v>2481</v>
      </c>
      <c r="K2482" t="s">
        <v>4446</v>
      </c>
      <c r="L2482">
        <v>0</v>
      </c>
    </row>
    <row r="2483" spans="1:12" x14ac:dyDescent="0.25">
      <c r="A2483">
        <v>2482</v>
      </c>
      <c r="B2483" t="s">
        <v>4447</v>
      </c>
      <c r="C2483">
        <v>0</v>
      </c>
      <c r="J2483">
        <v>2482</v>
      </c>
      <c r="K2483" t="s">
        <v>4447</v>
      </c>
      <c r="L2483">
        <v>0</v>
      </c>
    </row>
    <row r="2484" spans="1:12" x14ac:dyDescent="0.25">
      <c r="A2484">
        <v>2483</v>
      </c>
      <c r="B2484" t="s">
        <v>4448</v>
      </c>
      <c r="C2484">
        <v>0</v>
      </c>
      <c r="J2484">
        <v>2483</v>
      </c>
      <c r="K2484" t="s">
        <v>4448</v>
      </c>
      <c r="L2484">
        <v>0</v>
      </c>
    </row>
    <row r="2485" spans="1:12" x14ac:dyDescent="0.25">
      <c r="A2485">
        <v>2484</v>
      </c>
      <c r="B2485" t="s">
        <v>4449</v>
      </c>
      <c r="C2485">
        <v>0</v>
      </c>
      <c r="J2485">
        <v>2484</v>
      </c>
      <c r="K2485" t="s">
        <v>4449</v>
      </c>
      <c r="L2485">
        <v>0</v>
      </c>
    </row>
    <row r="2486" spans="1:12" x14ac:dyDescent="0.25">
      <c r="A2486">
        <v>2485</v>
      </c>
      <c r="B2486" t="s">
        <v>4450</v>
      </c>
      <c r="C2486">
        <v>0</v>
      </c>
      <c r="J2486">
        <v>2485</v>
      </c>
      <c r="K2486" t="s">
        <v>4450</v>
      </c>
      <c r="L2486">
        <v>0</v>
      </c>
    </row>
    <row r="2487" spans="1:12" x14ac:dyDescent="0.25">
      <c r="A2487">
        <v>2486</v>
      </c>
      <c r="B2487" t="s">
        <v>4451</v>
      </c>
      <c r="C2487">
        <v>0</v>
      </c>
      <c r="J2487">
        <v>2486</v>
      </c>
      <c r="K2487" t="s">
        <v>4451</v>
      </c>
      <c r="L2487">
        <v>0</v>
      </c>
    </row>
    <row r="2488" spans="1:12" x14ac:dyDescent="0.25">
      <c r="A2488">
        <v>2487</v>
      </c>
      <c r="B2488" t="s">
        <v>4452</v>
      </c>
      <c r="C2488">
        <v>0</v>
      </c>
      <c r="J2488">
        <v>2487</v>
      </c>
      <c r="K2488" t="s">
        <v>4452</v>
      </c>
      <c r="L2488">
        <v>0</v>
      </c>
    </row>
    <row r="2489" spans="1:12" x14ac:dyDescent="0.25">
      <c r="A2489">
        <v>2488</v>
      </c>
      <c r="B2489" t="s">
        <v>4453</v>
      </c>
      <c r="C2489">
        <v>0</v>
      </c>
      <c r="J2489">
        <v>2488</v>
      </c>
      <c r="K2489" t="s">
        <v>4453</v>
      </c>
      <c r="L2489">
        <v>0</v>
      </c>
    </row>
    <row r="2490" spans="1:12" x14ac:dyDescent="0.25">
      <c r="A2490">
        <v>2489</v>
      </c>
      <c r="B2490" t="s">
        <v>4454</v>
      </c>
      <c r="C2490">
        <v>0</v>
      </c>
      <c r="J2490">
        <v>2489</v>
      </c>
      <c r="K2490" t="s">
        <v>4454</v>
      </c>
      <c r="L2490">
        <v>0</v>
      </c>
    </row>
    <row r="2491" spans="1:12" x14ac:dyDescent="0.25">
      <c r="A2491">
        <v>2490</v>
      </c>
      <c r="B2491" t="s">
        <v>4455</v>
      </c>
      <c r="C2491">
        <v>0</v>
      </c>
      <c r="J2491">
        <v>2490</v>
      </c>
      <c r="K2491" t="s">
        <v>4455</v>
      </c>
      <c r="L2491">
        <v>0</v>
      </c>
    </row>
    <row r="2492" spans="1:12" x14ac:dyDescent="0.25">
      <c r="A2492">
        <v>2491</v>
      </c>
      <c r="B2492" t="s">
        <v>4456</v>
      </c>
      <c r="C2492">
        <v>0</v>
      </c>
      <c r="J2492">
        <v>2491</v>
      </c>
      <c r="K2492" t="s">
        <v>4456</v>
      </c>
      <c r="L2492">
        <v>0</v>
      </c>
    </row>
    <row r="2493" spans="1:12" x14ac:dyDescent="0.25">
      <c r="A2493">
        <v>2492</v>
      </c>
      <c r="B2493" t="s">
        <v>4457</v>
      </c>
      <c r="C2493">
        <v>0</v>
      </c>
      <c r="J2493">
        <v>2492</v>
      </c>
      <c r="K2493" t="s">
        <v>4457</v>
      </c>
      <c r="L2493">
        <v>0</v>
      </c>
    </row>
    <row r="2494" spans="1:12" x14ac:dyDescent="0.25">
      <c r="A2494">
        <v>2493</v>
      </c>
      <c r="B2494" t="s">
        <v>4458</v>
      </c>
      <c r="C2494">
        <v>0</v>
      </c>
      <c r="J2494">
        <v>2493</v>
      </c>
      <c r="K2494" t="s">
        <v>4458</v>
      </c>
      <c r="L2494">
        <v>0</v>
      </c>
    </row>
    <row r="2495" spans="1:12" x14ac:dyDescent="0.25">
      <c r="A2495">
        <v>2494</v>
      </c>
      <c r="B2495" t="s">
        <v>4459</v>
      </c>
      <c r="C2495">
        <v>0</v>
      </c>
      <c r="J2495">
        <v>2494</v>
      </c>
      <c r="K2495" t="s">
        <v>4459</v>
      </c>
      <c r="L2495">
        <v>0</v>
      </c>
    </row>
    <row r="2496" spans="1:12" x14ac:dyDescent="0.25">
      <c r="A2496">
        <v>2495</v>
      </c>
      <c r="B2496" t="s">
        <v>4460</v>
      </c>
      <c r="C2496">
        <v>0</v>
      </c>
      <c r="J2496">
        <v>2495</v>
      </c>
      <c r="K2496" t="s">
        <v>4460</v>
      </c>
      <c r="L2496">
        <v>0</v>
      </c>
    </row>
    <row r="2497" spans="1:12" x14ac:dyDescent="0.25">
      <c r="A2497">
        <v>2496</v>
      </c>
      <c r="B2497" t="s">
        <v>4461</v>
      </c>
      <c r="C2497">
        <v>0</v>
      </c>
      <c r="J2497">
        <v>2496</v>
      </c>
      <c r="K2497" t="s">
        <v>4461</v>
      </c>
      <c r="L2497">
        <v>0</v>
      </c>
    </row>
    <row r="2498" spans="1:12" x14ac:dyDescent="0.25">
      <c r="A2498">
        <v>2497</v>
      </c>
      <c r="B2498" t="s">
        <v>4462</v>
      </c>
      <c r="C2498">
        <v>0</v>
      </c>
      <c r="J2498">
        <v>2497</v>
      </c>
      <c r="K2498" t="s">
        <v>4462</v>
      </c>
      <c r="L2498">
        <v>0</v>
      </c>
    </row>
    <row r="2499" spans="1:12" x14ac:dyDescent="0.25">
      <c r="A2499">
        <v>2498</v>
      </c>
      <c r="B2499" t="s">
        <v>4463</v>
      </c>
      <c r="C2499">
        <v>0</v>
      </c>
      <c r="J2499">
        <v>2498</v>
      </c>
      <c r="K2499" t="s">
        <v>4463</v>
      </c>
      <c r="L2499">
        <v>0</v>
      </c>
    </row>
    <row r="2500" spans="1:12" x14ac:dyDescent="0.25">
      <c r="A2500">
        <v>2499</v>
      </c>
      <c r="B2500" t="s">
        <v>4464</v>
      </c>
      <c r="C2500">
        <v>0</v>
      </c>
      <c r="J2500">
        <v>2499</v>
      </c>
      <c r="K2500" t="s">
        <v>4464</v>
      </c>
      <c r="L2500">
        <v>0</v>
      </c>
    </row>
    <row r="2501" spans="1:12" x14ac:dyDescent="0.25">
      <c r="A2501">
        <v>2500</v>
      </c>
      <c r="B2501" t="s">
        <v>4465</v>
      </c>
      <c r="C2501">
        <v>0</v>
      </c>
      <c r="J2501">
        <v>2500</v>
      </c>
      <c r="K2501" t="s">
        <v>4465</v>
      </c>
      <c r="L2501">
        <v>0</v>
      </c>
    </row>
    <row r="2502" spans="1:12" x14ac:dyDescent="0.25">
      <c r="A2502">
        <v>2501</v>
      </c>
      <c r="B2502" t="s">
        <v>4466</v>
      </c>
      <c r="C2502">
        <v>0</v>
      </c>
      <c r="J2502">
        <v>2501</v>
      </c>
      <c r="K2502" t="s">
        <v>4466</v>
      </c>
      <c r="L2502">
        <v>0</v>
      </c>
    </row>
    <row r="2503" spans="1:12" x14ac:dyDescent="0.25">
      <c r="A2503">
        <v>2502</v>
      </c>
      <c r="B2503" t="s">
        <v>4467</v>
      </c>
      <c r="C2503">
        <v>0</v>
      </c>
      <c r="J2503">
        <v>2502</v>
      </c>
      <c r="K2503" t="s">
        <v>4467</v>
      </c>
      <c r="L2503">
        <v>0</v>
      </c>
    </row>
    <row r="2504" spans="1:12" x14ac:dyDescent="0.25">
      <c r="A2504">
        <v>2503</v>
      </c>
      <c r="B2504" t="s">
        <v>4468</v>
      </c>
      <c r="C2504">
        <v>0</v>
      </c>
      <c r="J2504">
        <v>2503</v>
      </c>
      <c r="K2504" t="s">
        <v>4468</v>
      </c>
      <c r="L2504">
        <v>0</v>
      </c>
    </row>
    <row r="2505" spans="1:12" x14ac:dyDescent="0.25">
      <c r="A2505">
        <v>2504</v>
      </c>
      <c r="B2505" t="s">
        <v>4469</v>
      </c>
      <c r="C2505">
        <v>0</v>
      </c>
      <c r="J2505">
        <v>2504</v>
      </c>
      <c r="K2505" t="s">
        <v>4469</v>
      </c>
      <c r="L2505">
        <v>0</v>
      </c>
    </row>
    <row r="2506" spans="1:12" x14ac:dyDescent="0.25">
      <c r="A2506">
        <v>2505</v>
      </c>
      <c r="B2506" t="s">
        <v>4470</v>
      </c>
      <c r="C2506">
        <v>0</v>
      </c>
      <c r="J2506">
        <v>2505</v>
      </c>
      <c r="K2506" t="s">
        <v>4470</v>
      </c>
      <c r="L2506">
        <v>0</v>
      </c>
    </row>
    <row r="2507" spans="1:12" x14ac:dyDescent="0.25">
      <c r="A2507">
        <v>2506</v>
      </c>
      <c r="B2507" t="s">
        <v>4471</v>
      </c>
      <c r="C2507">
        <v>0</v>
      </c>
      <c r="J2507">
        <v>2506</v>
      </c>
      <c r="K2507" t="s">
        <v>4471</v>
      </c>
      <c r="L2507">
        <v>0</v>
      </c>
    </row>
    <row r="2508" spans="1:12" x14ac:dyDescent="0.25">
      <c r="A2508">
        <v>2507</v>
      </c>
      <c r="B2508" t="s">
        <v>4472</v>
      </c>
      <c r="C2508">
        <v>0</v>
      </c>
      <c r="J2508">
        <v>2507</v>
      </c>
      <c r="K2508" t="s">
        <v>4472</v>
      </c>
      <c r="L2508">
        <v>0</v>
      </c>
    </row>
    <row r="2509" spans="1:12" x14ac:dyDescent="0.25">
      <c r="A2509">
        <v>2508</v>
      </c>
      <c r="B2509" t="s">
        <v>4473</v>
      </c>
      <c r="C2509">
        <v>0</v>
      </c>
      <c r="J2509">
        <v>2508</v>
      </c>
      <c r="K2509" t="s">
        <v>4473</v>
      </c>
      <c r="L2509">
        <v>0</v>
      </c>
    </row>
    <row r="2510" spans="1:12" x14ac:dyDescent="0.25">
      <c r="A2510">
        <v>2509</v>
      </c>
      <c r="B2510" t="s">
        <v>4474</v>
      </c>
      <c r="C2510">
        <v>0</v>
      </c>
      <c r="J2510">
        <v>2509</v>
      </c>
      <c r="K2510" t="s">
        <v>4474</v>
      </c>
      <c r="L2510">
        <v>0</v>
      </c>
    </row>
    <row r="2511" spans="1:12" x14ac:dyDescent="0.25">
      <c r="A2511">
        <v>2510</v>
      </c>
      <c r="B2511" t="s">
        <v>4475</v>
      </c>
      <c r="C2511">
        <v>0</v>
      </c>
      <c r="J2511">
        <v>2510</v>
      </c>
      <c r="K2511" t="s">
        <v>4475</v>
      </c>
      <c r="L2511">
        <v>0</v>
      </c>
    </row>
    <row r="2512" spans="1:12" x14ac:dyDescent="0.25">
      <c r="A2512">
        <v>2511</v>
      </c>
      <c r="B2512" t="s">
        <v>4476</v>
      </c>
      <c r="C2512">
        <v>0</v>
      </c>
      <c r="J2512">
        <v>2511</v>
      </c>
      <c r="K2512" t="s">
        <v>4476</v>
      </c>
      <c r="L2512">
        <v>0</v>
      </c>
    </row>
    <row r="2513" spans="1:12" x14ac:dyDescent="0.25">
      <c r="A2513">
        <v>2512</v>
      </c>
      <c r="B2513" t="s">
        <v>4477</v>
      </c>
      <c r="C2513">
        <v>0</v>
      </c>
      <c r="J2513">
        <v>2512</v>
      </c>
      <c r="K2513" t="s">
        <v>4477</v>
      </c>
      <c r="L2513">
        <v>0</v>
      </c>
    </row>
    <row r="2514" spans="1:12" x14ac:dyDescent="0.25">
      <c r="A2514">
        <v>2513</v>
      </c>
      <c r="B2514" t="s">
        <v>4478</v>
      </c>
      <c r="C2514">
        <v>0</v>
      </c>
      <c r="J2514">
        <v>2513</v>
      </c>
      <c r="K2514" t="s">
        <v>4478</v>
      </c>
      <c r="L2514">
        <v>0</v>
      </c>
    </row>
    <row r="2515" spans="1:12" x14ac:dyDescent="0.25">
      <c r="A2515">
        <v>2514</v>
      </c>
      <c r="B2515" t="s">
        <v>4479</v>
      </c>
      <c r="C2515">
        <v>0</v>
      </c>
      <c r="J2515">
        <v>2514</v>
      </c>
      <c r="K2515" t="s">
        <v>4479</v>
      </c>
      <c r="L2515">
        <v>0</v>
      </c>
    </row>
    <row r="2516" spans="1:12" x14ac:dyDescent="0.25">
      <c r="A2516">
        <v>2515</v>
      </c>
      <c r="B2516" t="s">
        <v>4480</v>
      </c>
      <c r="C2516">
        <v>0</v>
      </c>
      <c r="J2516">
        <v>2515</v>
      </c>
      <c r="K2516" t="s">
        <v>4480</v>
      </c>
      <c r="L2516">
        <v>0</v>
      </c>
    </row>
    <row r="2517" spans="1:12" x14ac:dyDescent="0.25">
      <c r="A2517">
        <v>2516</v>
      </c>
      <c r="B2517" t="s">
        <v>4481</v>
      </c>
      <c r="C2517">
        <v>0</v>
      </c>
      <c r="J2517">
        <v>2516</v>
      </c>
      <c r="K2517" t="s">
        <v>4481</v>
      </c>
      <c r="L2517">
        <v>0</v>
      </c>
    </row>
    <row r="2518" spans="1:12" x14ac:dyDescent="0.25">
      <c r="A2518">
        <v>2517</v>
      </c>
      <c r="B2518" t="s">
        <v>4482</v>
      </c>
      <c r="C2518">
        <v>0</v>
      </c>
      <c r="J2518">
        <v>2517</v>
      </c>
      <c r="K2518" t="s">
        <v>4482</v>
      </c>
      <c r="L2518">
        <v>0</v>
      </c>
    </row>
    <row r="2519" spans="1:12" x14ac:dyDescent="0.25">
      <c r="A2519">
        <v>2518</v>
      </c>
      <c r="B2519" t="s">
        <v>4483</v>
      </c>
      <c r="C2519">
        <v>0</v>
      </c>
      <c r="J2519">
        <v>2518</v>
      </c>
      <c r="K2519" t="s">
        <v>4483</v>
      </c>
      <c r="L2519">
        <v>0</v>
      </c>
    </row>
    <row r="2520" spans="1:12" x14ac:dyDescent="0.25">
      <c r="A2520">
        <v>2519</v>
      </c>
      <c r="B2520" t="s">
        <v>4484</v>
      </c>
      <c r="C2520">
        <v>0</v>
      </c>
      <c r="J2520">
        <v>2519</v>
      </c>
      <c r="K2520" t="s">
        <v>4484</v>
      </c>
      <c r="L2520">
        <v>0</v>
      </c>
    </row>
    <row r="2521" spans="1:12" x14ac:dyDescent="0.25">
      <c r="A2521">
        <v>2520</v>
      </c>
      <c r="B2521" t="s">
        <v>4485</v>
      </c>
      <c r="C2521">
        <v>0</v>
      </c>
      <c r="J2521">
        <v>2520</v>
      </c>
      <c r="K2521" t="s">
        <v>4485</v>
      </c>
      <c r="L2521">
        <v>0</v>
      </c>
    </row>
    <row r="2522" spans="1:12" x14ac:dyDescent="0.25">
      <c r="A2522">
        <v>2521</v>
      </c>
      <c r="B2522" t="s">
        <v>4486</v>
      </c>
      <c r="C2522">
        <v>0</v>
      </c>
      <c r="J2522">
        <v>2521</v>
      </c>
      <c r="K2522" t="s">
        <v>4486</v>
      </c>
      <c r="L2522">
        <v>0</v>
      </c>
    </row>
    <row r="2523" spans="1:12" x14ac:dyDescent="0.25">
      <c r="A2523">
        <v>2522</v>
      </c>
      <c r="B2523" t="s">
        <v>4487</v>
      </c>
      <c r="C2523">
        <v>0</v>
      </c>
      <c r="J2523">
        <v>2522</v>
      </c>
      <c r="K2523" t="s">
        <v>4487</v>
      </c>
      <c r="L2523">
        <v>0</v>
      </c>
    </row>
    <row r="2524" spans="1:12" x14ac:dyDescent="0.25">
      <c r="A2524">
        <v>2523</v>
      </c>
      <c r="B2524" t="s">
        <v>4488</v>
      </c>
      <c r="C2524">
        <v>0</v>
      </c>
      <c r="J2524">
        <v>2523</v>
      </c>
      <c r="K2524" t="s">
        <v>4488</v>
      </c>
      <c r="L2524">
        <v>0</v>
      </c>
    </row>
    <row r="2525" spans="1:12" x14ac:dyDescent="0.25">
      <c r="A2525">
        <v>2524</v>
      </c>
      <c r="B2525" t="s">
        <v>4489</v>
      </c>
      <c r="C2525">
        <v>0</v>
      </c>
      <c r="J2525">
        <v>2524</v>
      </c>
      <c r="K2525" t="s">
        <v>4489</v>
      </c>
      <c r="L2525">
        <v>0</v>
      </c>
    </row>
    <row r="2526" spans="1:12" x14ac:dyDescent="0.25">
      <c r="A2526">
        <v>2525</v>
      </c>
      <c r="B2526" t="s">
        <v>4490</v>
      </c>
      <c r="C2526">
        <v>0</v>
      </c>
      <c r="J2526">
        <v>2525</v>
      </c>
      <c r="K2526" t="s">
        <v>4490</v>
      </c>
      <c r="L2526">
        <v>0</v>
      </c>
    </row>
    <row r="2527" spans="1:12" x14ac:dyDescent="0.25">
      <c r="A2527">
        <v>2526</v>
      </c>
      <c r="B2527" t="s">
        <v>4491</v>
      </c>
      <c r="C2527">
        <v>0</v>
      </c>
      <c r="J2527">
        <v>2526</v>
      </c>
      <c r="K2527" t="s">
        <v>4491</v>
      </c>
      <c r="L2527">
        <v>0</v>
      </c>
    </row>
    <row r="2528" spans="1:12" x14ac:dyDescent="0.25">
      <c r="A2528">
        <v>2527</v>
      </c>
      <c r="B2528" t="s">
        <v>4492</v>
      </c>
      <c r="C2528">
        <v>0</v>
      </c>
      <c r="J2528">
        <v>2527</v>
      </c>
      <c r="K2528" t="s">
        <v>4492</v>
      </c>
      <c r="L2528">
        <v>0</v>
      </c>
    </row>
    <row r="2529" spans="1:12" x14ac:dyDescent="0.25">
      <c r="A2529">
        <v>2528</v>
      </c>
      <c r="B2529" t="s">
        <v>4493</v>
      </c>
      <c r="C2529">
        <v>0</v>
      </c>
      <c r="J2529">
        <v>2528</v>
      </c>
      <c r="K2529" t="s">
        <v>4493</v>
      </c>
      <c r="L2529">
        <v>0</v>
      </c>
    </row>
    <row r="2530" spans="1:12" x14ac:dyDescent="0.25">
      <c r="A2530">
        <v>2529</v>
      </c>
      <c r="B2530" t="s">
        <v>4494</v>
      </c>
      <c r="C2530">
        <v>0</v>
      </c>
      <c r="J2530">
        <v>2529</v>
      </c>
      <c r="K2530" t="s">
        <v>4494</v>
      </c>
      <c r="L2530">
        <v>0</v>
      </c>
    </row>
    <row r="2531" spans="1:12" x14ac:dyDescent="0.25">
      <c r="A2531">
        <v>2530</v>
      </c>
      <c r="B2531" t="s">
        <v>4495</v>
      </c>
      <c r="C2531">
        <v>0</v>
      </c>
      <c r="J2531">
        <v>2530</v>
      </c>
      <c r="K2531" t="s">
        <v>4495</v>
      </c>
      <c r="L2531">
        <v>0</v>
      </c>
    </row>
    <row r="2532" spans="1:12" x14ac:dyDescent="0.25">
      <c r="A2532">
        <v>2531</v>
      </c>
      <c r="B2532" t="s">
        <v>4496</v>
      </c>
      <c r="C2532">
        <v>0</v>
      </c>
      <c r="J2532">
        <v>2531</v>
      </c>
      <c r="K2532" t="s">
        <v>4496</v>
      </c>
      <c r="L2532">
        <v>0</v>
      </c>
    </row>
    <row r="2533" spans="1:12" x14ac:dyDescent="0.25">
      <c r="A2533">
        <v>2532</v>
      </c>
      <c r="B2533" t="s">
        <v>4497</v>
      </c>
      <c r="C2533">
        <v>0</v>
      </c>
      <c r="J2533">
        <v>2532</v>
      </c>
      <c r="K2533" t="s">
        <v>4497</v>
      </c>
      <c r="L2533">
        <v>0</v>
      </c>
    </row>
    <row r="2534" spans="1:12" x14ac:dyDescent="0.25">
      <c r="A2534">
        <v>2533</v>
      </c>
      <c r="B2534" t="s">
        <v>4498</v>
      </c>
      <c r="C2534">
        <v>0</v>
      </c>
      <c r="J2534">
        <v>2533</v>
      </c>
      <c r="K2534" t="s">
        <v>4498</v>
      </c>
      <c r="L2534">
        <v>0</v>
      </c>
    </row>
    <row r="2535" spans="1:12" x14ac:dyDescent="0.25">
      <c r="A2535">
        <v>2534</v>
      </c>
      <c r="B2535" t="s">
        <v>4499</v>
      </c>
      <c r="C2535">
        <v>0</v>
      </c>
      <c r="J2535">
        <v>2534</v>
      </c>
      <c r="K2535" t="s">
        <v>4499</v>
      </c>
      <c r="L2535">
        <v>0</v>
      </c>
    </row>
    <row r="2536" spans="1:12" x14ac:dyDescent="0.25">
      <c r="A2536">
        <v>2535</v>
      </c>
      <c r="B2536" t="s">
        <v>4500</v>
      </c>
      <c r="C2536">
        <v>0</v>
      </c>
      <c r="J2536">
        <v>2535</v>
      </c>
      <c r="K2536" t="s">
        <v>4500</v>
      </c>
      <c r="L2536">
        <v>0</v>
      </c>
    </row>
    <row r="2537" spans="1:12" x14ac:dyDescent="0.25">
      <c r="A2537">
        <v>2536</v>
      </c>
      <c r="B2537" t="s">
        <v>4501</v>
      </c>
      <c r="C2537">
        <v>0</v>
      </c>
      <c r="J2537">
        <v>2536</v>
      </c>
      <c r="K2537" t="s">
        <v>4501</v>
      </c>
      <c r="L2537">
        <v>0</v>
      </c>
    </row>
    <row r="2538" spans="1:12" x14ac:dyDescent="0.25">
      <c r="A2538">
        <v>2537</v>
      </c>
      <c r="B2538" t="s">
        <v>4502</v>
      </c>
      <c r="C2538">
        <v>0</v>
      </c>
      <c r="J2538">
        <v>2537</v>
      </c>
      <c r="K2538" t="s">
        <v>4502</v>
      </c>
      <c r="L2538">
        <v>0</v>
      </c>
    </row>
    <row r="2539" spans="1:12" x14ac:dyDescent="0.25">
      <c r="A2539">
        <v>2538</v>
      </c>
      <c r="B2539" t="s">
        <v>4503</v>
      </c>
      <c r="C2539">
        <v>0</v>
      </c>
      <c r="J2539">
        <v>2538</v>
      </c>
      <c r="K2539" t="s">
        <v>4503</v>
      </c>
      <c r="L2539">
        <v>0</v>
      </c>
    </row>
    <row r="2540" spans="1:12" x14ac:dyDescent="0.25">
      <c r="A2540">
        <v>2539</v>
      </c>
      <c r="B2540" t="s">
        <v>4504</v>
      </c>
      <c r="C2540">
        <v>0</v>
      </c>
      <c r="J2540">
        <v>2539</v>
      </c>
      <c r="K2540" t="s">
        <v>4504</v>
      </c>
      <c r="L2540">
        <v>0</v>
      </c>
    </row>
    <row r="2541" spans="1:12" x14ac:dyDescent="0.25">
      <c r="A2541">
        <v>2540</v>
      </c>
      <c r="B2541" t="s">
        <v>4505</v>
      </c>
      <c r="C2541">
        <v>0</v>
      </c>
      <c r="J2541">
        <v>2540</v>
      </c>
      <c r="K2541" t="s">
        <v>4505</v>
      </c>
      <c r="L2541">
        <v>0</v>
      </c>
    </row>
    <row r="2542" spans="1:12" x14ac:dyDescent="0.25">
      <c r="A2542">
        <v>2541</v>
      </c>
      <c r="B2542" t="s">
        <v>4506</v>
      </c>
      <c r="C2542">
        <v>0</v>
      </c>
      <c r="J2542">
        <v>2541</v>
      </c>
      <c r="K2542" t="s">
        <v>4506</v>
      </c>
      <c r="L2542">
        <v>0</v>
      </c>
    </row>
    <row r="2543" spans="1:12" x14ac:dyDescent="0.25">
      <c r="A2543">
        <v>2542</v>
      </c>
      <c r="B2543" t="s">
        <v>4507</v>
      </c>
      <c r="C2543">
        <v>0</v>
      </c>
      <c r="J2543">
        <v>2542</v>
      </c>
      <c r="K2543" t="s">
        <v>4507</v>
      </c>
      <c r="L2543">
        <v>0</v>
      </c>
    </row>
    <row r="2544" spans="1:12" x14ac:dyDescent="0.25">
      <c r="A2544">
        <v>2543</v>
      </c>
      <c r="B2544" t="s">
        <v>4508</v>
      </c>
      <c r="C2544">
        <v>0</v>
      </c>
      <c r="J2544">
        <v>2543</v>
      </c>
      <c r="K2544" t="s">
        <v>4508</v>
      </c>
      <c r="L2544">
        <v>0</v>
      </c>
    </row>
    <row r="2545" spans="1:12" x14ac:dyDescent="0.25">
      <c r="A2545">
        <v>2544</v>
      </c>
      <c r="B2545" t="s">
        <v>4509</v>
      </c>
      <c r="C2545">
        <v>0</v>
      </c>
      <c r="J2545">
        <v>2544</v>
      </c>
      <c r="K2545" t="s">
        <v>4509</v>
      </c>
      <c r="L2545">
        <v>0</v>
      </c>
    </row>
    <row r="2546" spans="1:12" x14ac:dyDescent="0.25">
      <c r="A2546">
        <v>2545</v>
      </c>
      <c r="B2546" t="s">
        <v>4510</v>
      </c>
      <c r="C2546">
        <v>0</v>
      </c>
      <c r="J2546">
        <v>2545</v>
      </c>
      <c r="K2546" t="s">
        <v>4510</v>
      </c>
      <c r="L2546">
        <v>0</v>
      </c>
    </row>
    <row r="2547" spans="1:12" x14ac:dyDescent="0.25">
      <c r="A2547">
        <v>2546</v>
      </c>
      <c r="B2547" t="s">
        <v>4511</v>
      </c>
      <c r="C2547">
        <v>0</v>
      </c>
      <c r="J2547">
        <v>2546</v>
      </c>
      <c r="K2547" t="s">
        <v>4511</v>
      </c>
      <c r="L2547">
        <v>0</v>
      </c>
    </row>
    <row r="2548" spans="1:12" x14ac:dyDescent="0.25">
      <c r="A2548">
        <v>2547</v>
      </c>
      <c r="B2548" t="s">
        <v>4512</v>
      </c>
      <c r="C2548">
        <v>0</v>
      </c>
      <c r="J2548">
        <v>2547</v>
      </c>
      <c r="K2548" t="s">
        <v>4512</v>
      </c>
      <c r="L2548">
        <v>0</v>
      </c>
    </row>
    <row r="2549" spans="1:12" x14ac:dyDescent="0.25">
      <c r="A2549">
        <v>2548</v>
      </c>
      <c r="B2549" t="s">
        <v>4513</v>
      </c>
      <c r="C2549">
        <v>0</v>
      </c>
      <c r="J2549">
        <v>2548</v>
      </c>
      <c r="K2549" t="s">
        <v>4513</v>
      </c>
      <c r="L2549">
        <v>0</v>
      </c>
    </row>
    <row r="2550" spans="1:12" x14ac:dyDescent="0.25">
      <c r="A2550">
        <v>2549</v>
      </c>
      <c r="B2550" t="s">
        <v>4514</v>
      </c>
      <c r="C2550">
        <v>0</v>
      </c>
      <c r="J2550">
        <v>2549</v>
      </c>
      <c r="K2550" t="s">
        <v>4514</v>
      </c>
      <c r="L2550">
        <v>0</v>
      </c>
    </row>
    <row r="2551" spans="1:12" x14ac:dyDescent="0.25">
      <c r="A2551">
        <v>2550</v>
      </c>
      <c r="B2551" t="s">
        <v>4515</v>
      </c>
      <c r="C2551">
        <v>0</v>
      </c>
      <c r="J2551">
        <v>2550</v>
      </c>
      <c r="K2551" t="s">
        <v>4515</v>
      </c>
      <c r="L2551">
        <v>0</v>
      </c>
    </row>
    <row r="2552" spans="1:12" x14ac:dyDescent="0.25">
      <c r="A2552">
        <v>2551</v>
      </c>
      <c r="B2552" t="s">
        <v>4516</v>
      </c>
      <c r="C2552">
        <v>0</v>
      </c>
      <c r="J2552">
        <v>2551</v>
      </c>
      <c r="K2552" t="s">
        <v>4516</v>
      </c>
      <c r="L2552">
        <v>0</v>
      </c>
    </row>
    <row r="2553" spans="1:12" x14ac:dyDescent="0.25">
      <c r="A2553">
        <v>2552</v>
      </c>
      <c r="B2553" t="s">
        <v>4517</v>
      </c>
      <c r="C2553">
        <v>0</v>
      </c>
      <c r="J2553">
        <v>2552</v>
      </c>
      <c r="K2553" t="s">
        <v>4517</v>
      </c>
      <c r="L2553">
        <v>0</v>
      </c>
    </row>
    <row r="2554" spans="1:12" x14ac:dyDescent="0.25">
      <c r="A2554">
        <v>2553</v>
      </c>
      <c r="B2554" t="s">
        <v>4518</v>
      </c>
      <c r="C2554">
        <v>0</v>
      </c>
      <c r="J2554">
        <v>2553</v>
      </c>
      <c r="K2554" t="s">
        <v>4518</v>
      </c>
      <c r="L2554">
        <v>0</v>
      </c>
    </row>
    <row r="2555" spans="1:12" x14ac:dyDescent="0.25">
      <c r="A2555">
        <v>2554</v>
      </c>
      <c r="B2555" t="s">
        <v>4519</v>
      </c>
      <c r="C2555">
        <v>0</v>
      </c>
      <c r="J2555">
        <v>2554</v>
      </c>
      <c r="K2555" t="s">
        <v>4519</v>
      </c>
      <c r="L2555">
        <v>0</v>
      </c>
    </row>
    <row r="2556" spans="1:12" x14ac:dyDescent="0.25">
      <c r="A2556">
        <v>2555</v>
      </c>
      <c r="B2556" t="s">
        <v>4520</v>
      </c>
      <c r="C2556">
        <v>0</v>
      </c>
      <c r="J2556">
        <v>2555</v>
      </c>
      <c r="K2556" t="s">
        <v>4520</v>
      </c>
      <c r="L2556">
        <v>0</v>
      </c>
    </row>
    <row r="2557" spans="1:12" x14ac:dyDescent="0.25">
      <c r="A2557">
        <v>2556</v>
      </c>
      <c r="B2557" t="s">
        <v>4521</v>
      </c>
      <c r="C2557">
        <v>0</v>
      </c>
      <c r="J2557">
        <v>2556</v>
      </c>
      <c r="K2557" t="s">
        <v>4521</v>
      </c>
      <c r="L2557">
        <v>0</v>
      </c>
    </row>
    <row r="2558" spans="1:12" x14ac:dyDescent="0.25">
      <c r="A2558">
        <v>2557</v>
      </c>
      <c r="B2558" t="s">
        <v>4522</v>
      </c>
      <c r="C2558">
        <v>0</v>
      </c>
      <c r="J2558">
        <v>2557</v>
      </c>
      <c r="K2558" t="s">
        <v>4522</v>
      </c>
      <c r="L2558">
        <v>0</v>
      </c>
    </row>
    <row r="2559" spans="1:12" x14ac:dyDescent="0.25">
      <c r="A2559">
        <v>2558</v>
      </c>
      <c r="B2559" t="s">
        <v>4523</v>
      </c>
      <c r="C2559">
        <v>0</v>
      </c>
      <c r="J2559">
        <v>2558</v>
      </c>
      <c r="K2559" t="s">
        <v>4523</v>
      </c>
      <c r="L2559">
        <v>0</v>
      </c>
    </row>
    <row r="2560" spans="1:12" x14ac:dyDescent="0.25">
      <c r="A2560">
        <v>2559</v>
      </c>
      <c r="B2560" t="s">
        <v>4524</v>
      </c>
      <c r="C2560">
        <v>0</v>
      </c>
      <c r="J2560">
        <v>2559</v>
      </c>
      <c r="K2560" t="s">
        <v>4524</v>
      </c>
      <c r="L2560">
        <v>0</v>
      </c>
    </row>
    <row r="2561" spans="1:12" x14ac:dyDescent="0.25">
      <c r="A2561">
        <v>2560</v>
      </c>
      <c r="B2561" t="s">
        <v>4525</v>
      </c>
      <c r="C2561">
        <v>0</v>
      </c>
      <c r="J2561">
        <v>2560</v>
      </c>
      <c r="K2561" t="s">
        <v>4525</v>
      </c>
      <c r="L2561">
        <v>0</v>
      </c>
    </row>
    <row r="2562" spans="1:12" x14ac:dyDescent="0.25">
      <c r="A2562">
        <v>2561</v>
      </c>
      <c r="B2562" t="s">
        <v>4526</v>
      </c>
      <c r="C2562">
        <v>0</v>
      </c>
      <c r="J2562">
        <v>2561</v>
      </c>
      <c r="K2562" t="s">
        <v>4526</v>
      </c>
      <c r="L2562">
        <v>0</v>
      </c>
    </row>
    <row r="2563" spans="1:12" x14ac:dyDescent="0.25">
      <c r="A2563">
        <v>2562</v>
      </c>
      <c r="B2563" t="s">
        <v>4527</v>
      </c>
      <c r="C2563">
        <v>0</v>
      </c>
      <c r="J2563">
        <v>2562</v>
      </c>
      <c r="K2563" t="s">
        <v>4527</v>
      </c>
      <c r="L2563">
        <v>0</v>
      </c>
    </row>
    <row r="2564" spans="1:12" x14ac:dyDescent="0.25">
      <c r="A2564">
        <v>2563</v>
      </c>
      <c r="B2564" t="s">
        <v>4528</v>
      </c>
      <c r="C2564">
        <v>0</v>
      </c>
      <c r="J2564">
        <v>2563</v>
      </c>
      <c r="K2564" t="s">
        <v>4528</v>
      </c>
      <c r="L2564">
        <v>0</v>
      </c>
    </row>
    <row r="2565" spans="1:12" x14ac:dyDescent="0.25">
      <c r="A2565">
        <v>2564</v>
      </c>
      <c r="B2565" t="s">
        <v>4529</v>
      </c>
      <c r="C2565">
        <v>0</v>
      </c>
      <c r="J2565">
        <v>2564</v>
      </c>
      <c r="K2565" t="s">
        <v>4529</v>
      </c>
      <c r="L2565">
        <v>0</v>
      </c>
    </row>
    <row r="2566" spans="1:12" x14ac:dyDescent="0.25">
      <c r="A2566">
        <v>2565</v>
      </c>
      <c r="B2566" t="s">
        <v>4530</v>
      </c>
      <c r="C2566">
        <v>0</v>
      </c>
      <c r="J2566">
        <v>2565</v>
      </c>
      <c r="K2566" t="s">
        <v>4530</v>
      </c>
      <c r="L2566">
        <v>0</v>
      </c>
    </row>
    <row r="2567" spans="1:12" x14ac:dyDescent="0.25">
      <c r="A2567">
        <v>2566</v>
      </c>
      <c r="B2567" t="s">
        <v>4531</v>
      </c>
      <c r="C2567">
        <v>0</v>
      </c>
      <c r="J2567">
        <v>2566</v>
      </c>
      <c r="K2567" t="s">
        <v>4531</v>
      </c>
      <c r="L2567">
        <v>0</v>
      </c>
    </row>
    <row r="2568" spans="1:12" x14ac:dyDescent="0.25">
      <c r="A2568">
        <v>2567</v>
      </c>
      <c r="B2568" t="s">
        <v>4532</v>
      </c>
      <c r="C2568">
        <v>0</v>
      </c>
      <c r="J2568">
        <v>2567</v>
      </c>
      <c r="K2568" t="s">
        <v>4532</v>
      </c>
      <c r="L2568">
        <v>0</v>
      </c>
    </row>
    <row r="2569" spans="1:12" x14ac:dyDescent="0.25">
      <c r="A2569">
        <v>2568</v>
      </c>
      <c r="B2569" t="s">
        <v>4533</v>
      </c>
      <c r="C2569">
        <v>0</v>
      </c>
      <c r="J2569">
        <v>2568</v>
      </c>
      <c r="K2569" t="s">
        <v>4533</v>
      </c>
      <c r="L2569">
        <v>0</v>
      </c>
    </row>
    <row r="2570" spans="1:12" x14ac:dyDescent="0.25">
      <c r="A2570">
        <v>2569</v>
      </c>
      <c r="B2570" t="s">
        <v>4534</v>
      </c>
      <c r="C2570">
        <v>0</v>
      </c>
      <c r="J2570">
        <v>2569</v>
      </c>
      <c r="K2570" t="s">
        <v>4534</v>
      </c>
      <c r="L2570">
        <v>0</v>
      </c>
    </row>
    <row r="2571" spans="1:12" x14ac:dyDescent="0.25">
      <c r="A2571">
        <v>2570</v>
      </c>
      <c r="B2571" t="s">
        <v>4535</v>
      </c>
      <c r="C2571">
        <v>0</v>
      </c>
      <c r="J2571">
        <v>2570</v>
      </c>
      <c r="K2571" t="s">
        <v>4535</v>
      </c>
      <c r="L2571">
        <v>0</v>
      </c>
    </row>
    <row r="2572" spans="1:12" x14ac:dyDescent="0.25">
      <c r="A2572">
        <v>2571</v>
      </c>
      <c r="B2572" t="s">
        <v>4536</v>
      </c>
      <c r="C2572">
        <v>0</v>
      </c>
      <c r="J2572">
        <v>2571</v>
      </c>
      <c r="K2572" t="s">
        <v>4536</v>
      </c>
      <c r="L2572">
        <v>0</v>
      </c>
    </row>
    <row r="2573" spans="1:12" x14ac:dyDescent="0.25">
      <c r="A2573">
        <v>2572</v>
      </c>
      <c r="B2573" t="s">
        <v>4537</v>
      </c>
      <c r="C2573">
        <v>0</v>
      </c>
      <c r="J2573">
        <v>2572</v>
      </c>
      <c r="K2573" t="s">
        <v>4537</v>
      </c>
      <c r="L2573">
        <v>0</v>
      </c>
    </row>
    <row r="2574" spans="1:12" x14ac:dyDescent="0.25">
      <c r="A2574">
        <v>2573</v>
      </c>
      <c r="B2574" t="s">
        <v>4538</v>
      </c>
      <c r="C2574">
        <v>0</v>
      </c>
      <c r="J2574">
        <v>2573</v>
      </c>
      <c r="K2574" t="s">
        <v>4538</v>
      </c>
      <c r="L2574">
        <v>0</v>
      </c>
    </row>
    <row r="2575" spans="1:12" x14ac:dyDescent="0.25">
      <c r="A2575">
        <v>2574</v>
      </c>
      <c r="B2575" t="s">
        <v>4539</v>
      </c>
      <c r="C2575">
        <v>0</v>
      </c>
      <c r="J2575">
        <v>2574</v>
      </c>
      <c r="K2575" t="s">
        <v>4539</v>
      </c>
      <c r="L2575">
        <v>0</v>
      </c>
    </row>
    <row r="2576" spans="1:12" x14ac:dyDescent="0.25">
      <c r="A2576">
        <v>2575</v>
      </c>
      <c r="B2576" t="s">
        <v>4540</v>
      </c>
      <c r="C2576">
        <v>0</v>
      </c>
      <c r="J2576">
        <v>2575</v>
      </c>
      <c r="K2576" t="s">
        <v>4540</v>
      </c>
      <c r="L2576">
        <v>0</v>
      </c>
    </row>
    <row r="2577" spans="1:12" x14ac:dyDescent="0.25">
      <c r="A2577">
        <v>2576</v>
      </c>
      <c r="B2577" t="s">
        <v>4541</v>
      </c>
      <c r="C2577">
        <v>0</v>
      </c>
      <c r="J2577">
        <v>2576</v>
      </c>
      <c r="K2577" t="s">
        <v>4541</v>
      </c>
      <c r="L2577">
        <v>0</v>
      </c>
    </row>
    <row r="2578" spans="1:12" x14ac:dyDescent="0.25">
      <c r="A2578">
        <v>2577</v>
      </c>
      <c r="B2578" t="s">
        <v>4542</v>
      </c>
      <c r="C2578">
        <v>0</v>
      </c>
      <c r="J2578">
        <v>2577</v>
      </c>
      <c r="K2578" t="s">
        <v>4542</v>
      </c>
      <c r="L2578">
        <v>0</v>
      </c>
    </row>
    <row r="2579" spans="1:12" x14ac:dyDescent="0.25">
      <c r="A2579">
        <v>2578</v>
      </c>
      <c r="B2579" t="s">
        <v>4543</v>
      </c>
      <c r="C2579">
        <v>0</v>
      </c>
      <c r="J2579">
        <v>2578</v>
      </c>
      <c r="K2579" t="s">
        <v>4543</v>
      </c>
      <c r="L2579">
        <v>0</v>
      </c>
    </row>
    <row r="2580" spans="1:12" x14ac:dyDescent="0.25">
      <c r="A2580">
        <v>2579</v>
      </c>
      <c r="B2580" t="s">
        <v>4544</v>
      </c>
      <c r="C2580">
        <v>0</v>
      </c>
      <c r="J2580">
        <v>2579</v>
      </c>
      <c r="K2580" t="s">
        <v>4544</v>
      </c>
      <c r="L2580">
        <v>0</v>
      </c>
    </row>
    <row r="2581" spans="1:12" x14ac:dyDescent="0.25">
      <c r="A2581">
        <v>2580</v>
      </c>
      <c r="B2581" t="s">
        <v>4545</v>
      </c>
      <c r="C2581">
        <v>0</v>
      </c>
      <c r="J2581">
        <v>2580</v>
      </c>
      <c r="K2581" t="s">
        <v>4545</v>
      </c>
      <c r="L2581">
        <v>0</v>
      </c>
    </row>
    <row r="2582" spans="1:12" x14ac:dyDescent="0.25">
      <c r="A2582">
        <v>2581</v>
      </c>
      <c r="B2582" t="s">
        <v>4546</v>
      </c>
      <c r="C2582">
        <v>0</v>
      </c>
      <c r="J2582">
        <v>2581</v>
      </c>
      <c r="K2582" t="s">
        <v>4546</v>
      </c>
      <c r="L2582">
        <v>0</v>
      </c>
    </row>
    <row r="2583" spans="1:12" x14ac:dyDescent="0.25">
      <c r="A2583">
        <v>2582</v>
      </c>
      <c r="B2583" t="s">
        <v>4547</v>
      </c>
      <c r="C2583">
        <v>0</v>
      </c>
      <c r="J2583">
        <v>2582</v>
      </c>
      <c r="K2583" t="s">
        <v>4547</v>
      </c>
      <c r="L2583">
        <v>0</v>
      </c>
    </row>
    <row r="2584" spans="1:12" x14ac:dyDescent="0.25">
      <c r="A2584">
        <v>2583</v>
      </c>
      <c r="B2584" t="s">
        <v>4548</v>
      </c>
      <c r="C2584">
        <v>0</v>
      </c>
      <c r="J2584">
        <v>2583</v>
      </c>
      <c r="K2584" t="s">
        <v>4548</v>
      </c>
      <c r="L2584">
        <v>0</v>
      </c>
    </row>
    <row r="2585" spans="1:12" x14ac:dyDescent="0.25">
      <c r="A2585">
        <v>2584</v>
      </c>
      <c r="B2585" t="s">
        <v>4549</v>
      </c>
      <c r="C2585">
        <v>0</v>
      </c>
      <c r="J2585">
        <v>2584</v>
      </c>
      <c r="K2585" t="s">
        <v>4549</v>
      </c>
      <c r="L2585">
        <v>0</v>
      </c>
    </row>
    <row r="2586" spans="1:12" x14ac:dyDescent="0.25">
      <c r="A2586">
        <v>2585</v>
      </c>
      <c r="B2586" t="s">
        <v>4550</v>
      </c>
      <c r="C2586">
        <v>0</v>
      </c>
      <c r="J2586">
        <v>2585</v>
      </c>
      <c r="K2586" t="s">
        <v>4550</v>
      </c>
      <c r="L2586">
        <v>0</v>
      </c>
    </row>
    <row r="2587" spans="1:12" x14ac:dyDescent="0.25">
      <c r="A2587">
        <v>2586</v>
      </c>
      <c r="B2587" t="s">
        <v>4551</v>
      </c>
      <c r="C2587">
        <v>0</v>
      </c>
      <c r="J2587">
        <v>2586</v>
      </c>
      <c r="K2587" t="s">
        <v>4551</v>
      </c>
      <c r="L2587">
        <v>0</v>
      </c>
    </row>
    <row r="2588" spans="1:12" x14ac:dyDescent="0.25">
      <c r="A2588">
        <v>2587</v>
      </c>
      <c r="B2588" t="s">
        <v>4552</v>
      </c>
      <c r="C2588">
        <v>0</v>
      </c>
      <c r="J2588">
        <v>2587</v>
      </c>
      <c r="K2588" t="s">
        <v>4552</v>
      </c>
      <c r="L2588">
        <v>0</v>
      </c>
    </row>
    <row r="2589" spans="1:12" x14ac:dyDescent="0.25">
      <c r="A2589">
        <v>2588</v>
      </c>
      <c r="B2589" t="s">
        <v>4553</v>
      </c>
      <c r="C2589">
        <v>0</v>
      </c>
      <c r="J2589">
        <v>2588</v>
      </c>
      <c r="K2589" t="s">
        <v>4553</v>
      </c>
      <c r="L2589">
        <v>0</v>
      </c>
    </row>
    <row r="2590" spans="1:12" x14ac:dyDescent="0.25">
      <c r="A2590">
        <v>2589</v>
      </c>
      <c r="B2590" t="s">
        <v>4554</v>
      </c>
      <c r="C2590">
        <v>0</v>
      </c>
      <c r="J2590">
        <v>2589</v>
      </c>
      <c r="K2590" t="s">
        <v>4554</v>
      </c>
      <c r="L2590">
        <v>0</v>
      </c>
    </row>
    <row r="2591" spans="1:12" x14ac:dyDescent="0.25">
      <c r="A2591">
        <v>2590</v>
      </c>
      <c r="B2591" t="s">
        <v>4555</v>
      </c>
      <c r="C2591">
        <v>0</v>
      </c>
      <c r="J2591">
        <v>2590</v>
      </c>
      <c r="K2591" t="s">
        <v>4555</v>
      </c>
      <c r="L2591">
        <v>0</v>
      </c>
    </row>
    <row r="2592" spans="1:12" x14ac:dyDescent="0.25">
      <c r="A2592">
        <v>2591</v>
      </c>
      <c r="B2592" t="s">
        <v>4556</v>
      </c>
      <c r="C2592">
        <v>0</v>
      </c>
      <c r="J2592">
        <v>2591</v>
      </c>
      <c r="K2592" t="s">
        <v>4556</v>
      </c>
      <c r="L2592">
        <v>0</v>
      </c>
    </row>
    <row r="2593" spans="1:12" x14ac:dyDescent="0.25">
      <c r="A2593">
        <v>2592</v>
      </c>
      <c r="B2593" t="s">
        <v>4557</v>
      </c>
      <c r="C2593">
        <v>0</v>
      </c>
      <c r="J2593">
        <v>2592</v>
      </c>
      <c r="K2593" t="s">
        <v>4557</v>
      </c>
      <c r="L2593">
        <v>0</v>
      </c>
    </row>
    <row r="2594" spans="1:12" x14ac:dyDescent="0.25">
      <c r="A2594">
        <v>2593</v>
      </c>
      <c r="B2594" t="s">
        <v>4558</v>
      </c>
      <c r="C2594">
        <v>0</v>
      </c>
      <c r="J2594">
        <v>2593</v>
      </c>
      <c r="K2594" t="s">
        <v>4558</v>
      </c>
      <c r="L2594">
        <v>0</v>
      </c>
    </row>
    <row r="2595" spans="1:12" x14ac:dyDescent="0.25">
      <c r="A2595">
        <v>2594</v>
      </c>
      <c r="B2595" t="s">
        <v>4559</v>
      </c>
      <c r="C2595">
        <v>0</v>
      </c>
      <c r="J2595">
        <v>2594</v>
      </c>
      <c r="K2595" t="s">
        <v>4559</v>
      </c>
      <c r="L2595">
        <v>0</v>
      </c>
    </row>
    <row r="2596" spans="1:12" x14ac:dyDescent="0.25">
      <c r="A2596">
        <v>2595</v>
      </c>
      <c r="B2596" t="s">
        <v>4560</v>
      </c>
      <c r="C2596">
        <v>0</v>
      </c>
      <c r="J2596">
        <v>2595</v>
      </c>
      <c r="K2596" t="s">
        <v>4560</v>
      </c>
      <c r="L2596">
        <v>0</v>
      </c>
    </row>
    <row r="2597" spans="1:12" x14ac:dyDescent="0.25">
      <c r="A2597">
        <v>2596</v>
      </c>
      <c r="B2597" t="s">
        <v>4561</v>
      </c>
      <c r="C2597">
        <v>0</v>
      </c>
      <c r="J2597">
        <v>2596</v>
      </c>
      <c r="K2597" t="s">
        <v>4561</v>
      </c>
      <c r="L2597">
        <v>0</v>
      </c>
    </row>
    <row r="2598" spans="1:12" x14ac:dyDescent="0.25">
      <c r="A2598">
        <v>2597</v>
      </c>
      <c r="B2598" t="s">
        <v>4562</v>
      </c>
      <c r="C2598">
        <v>0</v>
      </c>
      <c r="J2598">
        <v>2597</v>
      </c>
      <c r="K2598" t="s">
        <v>4562</v>
      </c>
      <c r="L2598">
        <v>0</v>
      </c>
    </row>
    <row r="2599" spans="1:12" x14ac:dyDescent="0.25">
      <c r="A2599">
        <v>2598</v>
      </c>
      <c r="B2599" t="s">
        <v>4563</v>
      </c>
      <c r="C2599">
        <v>0</v>
      </c>
      <c r="J2599">
        <v>2598</v>
      </c>
      <c r="K2599" t="s">
        <v>4563</v>
      </c>
      <c r="L2599">
        <v>0</v>
      </c>
    </row>
    <row r="2600" spans="1:12" x14ac:dyDescent="0.25">
      <c r="A2600">
        <v>2599</v>
      </c>
      <c r="B2600" t="s">
        <v>4564</v>
      </c>
      <c r="C2600">
        <v>0</v>
      </c>
      <c r="J2600">
        <v>2599</v>
      </c>
      <c r="K2600" t="s">
        <v>4564</v>
      </c>
      <c r="L2600">
        <v>0</v>
      </c>
    </row>
    <row r="2601" spans="1:12" x14ac:dyDescent="0.25">
      <c r="A2601">
        <v>2600</v>
      </c>
      <c r="B2601" t="s">
        <v>4565</v>
      </c>
      <c r="C2601">
        <v>0</v>
      </c>
      <c r="J2601">
        <v>2600</v>
      </c>
      <c r="K2601" t="s">
        <v>4565</v>
      </c>
      <c r="L2601">
        <v>0</v>
      </c>
    </row>
    <row r="2602" spans="1:12" x14ac:dyDescent="0.25">
      <c r="A2602">
        <v>2601</v>
      </c>
      <c r="B2602" t="s">
        <v>4566</v>
      </c>
      <c r="C2602">
        <v>0</v>
      </c>
      <c r="J2602">
        <v>2601</v>
      </c>
      <c r="K2602" t="s">
        <v>4566</v>
      </c>
      <c r="L2602">
        <v>0</v>
      </c>
    </row>
    <row r="2603" spans="1:12" x14ac:dyDescent="0.25">
      <c r="A2603">
        <v>2602</v>
      </c>
      <c r="B2603" t="s">
        <v>4567</v>
      </c>
      <c r="C2603">
        <v>0</v>
      </c>
      <c r="J2603">
        <v>2602</v>
      </c>
      <c r="K2603" t="s">
        <v>4567</v>
      </c>
      <c r="L2603">
        <v>0</v>
      </c>
    </row>
    <row r="2604" spans="1:12" x14ac:dyDescent="0.25">
      <c r="A2604">
        <v>2603</v>
      </c>
      <c r="B2604" t="s">
        <v>4568</v>
      </c>
      <c r="C2604">
        <v>0</v>
      </c>
      <c r="J2604">
        <v>2603</v>
      </c>
      <c r="K2604" t="s">
        <v>4568</v>
      </c>
      <c r="L2604">
        <v>0</v>
      </c>
    </row>
    <row r="2605" spans="1:12" x14ac:dyDescent="0.25">
      <c r="A2605">
        <v>2604</v>
      </c>
      <c r="B2605" t="s">
        <v>4569</v>
      </c>
      <c r="C2605">
        <v>0</v>
      </c>
      <c r="J2605">
        <v>2604</v>
      </c>
      <c r="K2605" t="s">
        <v>4569</v>
      </c>
      <c r="L2605">
        <v>0</v>
      </c>
    </row>
    <row r="2606" spans="1:12" x14ac:dyDescent="0.25">
      <c r="A2606">
        <v>2605</v>
      </c>
      <c r="B2606" t="s">
        <v>4570</v>
      </c>
      <c r="C2606">
        <v>0</v>
      </c>
      <c r="J2606">
        <v>2605</v>
      </c>
      <c r="K2606" t="s">
        <v>4570</v>
      </c>
      <c r="L2606">
        <v>0</v>
      </c>
    </row>
    <row r="2607" spans="1:12" x14ac:dyDescent="0.25">
      <c r="A2607">
        <v>2606</v>
      </c>
      <c r="B2607" t="s">
        <v>4571</v>
      </c>
      <c r="C2607">
        <v>0</v>
      </c>
      <c r="J2607">
        <v>2606</v>
      </c>
      <c r="K2607" t="s">
        <v>4571</v>
      </c>
      <c r="L2607">
        <v>0</v>
      </c>
    </row>
    <row r="2608" spans="1:12" x14ac:dyDescent="0.25">
      <c r="A2608">
        <v>2607</v>
      </c>
      <c r="B2608" t="s">
        <v>4572</v>
      </c>
      <c r="C2608">
        <v>0</v>
      </c>
      <c r="J2608">
        <v>2607</v>
      </c>
      <c r="K2608" t="s">
        <v>4572</v>
      </c>
      <c r="L2608">
        <v>0</v>
      </c>
    </row>
    <row r="2609" spans="1:12" x14ac:dyDescent="0.25">
      <c r="A2609">
        <v>2608</v>
      </c>
      <c r="B2609" t="s">
        <v>4573</v>
      </c>
      <c r="C2609">
        <v>0</v>
      </c>
      <c r="J2609">
        <v>2608</v>
      </c>
      <c r="K2609" t="s">
        <v>4573</v>
      </c>
      <c r="L2609">
        <v>0</v>
      </c>
    </row>
    <row r="2610" spans="1:12" x14ac:dyDescent="0.25">
      <c r="A2610">
        <v>2609</v>
      </c>
      <c r="B2610" t="s">
        <v>4574</v>
      </c>
      <c r="C2610">
        <v>0</v>
      </c>
      <c r="J2610">
        <v>2609</v>
      </c>
      <c r="K2610" t="s">
        <v>4574</v>
      </c>
      <c r="L2610">
        <v>0</v>
      </c>
    </row>
    <row r="2611" spans="1:12" x14ac:dyDescent="0.25">
      <c r="A2611">
        <v>2610</v>
      </c>
      <c r="B2611" t="s">
        <v>4575</v>
      </c>
      <c r="C2611">
        <v>0</v>
      </c>
      <c r="J2611">
        <v>2610</v>
      </c>
      <c r="K2611" t="s">
        <v>4575</v>
      </c>
      <c r="L2611">
        <v>0</v>
      </c>
    </row>
    <row r="2612" spans="1:12" x14ac:dyDescent="0.25">
      <c r="A2612">
        <v>2611</v>
      </c>
      <c r="B2612" t="s">
        <v>4576</v>
      </c>
      <c r="C2612">
        <v>0</v>
      </c>
      <c r="J2612">
        <v>2611</v>
      </c>
      <c r="K2612" t="s">
        <v>4576</v>
      </c>
      <c r="L2612">
        <v>0</v>
      </c>
    </row>
    <row r="2613" spans="1:12" x14ac:dyDescent="0.25">
      <c r="A2613">
        <v>2612</v>
      </c>
      <c r="B2613" t="s">
        <v>4577</v>
      </c>
      <c r="C2613">
        <v>0</v>
      </c>
      <c r="J2613">
        <v>2612</v>
      </c>
      <c r="K2613" t="s">
        <v>4577</v>
      </c>
      <c r="L2613">
        <v>0</v>
      </c>
    </row>
    <row r="2614" spans="1:12" x14ac:dyDescent="0.25">
      <c r="A2614">
        <v>2613</v>
      </c>
      <c r="B2614" t="s">
        <v>4578</v>
      </c>
      <c r="C2614">
        <v>0</v>
      </c>
      <c r="J2614">
        <v>2613</v>
      </c>
      <c r="K2614" t="s">
        <v>4578</v>
      </c>
      <c r="L2614">
        <v>0</v>
      </c>
    </row>
    <row r="2615" spans="1:12" x14ac:dyDescent="0.25">
      <c r="A2615">
        <v>2614</v>
      </c>
      <c r="B2615" t="s">
        <v>4579</v>
      </c>
      <c r="C2615">
        <v>0</v>
      </c>
      <c r="J2615">
        <v>2614</v>
      </c>
      <c r="K2615" t="s">
        <v>4579</v>
      </c>
      <c r="L2615">
        <v>0</v>
      </c>
    </row>
    <row r="2616" spans="1:12" x14ac:dyDescent="0.25">
      <c r="A2616">
        <v>2615</v>
      </c>
      <c r="B2616" t="s">
        <v>4580</v>
      </c>
      <c r="C2616">
        <v>0</v>
      </c>
      <c r="J2616">
        <v>2615</v>
      </c>
      <c r="K2616" t="s">
        <v>4580</v>
      </c>
      <c r="L2616">
        <v>0</v>
      </c>
    </row>
    <row r="2617" spans="1:12" x14ac:dyDescent="0.25">
      <c r="A2617">
        <v>2616</v>
      </c>
      <c r="B2617" t="s">
        <v>4581</v>
      </c>
      <c r="C2617">
        <v>0</v>
      </c>
      <c r="J2617">
        <v>2616</v>
      </c>
      <c r="K2617" t="s">
        <v>4581</v>
      </c>
      <c r="L2617">
        <v>0</v>
      </c>
    </row>
    <row r="2618" spans="1:12" x14ac:dyDescent="0.25">
      <c r="A2618">
        <v>2617</v>
      </c>
      <c r="B2618" t="s">
        <v>4582</v>
      </c>
      <c r="C2618">
        <v>0</v>
      </c>
      <c r="J2618">
        <v>2617</v>
      </c>
      <c r="K2618" t="s">
        <v>4582</v>
      </c>
      <c r="L2618">
        <v>0</v>
      </c>
    </row>
    <row r="2619" spans="1:12" x14ac:dyDescent="0.25">
      <c r="A2619">
        <v>2618</v>
      </c>
      <c r="B2619" t="s">
        <v>4583</v>
      </c>
      <c r="C2619">
        <v>0</v>
      </c>
      <c r="J2619">
        <v>2618</v>
      </c>
      <c r="K2619" t="s">
        <v>4583</v>
      </c>
      <c r="L2619">
        <v>0</v>
      </c>
    </row>
    <row r="2620" spans="1:12" x14ac:dyDescent="0.25">
      <c r="A2620">
        <v>2619</v>
      </c>
      <c r="B2620" t="s">
        <v>4584</v>
      </c>
      <c r="C2620">
        <v>0</v>
      </c>
      <c r="J2620">
        <v>2619</v>
      </c>
      <c r="K2620" t="s">
        <v>4584</v>
      </c>
      <c r="L2620">
        <v>0</v>
      </c>
    </row>
    <row r="2621" spans="1:12" x14ac:dyDescent="0.25">
      <c r="A2621">
        <v>2620</v>
      </c>
      <c r="B2621" t="s">
        <v>4585</v>
      </c>
      <c r="C2621">
        <v>0</v>
      </c>
      <c r="J2621">
        <v>2620</v>
      </c>
      <c r="K2621" t="s">
        <v>4585</v>
      </c>
      <c r="L2621">
        <v>0</v>
      </c>
    </row>
    <row r="2622" spans="1:12" x14ac:dyDescent="0.25">
      <c r="A2622">
        <v>2621</v>
      </c>
      <c r="B2622" t="s">
        <v>4586</v>
      </c>
      <c r="C2622">
        <v>0</v>
      </c>
      <c r="J2622">
        <v>2621</v>
      </c>
      <c r="K2622" t="s">
        <v>4586</v>
      </c>
      <c r="L2622">
        <v>0</v>
      </c>
    </row>
    <row r="2623" spans="1:12" x14ac:dyDescent="0.25">
      <c r="A2623">
        <v>2622</v>
      </c>
      <c r="B2623" t="s">
        <v>4587</v>
      </c>
      <c r="C2623">
        <v>0</v>
      </c>
      <c r="J2623">
        <v>2622</v>
      </c>
      <c r="K2623" t="s">
        <v>4587</v>
      </c>
      <c r="L2623">
        <v>0</v>
      </c>
    </row>
    <row r="2624" spans="1:12" x14ac:dyDescent="0.25">
      <c r="A2624">
        <v>2623</v>
      </c>
      <c r="B2624" t="s">
        <v>4588</v>
      </c>
      <c r="C2624">
        <v>0</v>
      </c>
      <c r="J2624">
        <v>2623</v>
      </c>
      <c r="K2624" t="s">
        <v>4588</v>
      </c>
      <c r="L2624">
        <v>0</v>
      </c>
    </row>
    <row r="2625" spans="1:12" x14ac:dyDescent="0.25">
      <c r="A2625">
        <v>2624</v>
      </c>
      <c r="B2625" t="s">
        <v>4589</v>
      </c>
      <c r="C2625">
        <v>0</v>
      </c>
      <c r="J2625">
        <v>2624</v>
      </c>
      <c r="K2625" t="s">
        <v>4589</v>
      </c>
      <c r="L2625">
        <v>0</v>
      </c>
    </row>
    <row r="2626" spans="1:12" x14ac:dyDescent="0.25">
      <c r="A2626">
        <v>2625</v>
      </c>
      <c r="B2626" t="s">
        <v>4590</v>
      </c>
      <c r="C2626">
        <v>0</v>
      </c>
      <c r="J2626">
        <v>2625</v>
      </c>
      <c r="K2626" t="s">
        <v>4590</v>
      </c>
      <c r="L2626">
        <v>0</v>
      </c>
    </row>
    <row r="2627" spans="1:12" x14ac:dyDescent="0.25">
      <c r="A2627">
        <v>2626</v>
      </c>
      <c r="B2627" t="s">
        <v>4591</v>
      </c>
      <c r="C2627">
        <v>0</v>
      </c>
      <c r="J2627">
        <v>2626</v>
      </c>
      <c r="K2627" t="s">
        <v>4591</v>
      </c>
      <c r="L2627">
        <v>0</v>
      </c>
    </row>
    <row r="2628" spans="1:12" x14ac:dyDescent="0.25">
      <c r="A2628">
        <v>2627</v>
      </c>
      <c r="B2628" t="s">
        <v>4592</v>
      </c>
      <c r="C2628">
        <v>0</v>
      </c>
      <c r="J2628">
        <v>2627</v>
      </c>
      <c r="K2628" t="s">
        <v>4592</v>
      </c>
      <c r="L2628">
        <v>0</v>
      </c>
    </row>
    <row r="2629" spans="1:12" x14ac:dyDescent="0.25">
      <c r="A2629">
        <v>2628</v>
      </c>
      <c r="B2629" t="s">
        <v>4593</v>
      </c>
      <c r="C2629">
        <v>0</v>
      </c>
      <c r="J2629">
        <v>2628</v>
      </c>
      <c r="K2629" t="s">
        <v>4593</v>
      </c>
      <c r="L2629">
        <v>0</v>
      </c>
    </row>
    <row r="2630" spans="1:12" x14ac:dyDescent="0.25">
      <c r="A2630">
        <v>2629</v>
      </c>
      <c r="B2630" t="s">
        <v>4594</v>
      </c>
      <c r="C2630">
        <v>0</v>
      </c>
      <c r="J2630">
        <v>2629</v>
      </c>
      <c r="K2630" t="s">
        <v>4594</v>
      </c>
      <c r="L2630">
        <v>0</v>
      </c>
    </row>
    <row r="2631" spans="1:12" x14ac:dyDescent="0.25">
      <c r="A2631">
        <v>2630</v>
      </c>
      <c r="B2631" t="s">
        <v>4595</v>
      </c>
      <c r="C2631">
        <v>0</v>
      </c>
      <c r="J2631">
        <v>2630</v>
      </c>
      <c r="K2631" t="s">
        <v>4595</v>
      </c>
      <c r="L2631">
        <v>0</v>
      </c>
    </row>
    <row r="2632" spans="1:12" x14ac:dyDescent="0.25">
      <c r="A2632">
        <v>2631</v>
      </c>
      <c r="B2632" t="s">
        <v>4596</v>
      </c>
      <c r="C2632">
        <v>0</v>
      </c>
      <c r="J2632">
        <v>2631</v>
      </c>
      <c r="K2632" t="s">
        <v>4596</v>
      </c>
      <c r="L2632">
        <v>0</v>
      </c>
    </row>
    <row r="2633" spans="1:12" x14ac:dyDescent="0.25">
      <c r="A2633">
        <v>2632</v>
      </c>
      <c r="B2633" t="s">
        <v>4597</v>
      </c>
      <c r="C2633">
        <v>0</v>
      </c>
      <c r="J2633">
        <v>2632</v>
      </c>
      <c r="K2633" t="s">
        <v>4597</v>
      </c>
      <c r="L2633">
        <v>0</v>
      </c>
    </row>
    <row r="2634" spans="1:12" x14ac:dyDescent="0.25">
      <c r="A2634">
        <v>2633</v>
      </c>
      <c r="B2634" t="s">
        <v>4598</v>
      </c>
      <c r="C2634">
        <v>0</v>
      </c>
      <c r="J2634">
        <v>2633</v>
      </c>
      <c r="K2634" t="s">
        <v>4598</v>
      </c>
      <c r="L2634">
        <v>0</v>
      </c>
    </row>
    <row r="2635" spans="1:12" x14ac:dyDescent="0.25">
      <c r="A2635">
        <v>2634</v>
      </c>
      <c r="B2635" t="s">
        <v>4599</v>
      </c>
      <c r="C2635">
        <v>0</v>
      </c>
      <c r="J2635">
        <v>2634</v>
      </c>
      <c r="K2635" t="s">
        <v>4599</v>
      </c>
      <c r="L2635">
        <v>0</v>
      </c>
    </row>
    <row r="2636" spans="1:12" x14ac:dyDescent="0.25">
      <c r="A2636">
        <v>2635</v>
      </c>
      <c r="B2636" t="s">
        <v>4600</v>
      </c>
      <c r="C2636">
        <v>0</v>
      </c>
      <c r="J2636">
        <v>2635</v>
      </c>
      <c r="K2636" t="s">
        <v>4600</v>
      </c>
      <c r="L2636">
        <v>0</v>
      </c>
    </row>
    <row r="2637" spans="1:12" x14ac:dyDescent="0.25">
      <c r="A2637">
        <v>2636</v>
      </c>
      <c r="B2637" t="s">
        <v>4601</v>
      </c>
      <c r="C2637">
        <v>0</v>
      </c>
      <c r="J2637">
        <v>2636</v>
      </c>
      <c r="K2637" t="s">
        <v>4601</v>
      </c>
      <c r="L2637">
        <v>0</v>
      </c>
    </row>
    <row r="2638" spans="1:12" x14ac:dyDescent="0.25">
      <c r="A2638">
        <v>2637</v>
      </c>
      <c r="B2638" t="s">
        <v>4602</v>
      </c>
      <c r="C2638">
        <v>0</v>
      </c>
      <c r="J2638">
        <v>2637</v>
      </c>
      <c r="K2638" t="s">
        <v>4602</v>
      </c>
      <c r="L2638">
        <v>0</v>
      </c>
    </row>
    <row r="2639" spans="1:12" x14ac:dyDescent="0.25">
      <c r="A2639">
        <v>2638</v>
      </c>
      <c r="B2639" t="s">
        <v>4603</v>
      </c>
      <c r="C2639">
        <v>0</v>
      </c>
      <c r="J2639">
        <v>2638</v>
      </c>
      <c r="K2639" t="s">
        <v>4603</v>
      </c>
      <c r="L2639">
        <v>0</v>
      </c>
    </row>
    <row r="2640" spans="1:12" x14ac:dyDescent="0.25">
      <c r="A2640">
        <v>2639</v>
      </c>
      <c r="B2640" t="s">
        <v>4604</v>
      </c>
      <c r="C2640">
        <v>0</v>
      </c>
      <c r="J2640">
        <v>2639</v>
      </c>
      <c r="K2640" t="s">
        <v>4604</v>
      </c>
      <c r="L2640">
        <v>0</v>
      </c>
    </row>
    <row r="2641" spans="1:12" x14ac:dyDescent="0.25">
      <c r="A2641">
        <v>2640</v>
      </c>
      <c r="B2641" t="s">
        <v>4605</v>
      </c>
      <c r="C2641">
        <v>0</v>
      </c>
      <c r="J2641">
        <v>2640</v>
      </c>
      <c r="K2641" t="s">
        <v>4605</v>
      </c>
      <c r="L2641">
        <v>0</v>
      </c>
    </row>
    <row r="2642" spans="1:12" x14ac:dyDescent="0.25">
      <c r="A2642">
        <v>2641</v>
      </c>
      <c r="B2642" t="s">
        <v>4606</v>
      </c>
      <c r="C2642">
        <v>0</v>
      </c>
      <c r="J2642">
        <v>2641</v>
      </c>
      <c r="K2642" t="s">
        <v>4606</v>
      </c>
      <c r="L2642">
        <v>0</v>
      </c>
    </row>
    <row r="2643" spans="1:12" x14ac:dyDescent="0.25">
      <c r="A2643">
        <v>2642</v>
      </c>
      <c r="B2643" t="s">
        <v>4607</v>
      </c>
      <c r="C2643">
        <v>0</v>
      </c>
      <c r="J2643">
        <v>2642</v>
      </c>
      <c r="K2643" t="s">
        <v>4607</v>
      </c>
      <c r="L2643">
        <v>0</v>
      </c>
    </row>
    <row r="2644" spans="1:12" x14ac:dyDescent="0.25">
      <c r="A2644">
        <v>2643</v>
      </c>
      <c r="B2644" t="s">
        <v>4608</v>
      </c>
      <c r="C2644">
        <v>0</v>
      </c>
      <c r="J2644">
        <v>2643</v>
      </c>
      <c r="K2644" t="s">
        <v>4608</v>
      </c>
      <c r="L2644">
        <v>0</v>
      </c>
    </row>
    <row r="2645" spans="1:12" x14ac:dyDescent="0.25">
      <c r="A2645">
        <v>2644</v>
      </c>
      <c r="B2645" t="s">
        <v>4609</v>
      </c>
      <c r="C2645">
        <v>0</v>
      </c>
      <c r="J2645">
        <v>2644</v>
      </c>
      <c r="K2645" t="s">
        <v>4609</v>
      </c>
      <c r="L2645">
        <v>0</v>
      </c>
    </row>
    <row r="2646" spans="1:12" x14ac:dyDescent="0.25">
      <c r="A2646">
        <v>2645</v>
      </c>
      <c r="B2646" t="s">
        <v>4610</v>
      </c>
      <c r="C2646">
        <v>0</v>
      </c>
      <c r="J2646">
        <v>2645</v>
      </c>
      <c r="K2646" t="s">
        <v>4610</v>
      </c>
      <c r="L2646">
        <v>0</v>
      </c>
    </row>
    <row r="2647" spans="1:12" x14ac:dyDescent="0.25">
      <c r="A2647">
        <v>2646</v>
      </c>
      <c r="B2647" t="s">
        <v>4611</v>
      </c>
      <c r="C2647">
        <v>0</v>
      </c>
      <c r="J2647">
        <v>2646</v>
      </c>
      <c r="K2647" t="s">
        <v>4611</v>
      </c>
      <c r="L2647">
        <v>0</v>
      </c>
    </row>
    <row r="2648" spans="1:12" x14ac:dyDescent="0.25">
      <c r="A2648">
        <v>2647</v>
      </c>
      <c r="B2648" t="s">
        <v>4612</v>
      </c>
      <c r="C2648">
        <v>0</v>
      </c>
      <c r="J2648">
        <v>2647</v>
      </c>
      <c r="K2648" t="s">
        <v>4612</v>
      </c>
      <c r="L2648">
        <v>0</v>
      </c>
    </row>
    <row r="2649" spans="1:12" x14ac:dyDescent="0.25">
      <c r="A2649">
        <v>2648</v>
      </c>
      <c r="B2649" t="s">
        <v>4613</v>
      </c>
      <c r="C2649">
        <v>0</v>
      </c>
      <c r="J2649">
        <v>2648</v>
      </c>
      <c r="K2649" t="s">
        <v>4613</v>
      </c>
      <c r="L2649">
        <v>0</v>
      </c>
    </row>
    <row r="2650" spans="1:12" x14ac:dyDescent="0.25">
      <c r="A2650">
        <v>2649</v>
      </c>
      <c r="B2650" t="s">
        <v>4614</v>
      </c>
      <c r="C2650">
        <v>0</v>
      </c>
      <c r="J2650">
        <v>2649</v>
      </c>
      <c r="K2650" t="s">
        <v>4614</v>
      </c>
      <c r="L2650">
        <v>0</v>
      </c>
    </row>
    <row r="2651" spans="1:12" x14ac:dyDescent="0.25">
      <c r="A2651">
        <v>2650</v>
      </c>
      <c r="B2651" t="s">
        <v>4615</v>
      </c>
      <c r="C2651">
        <v>0</v>
      </c>
      <c r="J2651">
        <v>2650</v>
      </c>
      <c r="K2651" t="s">
        <v>4615</v>
      </c>
      <c r="L2651">
        <v>0</v>
      </c>
    </row>
    <row r="2652" spans="1:12" x14ac:dyDescent="0.25">
      <c r="A2652">
        <v>2651</v>
      </c>
      <c r="B2652" t="s">
        <v>4616</v>
      </c>
      <c r="C2652">
        <v>0</v>
      </c>
      <c r="J2652">
        <v>2651</v>
      </c>
      <c r="K2652" t="s">
        <v>4616</v>
      </c>
      <c r="L2652">
        <v>0</v>
      </c>
    </row>
    <row r="2653" spans="1:12" x14ac:dyDescent="0.25">
      <c r="A2653">
        <v>2652</v>
      </c>
      <c r="B2653" t="s">
        <v>4617</v>
      </c>
      <c r="C2653">
        <v>0</v>
      </c>
      <c r="J2653">
        <v>2652</v>
      </c>
      <c r="K2653" t="s">
        <v>4617</v>
      </c>
      <c r="L2653">
        <v>0</v>
      </c>
    </row>
    <row r="2654" spans="1:12" x14ac:dyDescent="0.25">
      <c r="A2654">
        <v>2653</v>
      </c>
      <c r="B2654" t="s">
        <v>4618</v>
      </c>
      <c r="C2654">
        <v>0</v>
      </c>
      <c r="J2654">
        <v>2653</v>
      </c>
      <c r="K2654" t="s">
        <v>4618</v>
      </c>
      <c r="L2654">
        <v>0</v>
      </c>
    </row>
    <row r="2655" spans="1:12" x14ac:dyDescent="0.25">
      <c r="A2655">
        <v>2654</v>
      </c>
      <c r="B2655" t="s">
        <v>4619</v>
      </c>
      <c r="C2655">
        <v>0</v>
      </c>
      <c r="J2655">
        <v>2654</v>
      </c>
      <c r="K2655" t="s">
        <v>4619</v>
      </c>
      <c r="L2655">
        <v>0</v>
      </c>
    </row>
    <row r="2656" spans="1:12" x14ac:dyDescent="0.25">
      <c r="A2656">
        <v>2655</v>
      </c>
      <c r="B2656" t="s">
        <v>4620</v>
      </c>
      <c r="C2656">
        <v>0</v>
      </c>
      <c r="J2656">
        <v>2655</v>
      </c>
      <c r="K2656" t="s">
        <v>4620</v>
      </c>
      <c r="L2656">
        <v>0</v>
      </c>
    </row>
    <row r="2657" spans="1:12" x14ac:dyDescent="0.25">
      <c r="A2657">
        <v>2656</v>
      </c>
      <c r="B2657" t="s">
        <v>4621</v>
      </c>
      <c r="C2657">
        <v>0</v>
      </c>
      <c r="J2657">
        <v>2656</v>
      </c>
      <c r="K2657" t="s">
        <v>4621</v>
      </c>
      <c r="L2657">
        <v>0</v>
      </c>
    </row>
    <row r="2658" spans="1:12" x14ac:dyDescent="0.25">
      <c r="A2658">
        <v>2657</v>
      </c>
      <c r="B2658" t="s">
        <v>4622</v>
      </c>
      <c r="C2658">
        <v>0</v>
      </c>
      <c r="J2658">
        <v>2657</v>
      </c>
      <c r="K2658" t="s">
        <v>4622</v>
      </c>
      <c r="L2658">
        <v>0</v>
      </c>
    </row>
    <row r="2659" spans="1:12" x14ac:dyDescent="0.25">
      <c r="A2659">
        <v>2658</v>
      </c>
      <c r="B2659" t="s">
        <v>4623</v>
      </c>
      <c r="C2659">
        <v>0</v>
      </c>
      <c r="J2659">
        <v>2658</v>
      </c>
      <c r="K2659" t="s">
        <v>4623</v>
      </c>
      <c r="L2659">
        <v>0</v>
      </c>
    </row>
    <row r="2660" spans="1:12" x14ac:dyDescent="0.25">
      <c r="A2660">
        <v>2659</v>
      </c>
      <c r="B2660" t="s">
        <v>4624</v>
      </c>
      <c r="C2660">
        <v>0</v>
      </c>
      <c r="J2660">
        <v>2659</v>
      </c>
      <c r="K2660" t="s">
        <v>4624</v>
      </c>
      <c r="L2660">
        <v>0</v>
      </c>
    </row>
    <row r="2661" spans="1:12" x14ac:dyDescent="0.25">
      <c r="A2661">
        <v>2660</v>
      </c>
      <c r="B2661" t="s">
        <v>4625</v>
      </c>
      <c r="C2661">
        <v>0</v>
      </c>
      <c r="J2661">
        <v>2660</v>
      </c>
      <c r="K2661" t="s">
        <v>4625</v>
      </c>
      <c r="L2661">
        <v>0</v>
      </c>
    </row>
    <row r="2662" spans="1:12" x14ac:dyDescent="0.25">
      <c r="A2662">
        <v>2661</v>
      </c>
      <c r="B2662" t="s">
        <v>4626</v>
      </c>
      <c r="C2662">
        <v>0</v>
      </c>
      <c r="J2662">
        <v>2661</v>
      </c>
      <c r="K2662" t="s">
        <v>4626</v>
      </c>
      <c r="L2662">
        <v>0</v>
      </c>
    </row>
    <row r="2663" spans="1:12" x14ac:dyDescent="0.25">
      <c r="A2663">
        <v>2662</v>
      </c>
      <c r="B2663" t="s">
        <v>4627</v>
      </c>
      <c r="C2663">
        <v>0</v>
      </c>
      <c r="J2663">
        <v>2662</v>
      </c>
      <c r="K2663" t="s">
        <v>4627</v>
      </c>
      <c r="L2663">
        <v>0</v>
      </c>
    </row>
    <row r="2664" spans="1:12" x14ac:dyDescent="0.25">
      <c r="A2664">
        <v>2663</v>
      </c>
      <c r="B2664" t="s">
        <v>4628</v>
      </c>
      <c r="C2664">
        <v>0</v>
      </c>
      <c r="J2664">
        <v>2663</v>
      </c>
      <c r="K2664" t="s">
        <v>4628</v>
      </c>
      <c r="L2664">
        <v>0</v>
      </c>
    </row>
    <row r="2665" spans="1:12" x14ac:dyDescent="0.25">
      <c r="A2665">
        <v>2664</v>
      </c>
      <c r="B2665" t="s">
        <v>4629</v>
      </c>
      <c r="C2665">
        <v>0</v>
      </c>
      <c r="J2665">
        <v>2664</v>
      </c>
      <c r="K2665" t="s">
        <v>4629</v>
      </c>
      <c r="L2665">
        <v>0</v>
      </c>
    </row>
    <row r="2666" spans="1:12" x14ac:dyDescent="0.25">
      <c r="A2666">
        <v>2665</v>
      </c>
      <c r="B2666" t="s">
        <v>4630</v>
      </c>
      <c r="C2666">
        <v>0</v>
      </c>
      <c r="J2666">
        <v>2665</v>
      </c>
      <c r="K2666" t="s">
        <v>4630</v>
      </c>
      <c r="L2666">
        <v>0</v>
      </c>
    </row>
    <row r="2667" spans="1:12" x14ac:dyDescent="0.25">
      <c r="A2667">
        <v>2666</v>
      </c>
      <c r="B2667" t="s">
        <v>4631</v>
      </c>
      <c r="C2667">
        <v>0</v>
      </c>
      <c r="J2667">
        <v>2666</v>
      </c>
      <c r="K2667" t="s">
        <v>4631</v>
      </c>
      <c r="L2667">
        <v>0</v>
      </c>
    </row>
    <row r="2668" spans="1:12" x14ac:dyDescent="0.25">
      <c r="A2668">
        <v>2667</v>
      </c>
      <c r="B2668" t="s">
        <v>4632</v>
      </c>
      <c r="C2668">
        <v>0</v>
      </c>
      <c r="J2668">
        <v>2667</v>
      </c>
      <c r="K2668" t="s">
        <v>4632</v>
      </c>
      <c r="L2668">
        <v>0</v>
      </c>
    </row>
    <row r="2669" spans="1:12" x14ac:dyDescent="0.25">
      <c r="A2669">
        <v>2668</v>
      </c>
      <c r="B2669" t="s">
        <v>4633</v>
      </c>
      <c r="C2669">
        <v>0</v>
      </c>
      <c r="J2669">
        <v>2668</v>
      </c>
      <c r="K2669" t="s">
        <v>4633</v>
      </c>
      <c r="L2669">
        <v>0</v>
      </c>
    </row>
    <row r="2670" spans="1:12" x14ac:dyDescent="0.25">
      <c r="A2670">
        <v>2669</v>
      </c>
      <c r="B2670" t="s">
        <v>4634</v>
      </c>
      <c r="C2670">
        <v>0</v>
      </c>
      <c r="J2670">
        <v>2669</v>
      </c>
      <c r="K2670" t="s">
        <v>4634</v>
      </c>
      <c r="L2670">
        <v>0</v>
      </c>
    </row>
    <row r="2671" spans="1:12" x14ac:dyDescent="0.25">
      <c r="A2671">
        <v>2670</v>
      </c>
      <c r="B2671" t="s">
        <v>4635</v>
      </c>
      <c r="C2671">
        <v>0</v>
      </c>
      <c r="J2671">
        <v>2670</v>
      </c>
      <c r="K2671" t="s">
        <v>4635</v>
      </c>
      <c r="L2671">
        <v>0</v>
      </c>
    </row>
    <row r="2672" spans="1:12" x14ac:dyDescent="0.25">
      <c r="A2672">
        <v>2671</v>
      </c>
      <c r="B2672" t="s">
        <v>4636</v>
      </c>
      <c r="C2672">
        <v>0</v>
      </c>
      <c r="J2672">
        <v>2671</v>
      </c>
      <c r="K2672" t="s">
        <v>4636</v>
      </c>
      <c r="L2672">
        <v>0</v>
      </c>
    </row>
    <row r="2673" spans="1:12" x14ac:dyDescent="0.25">
      <c r="A2673">
        <v>2672</v>
      </c>
      <c r="B2673" t="s">
        <v>4637</v>
      </c>
      <c r="C2673">
        <v>0</v>
      </c>
      <c r="J2673">
        <v>2672</v>
      </c>
      <c r="K2673" t="s">
        <v>4637</v>
      </c>
      <c r="L2673">
        <v>0</v>
      </c>
    </row>
    <row r="2674" spans="1:12" x14ac:dyDescent="0.25">
      <c r="A2674">
        <v>2673</v>
      </c>
      <c r="B2674" t="s">
        <v>4638</v>
      </c>
      <c r="C2674">
        <v>0</v>
      </c>
      <c r="J2674">
        <v>2673</v>
      </c>
      <c r="K2674" t="s">
        <v>4638</v>
      </c>
      <c r="L2674">
        <v>0</v>
      </c>
    </row>
    <row r="2675" spans="1:12" x14ac:dyDescent="0.25">
      <c r="A2675">
        <v>2674</v>
      </c>
      <c r="B2675" t="s">
        <v>4639</v>
      </c>
      <c r="C2675">
        <v>0</v>
      </c>
      <c r="J2675">
        <v>2674</v>
      </c>
      <c r="K2675" t="s">
        <v>4639</v>
      </c>
      <c r="L2675">
        <v>0</v>
      </c>
    </row>
    <row r="2676" spans="1:12" x14ac:dyDescent="0.25">
      <c r="A2676">
        <v>2675</v>
      </c>
      <c r="B2676" t="s">
        <v>4640</v>
      </c>
      <c r="C2676">
        <v>0</v>
      </c>
      <c r="J2676">
        <v>2675</v>
      </c>
      <c r="K2676" t="s">
        <v>4640</v>
      </c>
      <c r="L2676">
        <v>0</v>
      </c>
    </row>
    <row r="2677" spans="1:12" x14ac:dyDescent="0.25">
      <c r="A2677">
        <v>2676</v>
      </c>
      <c r="B2677" t="s">
        <v>4641</v>
      </c>
      <c r="C2677">
        <v>0</v>
      </c>
      <c r="J2677">
        <v>2676</v>
      </c>
      <c r="K2677" t="s">
        <v>4641</v>
      </c>
      <c r="L2677">
        <v>0</v>
      </c>
    </row>
    <row r="2678" spans="1:12" x14ac:dyDescent="0.25">
      <c r="A2678">
        <v>2677</v>
      </c>
      <c r="B2678" t="s">
        <v>4642</v>
      </c>
      <c r="C2678">
        <v>0</v>
      </c>
      <c r="J2678">
        <v>2677</v>
      </c>
      <c r="K2678" t="s">
        <v>4642</v>
      </c>
      <c r="L2678">
        <v>0</v>
      </c>
    </row>
    <row r="2679" spans="1:12" x14ac:dyDescent="0.25">
      <c r="A2679">
        <v>2678</v>
      </c>
      <c r="B2679" t="s">
        <v>4643</v>
      </c>
      <c r="C2679">
        <v>0</v>
      </c>
      <c r="J2679">
        <v>2678</v>
      </c>
      <c r="K2679" t="s">
        <v>4643</v>
      </c>
      <c r="L2679">
        <v>0</v>
      </c>
    </row>
    <row r="2680" spans="1:12" x14ac:dyDescent="0.25">
      <c r="A2680">
        <v>2679</v>
      </c>
      <c r="B2680" t="s">
        <v>4644</v>
      </c>
      <c r="C2680">
        <v>0</v>
      </c>
      <c r="J2680">
        <v>2679</v>
      </c>
      <c r="K2680" t="s">
        <v>4644</v>
      </c>
      <c r="L2680">
        <v>0</v>
      </c>
    </row>
    <row r="2681" spans="1:12" x14ac:dyDescent="0.25">
      <c r="A2681">
        <v>2680</v>
      </c>
      <c r="B2681" t="s">
        <v>4645</v>
      </c>
      <c r="C2681">
        <v>0</v>
      </c>
      <c r="J2681">
        <v>2680</v>
      </c>
      <c r="K2681" t="s">
        <v>4645</v>
      </c>
      <c r="L2681">
        <v>0</v>
      </c>
    </row>
    <row r="2682" spans="1:12" x14ac:dyDescent="0.25">
      <c r="A2682">
        <v>2681</v>
      </c>
      <c r="B2682" t="s">
        <v>4646</v>
      </c>
      <c r="C2682">
        <v>0</v>
      </c>
      <c r="J2682">
        <v>2681</v>
      </c>
      <c r="K2682" t="s">
        <v>4646</v>
      </c>
      <c r="L2682">
        <v>0</v>
      </c>
    </row>
    <row r="2683" spans="1:12" x14ac:dyDescent="0.25">
      <c r="A2683">
        <v>2682</v>
      </c>
      <c r="B2683" t="s">
        <v>4647</v>
      </c>
      <c r="C2683">
        <v>0</v>
      </c>
      <c r="J2683">
        <v>2682</v>
      </c>
      <c r="K2683" t="s">
        <v>4647</v>
      </c>
      <c r="L2683">
        <v>0</v>
      </c>
    </row>
    <row r="2684" spans="1:12" x14ac:dyDescent="0.25">
      <c r="A2684">
        <v>2683</v>
      </c>
      <c r="B2684" t="s">
        <v>4648</v>
      </c>
      <c r="C2684">
        <v>0</v>
      </c>
      <c r="J2684">
        <v>2683</v>
      </c>
      <c r="K2684" t="s">
        <v>4648</v>
      </c>
      <c r="L2684">
        <v>0</v>
      </c>
    </row>
    <row r="2685" spans="1:12" x14ac:dyDescent="0.25">
      <c r="A2685">
        <v>2684</v>
      </c>
      <c r="B2685" t="s">
        <v>4649</v>
      </c>
      <c r="C2685">
        <v>0</v>
      </c>
      <c r="J2685">
        <v>2684</v>
      </c>
      <c r="K2685" t="s">
        <v>4649</v>
      </c>
      <c r="L2685">
        <v>0</v>
      </c>
    </row>
    <row r="2686" spans="1:12" x14ac:dyDescent="0.25">
      <c r="A2686">
        <v>2685</v>
      </c>
      <c r="B2686" t="s">
        <v>4650</v>
      </c>
      <c r="C2686">
        <v>0</v>
      </c>
      <c r="J2686">
        <v>2685</v>
      </c>
      <c r="K2686" t="s">
        <v>4650</v>
      </c>
      <c r="L2686">
        <v>0</v>
      </c>
    </row>
    <row r="2687" spans="1:12" x14ac:dyDescent="0.25">
      <c r="A2687">
        <v>2686</v>
      </c>
      <c r="B2687" t="s">
        <v>4651</v>
      </c>
      <c r="C2687">
        <v>0</v>
      </c>
      <c r="J2687">
        <v>2686</v>
      </c>
      <c r="K2687" t="s">
        <v>4651</v>
      </c>
      <c r="L2687">
        <v>0</v>
      </c>
    </row>
    <row r="2688" spans="1:12" x14ac:dyDescent="0.25">
      <c r="A2688">
        <v>2687</v>
      </c>
      <c r="B2688" t="s">
        <v>4652</v>
      </c>
      <c r="C2688">
        <v>0</v>
      </c>
      <c r="J2688">
        <v>2687</v>
      </c>
      <c r="K2688" t="s">
        <v>4652</v>
      </c>
      <c r="L2688">
        <v>0</v>
      </c>
    </row>
    <row r="2689" spans="1:12" x14ac:dyDescent="0.25">
      <c r="A2689">
        <v>2688</v>
      </c>
      <c r="B2689" t="s">
        <v>4653</v>
      </c>
      <c r="C2689">
        <v>0</v>
      </c>
      <c r="J2689">
        <v>2688</v>
      </c>
      <c r="K2689" t="s">
        <v>4653</v>
      </c>
      <c r="L2689">
        <v>0</v>
      </c>
    </row>
    <row r="2690" spans="1:12" x14ac:dyDescent="0.25">
      <c r="A2690">
        <v>2689</v>
      </c>
      <c r="B2690" t="s">
        <v>4654</v>
      </c>
      <c r="C2690">
        <v>0</v>
      </c>
      <c r="J2690">
        <v>2689</v>
      </c>
      <c r="K2690" t="s">
        <v>4654</v>
      </c>
      <c r="L2690">
        <v>0</v>
      </c>
    </row>
    <row r="2691" spans="1:12" x14ac:dyDescent="0.25">
      <c r="A2691">
        <v>2690</v>
      </c>
      <c r="B2691" t="s">
        <v>4655</v>
      </c>
      <c r="C2691">
        <v>0</v>
      </c>
      <c r="J2691">
        <v>2690</v>
      </c>
      <c r="K2691" t="s">
        <v>4655</v>
      </c>
      <c r="L2691">
        <v>0</v>
      </c>
    </row>
    <row r="2692" spans="1:12" x14ac:dyDescent="0.25">
      <c r="A2692">
        <v>2691</v>
      </c>
      <c r="B2692" t="s">
        <v>4656</v>
      </c>
      <c r="C2692">
        <v>0</v>
      </c>
      <c r="J2692">
        <v>2691</v>
      </c>
      <c r="K2692" t="s">
        <v>4656</v>
      </c>
      <c r="L2692">
        <v>0</v>
      </c>
    </row>
    <row r="2693" spans="1:12" x14ac:dyDescent="0.25">
      <c r="A2693">
        <v>2692</v>
      </c>
      <c r="B2693" t="s">
        <v>4657</v>
      </c>
      <c r="C2693">
        <v>0</v>
      </c>
      <c r="J2693">
        <v>2692</v>
      </c>
      <c r="K2693" t="s">
        <v>4657</v>
      </c>
      <c r="L2693">
        <v>0</v>
      </c>
    </row>
    <row r="2694" spans="1:12" x14ac:dyDescent="0.25">
      <c r="A2694">
        <v>2693</v>
      </c>
      <c r="B2694" t="s">
        <v>4658</v>
      </c>
      <c r="C2694">
        <v>0</v>
      </c>
      <c r="J2694">
        <v>2693</v>
      </c>
      <c r="K2694" t="s">
        <v>4658</v>
      </c>
      <c r="L2694">
        <v>0</v>
      </c>
    </row>
    <row r="2695" spans="1:12" x14ac:dyDescent="0.25">
      <c r="A2695">
        <v>2694</v>
      </c>
      <c r="B2695" t="s">
        <v>4659</v>
      </c>
      <c r="C2695">
        <v>0</v>
      </c>
      <c r="J2695">
        <v>2694</v>
      </c>
      <c r="K2695" t="s">
        <v>4659</v>
      </c>
      <c r="L2695">
        <v>0</v>
      </c>
    </row>
    <row r="2696" spans="1:12" x14ac:dyDescent="0.25">
      <c r="A2696">
        <v>2695</v>
      </c>
      <c r="B2696" t="s">
        <v>4660</v>
      </c>
      <c r="C2696">
        <v>0</v>
      </c>
      <c r="J2696">
        <v>2695</v>
      </c>
      <c r="K2696" t="s">
        <v>4660</v>
      </c>
      <c r="L2696">
        <v>0</v>
      </c>
    </row>
    <row r="2697" spans="1:12" x14ac:dyDescent="0.25">
      <c r="A2697">
        <v>2696</v>
      </c>
      <c r="B2697" t="s">
        <v>4661</v>
      </c>
      <c r="C2697">
        <v>0</v>
      </c>
      <c r="J2697">
        <v>2696</v>
      </c>
      <c r="K2697" t="s">
        <v>4661</v>
      </c>
      <c r="L2697">
        <v>0</v>
      </c>
    </row>
    <row r="2698" spans="1:12" x14ac:dyDescent="0.25">
      <c r="A2698">
        <v>2697</v>
      </c>
      <c r="B2698" t="s">
        <v>4662</v>
      </c>
      <c r="C2698">
        <v>0</v>
      </c>
      <c r="J2698">
        <v>2697</v>
      </c>
      <c r="K2698" t="s">
        <v>4662</v>
      </c>
      <c r="L2698">
        <v>0</v>
      </c>
    </row>
    <row r="2699" spans="1:12" x14ac:dyDescent="0.25">
      <c r="A2699">
        <v>2698</v>
      </c>
      <c r="B2699" t="s">
        <v>4663</v>
      </c>
      <c r="C2699">
        <v>0</v>
      </c>
      <c r="J2699">
        <v>2698</v>
      </c>
      <c r="K2699" t="s">
        <v>4663</v>
      </c>
      <c r="L2699">
        <v>0</v>
      </c>
    </row>
    <row r="2700" spans="1:12" x14ac:dyDescent="0.25">
      <c r="A2700">
        <v>2699</v>
      </c>
      <c r="B2700" t="s">
        <v>4664</v>
      </c>
      <c r="C2700">
        <v>0</v>
      </c>
      <c r="J2700">
        <v>2699</v>
      </c>
      <c r="K2700" t="s">
        <v>4664</v>
      </c>
      <c r="L2700">
        <v>0</v>
      </c>
    </row>
    <row r="2701" spans="1:12" x14ac:dyDescent="0.25">
      <c r="A2701">
        <v>2700</v>
      </c>
      <c r="B2701" t="s">
        <v>4665</v>
      </c>
      <c r="C2701">
        <v>0</v>
      </c>
      <c r="J2701">
        <v>2700</v>
      </c>
      <c r="K2701" t="s">
        <v>4665</v>
      </c>
      <c r="L2701">
        <v>0</v>
      </c>
    </row>
    <row r="2702" spans="1:12" x14ac:dyDescent="0.25">
      <c r="A2702">
        <v>2701</v>
      </c>
      <c r="B2702" t="s">
        <v>4666</v>
      </c>
      <c r="C2702">
        <v>0</v>
      </c>
      <c r="J2702">
        <v>2701</v>
      </c>
      <c r="K2702" t="s">
        <v>4666</v>
      </c>
      <c r="L2702">
        <v>0</v>
      </c>
    </row>
    <row r="2703" spans="1:12" x14ac:dyDescent="0.25">
      <c r="A2703">
        <v>2702</v>
      </c>
      <c r="B2703" t="s">
        <v>4667</v>
      </c>
      <c r="C2703">
        <v>0</v>
      </c>
      <c r="J2703">
        <v>2702</v>
      </c>
      <c r="K2703" t="s">
        <v>4667</v>
      </c>
      <c r="L2703">
        <v>0</v>
      </c>
    </row>
    <row r="2704" spans="1:12" x14ac:dyDescent="0.25">
      <c r="A2704">
        <v>2703</v>
      </c>
      <c r="B2704" t="s">
        <v>4668</v>
      </c>
      <c r="C2704">
        <v>0</v>
      </c>
      <c r="J2704">
        <v>2703</v>
      </c>
      <c r="K2704" t="s">
        <v>4668</v>
      </c>
      <c r="L2704">
        <v>0</v>
      </c>
    </row>
    <row r="2705" spans="1:12" x14ac:dyDescent="0.25">
      <c r="A2705">
        <v>2704</v>
      </c>
      <c r="B2705" t="s">
        <v>4669</v>
      </c>
      <c r="C2705">
        <v>0</v>
      </c>
      <c r="J2705">
        <v>2704</v>
      </c>
      <c r="K2705" t="s">
        <v>4669</v>
      </c>
      <c r="L2705">
        <v>0</v>
      </c>
    </row>
    <row r="2706" spans="1:12" x14ac:dyDescent="0.25">
      <c r="A2706">
        <v>2705</v>
      </c>
      <c r="B2706" t="s">
        <v>4670</v>
      </c>
      <c r="C2706">
        <v>0</v>
      </c>
      <c r="J2706">
        <v>2705</v>
      </c>
      <c r="K2706" t="s">
        <v>4670</v>
      </c>
      <c r="L2706">
        <v>0</v>
      </c>
    </row>
    <row r="2707" spans="1:12" x14ac:dyDescent="0.25">
      <c r="A2707">
        <v>2706</v>
      </c>
      <c r="B2707" t="s">
        <v>4671</v>
      </c>
      <c r="C2707">
        <v>0</v>
      </c>
      <c r="J2707">
        <v>2706</v>
      </c>
      <c r="K2707" t="s">
        <v>4671</v>
      </c>
      <c r="L2707">
        <v>0</v>
      </c>
    </row>
    <row r="2708" spans="1:12" x14ac:dyDescent="0.25">
      <c r="A2708">
        <v>2707</v>
      </c>
      <c r="B2708" t="s">
        <v>4672</v>
      </c>
      <c r="C2708">
        <v>0</v>
      </c>
      <c r="J2708">
        <v>2707</v>
      </c>
      <c r="K2708" t="s">
        <v>4672</v>
      </c>
      <c r="L2708">
        <v>0</v>
      </c>
    </row>
    <row r="2709" spans="1:12" x14ac:dyDescent="0.25">
      <c r="A2709">
        <v>2708</v>
      </c>
      <c r="B2709" t="s">
        <v>4673</v>
      </c>
      <c r="C2709">
        <v>0</v>
      </c>
      <c r="J2709">
        <v>2708</v>
      </c>
      <c r="K2709" t="s">
        <v>4673</v>
      </c>
      <c r="L2709">
        <v>0</v>
      </c>
    </row>
    <row r="2710" spans="1:12" x14ac:dyDescent="0.25">
      <c r="A2710">
        <v>2709</v>
      </c>
      <c r="B2710" t="s">
        <v>4674</v>
      </c>
      <c r="C2710">
        <v>0</v>
      </c>
      <c r="J2710">
        <v>2709</v>
      </c>
      <c r="K2710" t="s">
        <v>4674</v>
      </c>
      <c r="L2710">
        <v>0</v>
      </c>
    </row>
    <row r="2711" spans="1:12" x14ac:dyDescent="0.25">
      <c r="A2711">
        <v>2710</v>
      </c>
      <c r="B2711" t="s">
        <v>4675</v>
      </c>
      <c r="C2711">
        <v>0</v>
      </c>
      <c r="J2711">
        <v>2710</v>
      </c>
      <c r="K2711" t="s">
        <v>4675</v>
      </c>
      <c r="L2711">
        <v>0</v>
      </c>
    </row>
    <row r="2712" spans="1:12" x14ac:dyDescent="0.25">
      <c r="A2712">
        <v>2711</v>
      </c>
      <c r="B2712" t="s">
        <v>4676</v>
      </c>
      <c r="C2712">
        <v>0</v>
      </c>
      <c r="J2712">
        <v>2711</v>
      </c>
      <c r="K2712" t="s">
        <v>4676</v>
      </c>
      <c r="L2712">
        <v>0</v>
      </c>
    </row>
    <row r="2713" spans="1:12" x14ac:dyDescent="0.25">
      <c r="A2713">
        <v>2712</v>
      </c>
      <c r="B2713" t="s">
        <v>4677</v>
      </c>
      <c r="C2713">
        <v>0</v>
      </c>
      <c r="J2713">
        <v>2712</v>
      </c>
      <c r="K2713" t="s">
        <v>4677</v>
      </c>
      <c r="L2713">
        <v>0</v>
      </c>
    </row>
    <row r="2714" spans="1:12" x14ac:dyDescent="0.25">
      <c r="A2714">
        <v>2713</v>
      </c>
      <c r="B2714" t="s">
        <v>4678</v>
      </c>
      <c r="C2714">
        <v>0</v>
      </c>
      <c r="J2714">
        <v>2713</v>
      </c>
      <c r="K2714" t="s">
        <v>4678</v>
      </c>
      <c r="L2714">
        <v>0</v>
      </c>
    </row>
    <row r="2715" spans="1:12" x14ac:dyDescent="0.25">
      <c r="A2715">
        <v>2714</v>
      </c>
      <c r="B2715" t="s">
        <v>4679</v>
      </c>
      <c r="C2715">
        <v>0</v>
      </c>
      <c r="J2715">
        <v>2714</v>
      </c>
      <c r="K2715" t="s">
        <v>4679</v>
      </c>
      <c r="L2715">
        <v>0</v>
      </c>
    </row>
    <row r="2716" spans="1:12" x14ac:dyDescent="0.25">
      <c r="A2716">
        <v>2715</v>
      </c>
      <c r="B2716" t="s">
        <v>4680</v>
      </c>
      <c r="C2716">
        <v>0</v>
      </c>
      <c r="J2716">
        <v>2715</v>
      </c>
      <c r="K2716" t="s">
        <v>4680</v>
      </c>
      <c r="L2716">
        <v>0</v>
      </c>
    </row>
    <row r="2717" spans="1:12" x14ac:dyDescent="0.25">
      <c r="A2717">
        <v>2716</v>
      </c>
      <c r="B2717" t="s">
        <v>4681</v>
      </c>
      <c r="C2717">
        <v>0</v>
      </c>
      <c r="J2717">
        <v>2716</v>
      </c>
      <c r="K2717" t="s">
        <v>4681</v>
      </c>
      <c r="L2717">
        <v>0</v>
      </c>
    </row>
    <row r="2718" spans="1:12" x14ac:dyDescent="0.25">
      <c r="A2718">
        <v>2717</v>
      </c>
      <c r="B2718" t="s">
        <v>4682</v>
      </c>
      <c r="C2718">
        <v>0</v>
      </c>
      <c r="J2718">
        <v>2717</v>
      </c>
      <c r="K2718" t="s">
        <v>4682</v>
      </c>
      <c r="L2718">
        <v>0</v>
      </c>
    </row>
    <row r="2719" spans="1:12" x14ac:dyDescent="0.25">
      <c r="A2719">
        <v>2718</v>
      </c>
      <c r="B2719" t="s">
        <v>4683</v>
      </c>
      <c r="C2719">
        <v>0</v>
      </c>
      <c r="J2719">
        <v>2718</v>
      </c>
      <c r="K2719" t="s">
        <v>4683</v>
      </c>
      <c r="L2719">
        <v>0</v>
      </c>
    </row>
    <row r="2720" spans="1:12" x14ac:dyDescent="0.25">
      <c r="A2720">
        <v>2719</v>
      </c>
      <c r="B2720" t="s">
        <v>4684</v>
      </c>
      <c r="C2720">
        <v>0</v>
      </c>
      <c r="J2720">
        <v>2719</v>
      </c>
      <c r="K2720" t="s">
        <v>4684</v>
      </c>
      <c r="L2720">
        <v>0</v>
      </c>
    </row>
    <row r="2721" spans="1:12" x14ac:dyDescent="0.25">
      <c r="A2721">
        <v>2720</v>
      </c>
      <c r="B2721" t="s">
        <v>4685</v>
      </c>
      <c r="C2721">
        <v>0</v>
      </c>
      <c r="J2721">
        <v>2720</v>
      </c>
      <c r="K2721" t="s">
        <v>4685</v>
      </c>
      <c r="L2721">
        <v>0</v>
      </c>
    </row>
    <row r="2722" spans="1:12" x14ac:dyDescent="0.25">
      <c r="A2722">
        <v>2721</v>
      </c>
      <c r="B2722" t="s">
        <v>4686</v>
      </c>
      <c r="C2722">
        <v>0</v>
      </c>
      <c r="J2722">
        <v>2721</v>
      </c>
      <c r="K2722" t="s">
        <v>4686</v>
      </c>
      <c r="L2722">
        <v>0</v>
      </c>
    </row>
    <row r="2723" spans="1:12" x14ac:dyDescent="0.25">
      <c r="A2723">
        <v>2722</v>
      </c>
      <c r="B2723" t="s">
        <v>4687</v>
      </c>
      <c r="C2723">
        <v>0</v>
      </c>
      <c r="J2723">
        <v>2722</v>
      </c>
      <c r="K2723" t="s">
        <v>4687</v>
      </c>
      <c r="L2723">
        <v>0</v>
      </c>
    </row>
    <row r="2724" spans="1:12" x14ac:dyDescent="0.25">
      <c r="A2724">
        <v>2723</v>
      </c>
      <c r="B2724" t="s">
        <v>4688</v>
      </c>
      <c r="C2724">
        <v>0</v>
      </c>
      <c r="J2724">
        <v>2723</v>
      </c>
      <c r="K2724" t="s">
        <v>4688</v>
      </c>
      <c r="L2724">
        <v>0</v>
      </c>
    </row>
    <row r="2725" spans="1:12" x14ac:dyDescent="0.25">
      <c r="A2725">
        <v>2724</v>
      </c>
      <c r="B2725" t="s">
        <v>4689</v>
      </c>
      <c r="C2725">
        <v>0</v>
      </c>
      <c r="J2725">
        <v>2724</v>
      </c>
      <c r="K2725" t="s">
        <v>4689</v>
      </c>
      <c r="L2725">
        <v>0</v>
      </c>
    </row>
    <row r="2726" spans="1:12" x14ac:dyDescent="0.25">
      <c r="A2726">
        <v>2725</v>
      </c>
      <c r="B2726" t="s">
        <v>4690</v>
      </c>
      <c r="C2726">
        <v>0</v>
      </c>
      <c r="J2726">
        <v>2725</v>
      </c>
      <c r="K2726" t="s">
        <v>4690</v>
      </c>
      <c r="L2726">
        <v>0</v>
      </c>
    </row>
    <row r="2727" spans="1:12" x14ac:dyDescent="0.25">
      <c r="A2727">
        <v>2726</v>
      </c>
      <c r="B2727" t="s">
        <v>4691</v>
      </c>
      <c r="C2727">
        <v>0</v>
      </c>
      <c r="J2727">
        <v>2726</v>
      </c>
      <c r="K2727" t="s">
        <v>4691</v>
      </c>
      <c r="L2727">
        <v>0</v>
      </c>
    </row>
    <row r="2728" spans="1:12" x14ac:dyDescent="0.25">
      <c r="A2728">
        <v>2727</v>
      </c>
      <c r="B2728" t="s">
        <v>4692</v>
      </c>
      <c r="C2728">
        <v>0</v>
      </c>
      <c r="J2728">
        <v>2727</v>
      </c>
      <c r="K2728" t="s">
        <v>4692</v>
      </c>
      <c r="L2728">
        <v>0</v>
      </c>
    </row>
    <row r="2729" spans="1:12" x14ac:dyDescent="0.25">
      <c r="A2729">
        <v>2728</v>
      </c>
      <c r="B2729" t="s">
        <v>4693</v>
      </c>
      <c r="C2729">
        <v>0</v>
      </c>
      <c r="J2729">
        <v>2728</v>
      </c>
      <c r="K2729" t="s">
        <v>4693</v>
      </c>
      <c r="L2729">
        <v>0</v>
      </c>
    </row>
    <row r="2730" spans="1:12" x14ac:dyDescent="0.25">
      <c r="A2730">
        <v>2729</v>
      </c>
      <c r="B2730" t="s">
        <v>4694</v>
      </c>
      <c r="C2730">
        <v>0</v>
      </c>
      <c r="J2730">
        <v>2729</v>
      </c>
      <c r="K2730" t="s">
        <v>4694</v>
      </c>
      <c r="L2730">
        <v>0</v>
      </c>
    </row>
    <row r="2731" spans="1:12" x14ac:dyDescent="0.25">
      <c r="A2731">
        <v>2730</v>
      </c>
      <c r="B2731" t="s">
        <v>4695</v>
      </c>
      <c r="C2731">
        <v>0</v>
      </c>
      <c r="J2731">
        <v>2730</v>
      </c>
      <c r="K2731" t="s">
        <v>4695</v>
      </c>
      <c r="L2731">
        <v>0</v>
      </c>
    </row>
    <row r="2732" spans="1:12" x14ac:dyDescent="0.25">
      <c r="A2732">
        <v>2731</v>
      </c>
      <c r="B2732" t="s">
        <v>4696</v>
      </c>
      <c r="C2732">
        <v>0</v>
      </c>
      <c r="J2732">
        <v>2731</v>
      </c>
      <c r="K2732" t="s">
        <v>4696</v>
      </c>
      <c r="L2732">
        <v>0</v>
      </c>
    </row>
    <row r="2733" spans="1:12" x14ac:dyDescent="0.25">
      <c r="A2733">
        <v>2732</v>
      </c>
      <c r="B2733" t="s">
        <v>4697</v>
      </c>
      <c r="C2733">
        <v>0</v>
      </c>
      <c r="J2733">
        <v>2732</v>
      </c>
      <c r="K2733" t="s">
        <v>4697</v>
      </c>
      <c r="L2733">
        <v>0</v>
      </c>
    </row>
    <row r="2734" spans="1:12" x14ac:dyDescent="0.25">
      <c r="A2734">
        <v>2733</v>
      </c>
      <c r="B2734" t="s">
        <v>4698</v>
      </c>
      <c r="C2734">
        <v>0</v>
      </c>
      <c r="J2734">
        <v>2733</v>
      </c>
      <c r="K2734" t="s">
        <v>4698</v>
      </c>
      <c r="L2734">
        <v>0</v>
      </c>
    </row>
    <row r="2735" spans="1:12" x14ac:dyDescent="0.25">
      <c r="A2735">
        <v>2734</v>
      </c>
      <c r="B2735" t="s">
        <v>4699</v>
      </c>
      <c r="C2735">
        <v>0</v>
      </c>
      <c r="J2735">
        <v>2734</v>
      </c>
      <c r="K2735" t="s">
        <v>4699</v>
      </c>
      <c r="L2735">
        <v>0</v>
      </c>
    </row>
    <row r="2736" spans="1:12" x14ac:dyDescent="0.25">
      <c r="A2736">
        <v>2735</v>
      </c>
      <c r="B2736" t="s">
        <v>4700</v>
      </c>
      <c r="C2736">
        <v>0</v>
      </c>
      <c r="J2736">
        <v>2735</v>
      </c>
      <c r="K2736" t="s">
        <v>4700</v>
      </c>
      <c r="L2736">
        <v>0</v>
      </c>
    </row>
    <row r="2737" spans="1:12" x14ac:dyDescent="0.25">
      <c r="A2737">
        <v>2736</v>
      </c>
      <c r="B2737" t="s">
        <v>4701</v>
      </c>
      <c r="C2737">
        <v>0</v>
      </c>
      <c r="J2737">
        <v>2736</v>
      </c>
      <c r="K2737" t="s">
        <v>4701</v>
      </c>
      <c r="L2737">
        <v>0</v>
      </c>
    </row>
    <row r="2738" spans="1:12" x14ac:dyDescent="0.25">
      <c r="A2738">
        <v>2737</v>
      </c>
      <c r="B2738" t="s">
        <v>4702</v>
      </c>
      <c r="C2738">
        <v>0</v>
      </c>
      <c r="J2738">
        <v>2737</v>
      </c>
      <c r="K2738" t="s">
        <v>4702</v>
      </c>
      <c r="L2738">
        <v>0</v>
      </c>
    </row>
    <row r="2739" spans="1:12" x14ac:dyDescent="0.25">
      <c r="A2739">
        <v>2738</v>
      </c>
      <c r="B2739" t="s">
        <v>4703</v>
      </c>
      <c r="C2739">
        <v>0</v>
      </c>
      <c r="J2739">
        <v>2738</v>
      </c>
      <c r="K2739" t="s">
        <v>4703</v>
      </c>
      <c r="L2739">
        <v>0</v>
      </c>
    </row>
    <row r="2740" spans="1:12" x14ac:dyDescent="0.25">
      <c r="A2740">
        <v>2739</v>
      </c>
      <c r="B2740" t="s">
        <v>4704</v>
      </c>
      <c r="C2740">
        <v>0</v>
      </c>
      <c r="J2740">
        <v>2739</v>
      </c>
      <c r="K2740" t="s">
        <v>4704</v>
      </c>
      <c r="L2740">
        <v>0</v>
      </c>
    </row>
    <row r="2741" spans="1:12" x14ac:dyDescent="0.25">
      <c r="A2741">
        <v>2740</v>
      </c>
      <c r="B2741" t="s">
        <v>4705</v>
      </c>
      <c r="C2741">
        <v>0</v>
      </c>
      <c r="J2741">
        <v>2740</v>
      </c>
      <c r="K2741" t="s">
        <v>4705</v>
      </c>
      <c r="L2741">
        <v>0</v>
      </c>
    </row>
    <row r="2742" spans="1:12" x14ac:dyDescent="0.25">
      <c r="A2742">
        <v>2741</v>
      </c>
      <c r="B2742" t="s">
        <v>4706</v>
      </c>
      <c r="C2742">
        <v>0</v>
      </c>
      <c r="J2742">
        <v>2741</v>
      </c>
      <c r="K2742" t="s">
        <v>4706</v>
      </c>
      <c r="L2742">
        <v>0</v>
      </c>
    </row>
    <row r="2743" spans="1:12" x14ac:dyDescent="0.25">
      <c r="A2743">
        <v>2742</v>
      </c>
      <c r="B2743" t="s">
        <v>4707</v>
      </c>
      <c r="C2743">
        <v>0</v>
      </c>
      <c r="J2743">
        <v>2742</v>
      </c>
      <c r="K2743" t="s">
        <v>4707</v>
      </c>
      <c r="L2743">
        <v>0</v>
      </c>
    </row>
    <row r="2744" spans="1:12" x14ac:dyDescent="0.25">
      <c r="A2744">
        <v>2743</v>
      </c>
      <c r="B2744" t="s">
        <v>4708</v>
      </c>
      <c r="C2744">
        <v>0</v>
      </c>
      <c r="J2744">
        <v>2743</v>
      </c>
      <c r="K2744" t="s">
        <v>4708</v>
      </c>
      <c r="L2744">
        <v>0</v>
      </c>
    </row>
    <row r="2745" spans="1:12" x14ac:dyDescent="0.25">
      <c r="A2745">
        <v>2744</v>
      </c>
      <c r="B2745" t="s">
        <v>4709</v>
      </c>
      <c r="C2745">
        <v>0</v>
      </c>
      <c r="J2745">
        <v>2744</v>
      </c>
      <c r="K2745" t="s">
        <v>4709</v>
      </c>
      <c r="L2745">
        <v>0</v>
      </c>
    </row>
    <row r="2746" spans="1:12" x14ac:dyDescent="0.25">
      <c r="A2746">
        <v>2745</v>
      </c>
      <c r="B2746" t="s">
        <v>4710</v>
      </c>
      <c r="C2746">
        <v>0</v>
      </c>
      <c r="J2746">
        <v>2745</v>
      </c>
      <c r="K2746" t="s">
        <v>4710</v>
      </c>
      <c r="L2746">
        <v>0</v>
      </c>
    </row>
    <row r="2747" spans="1:12" x14ac:dyDescent="0.25">
      <c r="A2747">
        <v>2746</v>
      </c>
      <c r="B2747" t="s">
        <v>4711</v>
      </c>
      <c r="C2747">
        <v>0</v>
      </c>
      <c r="J2747">
        <v>2746</v>
      </c>
      <c r="K2747" t="s">
        <v>4711</v>
      </c>
      <c r="L2747">
        <v>0</v>
      </c>
    </row>
    <row r="2748" spans="1:12" x14ac:dyDescent="0.25">
      <c r="A2748">
        <v>2747</v>
      </c>
      <c r="B2748" t="s">
        <v>4712</v>
      </c>
      <c r="C2748">
        <v>0</v>
      </c>
      <c r="J2748">
        <v>2747</v>
      </c>
      <c r="K2748" t="s">
        <v>4712</v>
      </c>
      <c r="L2748">
        <v>0</v>
      </c>
    </row>
    <row r="2749" spans="1:12" x14ac:dyDescent="0.25">
      <c r="A2749">
        <v>2748</v>
      </c>
      <c r="B2749" t="s">
        <v>4713</v>
      </c>
      <c r="C2749">
        <v>0</v>
      </c>
      <c r="J2749">
        <v>2748</v>
      </c>
      <c r="K2749" t="s">
        <v>4713</v>
      </c>
      <c r="L2749">
        <v>0</v>
      </c>
    </row>
    <row r="2750" spans="1:12" x14ac:dyDescent="0.25">
      <c r="A2750">
        <v>2749</v>
      </c>
      <c r="B2750" t="s">
        <v>4714</v>
      </c>
      <c r="C2750">
        <v>0</v>
      </c>
      <c r="J2750">
        <v>2749</v>
      </c>
      <c r="K2750" t="s">
        <v>4714</v>
      </c>
      <c r="L2750">
        <v>0</v>
      </c>
    </row>
    <row r="2751" spans="1:12" x14ac:dyDescent="0.25">
      <c r="A2751">
        <v>2750</v>
      </c>
      <c r="B2751" t="s">
        <v>4715</v>
      </c>
      <c r="C2751">
        <v>0</v>
      </c>
      <c r="J2751">
        <v>2750</v>
      </c>
      <c r="K2751" t="s">
        <v>4715</v>
      </c>
      <c r="L2751">
        <v>0</v>
      </c>
    </row>
    <row r="2752" spans="1:12" x14ac:dyDescent="0.25">
      <c r="A2752">
        <v>2751</v>
      </c>
      <c r="B2752" t="s">
        <v>4716</v>
      </c>
      <c r="C2752">
        <v>0</v>
      </c>
      <c r="J2752">
        <v>2751</v>
      </c>
      <c r="K2752" t="s">
        <v>4716</v>
      </c>
      <c r="L2752">
        <v>0</v>
      </c>
    </row>
    <row r="2753" spans="1:12" x14ac:dyDescent="0.25">
      <c r="A2753">
        <v>2752</v>
      </c>
      <c r="B2753" t="s">
        <v>4717</v>
      </c>
      <c r="C2753">
        <v>0</v>
      </c>
      <c r="J2753">
        <v>2752</v>
      </c>
      <c r="K2753" t="s">
        <v>4717</v>
      </c>
      <c r="L2753">
        <v>0</v>
      </c>
    </row>
    <row r="2754" spans="1:12" x14ac:dyDescent="0.25">
      <c r="A2754">
        <v>2753</v>
      </c>
      <c r="B2754" t="s">
        <v>4718</v>
      </c>
      <c r="C2754">
        <v>0</v>
      </c>
      <c r="J2754">
        <v>2753</v>
      </c>
      <c r="K2754" t="s">
        <v>4718</v>
      </c>
      <c r="L2754">
        <v>0</v>
      </c>
    </row>
    <row r="2755" spans="1:12" x14ac:dyDescent="0.25">
      <c r="A2755">
        <v>2754</v>
      </c>
      <c r="B2755" t="s">
        <v>4719</v>
      </c>
      <c r="C2755">
        <v>0</v>
      </c>
      <c r="J2755">
        <v>2754</v>
      </c>
      <c r="K2755" t="s">
        <v>4719</v>
      </c>
      <c r="L2755">
        <v>0</v>
      </c>
    </row>
    <row r="2756" spans="1:12" x14ac:dyDescent="0.25">
      <c r="A2756">
        <v>2755</v>
      </c>
      <c r="B2756" t="s">
        <v>4720</v>
      </c>
      <c r="C2756">
        <v>0</v>
      </c>
      <c r="J2756">
        <v>2755</v>
      </c>
      <c r="K2756" t="s">
        <v>4720</v>
      </c>
      <c r="L2756">
        <v>0</v>
      </c>
    </row>
    <row r="2757" spans="1:12" x14ac:dyDescent="0.25">
      <c r="A2757">
        <v>2756</v>
      </c>
      <c r="B2757" t="s">
        <v>4721</v>
      </c>
      <c r="C2757">
        <v>0</v>
      </c>
      <c r="J2757">
        <v>2756</v>
      </c>
      <c r="K2757" t="s">
        <v>4721</v>
      </c>
      <c r="L2757">
        <v>0</v>
      </c>
    </row>
    <row r="2758" spans="1:12" x14ac:dyDescent="0.25">
      <c r="A2758">
        <v>2757</v>
      </c>
      <c r="B2758" t="s">
        <v>4722</v>
      </c>
      <c r="C2758">
        <v>0</v>
      </c>
      <c r="J2758">
        <v>2757</v>
      </c>
      <c r="K2758" t="s">
        <v>4722</v>
      </c>
      <c r="L2758">
        <v>0</v>
      </c>
    </row>
    <row r="2759" spans="1:12" x14ac:dyDescent="0.25">
      <c r="A2759">
        <v>2758</v>
      </c>
      <c r="B2759" t="s">
        <v>4723</v>
      </c>
      <c r="C2759">
        <v>0</v>
      </c>
      <c r="J2759">
        <v>2758</v>
      </c>
      <c r="K2759" t="s">
        <v>4723</v>
      </c>
      <c r="L2759">
        <v>0</v>
      </c>
    </row>
    <row r="2760" spans="1:12" x14ac:dyDescent="0.25">
      <c r="A2760">
        <v>2759</v>
      </c>
      <c r="B2760" t="s">
        <v>4724</v>
      </c>
      <c r="C2760">
        <v>0</v>
      </c>
      <c r="J2760">
        <v>2759</v>
      </c>
      <c r="K2760" t="s">
        <v>4724</v>
      </c>
      <c r="L2760">
        <v>0</v>
      </c>
    </row>
    <row r="2761" spans="1:12" x14ac:dyDescent="0.25">
      <c r="A2761">
        <v>2760</v>
      </c>
      <c r="B2761" t="s">
        <v>4725</v>
      </c>
      <c r="C2761">
        <v>0</v>
      </c>
      <c r="J2761">
        <v>2760</v>
      </c>
      <c r="K2761" t="s">
        <v>4725</v>
      </c>
      <c r="L2761">
        <v>0</v>
      </c>
    </row>
    <row r="2762" spans="1:12" x14ac:dyDescent="0.25">
      <c r="A2762">
        <v>2761</v>
      </c>
      <c r="B2762" t="s">
        <v>4726</v>
      </c>
      <c r="C2762">
        <v>0</v>
      </c>
      <c r="J2762">
        <v>2761</v>
      </c>
      <c r="K2762" t="s">
        <v>4726</v>
      </c>
      <c r="L2762">
        <v>0</v>
      </c>
    </row>
    <row r="2763" spans="1:12" x14ac:dyDescent="0.25">
      <c r="A2763">
        <v>2762</v>
      </c>
      <c r="B2763" t="s">
        <v>4727</v>
      </c>
      <c r="C2763">
        <v>0</v>
      </c>
      <c r="J2763">
        <v>2762</v>
      </c>
      <c r="K2763" t="s">
        <v>4727</v>
      </c>
      <c r="L2763">
        <v>0</v>
      </c>
    </row>
    <row r="2764" spans="1:12" x14ac:dyDescent="0.25">
      <c r="A2764">
        <v>2763</v>
      </c>
      <c r="B2764" t="s">
        <v>4728</v>
      </c>
      <c r="C2764">
        <v>0</v>
      </c>
      <c r="J2764">
        <v>2763</v>
      </c>
      <c r="K2764" t="s">
        <v>4728</v>
      </c>
      <c r="L2764">
        <v>0</v>
      </c>
    </row>
    <row r="2765" spans="1:12" x14ac:dyDescent="0.25">
      <c r="A2765">
        <v>2764</v>
      </c>
      <c r="B2765" t="s">
        <v>4729</v>
      </c>
      <c r="C2765">
        <v>0</v>
      </c>
      <c r="J2765">
        <v>2764</v>
      </c>
      <c r="K2765" t="s">
        <v>4729</v>
      </c>
      <c r="L2765">
        <v>0</v>
      </c>
    </row>
    <row r="2766" spans="1:12" x14ac:dyDescent="0.25">
      <c r="A2766">
        <v>2765</v>
      </c>
      <c r="B2766" t="s">
        <v>4730</v>
      </c>
      <c r="C2766">
        <v>0</v>
      </c>
      <c r="J2766">
        <v>2765</v>
      </c>
      <c r="K2766" t="s">
        <v>4730</v>
      </c>
      <c r="L2766">
        <v>0</v>
      </c>
    </row>
    <row r="2767" spans="1:12" x14ac:dyDescent="0.25">
      <c r="A2767">
        <v>2766</v>
      </c>
      <c r="B2767" t="s">
        <v>4731</v>
      </c>
      <c r="C2767">
        <v>0</v>
      </c>
      <c r="J2767">
        <v>2766</v>
      </c>
      <c r="K2767" t="s">
        <v>4731</v>
      </c>
      <c r="L2767">
        <v>0</v>
      </c>
    </row>
    <row r="2768" spans="1:12" x14ac:dyDescent="0.25">
      <c r="A2768">
        <v>2767</v>
      </c>
      <c r="B2768" t="s">
        <v>4732</v>
      </c>
      <c r="C2768">
        <v>0</v>
      </c>
      <c r="J2768">
        <v>2767</v>
      </c>
      <c r="K2768" t="s">
        <v>4732</v>
      </c>
      <c r="L2768">
        <v>0</v>
      </c>
    </row>
    <row r="2769" spans="1:12" x14ac:dyDescent="0.25">
      <c r="A2769">
        <v>2768</v>
      </c>
      <c r="B2769" t="s">
        <v>4733</v>
      </c>
      <c r="C2769">
        <v>0</v>
      </c>
      <c r="J2769">
        <v>2768</v>
      </c>
      <c r="K2769" t="s">
        <v>4733</v>
      </c>
      <c r="L2769">
        <v>0</v>
      </c>
    </row>
    <row r="2770" spans="1:12" x14ac:dyDescent="0.25">
      <c r="A2770">
        <v>2769</v>
      </c>
      <c r="B2770" t="s">
        <v>4734</v>
      </c>
      <c r="C2770">
        <v>0</v>
      </c>
      <c r="J2770">
        <v>2769</v>
      </c>
      <c r="K2770" t="s">
        <v>4734</v>
      </c>
      <c r="L2770">
        <v>0</v>
      </c>
    </row>
    <row r="2771" spans="1:12" x14ac:dyDescent="0.25">
      <c r="A2771">
        <v>2770</v>
      </c>
      <c r="B2771" t="s">
        <v>4735</v>
      </c>
      <c r="C2771">
        <v>0</v>
      </c>
      <c r="J2771">
        <v>2770</v>
      </c>
      <c r="K2771" t="s">
        <v>4735</v>
      </c>
      <c r="L2771">
        <v>0</v>
      </c>
    </row>
    <row r="2772" spans="1:12" x14ac:dyDescent="0.25">
      <c r="A2772">
        <v>2771</v>
      </c>
      <c r="B2772" t="s">
        <v>4736</v>
      </c>
      <c r="C2772">
        <v>0</v>
      </c>
      <c r="J2772">
        <v>2771</v>
      </c>
      <c r="K2772" t="s">
        <v>4736</v>
      </c>
      <c r="L2772">
        <v>0</v>
      </c>
    </row>
    <row r="2773" spans="1:12" x14ac:dyDescent="0.25">
      <c r="A2773">
        <v>2772</v>
      </c>
      <c r="B2773" t="s">
        <v>4737</v>
      </c>
      <c r="C2773">
        <v>0</v>
      </c>
      <c r="J2773">
        <v>2772</v>
      </c>
      <c r="K2773" t="s">
        <v>4737</v>
      </c>
      <c r="L2773">
        <v>0</v>
      </c>
    </row>
    <row r="2774" spans="1:12" x14ac:dyDescent="0.25">
      <c r="A2774">
        <v>2773</v>
      </c>
      <c r="B2774" t="s">
        <v>4738</v>
      </c>
      <c r="C2774">
        <v>0</v>
      </c>
      <c r="J2774">
        <v>2773</v>
      </c>
      <c r="K2774" t="s">
        <v>4738</v>
      </c>
      <c r="L2774">
        <v>0</v>
      </c>
    </row>
    <row r="2775" spans="1:12" x14ac:dyDescent="0.25">
      <c r="A2775">
        <v>2774</v>
      </c>
      <c r="B2775" t="s">
        <v>4739</v>
      </c>
      <c r="C2775">
        <v>0</v>
      </c>
      <c r="J2775">
        <v>2774</v>
      </c>
      <c r="K2775" t="s">
        <v>4739</v>
      </c>
      <c r="L2775">
        <v>0</v>
      </c>
    </row>
    <row r="2776" spans="1:12" x14ac:dyDescent="0.25">
      <c r="A2776">
        <v>2775</v>
      </c>
      <c r="B2776" t="s">
        <v>4740</v>
      </c>
      <c r="C2776">
        <v>0</v>
      </c>
      <c r="J2776">
        <v>2775</v>
      </c>
      <c r="K2776" t="s">
        <v>4740</v>
      </c>
      <c r="L2776">
        <v>0</v>
      </c>
    </row>
    <row r="2777" spans="1:12" x14ac:dyDescent="0.25">
      <c r="A2777">
        <v>2776</v>
      </c>
      <c r="B2777" t="s">
        <v>4741</v>
      </c>
      <c r="C2777">
        <v>0</v>
      </c>
      <c r="J2777">
        <v>2776</v>
      </c>
      <c r="K2777" t="s">
        <v>4741</v>
      </c>
      <c r="L2777">
        <v>0</v>
      </c>
    </row>
    <row r="2778" spans="1:12" x14ac:dyDescent="0.25">
      <c r="A2778">
        <v>2777</v>
      </c>
      <c r="B2778" t="s">
        <v>4742</v>
      </c>
      <c r="C2778">
        <v>0</v>
      </c>
      <c r="J2778">
        <v>2777</v>
      </c>
      <c r="K2778" t="s">
        <v>4742</v>
      </c>
      <c r="L2778">
        <v>0</v>
      </c>
    </row>
    <row r="2779" spans="1:12" x14ac:dyDescent="0.25">
      <c r="A2779">
        <v>2778</v>
      </c>
      <c r="B2779" t="s">
        <v>4743</v>
      </c>
      <c r="C2779">
        <v>0</v>
      </c>
      <c r="J2779">
        <v>2778</v>
      </c>
      <c r="K2779" t="s">
        <v>4743</v>
      </c>
      <c r="L2779">
        <v>0</v>
      </c>
    </row>
    <row r="2780" spans="1:12" x14ac:dyDescent="0.25">
      <c r="A2780">
        <v>2779</v>
      </c>
      <c r="B2780" t="s">
        <v>4744</v>
      </c>
      <c r="C2780">
        <v>0</v>
      </c>
      <c r="J2780">
        <v>2779</v>
      </c>
      <c r="K2780" t="s">
        <v>4744</v>
      </c>
      <c r="L2780">
        <v>0</v>
      </c>
    </row>
    <row r="2781" spans="1:12" x14ac:dyDescent="0.25">
      <c r="A2781">
        <v>2780</v>
      </c>
      <c r="B2781" t="s">
        <v>4745</v>
      </c>
      <c r="C2781">
        <v>0</v>
      </c>
      <c r="J2781">
        <v>2780</v>
      </c>
      <c r="K2781" t="s">
        <v>4745</v>
      </c>
      <c r="L2781">
        <v>0</v>
      </c>
    </row>
    <row r="2782" spans="1:12" x14ac:dyDescent="0.25">
      <c r="A2782">
        <v>2781</v>
      </c>
      <c r="B2782" t="s">
        <v>4746</v>
      </c>
      <c r="C2782">
        <v>0</v>
      </c>
      <c r="J2782">
        <v>2781</v>
      </c>
      <c r="K2782" t="s">
        <v>4746</v>
      </c>
      <c r="L2782">
        <v>0</v>
      </c>
    </row>
    <row r="2783" spans="1:12" x14ac:dyDescent="0.25">
      <c r="A2783">
        <v>2782</v>
      </c>
      <c r="B2783" t="s">
        <v>4747</v>
      </c>
      <c r="C2783">
        <v>0</v>
      </c>
      <c r="J2783">
        <v>2782</v>
      </c>
      <c r="K2783" t="s">
        <v>4747</v>
      </c>
      <c r="L2783">
        <v>0</v>
      </c>
    </row>
    <row r="2784" spans="1:12" x14ac:dyDescent="0.25">
      <c r="A2784">
        <v>2783</v>
      </c>
      <c r="B2784" t="s">
        <v>4748</v>
      </c>
      <c r="C2784">
        <v>0</v>
      </c>
      <c r="J2784">
        <v>2783</v>
      </c>
      <c r="K2784" t="s">
        <v>4748</v>
      </c>
      <c r="L2784">
        <v>0</v>
      </c>
    </row>
    <row r="2785" spans="1:12" x14ac:dyDescent="0.25">
      <c r="A2785">
        <v>2784</v>
      </c>
      <c r="B2785" t="s">
        <v>4749</v>
      </c>
      <c r="C2785">
        <v>0</v>
      </c>
      <c r="J2785">
        <v>2784</v>
      </c>
      <c r="K2785" t="s">
        <v>4749</v>
      </c>
      <c r="L2785">
        <v>0</v>
      </c>
    </row>
    <row r="2786" spans="1:12" x14ac:dyDescent="0.25">
      <c r="A2786">
        <v>2785</v>
      </c>
      <c r="B2786" t="s">
        <v>4750</v>
      </c>
      <c r="C2786">
        <v>0</v>
      </c>
      <c r="J2786">
        <v>2785</v>
      </c>
      <c r="K2786" t="s">
        <v>4750</v>
      </c>
      <c r="L2786">
        <v>0</v>
      </c>
    </row>
    <row r="2787" spans="1:12" x14ac:dyDescent="0.25">
      <c r="A2787">
        <v>2786</v>
      </c>
      <c r="B2787" t="s">
        <v>4751</v>
      </c>
      <c r="C2787">
        <v>0</v>
      </c>
      <c r="J2787">
        <v>2786</v>
      </c>
      <c r="K2787" t="s">
        <v>4751</v>
      </c>
      <c r="L2787">
        <v>0</v>
      </c>
    </row>
    <row r="2788" spans="1:12" x14ac:dyDescent="0.25">
      <c r="A2788">
        <v>2787</v>
      </c>
      <c r="B2788" t="s">
        <v>4752</v>
      </c>
      <c r="C2788">
        <v>0</v>
      </c>
      <c r="J2788">
        <v>2787</v>
      </c>
      <c r="K2788" t="s">
        <v>4752</v>
      </c>
      <c r="L2788">
        <v>0</v>
      </c>
    </row>
    <row r="2789" spans="1:12" x14ac:dyDescent="0.25">
      <c r="A2789">
        <v>2788</v>
      </c>
      <c r="B2789" t="s">
        <v>4753</v>
      </c>
      <c r="C2789">
        <v>0</v>
      </c>
      <c r="J2789">
        <v>2788</v>
      </c>
      <c r="K2789" t="s">
        <v>4753</v>
      </c>
      <c r="L2789">
        <v>0</v>
      </c>
    </row>
    <row r="2790" spans="1:12" x14ac:dyDescent="0.25">
      <c r="A2790">
        <v>2789</v>
      </c>
      <c r="B2790" t="s">
        <v>4754</v>
      </c>
      <c r="C2790">
        <v>0</v>
      </c>
      <c r="J2790">
        <v>2789</v>
      </c>
      <c r="K2790" t="s">
        <v>4754</v>
      </c>
      <c r="L2790">
        <v>0</v>
      </c>
    </row>
    <row r="2791" spans="1:12" x14ac:dyDescent="0.25">
      <c r="A2791">
        <v>2790</v>
      </c>
      <c r="B2791" t="s">
        <v>4755</v>
      </c>
      <c r="C2791">
        <v>0</v>
      </c>
      <c r="J2791">
        <v>2790</v>
      </c>
      <c r="K2791" t="s">
        <v>4755</v>
      </c>
      <c r="L2791">
        <v>0</v>
      </c>
    </row>
    <row r="2792" spans="1:12" x14ac:dyDescent="0.25">
      <c r="A2792">
        <v>2791</v>
      </c>
      <c r="B2792" t="s">
        <v>4756</v>
      </c>
      <c r="C2792">
        <v>0</v>
      </c>
      <c r="J2792">
        <v>2791</v>
      </c>
      <c r="K2792" t="s">
        <v>4756</v>
      </c>
      <c r="L2792">
        <v>0</v>
      </c>
    </row>
    <row r="2793" spans="1:12" x14ac:dyDescent="0.25">
      <c r="A2793">
        <v>2792</v>
      </c>
      <c r="B2793" t="s">
        <v>4757</v>
      </c>
      <c r="C2793">
        <v>0</v>
      </c>
      <c r="J2793">
        <v>2792</v>
      </c>
      <c r="K2793" t="s">
        <v>4757</v>
      </c>
      <c r="L2793">
        <v>0</v>
      </c>
    </row>
    <row r="2794" spans="1:12" x14ac:dyDescent="0.25">
      <c r="A2794">
        <v>2793</v>
      </c>
      <c r="B2794" t="s">
        <v>4758</v>
      </c>
      <c r="C2794">
        <v>0</v>
      </c>
      <c r="J2794">
        <v>2793</v>
      </c>
      <c r="K2794" t="s">
        <v>4758</v>
      </c>
      <c r="L2794">
        <v>0</v>
      </c>
    </row>
    <row r="2795" spans="1:12" x14ac:dyDescent="0.25">
      <c r="A2795">
        <v>2794</v>
      </c>
      <c r="B2795" t="s">
        <v>4759</v>
      </c>
      <c r="C2795">
        <v>0</v>
      </c>
      <c r="J2795">
        <v>2794</v>
      </c>
      <c r="K2795" t="s">
        <v>4759</v>
      </c>
      <c r="L2795">
        <v>0</v>
      </c>
    </row>
    <row r="2796" spans="1:12" x14ac:dyDescent="0.25">
      <c r="A2796">
        <v>2795</v>
      </c>
      <c r="B2796" t="s">
        <v>4760</v>
      </c>
      <c r="C2796">
        <v>0</v>
      </c>
      <c r="J2796">
        <v>2795</v>
      </c>
      <c r="K2796" t="s">
        <v>4760</v>
      </c>
      <c r="L2796">
        <v>0</v>
      </c>
    </row>
    <row r="2797" spans="1:12" x14ac:dyDescent="0.25">
      <c r="A2797">
        <v>2796</v>
      </c>
      <c r="B2797" t="s">
        <v>4761</v>
      </c>
      <c r="C2797">
        <v>0</v>
      </c>
      <c r="J2797">
        <v>2796</v>
      </c>
      <c r="K2797" t="s">
        <v>4761</v>
      </c>
      <c r="L2797">
        <v>0</v>
      </c>
    </row>
    <row r="2798" spans="1:12" x14ac:dyDescent="0.25">
      <c r="A2798">
        <v>2797</v>
      </c>
      <c r="B2798" t="s">
        <v>4762</v>
      </c>
      <c r="C2798">
        <v>0</v>
      </c>
      <c r="J2798">
        <v>2797</v>
      </c>
      <c r="K2798" t="s">
        <v>4762</v>
      </c>
      <c r="L2798">
        <v>0</v>
      </c>
    </row>
    <row r="2799" spans="1:12" x14ac:dyDescent="0.25">
      <c r="A2799">
        <v>2798</v>
      </c>
      <c r="B2799" t="s">
        <v>4763</v>
      </c>
      <c r="C2799">
        <v>0</v>
      </c>
      <c r="J2799">
        <v>2798</v>
      </c>
      <c r="K2799" t="s">
        <v>4763</v>
      </c>
      <c r="L2799">
        <v>0</v>
      </c>
    </row>
    <row r="2800" spans="1:12" x14ac:dyDescent="0.25">
      <c r="A2800">
        <v>2799</v>
      </c>
      <c r="B2800" t="s">
        <v>4764</v>
      </c>
      <c r="C2800">
        <v>0</v>
      </c>
      <c r="J2800">
        <v>2799</v>
      </c>
      <c r="K2800" t="s">
        <v>4764</v>
      </c>
      <c r="L2800">
        <v>0</v>
      </c>
    </row>
    <row r="2801" spans="1:12" x14ac:dyDescent="0.25">
      <c r="A2801">
        <v>2800</v>
      </c>
      <c r="B2801" t="s">
        <v>4765</v>
      </c>
      <c r="C2801">
        <v>0</v>
      </c>
      <c r="J2801">
        <v>2800</v>
      </c>
      <c r="K2801" t="s">
        <v>4765</v>
      </c>
      <c r="L2801">
        <v>0</v>
      </c>
    </row>
    <row r="2802" spans="1:12" x14ac:dyDescent="0.25">
      <c r="A2802">
        <v>2801</v>
      </c>
      <c r="B2802" t="s">
        <v>4766</v>
      </c>
      <c r="C2802">
        <v>0</v>
      </c>
      <c r="J2802">
        <v>2801</v>
      </c>
      <c r="K2802" t="s">
        <v>4766</v>
      </c>
      <c r="L2802">
        <v>0</v>
      </c>
    </row>
    <row r="2803" spans="1:12" x14ac:dyDescent="0.25">
      <c r="A2803">
        <v>2802</v>
      </c>
      <c r="B2803" t="s">
        <v>4767</v>
      </c>
      <c r="C2803">
        <v>0</v>
      </c>
      <c r="J2803">
        <v>2802</v>
      </c>
      <c r="K2803" t="s">
        <v>4767</v>
      </c>
      <c r="L2803">
        <v>0</v>
      </c>
    </row>
    <row r="2804" spans="1:12" x14ac:dyDescent="0.25">
      <c r="A2804">
        <v>2803</v>
      </c>
      <c r="B2804" t="s">
        <v>4768</v>
      </c>
      <c r="C2804">
        <v>0</v>
      </c>
      <c r="J2804">
        <v>2803</v>
      </c>
      <c r="K2804" t="s">
        <v>4768</v>
      </c>
      <c r="L2804">
        <v>0</v>
      </c>
    </row>
    <row r="2805" spans="1:12" x14ac:dyDescent="0.25">
      <c r="A2805">
        <v>2804</v>
      </c>
      <c r="B2805" t="s">
        <v>4769</v>
      </c>
      <c r="C2805">
        <v>0</v>
      </c>
      <c r="J2805">
        <v>2804</v>
      </c>
      <c r="K2805" t="s">
        <v>4769</v>
      </c>
      <c r="L2805">
        <v>0</v>
      </c>
    </row>
    <row r="2806" spans="1:12" x14ac:dyDescent="0.25">
      <c r="A2806">
        <v>2805</v>
      </c>
      <c r="B2806" t="s">
        <v>4770</v>
      </c>
      <c r="C2806">
        <v>0</v>
      </c>
      <c r="J2806">
        <v>2805</v>
      </c>
      <c r="K2806" t="s">
        <v>4770</v>
      </c>
      <c r="L2806">
        <v>0</v>
      </c>
    </row>
    <row r="2807" spans="1:12" x14ac:dyDescent="0.25">
      <c r="A2807">
        <v>2806</v>
      </c>
      <c r="B2807" t="s">
        <v>4771</v>
      </c>
      <c r="C2807">
        <v>0</v>
      </c>
      <c r="J2807">
        <v>2806</v>
      </c>
      <c r="K2807" t="s">
        <v>4771</v>
      </c>
      <c r="L2807">
        <v>0</v>
      </c>
    </row>
    <row r="2808" spans="1:12" x14ac:dyDescent="0.25">
      <c r="A2808">
        <v>2807</v>
      </c>
      <c r="B2808" t="s">
        <v>4772</v>
      </c>
      <c r="C2808">
        <v>0</v>
      </c>
      <c r="J2808">
        <v>2807</v>
      </c>
      <c r="K2808" t="s">
        <v>4772</v>
      </c>
      <c r="L2808">
        <v>0</v>
      </c>
    </row>
    <row r="2809" spans="1:12" x14ac:dyDescent="0.25">
      <c r="A2809">
        <v>2808</v>
      </c>
      <c r="B2809" t="s">
        <v>4773</v>
      </c>
      <c r="C2809">
        <v>0</v>
      </c>
      <c r="J2809">
        <v>2808</v>
      </c>
      <c r="K2809" t="s">
        <v>4773</v>
      </c>
      <c r="L2809">
        <v>0</v>
      </c>
    </row>
    <row r="2810" spans="1:12" x14ac:dyDescent="0.25">
      <c r="A2810">
        <v>2809</v>
      </c>
      <c r="B2810" t="s">
        <v>4774</v>
      </c>
      <c r="C2810">
        <v>0</v>
      </c>
      <c r="J2810">
        <v>2809</v>
      </c>
      <c r="K2810" t="s">
        <v>4774</v>
      </c>
      <c r="L2810">
        <v>0</v>
      </c>
    </row>
    <row r="2811" spans="1:12" x14ac:dyDescent="0.25">
      <c r="A2811">
        <v>2810</v>
      </c>
      <c r="B2811" t="s">
        <v>4775</v>
      </c>
      <c r="C2811">
        <v>0</v>
      </c>
      <c r="J2811">
        <v>2810</v>
      </c>
      <c r="K2811" t="s">
        <v>4775</v>
      </c>
      <c r="L2811">
        <v>0</v>
      </c>
    </row>
    <row r="2812" spans="1:12" x14ac:dyDescent="0.25">
      <c r="A2812">
        <v>2811</v>
      </c>
      <c r="B2812" t="s">
        <v>4776</v>
      </c>
      <c r="C2812">
        <v>0</v>
      </c>
      <c r="J2812">
        <v>2811</v>
      </c>
      <c r="K2812" t="s">
        <v>4776</v>
      </c>
      <c r="L2812">
        <v>0</v>
      </c>
    </row>
    <row r="2813" spans="1:12" x14ac:dyDescent="0.25">
      <c r="A2813">
        <v>2812</v>
      </c>
      <c r="B2813" t="s">
        <v>4777</v>
      </c>
      <c r="C2813">
        <v>0</v>
      </c>
      <c r="J2813">
        <v>2812</v>
      </c>
      <c r="K2813" t="s">
        <v>4777</v>
      </c>
      <c r="L2813">
        <v>0</v>
      </c>
    </row>
    <row r="2814" spans="1:12" x14ac:dyDescent="0.25">
      <c r="A2814">
        <v>2813</v>
      </c>
      <c r="B2814" t="s">
        <v>4778</v>
      </c>
      <c r="C2814">
        <v>0</v>
      </c>
      <c r="J2814">
        <v>2813</v>
      </c>
      <c r="K2814" t="s">
        <v>4778</v>
      </c>
      <c r="L2814">
        <v>0</v>
      </c>
    </row>
    <row r="2815" spans="1:12" x14ac:dyDescent="0.25">
      <c r="A2815">
        <v>2814</v>
      </c>
      <c r="B2815" t="s">
        <v>4779</v>
      </c>
      <c r="C2815">
        <v>0</v>
      </c>
      <c r="J2815">
        <v>2814</v>
      </c>
      <c r="K2815" t="s">
        <v>4779</v>
      </c>
      <c r="L2815">
        <v>0</v>
      </c>
    </row>
    <row r="2816" spans="1:12" x14ac:dyDescent="0.25">
      <c r="A2816">
        <v>2815</v>
      </c>
      <c r="B2816" t="s">
        <v>4780</v>
      </c>
      <c r="C2816">
        <v>0</v>
      </c>
      <c r="J2816">
        <v>2815</v>
      </c>
      <c r="K2816" t="s">
        <v>4780</v>
      </c>
      <c r="L2816">
        <v>0</v>
      </c>
    </row>
    <row r="2817" spans="1:12" x14ac:dyDescent="0.25">
      <c r="A2817">
        <v>2816</v>
      </c>
      <c r="B2817" t="s">
        <v>4781</v>
      </c>
      <c r="C2817">
        <v>0</v>
      </c>
      <c r="J2817">
        <v>2816</v>
      </c>
      <c r="K2817" t="s">
        <v>4781</v>
      </c>
      <c r="L2817">
        <v>0</v>
      </c>
    </row>
    <row r="2818" spans="1:12" x14ac:dyDescent="0.25">
      <c r="A2818">
        <v>2817</v>
      </c>
      <c r="B2818" t="s">
        <v>4782</v>
      </c>
      <c r="C2818">
        <v>0</v>
      </c>
      <c r="J2818">
        <v>2817</v>
      </c>
      <c r="K2818" t="s">
        <v>4782</v>
      </c>
      <c r="L2818">
        <v>0</v>
      </c>
    </row>
    <row r="2819" spans="1:12" x14ac:dyDescent="0.25">
      <c r="A2819">
        <v>2818</v>
      </c>
      <c r="B2819" t="s">
        <v>4783</v>
      </c>
      <c r="C2819">
        <v>0</v>
      </c>
      <c r="J2819">
        <v>2818</v>
      </c>
      <c r="K2819" t="s">
        <v>4783</v>
      </c>
      <c r="L2819">
        <v>0</v>
      </c>
    </row>
    <row r="2820" spans="1:12" x14ac:dyDescent="0.25">
      <c r="A2820">
        <v>2819</v>
      </c>
      <c r="B2820" t="s">
        <v>4784</v>
      </c>
      <c r="C2820">
        <v>0</v>
      </c>
      <c r="J2820">
        <v>2819</v>
      </c>
      <c r="K2820" t="s">
        <v>4784</v>
      </c>
      <c r="L2820">
        <v>0</v>
      </c>
    </row>
    <row r="2821" spans="1:12" x14ac:dyDescent="0.25">
      <c r="A2821">
        <v>2820</v>
      </c>
      <c r="B2821" t="s">
        <v>4785</v>
      </c>
      <c r="C2821">
        <v>0</v>
      </c>
      <c r="J2821">
        <v>2820</v>
      </c>
      <c r="K2821" t="s">
        <v>4785</v>
      </c>
      <c r="L2821">
        <v>0</v>
      </c>
    </row>
    <row r="2822" spans="1:12" x14ac:dyDescent="0.25">
      <c r="A2822">
        <v>2821</v>
      </c>
      <c r="B2822" t="s">
        <v>4786</v>
      </c>
      <c r="C2822">
        <v>0</v>
      </c>
      <c r="J2822">
        <v>2821</v>
      </c>
      <c r="K2822" t="s">
        <v>4786</v>
      </c>
      <c r="L2822">
        <v>0</v>
      </c>
    </row>
    <row r="2823" spans="1:12" x14ac:dyDescent="0.25">
      <c r="A2823">
        <v>2822</v>
      </c>
      <c r="B2823" t="s">
        <v>4787</v>
      </c>
      <c r="C2823">
        <v>0</v>
      </c>
      <c r="J2823">
        <v>2822</v>
      </c>
      <c r="K2823" t="s">
        <v>4787</v>
      </c>
      <c r="L2823">
        <v>0</v>
      </c>
    </row>
    <row r="2824" spans="1:12" x14ac:dyDescent="0.25">
      <c r="A2824">
        <v>2823</v>
      </c>
      <c r="B2824" t="s">
        <v>4788</v>
      </c>
      <c r="C2824">
        <v>0</v>
      </c>
      <c r="J2824">
        <v>2823</v>
      </c>
      <c r="K2824" t="s">
        <v>4788</v>
      </c>
      <c r="L2824">
        <v>0</v>
      </c>
    </row>
    <row r="2825" spans="1:12" x14ac:dyDescent="0.25">
      <c r="A2825">
        <v>2824</v>
      </c>
      <c r="B2825" t="s">
        <v>4789</v>
      </c>
      <c r="C2825">
        <v>0</v>
      </c>
      <c r="J2825">
        <v>2824</v>
      </c>
      <c r="K2825" t="s">
        <v>4789</v>
      </c>
      <c r="L2825">
        <v>0</v>
      </c>
    </row>
    <row r="2826" spans="1:12" x14ac:dyDescent="0.25">
      <c r="A2826">
        <v>2825</v>
      </c>
      <c r="B2826" t="s">
        <v>4790</v>
      </c>
      <c r="C2826">
        <v>0</v>
      </c>
      <c r="J2826">
        <v>2825</v>
      </c>
      <c r="K2826" t="s">
        <v>4790</v>
      </c>
      <c r="L2826">
        <v>0</v>
      </c>
    </row>
    <row r="2827" spans="1:12" x14ac:dyDescent="0.25">
      <c r="A2827">
        <v>2826</v>
      </c>
      <c r="B2827" t="s">
        <v>4791</v>
      </c>
      <c r="C2827">
        <v>0</v>
      </c>
      <c r="J2827">
        <v>2826</v>
      </c>
      <c r="K2827" t="s">
        <v>4791</v>
      </c>
      <c r="L2827">
        <v>0</v>
      </c>
    </row>
    <row r="2828" spans="1:12" x14ac:dyDescent="0.25">
      <c r="A2828">
        <v>2827</v>
      </c>
      <c r="B2828" t="s">
        <v>4792</v>
      </c>
      <c r="C2828">
        <v>0</v>
      </c>
      <c r="J2828">
        <v>2827</v>
      </c>
      <c r="K2828" t="s">
        <v>4792</v>
      </c>
      <c r="L2828">
        <v>0</v>
      </c>
    </row>
    <row r="2829" spans="1:12" x14ac:dyDescent="0.25">
      <c r="A2829">
        <v>2828</v>
      </c>
      <c r="B2829" t="s">
        <v>4793</v>
      </c>
      <c r="C2829">
        <v>0</v>
      </c>
      <c r="J2829">
        <v>2828</v>
      </c>
      <c r="K2829" t="s">
        <v>4793</v>
      </c>
      <c r="L2829">
        <v>0</v>
      </c>
    </row>
    <row r="2830" spans="1:12" x14ac:dyDescent="0.25">
      <c r="A2830">
        <v>2829</v>
      </c>
      <c r="B2830" t="s">
        <v>4794</v>
      </c>
      <c r="C2830">
        <v>0</v>
      </c>
      <c r="J2830">
        <v>2829</v>
      </c>
      <c r="K2830" t="s">
        <v>4794</v>
      </c>
      <c r="L2830">
        <v>0</v>
      </c>
    </row>
    <row r="2831" spans="1:12" x14ac:dyDescent="0.25">
      <c r="A2831">
        <v>2830</v>
      </c>
      <c r="B2831" t="s">
        <v>4795</v>
      </c>
      <c r="C2831">
        <v>0</v>
      </c>
      <c r="J2831">
        <v>2830</v>
      </c>
      <c r="K2831" t="s">
        <v>4795</v>
      </c>
      <c r="L2831">
        <v>0</v>
      </c>
    </row>
    <row r="2832" spans="1:12" x14ac:dyDescent="0.25">
      <c r="A2832">
        <v>2831</v>
      </c>
      <c r="B2832" t="s">
        <v>4796</v>
      </c>
      <c r="C2832">
        <v>0</v>
      </c>
      <c r="J2832">
        <v>2831</v>
      </c>
      <c r="K2832" t="s">
        <v>4796</v>
      </c>
      <c r="L2832">
        <v>0</v>
      </c>
    </row>
    <row r="2833" spans="1:12" x14ac:dyDescent="0.25">
      <c r="A2833">
        <v>2832</v>
      </c>
      <c r="B2833" t="s">
        <v>4797</v>
      </c>
      <c r="C2833">
        <v>0</v>
      </c>
      <c r="J2833">
        <v>2832</v>
      </c>
      <c r="K2833" t="s">
        <v>4797</v>
      </c>
      <c r="L2833">
        <v>0</v>
      </c>
    </row>
    <row r="2834" spans="1:12" x14ac:dyDescent="0.25">
      <c r="A2834">
        <v>2833</v>
      </c>
      <c r="B2834" t="s">
        <v>4798</v>
      </c>
      <c r="C2834">
        <v>0</v>
      </c>
      <c r="J2834">
        <v>2833</v>
      </c>
      <c r="K2834" t="s">
        <v>4798</v>
      </c>
      <c r="L2834">
        <v>0</v>
      </c>
    </row>
    <row r="2835" spans="1:12" x14ac:dyDescent="0.25">
      <c r="A2835">
        <v>2834</v>
      </c>
      <c r="B2835" t="s">
        <v>4799</v>
      </c>
      <c r="C2835">
        <v>0</v>
      </c>
      <c r="J2835">
        <v>2834</v>
      </c>
      <c r="K2835" t="s">
        <v>4799</v>
      </c>
      <c r="L2835">
        <v>0</v>
      </c>
    </row>
    <row r="2836" spans="1:12" x14ac:dyDescent="0.25">
      <c r="A2836">
        <v>2835</v>
      </c>
      <c r="B2836" t="s">
        <v>4800</v>
      </c>
      <c r="C2836">
        <v>0</v>
      </c>
      <c r="J2836">
        <v>2835</v>
      </c>
      <c r="K2836" t="s">
        <v>4800</v>
      </c>
      <c r="L2836">
        <v>0</v>
      </c>
    </row>
    <row r="2837" spans="1:12" x14ac:dyDescent="0.25">
      <c r="A2837">
        <v>2836</v>
      </c>
      <c r="B2837" t="s">
        <v>4801</v>
      </c>
      <c r="C2837">
        <v>0</v>
      </c>
      <c r="J2837">
        <v>2836</v>
      </c>
      <c r="K2837" t="s">
        <v>4801</v>
      </c>
      <c r="L2837">
        <v>0</v>
      </c>
    </row>
    <row r="2838" spans="1:12" x14ac:dyDescent="0.25">
      <c r="A2838">
        <v>2837</v>
      </c>
      <c r="B2838" t="s">
        <v>4802</v>
      </c>
      <c r="C2838">
        <v>0</v>
      </c>
      <c r="J2838">
        <v>2837</v>
      </c>
      <c r="K2838" t="s">
        <v>4802</v>
      </c>
      <c r="L2838">
        <v>0</v>
      </c>
    </row>
    <row r="2839" spans="1:12" x14ac:dyDescent="0.25">
      <c r="A2839">
        <v>2838</v>
      </c>
      <c r="B2839" t="s">
        <v>4803</v>
      </c>
      <c r="C2839">
        <v>0</v>
      </c>
      <c r="J2839">
        <v>2838</v>
      </c>
      <c r="K2839" t="s">
        <v>4803</v>
      </c>
      <c r="L2839">
        <v>0</v>
      </c>
    </row>
    <row r="2840" spans="1:12" x14ac:dyDescent="0.25">
      <c r="A2840">
        <v>2839</v>
      </c>
      <c r="B2840" t="s">
        <v>4804</v>
      </c>
      <c r="C2840">
        <v>0</v>
      </c>
      <c r="J2840">
        <v>2839</v>
      </c>
      <c r="K2840" t="s">
        <v>4804</v>
      </c>
      <c r="L2840">
        <v>0</v>
      </c>
    </row>
    <row r="2841" spans="1:12" x14ac:dyDescent="0.25">
      <c r="A2841">
        <v>2840</v>
      </c>
      <c r="B2841" t="s">
        <v>4805</v>
      </c>
      <c r="C2841">
        <v>0</v>
      </c>
      <c r="J2841">
        <v>2840</v>
      </c>
      <c r="K2841" t="s">
        <v>4805</v>
      </c>
      <c r="L2841">
        <v>0</v>
      </c>
    </row>
    <row r="2842" spans="1:12" x14ac:dyDescent="0.25">
      <c r="A2842">
        <v>2841</v>
      </c>
      <c r="B2842" t="s">
        <v>4806</v>
      </c>
      <c r="C2842">
        <v>0</v>
      </c>
      <c r="J2842">
        <v>2841</v>
      </c>
      <c r="K2842" t="s">
        <v>4806</v>
      </c>
      <c r="L2842">
        <v>0</v>
      </c>
    </row>
    <row r="2843" spans="1:12" x14ac:dyDescent="0.25">
      <c r="A2843">
        <v>2842</v>
      </c>
      <c r="B2843" t="s">
        <v>4807</v>
      </c>
      <c r="C2843">
        <v>0</v>
      </c>
      <c r="J2843">
        <v>2842</v>
      </c>
      <c r="K2843" t="s">
        <v>4807</v>
      </c>
      <c r="L2843">
        <v>0</v>
      </c>
    </row>
    <row r="2844" spans="1:12" x14ac:dyDescent="0.25">
      <c r="A2844">
        <v>2843</v>
      </c>
      <c r="B2844" t="s">
        <v>4808</v>
      </c>
      <c r="C2844">
        <v>0</v>
      </c>
      <c r="J2844">
        <v>2843</v>
      </c>
      <c r="K2844" t="s">
        <v>4808</v>
      </c>
      <c r="L2844">
        <v>0</v>
      </c>
    </row>
    <row r="2845" spans="1:12" x14ac:dyDescent="0.25">
      <c r="A2845">
        <v>2844</v>
      </c>
      <c r="B2845" t="s">
        <v>4809</v>
      </c>
      <c r="C2845">
        <v>0</v>
      </c>
      <c r="J2845">
        <v>2844</v>
      </c>
      <c r="K2845" t="s">
        <v>4809</v>
      </c>
      <c r="L2845">
        <v>0</v>
      </c>
    </row>
    <row r="2846" spans="1:12" x14ac:dyDescent="0.25">
      <c r="A2846">
        <v>2845</v>
      </c>
      <c r="B2846" t="s">
        <v>4810</v>
      </c>
      <c r="C2846">
        <v>0</v>
      </c>
      <c r="J2846">
        <v>2845</v>
      </c>
      <c r="K2846" t="s">
        <v>4810</v>
      </c>
      <c r="L2846">
        <v>0</v>
      </c>
    </row>
    <row r="2847" spans="1:12" x14ac:dyDescent="0.25">
      <c r="A2847">
        <v>2846</v>
      </c>
      <c r="B2847" t="s">
        <v>4811</v>
      </c>
      <c r="C2847">
        <v>0</v>
      </c>
      <c r="J2847">
        <v>2846</v>
      </c>
      <c r="K2847" t="s">
        <v>4811</v>
      </c>
      <c r="L2847">
        <v>0</v>
      </c>
    </row>
    <row r="2848" spans="1:12" x14ac:dyDescent="0.25">
      <c r="A2848">
        <v>2847</v>
      </c>
      <c r="B2848" t="s">
        <v>4812</v>
      </c>
      <c r="C2848">
        <v>0</v>
      </c>
      <c r="J2848">
        <v>2847</v>
      </c>
      <c r="K2848" t="s">
        <v>4812</v>
      </c>
      <c r="L2848">
        <v>0</v>
      </c>
    </row>
    <row r="2849" spans="1:12" x14ac:dyDescent="0.25">
      <c r="A2849">
        <v>2848</v>
      </c>
      <c r="B2849" t="s">
        <v>4813</v>
      </c>
      <c r="C2849">
        <v>0</v>
      </c>
      <c r="J2849">
        <v>2848</v>
      </c>
      <c r="K2849" t="s">
        <v>4813</v>
      </c>
      <c r="L2849">
        <v>0</v>
      </c>
    </row>
    <row r="2850" spans="1:12" x14ac:dyDescent="0.25">
      <c r="A2850">
        <v>2849</v>
      </c>
      <c r="B2850" t="s">
        <v>4814</v>
      </c>
      <c r="C2850">
        <v>0</v>
      </c>
      <c r="J2850">
        <v>2849</v>
      </c>
      <c r="K2850" t="s">
        <v>4814</v>
      </c>
      <c r="L2850">
        <v>0</v>
      </c>
    </row>
    <row r="2851" spans="1:12" x14ac:dyDescent="0.25">
      <c r="A2851">
        <v>2850</v>
      </c>
      <c r="B2851" t="s">
        <v>4815</v>
      </c>
      <c r="C2851">
        <v>0</v>
      </c>
      <c r="J2851">
        <v>2850</v>
      </c>
      <c r="K2851" t="s">
        <v>4815</v>
      </c>
      <c r="L2851">
        <v>0</v>
      </c>
    </row>
    <row r="2852" spans="1:12" x14ac:dyDescent="0.25">
      <c r="A2852">
        <v>2851</v>
      </c>
      <c r="B2852" t="s">
        <v>4816</v>
      </c>
      <c r="C2852">
        <v>0</v>
      </c>
      <c r="J2852">
        <v>2851</v>
      </c>
      <c r="K2852" t="s">
        <v>4816</v>
      </c>
      <c r="L2852">
        <v>0</v>
      </c>
    </row>
    <row r="2853" spans="1:12" x14ac:dyDescent="0.25">
      <c r="A2853">
        <v>2852</v>
      </c>
      <c r="B2853" t="s">
        <v>4817</v>
      </c>
      <c r="C2853">
        <v>0</v>
      </c>
      <c r="J2853">
        <v>2852</v>
      </c>
      <c r="K2853" t="s">
        <v>4817</v>
      </c>
      <c r="L2853">
        <v>0</v>
      </c>
    </row>
    <row r="2854" spans="1:12" x14ac:dyDescent="0.25">
      <c r="A2854">
        <v>2853</v>
      </c>
      <c r="B2854" t="s">
        <v>4818</v>
      </c>
      <c r="C2854">
        <v>0</v>
      </c>
      <c r="J2854">
        <v>2853</v>
      </c>
      <c r="K2854" t="s">
        <v>4818</v>
      </c>
      <c r="L2854">
        <v>0</v>
      </c>
    </row>
    <row r="2855" spans="1:12" x14ac:dyDescent="0.25">
      <c r="A2855">
        <v>2854</v>
      </c>
      <c r="B2855" t="s">
        <v>4819</v>
      </c>
      <c r="C2855">
        <v>0</v>
      </c>
      <c r="J2855">
        <v>2854</v>
      </c>
      <c r="K2855" t="s">
        <v>4819</v>
      </c>
      <c r="L2855">
        <v>0</v>
      </c>
    </row>
    <row r="2856" spans="1:12" x14ac:dyDescent="0.25">
      <c r="A2856">
        <v>2855</v>
      </c>
      <c r="B2856" t="s">
        <v>4820</v>
      </c>
      <c r="C2856">
        <v>0</v>
      </c>
      <c r="J2856">
        <v>2855</v>
      </c>
      <c r="K2856" t="s">
        <v>4820</v>
      </c>
      <c r="L2856">
        <v>0</v>
      </c>
    </row>
    <row r="2857" spans="1:12" x14ac:dyDescent="0.25">
      <c r="A2857">
        <v>2856</v>
      </c>
      <c r="B2857" t="s">
        <v>4821</v>
      </c>
      <c r="C2857">
        <v>0</v>
      </c>
      <c r="J2857">
        <v>2856</v>
      </c>
      <c r="K2857" t="s">
        <v>4821</v>
      </c>
      <c r="L2857">
        <v>0</v>
      </c>
    </row>
    <row r="2858" spans="1:12" x14ac:dyDescent="0.25">
      <c r="A2858">
        <v>2857</v>
      </c>
      <c r="B2858" t="s">
        <v>4822</v>
      </c>
      <c r="C2858">
        <v>0</v>
      </c>
      <c r="J2858">
        <v>2857</v>
      </c>
      <c r="K2858" t="s">
        <v>4822</v>
      </c>
      <c r="L2858">
        <v>0</v>
      </c>
    </row>
    <row r="2859" spans="1:12" x14ac:dyDescent="0.25">
      <c r="A2859">
        <v>2858</v>
      </c>
      <c r="B2859" t="s">
        <v>4823</v>
      </c>
      <c r="C2859">
        <v>0</v>
      </c>
      <c r="J2859">
        <v>2858</v>
      </c>
      <c r="K2859" t="s">
        <v>4823</v>
      </c>
      <c r="L2859">
        <v>0</v>
      </c>
    </row>
    <row r="2860" spans="1:12" x14ac:dyDescent="0.25">
      <c r="A2860">
        <v>2859</v>
      </c>
      <c r="B2860" t="s">
        <v>4824</v>
      </c>
      <c r="C2860">
        <v>0</v>
      </c>
      <c r="J2860">
        <v>2859</v>
      </c>
      <c r="K2860" t="s">
        <v>4824</v>
      </c>
      <c r="L2860">
        <v>0</v>
      </c>
    </row>
    <row r="2861" spans="1:12" x14ac:dyDescent="0.25">
      <c r="A2861">
        <v>2860</v>
      </c>
      <c r="B2861" t="s">
        <v>4825</v>
      </c>
      <c r="C2861">
        <v>0</v>
      </c>
      <c r="J2861">
        <v>2860</v>
      </c>
      <c r="K2861" t="s">
        <v>4825</v>
      </c>
      <c r="L2861">
        <v>0</v>
      </c>
    </row>
    <row r="2862" spans="1:12" x14ac:dyDescent="0.25">
      <c r="A2862">
        <v>2861</v>
      </c>
      <c r="B2862" t="s">
        <v>4826</v>
      </c>
      <c r="C2862">
        <v>0</v>
      </c>
      <c r="J2862">
        <v>2861</v>
      </c>
      <c r="K2862" t="s">
        <v>4826</v>
      </c>
      <c r="L2862">
        <v>0</v>
      </c>
    </row>
    <row r="2863" spans="1:12" x14ac:dyDescent="0.25">
      <c r="A2863">
        <v>2862</v>
      </c>
      <c r="B2863" t="s">
        <v>4827</v>
      </c>
      <c r="C2863">
        <v>0</v>
      </c>
      <c r="J2863">
        <v>2862</v>
      </c>
      <c r="K2863" t="s">
        <v>4827</v>
      </c>
      <c r="L2863">
        <v>0</v>
      </c>
    </row>
    <row r="2864" spans="1:12" x14ac:dyDescent="0.25">
      <c r="A2864">
        <v>2863</v>
      </c>
      <c r="B2864" t="s">
        <v>4828</v>
      </c>
      <c r="C2864">
        <v>0</v>
      </c>
      <c r="J2864">
        <v>2863</v>
      </c>
      <c r="K2864" t="s">
        <v>4828</v>
      </c>
      <c r="L2864">
        <v>0</v>
      </c>
    </row>
    <row r="2865" spans="1:12" x14ac:dyDescent="0.25">
      <c r="A2865">
        <v>2864</v>
      </c>
      <c r="B2865" t="s">
        <v>4829</v>
      </c>
      <c r="C2865">
        <v>0</v>
      </c>
      <c r="J2865">
        <v>2864</v>
      </c>
      <c r="K2865" t="s">
        <v>4829</v>
      </c>
      <c r="L2865">
        <v>0</v>
      </c>
    </row>
    <row r="2866" spans="1:12" x14ac:dyDescent="0.25">
      <c r="A2866">
        <v>2865</v>
      </c>
      <c r="B2866" t="s">
        <v>4830</v>
      </c>
      <c r="C2866">
        <v>0</v>
      </c>
      <c r="J2866">
        <v>2865</v>
      </c>
      <c r="K2866" t="s">
        <v>4830</v>
      </c>
      <c r="L2866">
        <v>0</v>
      </c>
    </row>
    <row r="2867" spans="1:12" x14ac:dyDescent="0.25">
      <c r="A2867">
        <v>2866</v>
      </c>
      <c r="B2867" t="s">
        <v>4831</v>
      </c>
      <c r="C2867">
        <v>0</v>
      </c>
      <c r="J2867">
        <v>2866</v>
      </c>
      <c r="K2867" t="s">
        <v>4831</v>
      </c>
      <c r="L2867">
        <v>0</v>
      </c>
    </row>
    <row r="2868" spans="1:12" x14ac:dyDescent="0.25">
      <c r="A2868">
        <v>2867</v>
      </c>
      <c r="B2868" t="s">
        <v>4832</v>
      </c>
      <c r="C2868">
        <v>0</v>
      </c>
      <c r="J2868">
        <v>2867</v>
      </c>
      <c r="K2868" t="s">
        <v>4832</v>
      </c>
      <c r="L2868">
        <v>0</v>
      </c>
    </row>
    <row r="2869" spans="1:12" x14ac:dyDescent="0.25">
      <c r="A2869">
        <v>2868</v>
      </c>
      <c r="B2869" t="s">
        <v>4833</v>
      </c>
      <c r="C2869">
        <v>0</v>
      </c>
      <c r="J2869">
        <v>2868</v>
      </c>
      <c r="K2869" t="s">
        <v>4833</v>
      </c>
      <c r="L2869">
        <v>0</v>
      </c>
    </row>
    <row r="2870" spans="1:12" x14ac:dyDescent="0.25">
      <c r="A2870">
        <v>2869</v>
      </c>
      <c r="B2870" t="s">
        <v>4834</v>
      </c>
      <c r="C2870">
        <v>0</v>
      </c>
      <c r="J2870">
        <v>2869</v>
      </c>
      <c r="K2870" t="s">
        <v>4834</v>
      </c>
      <c r="L2870">
        <v>0</v>
      </c>
    </row>
    <row r="2871" spans="1:12" x14ac:dyDescent="0.25">
      <c r="A2871">
        <v>2870</v>
      </c>
      <c r="B2871" t="s">
        <v>4835</v>
      </c>
      <c r="C2871">
        <v>0</v>
      </c>
      <c r="J2871">
        <v>2870</v>
      </c>
      <c r="K2871" t="s">
        <v>4835</v>
      </c>
      <c r="L2871">
        <v>0</v>
      </c>
    </row>
    <row r="2872" spans="1:12" x14ac:dyDescent="0.25">
      <c r="A2872">
        <v>2871</v>
      </c>
      <c r="B2872" t="s">
        <v>4836</v>
      </c>
      <c r="C2872">
        <v>0</v>
      </c>
      <c r="J2872">
        <v>2871</v>
      </c>
      <c r="K2872" t="s">
        <v>4836</v>
      </c>
      <c r="L2872">
        <v>0</v>
      </c>
    </row>
    <row r="2873" spans="1:12" x14ac:dyDescent="0.25">
      <c r="A2873">
        <v>2872</v>
      </c>
      <c r="B2873" t="s">
        <v>4837</v>
      </c>
      <c r="C2873">
        <v>0</v>
      </c>
      <c r="J2873">
        <v>2872</v>
      </c>
      <c r="K2873" t="s">
        <v>4837</v>
      </c>
      <c r="L2873">
        <v>0</v>
      </c>
    </row>
    <row r="2874" spans="1:12" x14ac:dyDescent="0.25">
      <c r="A2874">
        <v>2873</v>
      </c>
      <c r="B2874" t="s">
        <v>4838</v>
      </c>
      <c r="C2874">
        <v>0</v>
      </c>
      <c r="J2874">
        <v>2873</v>
      </c>
      <c r="K2874" t="s">
        <v>4838</v>
      </c>
      <c r="L2874">
        <v>0</v>
      </c>
    </row>
    <row r="2875" spans="1:12" x14ac:dyDescent="0.25">
      <c r="A2875">
        <v>2874</v>
      </c>
      <c r="B2875" t="s">
        <v>4839</v>
      </c>
      <c r="C2875">
        <v>0</v>
      </c>
      <c r="J2875">
        <v>2874</v>
      </c>
      <c r="K2875" t="s">
        <v>4839</v>
      </c>
      <c r="L2875">
        <v>0</v>
      </c>
    </row>
    <row r="2876" spans="1:12" x14ac:dyDescent="0.25">
      <c r="A2876">
        <v>2875</v>
      </c>
      <c r="B2876" t="s">
        <v>4840</v>
      </c>
      <c r="C2876">
        <v>0</v>
      </c>
      <c r="J2876">
        <v>2875</v>
      </c>
      <c r="K2876" t="s">
        <v>4840</v>
      </c>
      <c r="L2876">
        <v>0</v>
      </c>
    </row>
    <row r="2877" spans="1:12" x14ac:dyDescent="0.25">
      <c r="A2877">
        <v>2876</v>
      </c>
      <c r="B2877" t="s">
        <v>4841</v>
      </c>
      <c r="C2877">
        <v>0</v>
      </c>
      <c r="J2877">
        <v>2876</v>
      </c>
      <c r="K2877" t="s">
        <v>4841</v>
      </c>
      <c r="L2877">
        <v>0</v>
      </c>
    </row>
    <row r="2878" spans="1:12" x14ac:dyDescent="0.25">
      <c r="A2878">
        <v>2877</v>
      </c>
      <c r="B2878" t="s">
        <v>4842</v>
      </c>
      <c r="C2878">
        <v>0</v>
      </c>
      <c r="J2878">
        <v>2877</v>
      </c>
      <c r="K2878" t="s">
        <v>4842</v>
      </c>
      <c r="L2878">
        <v>0</v>
      </c>
    </row>
    <row r="2879" spans="1:12" x14ac:dyDescent="0.25">
      <c r="A2879">
        <v>2878</v>
      </c>
      <c r="B2879" t="s">
        <v>4843</v>
      </c>
      <c r="C2879">
        <v>0</v>
      </c>
      <c r="J2879">
        <v>2878</v>
      </c>
      <c r="K2879" t="s">
        <v>4843</v>
      </c>
      <c r="L2879">
        <v>0</v>
      </c>
    </row>
    <row r="2880" spans="1:12" x14ac:dyDescent="0.25">
      <c r="A2880">
        <v>2879</v>
      </c>
      <c r="B2880" t="s">
        <v>4844</v>
      </c>
      <c r="C2880">
        <v>0</v>
      </c>
      <c r="J2880">
        <v>2879</v>
      </c>
      <c r="K2880" t="s">
        <v>4844</v>
      </c>
      <c r="L2880">
        <v>0</v>
      </c>
    </row>
    <row r="2881" spans="1:12" x14ac:dyDescent="0.25">
      <c r="A2881">
        <v>2880</v>
      </c>
      <c r="B2881" t="s">
        <v>4845</v>
      </c>
      <c r="C2881">
        <v>0</v>
      </c>
      <c r="J2881">
        <v>2880</v>
      </c>
      <c r="K2881" t="s">
        <v>4845</v>
      </c>
      <c r="L2881">
        <v>0</v>
      </c>
    </row>
    <row r="2882" spans="1:12" x14ac:dyDescent="0.25">
      <c r="A2882">
        <v>2881</v>
      </c>
      <c r="B2882" t="s">
        <v>4846</v>
      </c>
      <c r="C2882">
        <v>0</v>
      </c>
      <c r="J2882">
        <v>2881</v>
      </c>
      <c r="K2882" t="s">
        <v>4846</v>
      </c>
      <c r="L2882">
        <v>0</v>
      </c>
    </row>
    <row r="2883" spans="1:12" x14ac:dyDescent="0.25">
      <c r="A2883">
        <v>2882</v>
      </c>
      <c r="B2883" t="s">
        <v>4847</v>
      </c>
      <c r="C2883">
        <v>0</v>
      </c>
      <c r="J2883">
        <v>2882</v>
      </c>
      <c r="K2883" t="s">
        <v>4847</v>
      </c>
      <c r="L2883">
        <v>0</v>
      </c>
    </row>
    <row r="2884" spans="1:12" x14ac:dyDescent="0.25">
      <c r="A2884">
        <v>2883</v>
      </c>
      <c r="B2884" t="s">
        <v>4848</v>
      </c>
      <c r="C2884">
        <v>0</v>
      </c>
      <c r="J2884">
        <v>2883</v>
      </c>
      <c r="K2884" t="s">
        <v>4848</v>
      </c>
      <c r="L2884">
        <v>0</v>
      </c>
    </row>
    <row r="2885" spans="1:12" x14ac:dyDescent="0.25">
      <c r="A2885">
        <v>2884</v>
      </c>
      <c r="B2885" t="s">
        <v>4849</v>
      </c>
      <c r="C2885">
        <v>0</v>
      </c>
      <c r="J2885">
        <v>2884</v>
      </c>
      <c r="K2885" t="s">
        <v>4849</v>
      </c>
      <c r="L2885">
        <v>0</v>
      </c>
    </row>
    <row r="2886" spans="1:12" x14ac:dyDescent="0.25">
      <c r="A2886">
        <v>2885</v>
      </c>
      <c r="B2886" t="s">
        <v>4850</v>
      </c>
      <c r="C2886">
        <v>0</v>
      </c>
      <c r="J2886">
        <v>2885</v>
      </c>
      <c r="K2886" t="s">
        <v>4850</v>
      </c>
      <c r="L2886">
        <v>0</v>
      </c>
    </row>
    <row r="2887" spans="1:12" x14ac:dyDescent="0.25">
      <c r="A2887">
        <v>2886</v>
      </c>
      <c r="B2887" t="s">
        <v>4851</v>
      </c>
      <c r="C2887">
        <v>0</v>
      </c>
      <c r="J2887">
        <v>2886</v>
      </c>
      <c r="K2887" t="s">
        <v>4851</v>
      </c>
      <c r="L2887">
        <v>0</v>
      </c>
    </row>
    <row r="2888" spans="1:12" x14ac:dyDescent="0.25">
      <c r="A2888">
        <v>2887</v>
      </c>
      <c r="B2888" t="s">
        <v>4852</v>
      </c>
      <c r="C2888">
        <v>0</v>
      </c>
      <c r="J2888">
        <v>2887</v>
      </c>
      <c r="K2888" t="s">
        <v>4852</v>
      </c>
      <c r="L2888">
        <v>0</v>
      </c>
    </row>
    <row r="2889" spans="1:12" x14ac:dyDescent="0.25">
      <c r="A2889">
        <v>2888</v>
      </c>
      <c r="B2889" t="s">
        <v>4853</v>
      </c>
      <c r="C2889">
        <v>0</v>
      </c>
      <c r="J2889">
        <v>2888</v>
      </c>
      <c r="K2889" t="s">
        <v>4853</v>
      </c>
      <c r="L2889">
        <v>0</v>
      </c>
    </row>
    <row r="2890" spans="1:12" x14ac:dyDescent="0.25">
      <c r="A2890">
        <v>2889</v>
      </c>
      <c r="B2890" t="s">
        <v>4854</v>
      </c>
      <c r="C2890">
        <v>0</v>
      </c>
      <c r="J2890">
        <v>2889</v>
      </c>
      <c r="K2890" t="s">
        <v>4854</v>
      </c>
      <c r="L2890">
        <v>0</v>
      </c>
    </row>
    <row r="2891" spans="1:12" x14ac:dyDescent="0.25">
      <c r="A2891">
        <v>2890</v>
      </c>
      <c r="B2891" t="s">
        <v>4855</v>
      </c>
      <c r="C2891">
        <v>0</v>
      </c>
      <c r="J2891">
        <v>2890</v>
      </c>
      <c r="K2891" t="s">
        <v>4855</v>
      </c>
      <c r="L2891">
        <v>0</v>
      </c>
    </row>
    <row r="2892" spans="1:12" x14ac:dyDescent="0.25">
      <c r="A2892">
        <v>2891</v>
      </c>
      <c r="B2892" t="s">
        <v>4856</v>
      </c>
      <c r="C2892">
        <v>0</v>
      </c>
      <c r="J2892">
        <v>2891</v>
      </c>
      <c r="K2892" t="s">
        <v>4856</v>
      </c>
      <c r="L2892">
        <v>0</v>
      </c>
    </row>
    <row r="2893" spans="1:12" x14ac:dyDescent="0.25">
      <c r="A2893">
        <v>2892</v>
      </c>
      <c r="B2893" t="s">
        <v>4857</v>
      </c>
      <c r="C2893">
        <v>0</v>
      </c>
      <c r="J2893">
        <v>2892</v>
      </c>
      <c r="K2893" t="s">
        <v>4857</v>
      </c>
      <c r="L2893">
        <v>0</v>
      </c>
    </row>
    <row r="2894" spans="1:12" x14ac:dyDescent="0.25">
      <c r="A2894">
        <v>2893</v>
      </c>
      <c r="B2894" t="s">
        <v>4858</v>
      </c>
      <c r="C2894">
        <v>0</v>
      </c>
      <c r="J2894">
        <v>2893</v>
      </c>
      <c r="K2894" t="s">
        <v>4858</v>
      </c>
      <c r="L2894">
        <v>0</v>
      </c>
    </row>
    <row r="2895" spans="1:12" x14ac:dyDescent="0.25">
      <c r="A2895">
        <v>2894</v>
      </c>
      <c r="B2895" t="s">
        <v>4859</v>
      </c>
      <c r="C2895">
        <v>0</v>
      </c>
      <c r="J2895">
        <v>2894</v>
      </c>
      <c r="K2895" t="s">
        <v>4859</v>
      </c>
      <c r="L2895">
        <v>0</v>
      </c>
    </row>
    <row r="2896" spans="1:12" x14ac:dyDescent="0.25">
      <c r="A2896">
        <v>2895</v>
      </c>
      <c r="B2896" t="s">
        <v>4860</v>
      </c>
      <c r="C2896">
        <v>0</v>
      </c>
      <c r="J2896">
        <v>2895</v>
      </c>
      <c r="K2896" t="s">
        <v>4860</v>
      </c>
      <c r="L2896">
        <v>0</v>
      </c>
    </row>
    <row r="2897" spans="1:12" x14ac:dyDescent="0.25">
      <c r="A2897">
        <v>2896</v>
      </c>
      <c r="B2897" t="s">
        <v>4861</v>
      </c>
      <c r="C2897">
        <v>0</v>
      </c>
      <c r="J2897">
        <v>2896</v>
      </c>
      <c r="K2897" t="s">
        <v>4861</v>
      </c>
      <c r="L2897">
        <v>0</v>
      </c>
    </row>
    <row r="2898" spans="1:12" x14ac:dyDescent="0.25">
      <c r="A2898">
        <v>2897</v>
      </c>
      <c r="B2898" t="s">
        <v>4862</v>
      </c>
      <c r="C2898">
        <v>0</v>
      </c>
      <c r="J2898">
        <v>2897</v>
      </c>
      <c r="K2898" t="s">
        <v>4862</v>
      </c>
      <c r="L2898">
        <v>0</v>
      </c>
    </row>
    <row r="2899" spans="1:12" x14ac:dyDescent="0.25">
      <c r="A2899">
        <v>2898</v>
      </c>
      <c r="B2899" t="s">
        <v>4863</v>
      </c>
      <c r="C2899">
        <v>0</v>
      </c>
      <c r="J2899">
        <v>2898</v>
      </c>
      <c r="K2899" t="s">
        <v>4863</v>
      </c>
      <c r="L2899">
        <v>0</v>
      </c>
    </row>
    <row r="2900" spans="1:12" x14ac:dyDescent="0.25">
      <c r="A2900">
        <v>2899</v>
      </c>
      <c r="B2900" t="s">
        <v>4864</v>
      </c>
      <c r="C2900">
        <v>0</v>
      </c>
      <c r="J2900">
        <v>2899</v>
      </c>
      <c r="K2900" t="s">
        <v>4864</v>
      </c>
      <c r="L2900">
        <v>0</v>
      </c>
    </row>
    <row r="2901" spans="1:12" x14ac:dyDescent="0.25">
      <c r="A2901">
        <v>2900</v>
      </c>
      <c r="B2901" t="s">
        <v>4865</v>
      </c>
      <c r="C2901">
        <v>0</v>
      </c>
      <c r="J2901">
        <v>2900</v>
      </c>
      <c r="K2901" t="s">
        <v>4865</v>
      </c>
      <c r="L2901">
        <v>0</v>
      </c>
    </row>
    <row r="2902" spans="1:12" x14ac:dyDescent="0.25">
      <c r="A2902">
        <v>2901</v>
      </c>
      <c r="B2902" t="s">
        <v>4866</v>
      </c>
      <c r="C2902">
        <v>0</v>
      </c>
      <c r="J2902">
        <v>2901</v>
      </c>
      <c r="K2902" t="s">
        <v>4866</v>
      </c>
      <c r="L2902">
        <v>0</v>
      </c>
    </row>
    <row r="2903" spans="1:12" x14ac:dyDescent="0.25">
      <c r="A2903">
        <v>2902</v>
      </c>
      <c r="B2903" t="s">
        <v>4867</v>
      </c>
      <c r="C2903">
        <v>0</v>
      </c>
      <c r="J2903">
        <v>2902</v>
      </c>
      <c r="K2903" t="s">
        <v>4867</v>
      </c>
      <c r="L2903">
        <v>0</v>
      </c>
    </row>
    <row r="2904" spans="1:12" x14ac:dyDescent="0.25">
      <c r="A2904">
        <v>2903</v>
      </c>
      <c r="B2904" t="s">
        <v>4868</v>
      </c>
      <c r="C2904">
        <v>0</v>
      </c>
      <c r="J2904">
        <v>2903</v>
      </c>
      <c r="K2904" t="s">
        <v>4868</v>
      </c>
      <c r="L2904">
        <v>0</v>
      </c>
    </row>
    <row r="2905" spans="1:12" x14ac:dyDescent="0.25">
      <c r="A2905">
        <v>2904</v>
      </c>
      <c r="B2905" t="s">
        <v>4869</v>
      </c>
      <c r="C2905">
        <v>0</v>
      </c>
      <c r="J2905">
        <v>2904</v>
      </c>
      <c r="K2905" t="s">
        <v>4869</v>
      </c>
      <c r="L2905">
        <v>0</v>
      </c>
    </row>
    <row r="2906" spans="1:12" x14ac:dyDescent="0.25">
      <c r="A2906">
        <v>2905</v>
      </c>
      <c r="B2906" t="s">
        <v>4870</v>
      </c>
      <c r="C2906">
        <v>0</v>
      </c>
      <c r="J2906">
        <v>2905</v>
      </c>
      <c r="K2906" t="s">
        <v>4870</v>
      </c>
      <c r="L2906">
        <v>0</v>
      </c>
    </row>
    <row r="2907" spans="1:12" x14ac:dyDescent="0.25">
      <c r="A2907">
        <v>2906</v>
      </c>
      <c r="B2907" t="s">
        <v>4871</v>
      </c>
      <c r="C2907">
        <v>0</v>
      </c>
      <c r="J2907">
        <v>2906</v>
      </c>
      <c r="K2907" t="s">
        <v>4871</v>
      </c>
      <c r="L2907">
        <v>0</v>
      </c>
    </row>
    <row r="2908" spans="1:12" x14ac:dyDescent="0.25">
      <c r="A2908">
        <v>2907</v>
      </c>
      <c r="B2908" t="s">
        <v>4872</v>
      </c>
      <c r="C2908">
        <v>0</v>
      </c>
      <c r="J2908">
        <v>2907</v>
      </c>
      <c r="K2908" t="s">
        <v>4872</v>
      </c>
      <c r="L2908">
        <v>0</v>
      </c>
    </row>
    <row r="2909" spans="1:12" x14ac:dyDescent="0.25">
      <c r="A2909">
        <v>2908</v>
      </c>
      <c r="B2909" t="s">
        <v>4873</v>
      </c>
      <c r="C2909">
        <v>0</v>
      </c>
      <c r="J2909">
        <v>2908</v>
      </c>
      <c r="K2909" t="s">
        <v>4873</v>
      </c>
      <c r="L2909">
        <v>0</v>
      </c>
    </row>
    <row r="2910" spans="1:12" x14ac:dyDescent="0.25">
      <c r="A2910">
        <v>2909</v>
      </c>
      <c r="B2910" t="s">
        <v>4874</v>
      </c>
      <c r="C2910">
        <v>0</v>
      </c>
      <c r="J2910">
        <v>2909</v>
      </c>
      <c r="K2910" t="s">
        <v>4874</v>
      </c>
      <c r="L2910">
        <v>0</v>
      </c>
    </row>
    <row r="2911" spans="1:12" x14ac:dyDescent="0.25">
      <c r="A2911">
        <v>2910</v>
      </c>
      <c r="B2911" t="s">
        <v>4875</v>
      </c>
      <c r="C2911">
        <v>0</v>
      </c>
      <c r="J2911">
        <v>2910</v>
      </c>
      <c r="K2911" t="s">
        <v>4875</v>
      </c>
      <c r="L2911">
        <v>0</v>
      </c>
    </row>
    <row r="2912" spans="1:12" x14ac:dyDescent="0.25">
      <c r="A2912">
        <v>2911</v>
      </c>
      <c r="B2912" t="s">
        <v>4876</v>
      </c>
      <c r="C2912">
        <v>0</v>
      </c>
      <c r="J2912">
        <v>2911</v>
      </c>
      <c r="K2912" t="s">
        <v>4876</v>
      </c>
      <c r="L2912">
        <v>0</v>
      </c>
    </row>
    <row r="2913" spans="1:12" x14ac:dyDescent="0.25">
      <c r="A2913">
        <v>2912</v>
      </c>
      <c r="B2913" t="s">
        <v>4877</v>
      </c>
      <c r="C2913">
        <v>0</v>
      </c>
      <c r="J2913">
        <v>2912</v>
      </c>
      <c r="K2913" t="s">
        <v>4877</v>
      </c>
      <c r="L2913">
        <v>0</v>
      </c>
    </row>
    <row r="2914" spans="1:12" x14ac:dyDescent="0.25">
      <c r="A2914">
        <v>2913</v>
      </c>
      <c r="B2914" t="s">
        <v>4878</v>
      </c>
      <c r="C2914">
        <v>0</v>
      </c>
      <c r="J2914">
        <v>2913</v>
      </c>
      <c r="K2914" t="s">
        <v>4878</v>
      </c>
      <c r="L2914">
        <v>0</v>
      </c>
    </row>
    <row r="2915" spans="1:12" x14ac:dyDescent="0.25">
      <c r="A2915">
        <v>2914</v>
      </c>
      <c r="B2915" t="s">
        <v>4879</v>
      </c>
      <c r="C2915">
        <v>0</v>
      </c>
      <c r="J2915">
        <v>2914</v>
      </c>
      <c r="K2915" t="s">
        <v>4879</v>
      </c>
      <c r="L2915">
        <v>0</v>
      </c>
    </row>
    <row r="2916" spans="1:12" x14ac:dyDescent="0.25">
      <c r="A2916">
        <v>2915</v>
      </c>
      <c r="B2916" t="s">
        <v>4880</v>
      </c>
      <c r="C2916">
        <v>0</v>
      </c>
      <c r="J2916">
        <v>2915</v>
      </c>
      <c r="K2916" t="s">
        <v>4880</v>
      </c>
      <c r="L2916">
        <v>0</v>
      </c>
    </row>
    <row r="2917" spans="1:12" x14ac:dyDescent="0.25">
      <c r="A2917">
        <v>2916</v>
      </c>
      <c r="B2917" t="s">
        <v>4881</v>
      </c>
      <c r="C2917">
        <v>0</v>
      </c>
      <c r="J2917">
        <v>2916</v>
      </c>
      <c r="K2917" t="s">
        <v>4881</v>
      </c>
      <c r="L2917">
        <v>0</v>
      </c>
    </row>
    <row r="2918" spans="1:12" x14ac:dyDescent="0.25">
      <c r="A2918">
        <v>2917</v>
      </c>
      <c r="B2918" t="s">
        <v>4882</v>
      </c>
      <c r="C2918">
        <v>0</v>
      </c>
      <c r="J2918">
        <v>2917</v>
      </c>
      <c r="K2918" t="s">
        <v>4882</v>
      </c>
      <c r="L2918">
        <v>0</v>
      </c>
    </row>
    <row r="2919" spans="1:12" x14ac:dyDescent="0.25">
      <c r="A2919">
        <v>2918</v>
      </c>
      <c r="B2919" t="s">
        <v>4883</v>
      </c>
      <c r="C2919">
        <v>0</v>
      </c>
      <c r="J2919">
        <v>2918</v>
      </c>
      <c r="K2919" t="s">
        <v>4883</v>
      </c>
      <c r="L2919">
        <v>0</v>
      </c>
    </row>
    <row r="2920" spans="1:12" x14ac:dyDescent="0.25">
      <c r="A2920">
        <v>2919</v>
      </c>
      <c r="B2920" t="s">
        <v>4884</v>
      </c>
      <c r="C2920">
        <v>0</v>
      </c>
      <c r="J2920">
        <v>2919</v>
      </c>
      <c r="K2920" t="s">
        <v>4884</v>
      </c>
      <c r="L2920">
        <v>0</v>
      </c>
    </row>
    <row r="2921" spans="1:12" x14ac:dyDescent="0.25">
      <c r="A2921">
        <v>2920</v>
      </c>
      <c r="B2921" t="s">
        <v>4885</v>
      </c>
      <c r="C2921">
        <v>0</v>
      </c>
      <c r="J2921">
        <v>2920</v>
      </c>
      <c r="K2921" t="s">
        <v>4885</v>
      </c>
      <c r="L2921">
        <v>0</v>
      </c>
    </row>
    <row r="2922" spans="1:12" x14ac:dyDescent="0.25">
      <c r="A2922">
        <v>2921</v>
      </c>
      <c r="B2922" t="s">
        <v>4886</v>
      </c>
      <c r="C2922">
        <v>0</v>
      </c>
      <c r="J2922">
        <v>2921</v>
      </c>
      <c r="K2922" t="s">
        <v>4886</v>
      </c>
      <c r="L2922">
        <v>0</v>
      </c>
    </row>
    <row r="2923" spans="1:12" x14ac:dyDescent="0.25">
      <c r="A2923">
        <v>2922</v>
      </c>
      <c r="B2923" t="s">
        <v>4887</v>
      </c>
      <c r="C2923">
        <v>0</v>
      </c>
      <c r="J2923">
        <v>2922</v>
      </c>
      <c r="K2923" t="s">
        <v>4887</v>
      </c>
      <c r="L2923">
        <v>0</v>
      </c>
    </row>
    <row r="2924" spans="1:12" x14ac:dyDescent="0.25">
      <c r="A2924">
        <v>2923</v>
      </c>
      <c r="B2924" t="s">
        <v>4888</v>
      </c>
      <c r="C2924">
        <v>0</v>
      </c>
      <c r="J2924">
        <v>2923</v>
      </c>
      <c r="K2924" t="s">
        <v>4888</v>
      </c>
      <c r="L2924">
        <v>0</v>
      </c>
    </row>
    <row r="2925" spans="1:12" x14ac:dyDescent="0.25">
      <c r="A2925">
        <v>2924</v>
      </c>
      <c r="B2925" t="s">
        <v>4889</v>
      </c>
      <c r="C2925">
        <v>0</v>
      </c>
      <c r="J2925">
        <v>2924</v>
      </c>
      <c r="K2925" t="s">
        <v>4889</v>
      </c>
      <c r="L2925">
        <v>0</v>
      </c>
    </row>
    <row r="2926" spans="1:12" x14ac:dyDescent="0.25">
      <c r="A2926">
        <v>2925</v>
      </c>
      <c r="B2926" t="s">
        <v>4890</v>
      </c>
      <c r="C2926">
        <v>0</v>
      </c>
      <c r="J2926">
        <v>2925</v>
      </c>
      <c r="K2926" t="s">
        <v>4890</v>
      </c>
      <c r="L2926">
        <v>0</v>
      </c>
    </row>
    <row r="2927" spans="1:12" x14ac:dyDescent="0.25">
      <c r="A2927">
        <v>2926</v>
      </c>
      <c r="B2927" t="s">
        <v>4891</v>
      </c>
      <c r="C2927">
        <v>0</v>
      </c>
      <c r="J2927">
        <v>2926</v>
      </c>
      <c r="K2927" t="s">
        <v>4891</v>
      </c>
      <c r="L2927">
        <v>0</v>
      </c>
    </row>
    <row r="2928" spans="1:12" x14ac:dyDescent="0.25">
      <c r="A2928">
        <v>2927</v>
      </c>
      <c r="B2928" t="s">
        <v>4892</v>
      </c>
      <c r="C2928">
        <v>0</v>
      </c>
      <c r="J2928">
        <v>2927</v>
      </c>
      <c r="K2928" t="s">
        <v>4892</v>
      </c>
      <c r="L2928">
        <v>0</v>
      </c>
    </row>
    <row r="2929" spans="1:12" x14ac:dyDescent="0.25">
      <c r="A2929">
        <v>2928</v>
      </c>
      <c r="B2929" t="s">
        <v>4893</v>
      </c>
      <c r="C2929">
        <v>0</v>
      </c>
      <c r="J2929">
        <v>2928</v>
      </c>
      <c r="K2929" t="s">
        <v>4893</v>
      </c>
      <c r="L2929">
        <v>0</v>
      </c>
    </row>
    <row r="2930" spans="1:12" x14ac:dyDescent="0.25">
      <c r="A2930">
        <v>2929</v>
      </c>
      <c r="B2930" t="s">
        <v>4894</v>
      </c>
      <c r="C2930">
        <v>0</v>
      </c>
      <c r="J2930">
        <v>2929</v>
      </c>
      <c r="K2930" t="s">
        <v>4894</v>
      </c>
      <c r="L2930">
        <v>0</v>
      </c>
    </row>
    <row r="2931" spans="1:12" x14ac:dyDescent="0.25">
      <c r="A2931">
        <v>2930</v>
      </c>
      <c r="B2931" t="s">
        <v>4895</v>
      </c>
      <c r="C2931">
        <v>0</v>
      </c>
      <c r="J2931">
        <v>2930</v>
      </c>
      <c r="K2931" t="s">
        <v>4895</v>
      </c>
      <c r="L2931">
        <v>0</v>
      </c>
    </row>
    <row r="2932" spans="1:12" x14ac:dyDescent="0.25">
      <c r="A2932">
        <v>2931</v>
      </c>
      <c r="B2932" t="s">
        <v>4896</v>
      </c>
      <c r="C2932">
        <v>0</v>
      </c>
      <c r="J2932">
        <v>2931</v>
      </c>
      <c r="K2932" t="s">
        <v>4896</v>
      </c>
      <c r="L2932">
        <v>0</v>
      </c>
    </row>
    <row r="2933" spans="1:12" x14ac:dyDescent="0.25">
      <c r="A2933">
        <v>2932</v>
      </c>
      <c r="B2933" t="s">
        <v>4897</v>
      </c>
      <c r="C2933">
        <v>0</v>
      </c>
      <c r="J2933">
        <v>2932</v>
      </c>
      <c r="K2933" t="s">
        <v>4897</v>
      </c>
      <c r="L2933">
        <v>0</v>
      </c>
    </row>
    <row r="2934" spans="1:12" x14ac:dyDescent="0.25">
      <c r="A2934">
        <v>2933</v>
      </c>
      <c r="B2934" t="s">
        <v>4898</v>
      </c>
      <c r="C2934">
        <v>0</v>
      </c>
      <c r="J2934">
        <v>2933</v>
      </c>
      <c r="K2934" t="s">
        <v>4898</v>
      </c>
      <c r="L2934">
        <v>0</v>
      </c>
    </row>
    <row r="2935" spans="1:12" x14ac:dyDescent="0.25">
      <c r="A2935">
        <v>2934</v>
      </c>
      <c r="B2935" t="s">
        <v>4899</v>
      </c>
      <c r="C2935">
        <v>0</v>
      </c>
      <c r="J2935">
        <v>2934</v>
      </c>
      <c r="K2935" t="s">
        <v>4899</v>
      </c>
      <c r="L2935">
        <v>0</v>
      </c>
    </row>
    <row r="2936" spans="1:12" x14ac:dyDescent="0.25">
      <c r="A2936">
        <v>2935</v>
      </c>
      <c r="B2936" t="s">
        <v>4900</v>
      </c>
      <c r="C2936">
        <v>0</v>
      </c>
      <c r="J2936">
        <v>2935</v>
      </c>
      <c r="K2936" t="s">
        <v>4900</v>
      </c>
      <c r="L2936">
        <v>0</v>
      </c>
    </row>
    <row r="2937" spans="1:12" x14ac:dyDescent="0.25">
      <c r="A2937">
        <v>2936</v>
      </c>
      <c r="B2937" t="s">
        <v>4901</v>
      </c>
      <c r="C2937">
        <v>0</v>
      </c>
      <c r="J2937">
        <v>2936</v>
      </c>
      <c r="K2937" t="s">
        <v>4901</v>
      </c>
      <c r="L2937">
        <v>0</v>
      </c>
    </row>
    <row r="2938" spans="1:12" x14ac:dyDescent="0.25">
      <c r="A2938">
        <v>2937</v>
      </c>
      <c r="B2938" t="s">
        <v>4902</v>
      </c>
      <c r="C2938">
        <v>0</v>
      </c>
      <c r="J2938">
        <v>2937</v>
      </c>
      <c r="K2938" t="s">
        <v>4902</v>
      </c>
      <c r="L2938">
        <v>0</v>
      </c>
    </row>
    <row r="2939" spans="1:12" x14ac:dyDescent="0.25">
      <c r="A2939">
        <v>2938</v>
      </c>
      <c r="B2939" t="s">
        <v>4903</v>
      </c>
      <c r="C2939">
        <v>0</v>
      </c>
      <c r="J2939">
        <v>2938</v>
      </c>
      <c r="K2939" t="s">
        <v>4903</v>
      </c>
      <c r="L2939">
        <v>0</v>
      </c>
    </row>
    <row r="2940" spans="1:12" x14ac:dyDescent="0.25">
      <c r="A2940">
        <v>2939</v>
      </c>
      <c r="B2940" t="s">
        <v>4904</v>
      </c>
      <c r="C2940">
        <v>0</v>
      </c>
      <c r="J2940">
        <v>2939</v>
      </c>
      <c r="K2940" t="s">
        <v>4904</v>
      </c>
      <c r="L2940">
        <v>0</v>
      </c>
    </row>
    <row r="2941" spans="1:12" x14ac:dyDescent="0.25">
      <c r="A2941">
        <v>2940</v>
      </c>
      <c r="B2941" t="s">
        <v>4905</v>
      </c>
      <c r="C2941">
        <v>0</v>
      </c>
      <c r="J2941">
        <v>2940</v>
      </c>
      <c r="K2941" t="s">
        <v>4905</v>
      </c>
      <c r="L2941">
        <v>0</v>
      </c>
    </row>
    <row r="2942" spans="1:12" x14ac:dyDescent="0.25">
      <c r="A2942">
        <v>2941</v>
      </c>
      <c r="B2942" t="s">
        <v>4906</v>
      </c>
      <c r="C2942">
        <v>0</v>
      </c>
      <c r="J2942">
        <v>2941</v>
      </c>
      <c r="K2942" t="s">
        <v>4906</v>
      </c>
      <c r="L2942">
        <v>0</v>
      </c>
    </row>
    <row r="2943" spans="1:12" x14ac:dyDescent="0.25">
      <c r="A2943">
        <v>2942</v>
      </c>
      <c r="B2943" t="s">
        <v>4907</v>
      </c>
      <c r="C2943">
        <v>0</v>
      </c>
      <c r="J2943">
        <v>2942</v>
      </c>
      <c r="K2943" t="s">
        <v>4907</v>
      </c>
      <c r="L2943">
        <v>0</v>
      </c>
    </row>
    <row r="2944" spans="1:12" x14ac:dyDescent="0.25">
      <c r="A2944">
        <v>2943</v>
      </c>
      <c r="B2944" t="s">
        <v>4908</v>
      </c>
      <c r="C2944">
        <v>0</v>
      </c>
      <c r="J2944">
        <v>2943</v>
      </c>
      <c r="K2944" t="s">
        <v>4908</v>
      </c>
      <c r="L2944">
        <v>0</v>
      </c>
    </row>
    <row r="2945" spans="1:12" x14ac:dyDescent="0.25">
      <c r="A2945">
        <v>2944</v>
      </c>
      <c r="B2945" t="s">
        <v>4909</v>
      </c>
      <c r="C2945">
        <v>0</v>
      </c>
      <c r="J2945">
        <v>2944</v>
      </c>
      <c r="K2945" t="s">
        <v>4909</v>
      </c>
      <c r="L2945">
        <v>0</v>
      </c>
    </row>
    <row r="2946" spans="1:12" x14ac:dyDescent="0.25">
      <c r="A2946">
        <v>2945</v>
      </c>
      <c r="B2946" t="s">
        <v>4910</v>
      </c>
      <c r="C2946">
        <v>0</v>
      </c>
      <c r="J2946">
        <v>2945</v>
      </c>
      <c r="K2946" t="s">
        <v>4910</v>
      </c>
      <c r="L2946">
        <v>0</v>
      </c>
    </row>
    <row r="2947" spans="1:12" x14ac:dyDescent="0.25">
      <c r="A2947">
        <v>2946</v>
      </c>
      <c r="B2947" t="s">
        <v>4911</v>
      </c>
      <c r="C2947">
        <v>0</v>
      </c>
      <c r="J2947">
        <v>2946</v>
      </c>
      <c r="K2947" t="s">
        <v>4911</v>
      </c>
      <c r="L2947">
        <v>0</v>
      </c>
    </row>
    <row r="2948" spans="1:12" x14ac:dyDescent="0.25">
      <c r="A2948">
        <v>2947</v>
      </c>
      <c r="B2948" t="s">
        <v>4912</v>
      </c>
      <c r="C2948">
        <v>0</v>
      </c>
      <c r="J2948">
        <v>2947</v>
      </c>
      <c r="K2948" t="s">
        <v>4912</v>
      </c>
      <c r="L2948">
        <v>0</v>
      </c>
    </row>
    <row r="2949" spans="1:12" x14ac:dyDescent="0.25">
      <c r="A2949">
        <v>2948</v>
      </c>
      <c r="B2949" t="s">
        <v>4913</v>
      </c>
      <c r="C2949">
        <v>0</v>
      </c>
      <c r="J2949">
        <v>2948</v>
      </c>
      <c r="K2949" t="s">
        <v>4913</v>
      </c>
      <c r="L2949">
        <v>0</v>
      </c>
    </row>
    <row r="2950" spans="1:12" x14ac:dyDescent="0.25">
      <c r="A2950">
        <v>2949</v>
      </c>
      <c r="B2950" t="s">
        <v>4914</v>
      </c>
      <c r="C2950">
        <v>0</v>
      </c>
      <c r="J2950">
        <v>2949</v>
      </c>
      <c r="K2950" t="s">
        <v>4914</v>
      </c>
      <c r="L2950">
        <v>0</v>
      </c>
    </row>
    <row r="2951" spans="1:12" x14ac:dyDescent="0.25">
      <c r="A2951">
        <v>2950</v>
      </c>
      <c r="B2951" t="s">
        <v>4915</v>
      </c>
      <c r="C2951">
        <v>0</v>
      </c>
      <c r="J2951">
        <v>2950</v>
      </c>
      <c r="K2951" t="s">
        <v>4915</v>
      </c>
      <c r="L2951">
        <v>0</v>
      </c>
    </row>
    <row r="2952" spans="1:12" x14ac:dyDescent="0.25">
      <c r="A2952">
        <v>2951</v>
      </c>
      <c r="B2952" t="s">
        <v>4916</v>
      </c>
      <c r="C2952">
        <v>0</v>
      </c>
      <c r="J2952">
        <v>2951</v>
      </c>
      <c r="K2952" t="s">
        <v>4916</v>
      </c>
      <c r="L2952">
        <v>0</v>
      </c>
    </row>
    <row r="2953" spans="1:12" x14ac:dyDescent="0.25">
      <c r="A2953">
        <v>2952</v>
      </c>
      <c r="B2953" t="s">
        <v>4917</v>
      </c>
      <c r="C2953">
        <v>0</v>
      </c>
      <c r="J2953">
        <v>2952</v>
      </c>
      <c r="K2953" t="s">
        <v>4917</v>
      </c>
      <c r="L2953">
        <v>0</v>
      </c>
    </row>
    <row r="2954" spans="1:12" x14ac:dyDescent="0.25">
      <c r="A2954">
        <v>2953</v>
      </c>
      <c r="B2954" t="s">
        <v>4918</v>
      </c>
      <c r="C2954">
        <v>0</v>
      </c>
      <c r="J2954">
        <v>2953</v>
      </c>
      <c r="K2954" t="s">
        <v>4918</v>
      </c>
      <c r="L2954">
        <v>0</v>
      </c>
    </row>
    <row r="2955" spans="1:12" x14ac:dyDescent="0.25">
      <c r="A2955">
        <v>2954</v>
      </c>
      <c r="B2955" t="s">
        <v>4919</v>
      </c>
      <c r="C2955">
        <v>0</v>
      </c>
      <c r="J2955">
        <v>2954</v>
      </c>
      <c r="K2955" t="s">
        <v>4919</v>
      </c>
      <c r="L2955">
        <v>0</v>
      </c>
    </row>
    <row r="2956" spans="1:12" x14ac:dyDescent="0.25">
      <c r="A2956">
        <v>2955</v>
      </c>
      <c r="B2956" t="s">
        <v>4920</v>
      </c>
      <c r="C2956">
        <v>0</v>
      </c>
      <c r="J2956">
        <v>2955</v>
      </c>
      <c r="K2956" t="s">
        <v>4920</v>
      </c>
      <c r="L2956">
        <v>0</v>
      </c>
    </row>
    <row r="2957" spans="1:12" x14ac:dyDescent="0.25">
      <c r="A2957">
        <v>2956</v>
      </c>
      <c r="B2957" t="s">
        <v>4921</v>
      </c>
      <c r="C2957">
        <v>0</v>
      </c>
      <c r="J2957">
        <v>2956</v>
      </c>
      <c r="K2957" t="s">
        <v>4921</v>
      </c>
      <c r="L2957">
        <v>0</v>
      </c>
    </row>
    <row r="2958" spans="1:12" x14ac:dyDescent="0.25">
      <c r="A2958">
        <v>2957</v>
      </c>
      <c r="B2958" t="s">
        <v>4922</v>
      </c>
      <c r="C2958">
        <v>0</v>
      </c>
      <c r="J2958">
        <v>2957</v>
      </c>
      <c r="K2958" t="s">
        <v>4922</v>
      </c>
      <c r="L2958">
        <v>0</v>
      </c>
    </row>
    <row r="2959" spans="1:12" x14ac:dyDescent="0.25">
      <c r="A2959">
        <v>2958</v>
      </c>
      <c r="B2959" t="s">
        <v>4923</v>
      </c>
      <c r="C2959">
        <v>0</v>
      </c>
      <c r="J2959">
        <v>2958</v>
      </c>
      <c r="K2959" t="s">
        <v>4923</v>
      </c>
      <c r="L2959">
        <v>0</v>
      </c>
    </row>
    <row r="2960" spans="1:12" x14ac:dyDescent="0.25">
      <c r="A2960">
        <v>2959</v>
      </c>
      <c r="B2960" t="s">
        <v>4924</v>
      </c>
      <c r="C2960">
        <v>0</v>
      </c>
      <c r="J2960">
        <v>2959</v>
      </c>
      <c r="K2960" t="s">
        <v>4924</v>
      </c>
      <c r="L2960">
        <v>0</v>
      </c>
    </row>
    <row r="2961" spans="1:12" x14ac:dyDescent="0.25">
      <c r="A2961">
        <v>2960</v>
      </c>
      <c r="B2961" t="s">
        <v>4925</v>
      </c>
      <c r="C2961">
        <v>0</v>
      </c>
      <c r="J2961">
        <v>2960</v>
      </c>
      <c r="K2961" t="s">
        <v>4925</v>
      </c>
      <c r="L2961">
        <v>0</v>
      </c>
    </row>
    <row r="2962" spans="1:12" x14ac:dyDescent="0.25">
      <c r="A2962">
        <v>2961</v>
      </c>
      <c r="B2962" t="s">
        <v>4926</v>
      </c>
      <c r="C2962">
        <v>0</v>
      </c>
      <c r="J2962">
        <v>2961</v>
      </c>
      <c r="K2962" t="s">
        <v>4926</v>
      </c>
      <c r="L2962">
        <v>0</v>
      </c>
    </row>
    <row r="2963" spans="1:12" x14ac:dyDescent="0.25">
      <c r="A2963">
        <v>2962</v>
      </c>
      <c r="B2963" t="s">
        <v>4927</v>
      </c>
      <c r="C2963">
        <v>0</v>
      </c>
      <c r="J2963">
        <v>2962</v>
      </c>
      <c r="K2963" t="s">
        <v>4927</v>
      </c>
      <c r="L2963">
        <v>0</v>
      </c>
    </row>
    <row r="2964" spans="1:12" x14ac:dyDescent="0.25">
      <c r="A2964">
        <v>2963</v>
      </c>
      <c r="B2964" t="s">
        <v>4928</v>
      </c>
      <c r="C2964">
        <v>0</v>
      </c>
      <c r="J2964">
        <v>2963</v>
      </c>
      <c r="K2964" t="s">
        <v>4928</v>
      </c>
      <c r="L2964">
        <v>0</v>
      </c>
    </row>
    <row r="2965" spans="1:12" x14ac:dyDescent="0.25">
      <c r="A2965">
        <v>2964</v>
      </c>
      <c r="B2965" t="s">
        <v>4929</v>
      </c>
      <c r="C2965">
        <v>0</v>
      </c>
      <c r="J2965">
        <v>2964</v>
      </c>
      <c r="K2965" t="s">
        <v>4929</v>
      </c>
      <c r="L2965">
        <v>0</v>
      </c>
    </row>
    <row r="2966" spans="1:12" x14ac:dyDescent="0.25">
      <c r="A2966">
        <v>2965</v>
      </c>
      <c r="B2966" t="s">
        <v>4930</v>
      </c>
      <c r="C2966">
        <v>0</v>
      </c>
      <c r="J2966">
        <v>2965</v>
      </c>
      <c r="K2966" t="s">
        <v>4930</v>
      </c>
      <c r="L2966">
        <v>0</v>
      </c>
    </row>
    <row r="2967" spans="1:12" x14ac:dyDescent="0.25">
      <c r="A2967">
        <v>2966</v>
      </c>
      <c r="B2967" t="s">
        <v>4931</v>
      </c>
      <c r="C2967">
        <v>0</v>
      </c>
      <c r="J2967">
        <v>2966</v>
      </c>
      <c r="K2967" t="s">
        <v>4931</v>
      </c>
      <c r="L2967">
        <v>0</v>
      </c>
    </row>
    <row r="2968" spans="1:12" x14ac:dyDescent="0.25">
      <c r="A2968">
        <v>2967</v>
      </c>
      <c r="B2968" t="s">
        <v>4932</v>
      </c>
      <c r="C2968">
        <v>0</v>
      </c>
      <c r="J2968">
        <v>2967</v>
      </c>
      <c r="K2968" t="s">
        <v>4932</v>
      </c>
      <c r="L2968">
        <v>0</v>
      </c>
    </row>
    <row r="2969" spans="1:12" x14ac:dyDescent="0.25">
      <c r="A2969">
        <v>2968</v>
      </c>
      <c r="B2969" t="s">
        <v>4933</v>
      </c>
      <c r="C2969">
        <v>0</v>
      </c>
      <c r="J2969">
        <v>2968</v>
      </c>
      <c r="K2969" t="s">
        <v>4933</v>
      </c>
      <c r="L2969">
        <v>0</v>
      </c>
    </row>
    <row r="2970" spans="1:12" x14ac:dyDescent="0.25">
      <c r="A2970">
        <v>2969</v>
      </c>
      <c r="B2970" t="s">
        <v>4934</v>
      </c>
      <c r="C2970">
        <v>0</v>
      </c>
      <c r="J2970">
        <v>2969</v>
      </c>
      <c r="K2970" t="s">
        <v>4934</v>
      </c>
      <c r="L2970">
        <v>0</v>
      </c>
    </row>
    <row r="2971" spans="1:12" x14ac:dyDescent="0.25">
      <c r="A2971">
        <v>2970</v>
      </c>
      <c r="B2971" t="s">
        <v>4935</v>
      </c>
      <c r="C2971">
        <v>0</v>
      </c>
      <c r="J2971">
        <v>2970</v>
      </c>
      <c r="K2971" t="s">
        <v>4935</v>
      </c>
      <c r="L2971">
        <v>0</v>
      </c>
    </row>
    <row r="2972" spans="1:12" x14ac:dyDescent="0.25">
      <c r="A2972">
        <v>2971</v>
      </c>
      <c r="B2972" t="s">
        <v>4936</v>
      </c>
      <c r="C2972">
        <v>0</v>
      </c>
      <c r="J2972">
        <v>2971</v>
      </c>
      <c r="K2972" t="s">
        <v>4936</v>
      </c>
      <c r="L2972">
        <v>0</v>
      </c>
    </row>
    <row r="2973" spans="1:12" x14ac:dyDescent="0.25">
      <c r="A2973">
        <v>2972</v>
      </c>
      <c r="B2973" t="s">
        <v>4937</v>
      </c>
      <c r="C2973">
        <v>0</v>
      </c>
      <c r="J2973">
        <v>2972</v>
      </c>
      <c r="K2973" t="s">
        <v>4937</v>
      </c>
      <c r="L2973">
        <v>0</v>
      </c>
    </row>
    <row r="2974" spans="1:12" x14ac:dyDescent="0.25">
      <c r="A2974">
        <v>2973</v>
      </c>
      <c r="B2974" t="s">
        <v>4938</v>
      </c>
      <c r="C2974">
        <v>0</v>
      </c>
      <c r="J2974">
        <v>2973</v>
      </c>
      <c r="K2974" t="s">
        <v>4938</v>
      </c>
      <c r="L2974">
        <v>0</v>
      </c>
    </row>
    <row r="2975" spans="1:12" x14ac:dyDescent="0.25">
      <c r="A2975">
        <v>2974</v>
      </c>
      <c r="B2975" t="s">
        <v>4939</v>
      </c>
      <c r="C2975">
        <v>0</v>
      </c>
      <c r="J2975">
        <v>2974</v>
      </c>
      <c r="K2975" t="s">
        <v>4939</v>
      </c>
      <c r="L2975">
        <v>0</v>
      </c>
    </row>
    <row r="2976" spans="1:12" x14ac:dyDescent="0.25">
      <c r="A2976">
        <v>2975</v>
      </c>
      <c r="B2976" t="s">
        <v>4940</v>
      </c>
      <c r="C2976">
        <v>0</v>
      </c>
      <c r="J2976">
        <v>2975</v>
      </c>
      <c r="K2976" t="s">
        <v>4940</v>
      </c>
      <c r="L2976">
        <v>0</v>
      </c>
    </row>
    <row r="2977" spans="1:12" x14ac:dyDescent="0.25">
      <c r="A2977">
        <v>2976</v>
      </c>
      <c r="B2977" t="s">
        <v>4941</v>
      </c>
      <c r="C2977">
        <v>0</v>
      </c>
      <c r="J2977">
        <v>2976</v>
      </c>
      <c r="K2977" t="s">
        <v>4941</v>
      </c>
      <c r="L2977">
        <v>0</v>
      </c>
    </row>
    <row r="2978" spans="1:12" x14ac:dyDescent="0.25">
      <c r="A2978">
        <v>2977</v>
      </c>
      <c r="B2978" t="s">
        <v>4942</v>
      </c>
      <c r="C2978">
        <v>0</v>
      </c>
      <c r="J2978">
        <v>2977</v>
      </c>
      <c r="K2978" t="s">
        <v>4942</v>
      </c>
      <c r="L2978">
        <v>0</v>
      </c>
    </row>
    <row r="2979" spans="1:12" x14ac:dyDescent="0.25">
      <c r="A2979">
        <v>2978</v>
      </c>
      <c r="B2979" t="s">
        <v>4943</v>
      </c>
      <c r="C2979">
        <v>0</v>
      </c>
      <c r="J2979">
        <v>2978</v>
      </c>
      <c r="K2979" t="s">
        <v>4943</v>
      </c>
      <c r="L2979">
        <v>0</v>
      </c>
    </row>
    <row r="2980" spans="1:12" x14ac:dyDescent="0.25">
      <c r="A2980">
        <v>2979</v>
      </c>
      <c r="B2980" t="s">
        <v>4944</v>
      </c>
      <c r="C2980">
        <v>0</v>
      </c>
      <c r="J2980">
        <v>2979</v>
      </c>
      <c r="K2980" t="s">
        <v>4944</v>
      </c>
      <c r="L2980">
        <v>0</v>
      </c>
    </row>
    <row r="2981" spans="1:12" x14ac:dyDescent="0.25">
      <c r="A2981">
        <v>2980</v>
      </c>
      <c r="B2981" t="s">
        <v>4945</v>
      </c>
      <c r="C2981">
        <v>0</v>
      </c>
      <c r="J2981">
        <v>2980</v>
      </c>
      <c r="K2981" t="s">
        <v>4945</v>
      </c>
      <c r="L2981">
        <v>0</v>
      </c>
    </row>
    <row r="2982" spans="1:12" x14ac:dyDescent="0.25">
      <c r="A2982">
        <v>2981</v>
      </c>
      <c r="B2982" t="s">
        <v>4946</v>
      </c>
      <c r="C2982">
        <v>0</v>
      </c>
      <c r="J2982">
        <v>2981</v>
      </c>
      <c r="K2982" t="s">
        <v>4946</v>
      </c>
      <c r="L2982">
        <v>0</v>
      </c>
    </row>
    <row r="2983" spans="1:12" x14ac:dyDescent="0.25">
      <c r="A2983">
        <v>2982</v>
      </c>
      <c r="B2983" t="s">
        <v>4947</v>
      </c>
      <c r="C2983">
        <v>0</v>
      </c>
      <c r="J2983">
        <v>2982</v>
      </c>
      <c r="K2983" t="s">
        <v>4947</v>
      </c>
      <c r="L2983">
        <v>0</v>
      </c>
    </row>
    <row r="2984" spans="1:12" x14ac:dyDescent="0.25">
      <c r="A2984">
        <v>2983</v>
      </c>
      <c r="B2984" t="s">
        <v>4948</v>
      </c>
      <c r="C2984">
        <v>0</v>
      </c>
      <c r="J2984">
        <v>2983</v>
      </c>
      <c r="K2984" t="s">
        <v>4948</v>
      </c>
      <c r="L2984">
        <v>0</v>
      </c>
    </row>
    <row r="2985" spans="1:12" x14ac:dyDescent="0.25">
      <c r="A2985">
        <v>2984</v>
      </c>
      <c r="B2985" t="s">
        <v>4949</v>
      </c>
      <c r="C2985">
        <v>0</v>
      </c>
      <c r="J2985">
        <v>2984</v>
      </c>
      <c r="K2985" t="s">
        <v>4949</v>
      </c>
      <c r="L2985">
        <v>0</v>
      </c>
    </row>
    <row r="2986" spans="1:12" x14ac:dyDescent="0.25">
      <c r="A2986">
        <v>2985</v>
      </c>
      <c r="B2986" t="s">
        <v>4950</v>
      </c>
      <c r="C2986">
        <v>0</v>
      </c>
      <c r="J2986">
        <v>2985</v>
      </c>
      <c r="K2986" t="s">
        <v>4950</v>
      </c>
      <c r="L2986">
        <v>0</v>
      </c>
    </row>
    <row r="2987" spans="1:12" x14ac:dyDescent="0.25">
      <c r="A2987">
        <v>2986</v>
      </c>
      <c r="B2987" t="s">
        <v>4951</v>
      </c>
      <c r="C2987">
        <v>0</v>
      </c>
      <c r="J2987">
        <v>2986</v>
      </c>
      <c r="K2987" t="s">
        <v>4951</v>
      </c>
      <c r="L2987">
        <v>0</v>
      </c>
    </row>
    <row r="2988" spans="1:12" x14ac:dyDescent="0.25">
      <c r="A2988">
        <v>2987</v>
      </c>
      <c r="B2988" t="s">
        <v>4952</v>
      </c>
      <c r="C2988">
        <v>0</v>
      </c>
      <c r="J2988">
        <v>2987</v>
      </c>
      <c r="K2988" t="s">
        <v>4952</v>
      </c>
      <c r="L2988">
        <v>0</v>
      </c>
    </row>
    <row r="2989" spans="1:12" x14ac:dyDescent="0.25">
      <c r="A2989">
        <v>2988</v>
      </c>
      <c r="B2989" t="s">
        <v>4953</v>
      </c>
      <c r="C2989">
        <v>0</v>
      </c>
      <c r="J2989">
        <v>2988</v>
      </c>
      <c r="K2989" t="s">
        <v>4953</v>
      </c>
      <c r="L2989">
        <v>0</v>
      </c>
    </row>
    <row r="2990" spans="1:12" x14ac:dyDescent="0.25">
      <c r="A2990">
        <v>2989</v>
      </c>
      <c r="B2990" t="s">
        <v>4954</v>
      </c>
      <c r="C2990">
        <v>0</v>
      </c>
      <c r="J2990">
        <v>2989</v>
      </c>
      <c r="K2990" t="s">
        <v>4954</v>
      </c>
      <c r="L2990">
        <v>0</v>
      </c>
    </row>
    <row r="2991" spans="1:12" x14ac:dyDescent="0.25">
      <c r="A2991">
        <v>2990</v>
      </c>
      <c r="B2991" t="s">
        <v>4955</v>
      </c>
      <c r="C2991">
        <v>0</v>
      </c>
      <c r="J2991">
        <v>2990</v>
      </c>
      <c r="K2991" t="s">
        <v>4955</v>
      </c>
      <c r="L2991">
        <v>0</v>
      </c>
    </row>
    <row r="2992" spans="1:12" x14ac:dyDescent="0.25">
      <c r="A2992">
        <v>2991</v>
      </c>
      <c r="B2992" t="s">
        <v>4956</v>
      </c>
      <c r="C2992">
        <v>0</v>
      </c>
      <c r="J2992">
        <v>2991</v>
      </c>
      <c r="K2992" t="s">
        <v>4956</v>
      </c>
      <c r="L2992">
        <v>0</v>
      </c>
    </row>
    <row r="2993" spans="1:12" x14ac:dyDescent="0.25">
      <c r="A2993">
        <v>2992</v>
      </c>
      <c r="B2993" t="s">
        <v>4957</v>
      </c>
      <c r="C2993">
        <v>0</v>
      </c>
      <c r="J2993">
        <v>2992</v>
      </c>
      <c r="K2993" t="s">
        <v>4957</v>
      </c>
      <c r="L2993">
        <v>0</v>
      </c>
    </row>
    <row r="2994" spans="1:12" x14ac:dyDescent="0.25">
      <c r="A2994">
        <v>2993</v>
      </c>
      <c r="B2994" t="s">
        <v>4958</v>
      </c>
      <c r="C2994">
        <v>0</v>
      </c>
      <c r="J2994">
        <v>2993</v>
      </c>
      <c r="K2994" t="s">
        <v>4958</v>
      </c>
      <c r="L2994">
        <v>0</v>
      </c>
    </row>
    <row r="2995" spans="1:12" x14ac:dyDescent="0.25">
      <c r="A2995">
        <v>2994</v>
      </c>
      <c r="B2995" t="s">
        <v>4959</v>
      </c>
      <c r="C2995">
        <v>0</v>
      </c>
      <c r="J2995">
        <v>2994</v>
      </c>
      <c r="K2995" t="s">
        <v>4959</v>
      </c>
      <c r="L2995">
        <v>0</v>
      </c>
    </row>
    <row r="2996" spans="1:12" x14ac:dyDescent="0.25">
      <c r="A2996">
        <v>2995</v>
      </c>
      <c r="B2996" t="s">
        <v>4960</v>
      </c>
      <c r="C2996">
        <v>0</v>
      </c>
      <c r="J2996">
        <v>2995</v>
      </c>
      <c r="K2996" t="s">
        <v>4960</v>
      </c>
      <c r="L2996">
        <v>0</v>
      </c>
    </row>
    <row r="2997" spans="1:12" x14ac:dyDescent="0.25">
      <c r="A2997">
        <v>2996</v>
      </c>
      <c r="B2997" t="s">
        <v>4961</v>
      </c>
      <c r="C2997">
        <v>0</v>
      </c>
      <c r="J2997">
        <v>2996</v>
      </c>
      <c r="K2997" t="s">
        <v>4961</v>
      </c>
      <c r="L2997">
        <v>0</v>
      </c>
    </row>
    <row r="2998" spans="1:12" x14ac:dyDescent="0.25">
      <c r="A2998">
        <v>2997</v>
      </c>
      <c r="B2998" t="s">
        <v>4962</v>
      </c>
      <c r="C2998">
        <v>0</v>
      </c>
      <c r="J2998">
        <v>2997</v>
      </c>
      <c r="K2998" t="s">
        <v>4962</v>
      </c>
      <c r="L2998">
        <v>0</v>
      </c>
    </row>
    <row r="2999" spans="1:12" x14ac:dyDescent="0.25">
      <c r="A2999">
        <v>2998</v>
      </c>
      <c r="B2999" t="s">
        <v>4963</v>
      </c>
      <c r="C2999">
        <v>0</v>
      </c>
      <c r="J2999">
        <v>2998</v>
      </c>
      <c r="K2999" t="s">
        <v>4963</v>
      </c>
      <c r="L2999">
        <v>0</v>
      </c>
    </row>
    <row r="3000" spans="1:12" x14ac:dyDescent="0.25">
      <c r="A3000">
        <v>2999</v>
      </c>
      <c r="B3000" t="s">
        <v>4964</v>
      </c>
      <c r="C3000">
        <v>0</v>
      </c>
      <c r="J3000">
        <v>2999</v>
      </c>
      <c r="K3000" t="s">
        <v>4964</v>
      </c>
      <c r="L3000">
        <v>0</v>
      </c>
    </row>
    <row r="3001" spans="1:12" x14ac:dyDescent="0.25">
      <c r="A3001">
        <v>3000</v>
      </c>
      <c r="B3001" t="s">
        <v>4965</v>
      </c>
      <c r="C3001">
        <v>0</v>
      </c>
      <c r="J3001">
        <v>3000</v>
      </c>
      <c r="K3001" t="s">
        <v>4965</v>
      </c>
      <c r="L3001">
        <v>0</v>
      </c>
    </row>
    <row r="3002" spans="1:12" x14ac:dyDescent="0.25">
      <c r="A3002">
        <v>3001</v>
      </c>
      <c r="B3002" t="s">
        <v>4966</v>
      </c>
      <c r="C3002">
        <v>0</v>
      </c>
      <c r="J3002">
        <v>3001</v>
      </c>
      <c r="K3002" t="s">
        <v>4966</v>
      </c>
      <c r="L3002">
        <v>0</v>
      </c>
    </row>
    <row r="3003" spans="1:12" x14ac:dyDescent="0.25">
      <c r="A3003">
        <v>3002</v>
      </c>
      <c r="B3003" t="s">
        <v>4967</v>
      </c>
      <c r="C3003">
        <v>0</v>
      </c>
      <c r="J3003">
        <v>3002</v>
      </c>
      <c r="K3003" t="s">
        <v>4967</v>
      </c>
      <c r="L3003">
        <v>0</v>
      </c>
    </row>
    <row r="3004" spans="1:12" x14ac:dyDescent="0.25">
      <c r="A3004">
        <v>3003</v>
      </c>
      <c r="B3004" t="s">
        <v>4968</v>
      </c>
      <c r="C3004">
        <v>0</v>
      </c>
      <c r="J3004">
        <v>3003</v>
      </c>
      <c r="K3004" t="s">
        <v>4968</v>
      </c>
      <c r="L3004">
        <v>0</v>
      </c>
    </row>
    <row r="3005" spans="1:12" x14ac:dyDescent="0.25">
      <c r="A3005">
        <v>3004</v>
      </c>
      <c r="B3005" t="s">
        <v>4969</v>
      </c>
      <c r="C3005">
        <v>0</v>
      </c>
      <c r="J3005">
        <v>3004</v>
      </c>
      <c r="K3005" t="s">
        <v>4969</v>
      </c>
      <c r="L3005">
        <v>0</v>
      </c>
    </row>
    <row r="3006" spans="1:12" x14ac:dyDescent="0.25">
      <c r="A3006">
        <v>3005</v>
      </c>
      <c r="B3006" t="s">
        <v>4970</v>
      </c>
      <c r="C3006">
        <v>0</v>
      </c>
      <c r="J3006">
        <v>3005</v>
      </c>
      <c r="K3006" t="s">
        <v>4970</v>
      </c>
      <c r="L3006">
        <v>0</v>
      </c>
    </row>
    <row r="3007" spans="1:12" x14ac:dyDescent="0.25">
      <c r="A3007">
        <v>3006</v>
      </c>
      <c r="B3007" t="s">
        <v>4971</v>
      </c>
      <c r="C3007">
        <v>0</v>
      </c>
      <c r="J3007">
        <v>3006</v>
      </c>
      <c r="K3007" t="s">
        <v>4971</v>
      </c>
      <c r="L3007">
        <v>0</v>
      </c>
    </row>
    <row r="3008" spans="1:12" x14ac:dyDescent="0.25">
      <c r="A3008">
        <v>3007</v>
      </c>
      <c r="B3008" t="s">
        <v>4972</v>
      </c>
      <c r="C3008">
        <v>0</v>
      </c>
      <c r="J3008">
        <v>3007</v>
      </c>
      <c r="K3008" t="s">
        <v>4972</v>
      </c>
      <c r="L3008">
        <v>0</v>
      </c>
    </row>
    <row r="3009" spans="1:12" x14ac:dyDescent="0.25">
      <c r="A3009">
        <v>3008</v>
      </c>
      <c r="B3009" t="s">
        <v>4973</v>
      </c>
      <c r="C3009">
        <v>0</v>
      </c>
      <c r="J3009">
        <v>3008</v>
      </c>
      <c r="K3009" t="s">
        <v>4973</v>
      </c>
      <c r="L3009">
        <v>0</v>
      </c>
    </row>
    <row r="3010" spans="1:12" x14ac:dyDescent="0.25">
      <c r="A3010">
        <v>3009</v>
      </c>
      <c r="B3010" t="s">
        <v>4974</v>
      </c>
      <c r="C3010">
        <v>0</v>
      </c>
      <c r="J3010">
        <v>3009</v>
      </c>
      <c r="K3010" t="s">
        <v>4974</v>
      </c>
      <c r="L3010">
        <v>0</v>
      </c>
    </row>
    <row r="3011" spans="1:12" x14ac:dyDescent="0.25">
      <c r="A3011">
        <v>3010</v>
      </c>
      <c r="B3011" t="s">
        <v>4975</v>
      </c>
      <c r="C3011">
        <v>0</v>
      </c>
      <c r="J3011">
        <v>3010</v>
      </c>
      <c r="K3011" t="s">
        <v>4975</v>
      </c>
      <c r="L3011">
        <v>0</v>
      </c>
    </row>
    <row r="3012" spans="1:12" x14ac:dyDescent="0.25">
      <c r="A3012">
        <v>3011</v>
      </c>
      <c r="B3012" t="s">
        <v>4976</v>
      </c>
      <c r="C3012">
        <v>0</v>
      </c>
      <c r="J3012">
        <v>3011</v>
      </c>
      <c r="K3012" t="s">
        <v>4976</v>
      </c>
      <c r="L3012">
        <v>0</v>
      </c>
    </row>
    <row r="3013" spans="1:12" x14ac:dyDescent="0.25">
      <c r="A3013">
        <v>3012</v>
      </c>
      <c r="B3013" t="s">
        <v>4977</v>
      </c>
      <c r="C3013">
        <v>0</v>
      </c>
      <c r="J3013">
        <v>3012</v>
      </c>
      <c r="K3013" t="s">
        <v>4977</v>
      </c>
      <c r="L3013">
        <v>0</v>
      </c>
    </row>
    <row r="3014" spans="1:12" x14ac:dyDescent="0.25">
      <c r="A3014">
        <v>3013</v>
      </c>
      <c r="B3014" t="s">
        <v>4978</v>
      </c>
      <c r="C3014">
        <v>0</v>
      </c>
      <c r="J3014">
        <v>3013</v>
      </c>
      <c r="K3014" t="s">
        <v>4978</v>
      </c>
      <c r="L3014">
        <v>0</v>
      </c>
    </row>
    <row r="3015" spans="1:12" x14ac:dyDescent="0.25">
      <c r="A3015">
        <v>3014</v>
      </c>
      <c r="B3015" t="s">
        <v>4979</v>
      </c>
      <c r="C3015">
        <v>0</v>
      </c>
      <c r="J3015">
        <v>3014</v>
      </c>
      <c r="K3015" t="s">
        <v>4979</v>
      </c>
      <c r="L3015">
        <v>0</v>
      </c>
    </row>
    <row r="3016" spans="1:12" x14ac:dyDescent="0.25">
      <c r="A3016">
        <v>3015</v>
      </c>
      <c r="B3016" t="s">
        <v>4980</v>
      </c>
      <c r="C3016">
        <v>0</v>
      </c>
      <c r="J3016">
        <v>3015</v>
      </c>
      <c r="K3016" t="s">
        <v>4980</v>
      </c>
      <c r="L3016">
        <v>0</v>
      </c>
    </row>
    <row r="3017" spans="1:12" x14ac:dyDescent="0.25">
      <c r="A3017">
        <v>3016</v>
      </c>
      <c r="B3017" t="s">
        <v>4981</v>
      </c>
      <c r="C3017">
        <v>0</v>
      </c>
      <c r="J3017">
        <v>3016</v>
      </c>
      <c r="K3017" t="s">
        <v>4981</v>
      </c>
      <c r="L3017">
        <v>0</v>
      </c>
    </row>
    <row r="3018" spans="1:12" x14ac:dyDescent="0.25">
      <c r="A3018">
        <v>3017</v>
      </c>
      <c r="B3018" t="s">
        <v>4982</v>
      </c>
      <c r="C3018">
        <v>0</v>
      </c>
      <c r="J3018">
        <v>3017</v>
      </c>
      <c r="K3018" t="s">
        <v>4982</v>
      </c>
      <c r="L3018">
        <v>0</v>
      </c>
    </row>
    <row r="3019" spans="1:12" x14ac:dyDescent="0.25">
      <c r="A3019">
        <v>3018</v>
      </c>
      <c r="B3019" t="s">
        <v>4983</v>
      </c>
      <c r="C3019">
        <v>0</v>
      </c>
      <c r="J3019">
        <v>3018</v>
      </c>
      <c r="K3019" t="s">
        <v>4983</v>
      </c>
      <c r="L3019">
        <v>0</v>
      </c>
    </row>
    <row r="3020" spans="1:12" x14ac:dyDescent="0.25">
      <c r="A3020">
        <v>3019</v>
      </c>
      <c r="B3020" t="s">
        <v>4984</v>
      </c>
      <c r="C3020">
        <v>0</v>
      </c>
      <c r="J3020">
        <v>3019</v>
      </c>
      <c r="K3020" t="s">
        <v>4984</v>
      </c>
      <c r="L3020">
        <v>0</v>
      </c>
    </row>
    <row r="3021" spans="1:12" x14ac:dyDescent="0.25">
      <c r="A3021">
        <v>3020</v>
      </c>
      <c r="B3021" t="s">
        <v>4985</v>
      </c>
      <c r="C3021">
        <v>0</v>
      </c>
      <c r="J3021">
        <v>3020</v>
      </c>
      <c r="K3021" t="s">
        <v>4985</v>
      </c>
      <c r="L3021">
        <v>0</v>
      </c>
    </row>
    <row r="3022" spans="1:12" x14ac:dyDescent="0.25">
      <c r="A3022">
        <v>3021</v>
      </c>
      <c r="B3022" t="s">
        <v>4986</v>
      </c>
      <c r="C3022">
        <v>0</v>
      </c>
      <c r="J3022">
        <v>3021</v>
      </c>
      <c r="K3022" t="s">
        <v>4986</v>
      </c>
      <c r="L3022">
        <v>0</v>
      </c>
    </row>
    <row r="3023" spans="1:12" x14ac:dyDescent="0.25">
      <c r="A3023">
        <v>3022</v>
      </c>
      <c r="B3023" t="s">
        <v>4987</v>
      </c>
      <c r="C3023">
        <v>0</v>
      </c>
      <c r="J3023">
        <v>3022</v>
      </c>
      <c r="K3023" t="s">
        <v>4987</v>
      </c>
      <c r="L3023">
        <v>0</v>
      </c>
    </row>
    <row r="3024" spans="1:12" x14ac:dyDescent="0.25">
      <c r="A3024">
        <v>3023</v>
      </c>
      <c r="B3024" t="s">
        <v>4988</v>
      </c>
      <c r="C3024">
        <v>0</v>
      </c>
      <c r="J3024">
        <v>3023</v>
      </c>
      <c r="K3024" t="s">
        <v>4988</v>
      </c>
      <c r="L3024">
        <v>0</v>
      </c>
    </row>
    <row r="3025" spans="1:12" x14ac:dyDescent="0.25">
      <c r="A3025">
        <v>3024</v>
      </c>
      <c r="B3025" t="s">
        <v>4989</v>
      </c>
      <c r="C3025">
        <v>0</v>
      </c>
      <c r="J3025">
        <v>3024</v>
      </c>
      <c r="K3025" t="s">
        <v>4989</v>
      </c>
      <c r="L3025">
        <v>0</v>
      </c>
    </row>
    <row r="3026" spans="1:12" x14ac:dyDescent="0.25">
      <c r="A3026">
        <v>3025</v>
      </c>
      <c r="B3026" t="s">
        <v>4990</v>
      </c>
      <c r="C3026">
        <v>0</v>
      </c>
      <c r="J3026">
        <v>3025</v>
      </c>
      <c r="K3026" t="s">
        <v>4990</v>
      </c>
      <c r="L3026">
        <v>0</v>
      </c>
    </row>
    <row r="3027" spans="1:12" x14ac:dyDescent="0.25">
      <c r="A3027">
        <v>3026</v>
      </c>
      <c r="B3027" t="s">
        <v>4991</v>
      </c>
      <c r="C3027">
        <v>0</v>
      </c>
      <c r="J3027">
        <v>3026</v>
      </c>
      <c r="K3027" t="s">
        <v>4991</v>
      </c>
      <c r="L3027">
        <v>0</v>
      </c>
    </row>
    <row r="3028" spans="1:12" x14ac:dyDescent="0.25">
      <c r="A3028">
        <v>3027</v>
      </c>
      <c r="B3028" t="s">
        <v>4992</v>
      </c>
      <c r="C3028">
        <v>0</v>
      </c>
      <c r="J3028">
        <v>3027</v>
      </c>
      <c r="K3028" t="s">
        <v>4992</v>
      </c>
      <c r="L3028">
        <v>0</v>
      </c>
    </row>
    <row r="3029" spans="1:12" x14ac:dyDescent="0.25">
      <c r="A3029">
        <v>3028</v>
      </c>
      <c r="B3029" t="s">
        <v>4993</v>
      </c>
      <c r="C3029">
        <v>0</v>
      </c>
      <c r="J3029">
        <v>3028</v>
      </c>
      <c r="K3029" t="s">
        <v>4993</v>
      </c>
      <c r="L3029">
        <v>0</v>
      </c>
    </row>
    <row r="3030" spans="1:12" x14ac:dyDescent="0.25">
      <c r="A3030">
        <v>3029</v>
      </c>
      <c r="B3030" t="s">
        <v>4994</v>
      </c>
      <c r="C3030">
        <v>0</v>
      </c>
      <c r="J3030">
        <v>3029</v>
      </c>
      <c r="K3030" t="s">
        <v>4994</v>
      </c>
      <c r="L3030">
        <v>0</v>
      </c>
    </row>
    <row r="3031" spans="1:12" x14ac:dyDescent="0.25">
      <c r="A3031">
        <v>3030</v>
      </c>
      <c r="B3031" t="s">
        <v>4995</v>
      </c>
      <c r="C3031">
        <v>0</v>
      </c>
      <c r="J3031">
        <v>3030</v>
      </c>
      <c r="K3031" t="s">
        <v>4995</v>
      </c>
      <c r="L3031">
        <v>0</v>
      </c>
    </row>
    <row r="3032" spans="1:12" x14ac:dyDescent="0.25">
      <c r="A3032">
        <v>3031</v>
      </c>
      <c r="B3032" t="s">
        <v>4996</v>
      </c>
      <c r="C3032">
        <v>0</v>
      </c>
      <c r="J3032">
        <v>3031</v>
      </c>
      <c r="K3032" t="s">
        <v>4996</v>
      </c>
      <c r="L3032">
        <v>0</v>
      </c>
    </row>
    <row r="3033" spans="1:12" x14ac:dyDescent="0.25">
      <c r="A3033">
        <v>3032</v>
      </c>
      <c r="B3033" t="s">
        <v>4997</v>
      </c>
      <c r="C3033">
        <v>0</v>
      </c>
      <c r="J3033">
        <v>3032</v>
      </c>
      <c r="K3033" t="s">
        <v>4997</v>
      </c>
      <c r="L3033">
        <v>0</v>
      </c>
    </row>
    <row r="3034" spans="1:12" x14ac:dyDescent="0.25">
      <c r="A3034">
        <v>3033</v>
      </c>
      <c r="B3034" t="s">
        <v>4998</v>
      </c>
      <c r="C3034">
        <v>0</v>
      </c>
      <c r="J3034">
        <v>3033</v>
      </c>
      <c r="K3034" t="s">
        <v>4998</v>
      </c>
      <c r="L3034">
        <v>0</v>
      </c>
    </row>
    <row r="3035" spans="1:12" x14ac:dyDescent="0.25">
      <c r="A3035">
        <v>3034</v>
      </c>
      <c r="B3035" t="s">
        <v>4999</v>
      </c>
      <c r="C3035">
        <v>0</v>
      </c>
      <c r="J3035">
        <v>3034</v>
      </c>
      <c r="K3035" t="s">
        <v>4999</v>
      </c>
      <c r="L3035">
        <v>0</v>
      </c>
    </row>
    <row r="3036" spans="1:12" x14ac:dyDescent="0.25">
      <c r="A3036">
        <v>3035</v>
      </c>
      <c r="B3036" t="s">
        <v>5000</v>
      </c>
      <c r="C3036">
        <v>0</v>
      </c>
      <c r="J3036">
        <v>3035</v>
      </c>
      <c r="K3036" t="s">
        <v>5000</v>
      </c>
      <c r="L3036">
        <v>0</v>
      </c>
    </row>
    <row r="3037" spans="1:12" x14ac:dyDescent="0.25">
      <c r="A3037">
        <v>3036</v>
      </c>
      <c r="B3037" t="s">
        <v>5001</v>
      </c>
      <c r="C3037">
        <v>0</v>
      </c>
      <c r="J3037">
        <v>3036</v>
      </c>
      <c r="K3037" t="s">
        <v>5001</v>
      </c>
      <c r="L3037">
        <v>0</v>
      </c>
    </row>
    <row r="3038" spans="1:12" x14ac:dyDescent="0.25">
      <c r="A3038">
        <v>3037</v>
      </c>
      <c r="B3038" t="s">
        <v>5002</v>
      </c>
      <c r="C3038">
        <v>0</v>
      </c>
      <c r="J3038">
        <v>3037</v>
      </c>
      <c r="K3038" t="s">
        <v>5002</v>
      </c>
      <c r="L3038">
        <v>0</v>
      </c>
    </row>
    <row r="3039" spans="1:12" x14ac:dyDescent="0.25">
      <c r="A3039">
        <v>3038</v>
      </c>
      <c r="B3039" t="s">
        <v>5003</v>
      </c>
      <c r="C3039">
        <v>0</v>
      </c>
      <c r="J3039">
        <v>3038</v>
      </c>
      <c r="K3039" t="s">
        <v>5003</v>
      </c>
      <c r="L3039">
        <v>0</v>
      </c>
    </row>
    <row r="3040" spans="1:12" x14ac:dyDescent="0.25">
      <c r="A3040">
        <v>3039</v>
      </c>
      <c r="B3040" t="s">
        <v>5004</v>
      </c>
      <c r="C3040">
        <v>0</v>
      </c>
      <c r="J3040">
        <v>3039</v>
      </c>
      <c r="K3040" t="s">
        <v>5004</v>
      </c>
      <c r="L3040">
        <v>0</v>
      </c>
    </row>
    <row r="3041" spans="1:12" x14ac:dyDescent="0.25">
      <c r="A3041">
        <v>3040</v>
      </c>
      <c r="B3041" t="s">
        <v>5005</v>
      </c>
      <c r="C3041">
        <v>0</v>
      </c>
      <c r="J3041">
        <v>3040</v>
      </c>
      <c r="K3041" t="s">
        <v>5005</v>
      </c>
      <c r="L3041">
        <v>0</v>
      </c>
    </row>
    <row r="3042" spans="1:12" x14ac:dyDescent="0.25">
      <c r="A3042">
        <v>3041</v>
      </c>
      <c r="B3042" t="s">
        <v>5006</v>
      </c>
      <c r="C3042">
        <v>0</v>
      </c>
      <c r="J3042">
        <v>3041</v>
      </c>
      <c r="K3042" t="s">
        <v>5006</v>
      </c>
      <c r="L3042">
        <v>0</v>
      </c>
    </row>
    <row r="3043" spans="1:12" x14ac:dyDescent="0.25">
      <c r="A3043">
        <v>3042</v>
      </c>
      <c r="B3043" t="s">
        <v>5007</v>
      </c>
      <c r="C3043">
        <v>0</v>
      </c>
      <c r="J3043">
        <v>3042</v>
      </c>
      <c r="K3043" t="s">
        <v>5007</v>
      </c>
      <c r="L3043">
        <v>0</v>
      </c>
    </row>
    <row r="3044" spans="1:12" x14ac:dyDescent="0.25">
      <c r="A3044">
        <v>3043</v>
      </c>
      <c r="B3044" t="s">
        <v>5008</v>
      </c>
      <c r="C3044">
        <v>0</v>
      </c>
      <c r="J3044">
        <v>3043</v>
      </c>
      <c r="K3044" t="s">
        <v>5008</v>
      </c>
      <c r="L3044">
        <v>0</v>
      </c>
    </row>
    <row r="3045" spans="1:12" x14ac:dyDescent="0.25">
      <c r="A3045">
        <v>3044</v>
      </c>
      <c r="B3045" t="s">
        <v>5009</v>
      </c>
      <c r="C3045">
        <v>0</v>
      </c>
      <c r="J3045">
        <v>3044</v>
      </c>
      <c r="K3045" t="s">
        <v>5009</v>
      </c>
      <c r="L3045">
        <v>0</v>
      </c>
    </row>
    <row r="3046" spans="1:12" x14ac:dyDescent="0.25">
      <c r="A3046">
        <v>3045</v>
      </c>
      <c r="B3046" t="s">
        <v>5010</v>
      </c>
      <c r="C3046">
        <v>0</v>
      </c>
      <c r="J3046">
        <v>3045</v>
      </c>
      <c r="K3046" t="s">
        <v>5010</v>
      </c>
      <c r="L3046">
        <v>0</v>
      </c>
    </row>
    <row r="3047" spans="1:12" x14ac:dyDescent="0.25">
      <c r="A3047">
        <v>3046</v>
      </c>
      <c r="B3047" t="s">
        <v>5011</v>
      </c>
      <c r="C3047">
        <v>0</v>
      </c>
      <c r="J3047">
        <v>3046</v>
      </c>
      <c r="K3047" t="s">
        <v>5011</v>
      </c>
      <c r="L3047">
        <v>0</v>
      </c>
    </row>
    <row r="3048" spans="1:12" x14ac:dyDescent="0.25">
      <c r="A3048">
        <v>3047</v>
      </c>
      <c r="B3048" t="s">
        <v>5012</v>
      </c>
      <c r="C3048">
        <v>0</v>
      </c>
      <c r="J3048">
        <v>3047</v>
      </c>
      <c r="K3048" t="s">
        <v>5012</v>
      </c>
      <c r="L3048">
        <v>0</v>
      </c>
    </row>
    <row r="3049" spans="1:12" x14ac:dyDescent="0.25">
      <c r="A3049">
        <v>3048</v>
      </c>
      <c r="B3049" t="s">
        <v>5013</v>
      </c>
      <c r="C3049">
        <v>0</v>
      </c>
      <c r="J3049">
        <v>3048</v>
      </c>
      <c r="K3049" t="s">
        <v>5013</v>
      </c>
      <c r="L3049">
        <v>0</v>
      </c>
    </row>
    <row r="3050" spans="1:12" x14ac:dyDescent="0.25">
      <c r="A3050">
        <v>3049</v>
      </c>
      <c r="B3050" t="s">
        <v>5014</v>
      </c>
      <c r="C3050">
        <v>0</v>
      </c>
      <c r="J3050">
        <v>3049</v>
      </c>
      <c r="K3050" t="s">
        <v>5014</v>
      </c>
      <c r="L3050">
        <v>0</v>
      </c>
    </row>
    <row r="3051" spans="1:12" x14ac:dyDescent="0.25">
      <c r="A3051">
        <v>3050</v>
      </c>
      <c r="B3051" t="s">
        <v>5015</v>
      </c>
      <c r="C3051">
        <v>0</v>
      </c>
      <c r="J3051">
        <v>3050</v>
      </c>
      <c r="K3051" t="s">
        <v>5015</v>
      </c>
      <c r="L3051">
        <v>0</v>
      </c>
    </row>
    <row r="3052" spans="1:12" x14ac:dyDescent="0.25">
      <c r="A3052">
        <v>3051</v>
      </c>
      <c r="B3052" t="s">
        <v>5016</v>
      </c>
      <c r="C3052">
        <v>0</v>
      </c>
      <c r="J3052">
        <v>3051</v>
      </c>
      <c r="K3052" t="s">
        <v>5016</v>
      </c>
      <c r="L3052">
        <v>0</v>
      </c>
    </row>
    <row r="3053" spans="1:12" x14ac:dyDescent="0.25">
      <c r="A3053">
        <v>3052</v>
      </c>
      <c r="B3053" t="s">
        <v>5017</v>
      </c>
      <c r="C3053">
        <v>0</v>
      </c>
      <c r="J3053">
        <v>3052</v>
      </c>
      <c r="K3053" t="s">
        <v>5017</v>
      </c>
      <c r="L3053">
        <v>0</v>
      </c>
    </row>
    <row r="3054" spans="1:12" x14ac:dyDescent="0.25">
      <c r="A3054">
        <v>3053</v>
      </c>
      <c r="B3054" t="s">
        <v>5018</v>
      </c>
      <c r="C3054">
        <v>0</v>
      </c>
      <c r="J3054">
        <v>3053</v>
      </c>
      <c r="K3054" t="s">
        <v>5018</v>
      </c>
      <c r="L3054">
        <v>0</v>
      </c>
    </row>
    <row r="3055" spans="1:12" x14ac:dyDescent="0.25">
      <c r="A3055">
        <v>3054</v>
      </c>
      <c r="B3055" t="s">
        <v>5019</v>
      </c>
      <c r="C3055">
        <v>0</v>
      </c>
      <c r="J3055">
        <v>3054</v>
      </c>
      <c r="K3055" t="s">
        <v>5019</v>
      </c>
      <c r="L3055">
        <v>0</v>
      </c>
    </row>
    <row r="3056" spans="1:12" x14ac:dyDescent="0.25">
      <c r="A3056">
        <v>3055</v>
      </c>
      <c r="B3056" t="s">
        <v>5020</v>
      </c>
      <c r="C3056">
        <v>0</v>
      </c>
      <c r="J3056">
        <v>3055</v>
      </c>
      <c r="K3056" t="s">
        <v>5020</v>
      </c>
      <c r="L3056">
        <v>0</v>
      </c>
    </row>
    <row r="3057" spans="1:12" x14ac:dyDescent="0.25">
      <c r="A3057">
        <v>3056</v>
      </c>
      <c r="B3057" t="s">
        <v>5021</v>
      </c>
      <c r="C3057">
        <v>0</v>
      </c>
      <c r="J3057">
        <v>3056</v>
      </c>
      <c r="K3057" t="s">
        <v>5021</v>
      </c>
      <c r="L3057">
        <v>0</v>
      </c>
    </row>
    <row r="3058" spans="1:12" x14ac:dyDescent="0.25">
      <c r="A3058">
        <v>3057</v>
      </c>
      <c r="B3058" t="s">
        <v>5022</v>
      </c>
      <c r="C3058">
        <v>0</v>
      </c>
      <c r="J3058">
        <v>3057</v>
      </c>
      <c r="K3058" t="s">
        <v>5022</v>
      </c>
      <c r="L3058">
        <v>0</v>
      </c>
    </row>
    <row r="3059" spans="1:12" x14ac:dyDescent="0.25">
      <c r="A3059">
        <v>3058</v>
      </c>
      <c r="B3059" t="s">
        <v>5023</v>
      </c>
      <c r="C3059">
        <v>0</v>
      </c>
      <c r="J3059">
        <v>3058</v>
      </c>
      <c r="K3059" t="s">
        <v>5023</v>
      </c>
      <c r="L3059">
        <v>0</v>
      </c>
    </row>
    <row r="3060" spans="1:12" x14ac:dyDescent="0.25">
      <c r="A3060">
        <v>3059</v>
      </c>
      <c r="B3060" t="s">
        <v>5024</v>
      </c>
      <c r="C3060">
        <v>0</v>
      </c>
      <c r="J3060">
        <v>3059</v>
      </c>
      <c r="K3060" t="s">
        <v>5024</v>
      </c>
      <c r="L3060">
        <v>0</v>
      </c>
    </row>
    <row r="3061" spans="1:12" x14ac:dyDescent="0.25">
      <c r="A3061">
        <v>3060</v>
      </c>
      <c r="B3061" t="s">
        <v>5025</v>
      </c>
      <c r="C3061">
        <v>0</v>
      </c>
      <c r="J3061">
        <v>3060</v>
      </c>
      <c r="K3061" t="s">
        <v>5025</v>
      </c>
      <c r="L3061">
        <v>0</v>
      </c>
    </row>
    <row r="3062" spans="1:12" x14ac:dyDescent="0.25">
      <c r="A3062">
        <v>3061</v>
      </c>
      <c r="B3062" t="s">
        <v>5026</v>
      </c>
      <c r="C3062">
        <v>0</v>
      </c>
      <c r="J3062">
        <v>3061</v>
      </c>
      <c r="K3062" t="s">
        <v>5026</v>
      </c>
      <c r="L3062">
        <v>0</v>
      </c>
    </row>
    <row r="3063" spans="1:12" x14ac:dyDescent="0.25">
      <c r="A3063">
        <v>3062</v>
      </c>
      <c r="B3063" t="s">
        <v>5027</v>
      </c>
      <c r="C3063">
        <v>0</v>
      </c>
      <c r="J3063">
        <v>3062</v>
      </c>
      <c r="K3063" t="s">
        <v>5027</v>
      </c>
      <c r="L3063">
        <v>0</v>
      </c>
    </row>
    <row r="3064" spans="1:12" x14ac:dyDescent="0.25">
      <c r="A3064">
        <v>3063</v>
      </c>
      <c r="B3064" t="s">
        <v>5028</v>
      </c>
      <c r="C3064">
        <v>0</v>
      </c>
      <c r="J3064">
        <v>3063</v>
      </c>
      <c r="K3064" t="s">
        <v>5028</v>
      </c>
      <c r="L3064">
        <v>0</v>
      </c>
    </row>
    <row r="3065" spans="1:12" x14ac:dyDescent="0.25">
      <c r="A3065">
        <v>3064</v>
      </c>
      <c r="B3065" t="s">
        <v>5029</v>
      </c>
      <c r="C3065">
        <v>0</v>
      </c>
      <c r="J3065">
        <v>3064</v>
      </c>
      <c r="K3065" t="s">
        <v>5029</v>
      </c>
      <c r="L3065">
        <v>0</v>
      </c>
    </row>
    <row r="3066" spans="1:12" x14ac:dyDescent="0.25">
      <c r="A3066">
        <v>3065</v>
      </c>
      <c r="B3066" t="s">
        <v>5030</v>
      </c>
      <c r="C3066">
        <v>0</v>
      </c>
      <c r="J3066">
        <v>3065</v>
      </c>
      <c r="K3066" t="s">
        <v>5030</v>
      </c>
      <c r="L3066">
        <v>0</v>
      </c>
    </row>
    <row r="3067" spans="1:12" x14ac:dyDescent="0.25">
      <c r="A3067">
        <v>3066</v>
      </c>
      <c r="B3067" t="s">
        <v>5031</v>
      </c>
      <c r="C3067">
        <v>0</v>
      </c>
      <c r="J3067">
        <v>3066</v>
      </c>
      <c r="K3067" t="s">
        <v>5031</v>
      </c>
      <c r="L3067">
        <v>0</v>
      </c>
    </row>
    <row r="3068" spans="1:12" x14ac:dyDescent="0.25">
      <c r="A3068">
        <v>3067</v>
      </c>
      <c r="B3068" t="s">
        <v>5032</v>
      </c>
      <c r="C3068">
        <v>0</v>
      </c>
      <c r="J3068">
        <v>3067</v>
      </c>
      <c r="K3068" t="s">
        <v>5032</v>
      </c>
      <c r="L3068">
        <v>0</v>
      </c>
    </row>
    <row r="3069" spans="1:12" x14ac:dyDescent="0.25">
      <c r="A3069">
        <v>3068</v>
      </c>
      <c r="B3069" t="s">
        <v>5033</v>
      </c>
      <c r="C3069">
        <v>0</v>
      </c>
      <c r="J3069">
        <v>3068</v>
      </c>
      <c r="K3069" t="s">
        <v>5033</v>
      </c>
      <c r="L3069">
        <v>0</v>
      </c>
    </row>
    <row r="3070" spans="1:12" x14ac:dyDescent="0.25">
      <c r="A3070">
        <v>3069</v>
      </c>
      <c r="B3070" t="s">
        <v>5034</v>
      </c>
      <c r="C3070">
        <v>0</v>
      </c>
      <c r="J3070">
        <v>3069</v>
      </c>
      <c r="K3070" t="s">
        <v>5034</v>
      </c>
      <c r="L3070">
        <v>0</v>
      </c>
    </row>
    <row r="3071" spans="1:12" x14ac:dyDescent="0.25">
      <c r="A3071">
        <v>3070</v>
      </c>
      <c r="B3071" t="s">
        <v>5035</v>
      </c>
      <c r="C3071">
        <v>0</v>
      </c>
      <c r="J3071">
        <v>3070</v>
      </c>
      <c r="K3071" t="s">
        <v>5035</v>
      </c>
      <c r="L3071">
        <v>0</v>
      </c>
    </row>
    <row r="3072" spans="1:12" x14ac:dyDescent="0.25">
      <c r="A3072">
        <v>3071</v>
      </c>
      <c r="B3072" t="s">
        <v>5036</v>
      </c>
      <c r="C3072">
        <v>0</v>
      </c>
      <c r="J3072">
        <v>3071</v>
      </c>
      <c r="K3072" t="s">
        <v>5036</v>
      </c>
      <c r="L3072">
        <v>0</v>
      </c>
    </row>
    <row r="3073" spans="1:12" x14ac:dyDescent="0.25">
      <c r="A3073">
        <v>3072</v>
      </c>
      <c r="B3073" t="s">
        <v>5037</v>
      </c>
      <c r="C3073">
        <v>0</v>
      </c>
      <c r="J3073">
        <v>3072</v>
      </c>
      <c r="K3073" t="s">
        <v>5037</v>
      </c>
      <c r="L3073">
        <v>0</v>
      </c>
    </row>
    <row r="3074" spans="1:12" x14ac:dyDescent="0.25">
      <c r="A3074">
        <v>3073</v>
      </c>
      <c r="B3074" t="s">
        <v>5038</v>
      </c>
      <c r="C3074">
        <v>0</v>
      </c>
      <c r="J3074">
        <v>3073</v>
      </c>
      <c r="K3074" t="s">
        <v>5038</v>
      </c>
      <c r="L3074">
        <v>0</v>
      </c>
    </row>
    <row r="3075" spans="1:12" x14ac:dyDescent="0.25">
      <c r="A3075">
        <v>3074</v>
      </c>
      <c r="B3075" t="s">
        <v>5039</v>
      </c>
      <c r="C3075">
        <v>0</v>
      </c>
      <c r="J3075">
        <v>3074</v>
      </c>
      <c r="K3075" t="s">
        <v>5039</v>
      </c>
      <c r="L3075">
        <v>0</v>
      </c>
    </row>
    <row r="3076" spans="1:12" x14ac:dyDescent="0.25">
      <c r="A3076">
        <v>3075</v>
      </c>
      <c r="B3076" t="s">
        <v>5040</v>
      </c>
      <c r="C3076">
        <v>0</v>
      </c>
      <c r="J3076">
        <v>3075</v>
      </c>
      <c r="K3076" t="s">
        <v>5040</v>
      </c>
      <c r="L3076">
        <v>0</v>
      </c>
    </row>
    <row r="3077" spans="1:12" x14ac:dyDescent="0.25">
      <c r="A3077">
        <v>3076</v>
      </c>
      <c r="B3077" t="s">
        <v>5041</v>
      </c>
      <c r="C3077">
        <v>0</v>
      </c>
      <c r="J3077">
        <v>3076</v>
      </c>
      <c r="K3077" t="s">
        <v>5041</v>
      </c>
      <c r="L3077">
        <v>0</v>
      </c>
    </row>
    <row r="3078" spans="1:12" x14ac:dyDescent="0.25">
      <c r="A3078">
        <v>3077</v>
      </c>
      <c r="B3078" t="s">
        <v>5042</v>
      </c>
      <c r="C3078">
        <v>0</v>
      </c>
      <c r="J3078">
        <v>3077</v>
      </c>
      <c r="K3078" t="s">
        <v>5042</v>
      </c>
      <c r="L3078">
        <v>0</v>
      </c>
    </row>
    <row r="3079" spans="1:12" x14ac:dyDescent="0.25">
      <c r="A3079">
        <v>3078</v>
      </c>
      <c r="B3079" t="s">
        <v>5043</v>
      </c>
      <c r="C3079">
        <v>0</v>
      </c>
      <c r="J3079">
        <v>3078</v>
      </c>
      <c r="K3079" t="s">
        <v>5043</v>
      </c>
      <c r="L3079">
        <v>0</v>
      </c>
    </row>
    <row r="3080" spans="1:12" x14ac:dyDescent="0.25">
      <c r="A3080">
        <v>3079</v>
      </c>
      <c r="B3080" t="s">
        <v>5044</v>
      </c>
      <c r="C3080">
        <v>0</v>
      </c>
      <c r="J3080">
        <v>3079</v>
      </c>
      <c r="K3080" t="s">
        <v>5044</v>
      </c>
      <c r="L3080">
        <v>0</v>
      </c>
    </row>
    <row r="3081" spans="1:12" x14ac:dyDescent="0.25">
      <c r="A3081">
        <v>3080</v>
      </c>
      <c r="B3081" t="s">
        <v>5045</v>
      </c>
      <c r="C3081">
        <v>0</v>
      </c>
      <c r="J3081">
        <v>3080</v>
      </c>
      <c r="K3081" t="s">
        <v>5045</v>
      </c>
      <c r="L3081">
        <v>0</v>
      </c>
    </row>
    <row r="3082" spans="1:12" x14ac:dyDescent="0.25">
      <c r="A3082">
        <v>3081</v>
      </c>
      <c r="B3082" t="s">
        <v>5046</v>
      </c>
      <c r="C3082">
        <v>0</v>
      </c>
      <c r="J3082">
        <v>3081</v>
      </c>
      <c r="K3082" t="s">
        <v>5046</v>
      </c>
      <c r="L3082">
        <v>0</v>
      </c>
    </row>
    <row r="3083" spans="1:12" x14ac:dyDescent="0.25">
      <c r="A3083">
        <v>3082</v>
      </c>
      <c r="B3083" t="s">
        <v>5047</v>
      </c>
      <c r="C3083">
        <v>0</v>
      </c>
      <c r="J3083">
        <v>3082</v>
      </c>
      <c r="K3083" t="s">
        <v>5047</v>
      </c>
      <c r="L3083">
        <v>0</v>
      </c>
    </row>
    <row r="3084" spans="1:12" x14ac:dyDescent="0.25">
      <c r="A3084">
        <v>3083</v>
      </c>
      <c r="B3084" t="s">
        <v>5048</v>
      </c>
      <c r="C3084">
        <v>0</v>
      </c>
      <c r="J3084">
        <v>3083</v>
      </c>
      <c r="K3084" t="s">
        <v>5048</v>
      </c>
      <c r="L3084">
        <v>0</v>
      </c>
    </row>
    <row r="3085" spans="1:12" x14ac:dyDescent="0.25">
      <c r="A3085">
        <v>3084</v>
      </c>
      <c r="B3085" t="s">
        <v>5049</v>
      </c>
      <c r="C3085">
        <v>0</v>
      </c>
      <c r="J3085">
        <v>3084</v>
      </c>
      <c r="K3085" t="s">
        <v>5049</v>
      </c>
      <c r="L3085">
        <v>0</v>
      </c>
    </row>
    <row r="3086" spans="1:12" x14ac:dyDescent="0.25">
      <c r="A3086">
        <v>3085</v>
      </c>
      <c r="B3086" t="s">
        <v>5050</v>
      </c>
      <c r="C3086">
        <v>0</v>
      </c>
      <c r="J3086">
        <v>3085</v>
      </c>
      <c r="K3086" t="s">
        <v>5050</v>
      </c>
      <c r="L3086">
        <v>0</v>
      </c>
    </row>
    <row r="3087" spans="1:12" x14ac:dyDescent="0.25">
      <c r="A3087">
        <v>3086</v>
      </c>
      <c r="B3087" t="s">
        <v>5051</v>
      </c>
      <c r="C3087">
        <v>0</v>
      </c>
      <c r="J3087">
        <v>3086</v>
      </c>
      <c r="K3087" t="s">
        <v>5051</v>
      </c>
      <c r="L3087">
        <v>0</v>
      </c>
    </row>
    <row r="3088" spans="1:12" x14ac:dyDescent="0.25">
      <c r="A3088">
        <v>3087</v>
      </c>
      <c r="B3088" t="s">
        <v>5052</v>
      </c>
      <c r="C3088">
        <v>0</v>
      </c>
      <c r="J3088">
        <v>3087</v>
      </c>
      <c r="K3088" t="s">
        <v>5052</v>
      </c>
      <c r="L3088">
        <v>0</v>
      </c>
    </row>
    <row r="3089" spans="1:12" x14ac:dyDescent="0.25">
      <c r="A3089">
        <v>3088</v>
      </c>
      <c r="B3089" t="s">
        <v>5053</v>
      </c>
      <c r="C3089">
        <v>0</v>
      </c>
      <c r="J3089">
        <v>3088</v>
      </c>
      <c r="K3089" t="s">
        <v>5053</v>
      </c>
      <c r="L3089">
        <v>0</v>
      </c>
    </row>
    <row r="3090" spans="1:12" x14ac:dyDescent="0.25">
      <c r="A3090">
        <v>3089</v>
      </c>
      <c r="B3090" t="s">
        <v>5054</v>
      </c>
      <c r="C3090">
        <v>0</v>
      </c>
      <c r="J3090">
        <v>3089</v>
      </c>
      <c r="K3090" t="s">
        <v>5054</v>
      </c>
      <c r="L3090">
        <v>0</v>
      </c>
    </row>
    <row r="3091" spans="1:12" x14ac:dyDescent="0.25">
      <c r="A3091">
        <v>3090</v>
      </c>
      <c r="B3091" t="s">
        <v>5055</v>
      </c>
      <c r="C3091">
        <v>0</v>
      </c>
      <c r="J3091">
        <v>3090</v>
      </c>
      <c r="K3091" t="s">
        <v>5055</v>
      </c>
      <c r="L3091">
        <v>0</v>
      </c>
    </row>
    <row r="3092" spans="1:12" x14ac:dyDescent="0.25">
      <c r="A3092">
        <v>3091</v>
      </c>
      <c r="B3092" t="s">
        <v>5056</v>
      </c>
      <c r="C3092">
        <v>0</v>
      </c>
      <c r="J3092">
        <v>3091</v>
      </c>
      <c r="K3092" t="s">
        <v>5056</v>
      </c>
      <c r="L3092">
        <v>0</v>
      </c>
    </row>
    <row r="3093" spans="1:12" x14ac:dyDescent="0.25">
      <c r="A3093">
        <v>3092</v>
      </c>
      <c r="B3093" t="s">
        <v>5057</v>
      </c>
      <c r="C3093">
        <v>0</v>
      </c>
      <c r="J3093">
        <v>3092</v>
      </c>
      <c r="K3093" t="s">
        <v>5057</v>
      </c>
      <c r="L3093">
        <v>0</v>
      </c>
    </row>
    <row r="3094" spans="1:12" x14ac:dyDescent="0.25">
      <c r="A3094">
        <v>3093</v>
      </c>
      <c r="B3094" t="s">
        <v>5058</v>
      </c>
      <c r="C3094">
        <v>0</v>
      </c>
      <c r="J3094">
        <v>3093</v>
      </c>
      <c r="K3094" t="s">
        <v>5058</v>
      </c>
      <c r="L3094">
        <v>0</v>
      </c>
    </row>
    <row r="3095" spans="1:12" x14ac:dyDescent="0.25">
      <c r="A3095">
        <v>3094</v>
      </c>
      <c r="B3095" t="s">
        <v>5059</v>
      </c>
      <c r="C3095">
        <v>0</v>
      </c>
      <c r="J3095">
        <v>3094</v>
      </c>
      <c r="K3095" t="s">
        <v>5059</v>
      </c>
      <c r="L3095">
        <v>0</v>
      </c>
    </row>
    <row r="3096" spans="1:12" x14ac:dyDescent="0.25">
      <c r="A3096">
        <v>3095</v>
      </c>
      <c r="B3096" t="s">
        <v>5060</v>
      </c>
      <c r="C3096">
        <v>0</v>
      </c>
      <c r="J3096">
        <v>3095</v>
      </c>
      <c r="K3096" t="s">
        <v>5060</v>
      </c>
      <c r="L3096">
        <v>0</v>
      </c>
    </row>
    <row r="3097" spans="1:12" x14ac:dyDescent="0.25">
      <c r="A3097">
        <v>3096</v>
      </c>
      <c r="B3097" t="s">
        <v>5061</v>
      </c>
      <c r="C3097">
        <v>0</v>
      </c>
      <c r="J3097">
        <v>3096</v>
      </c>
      <c r="K3097" t="s">
        <v>5061</v>
      </c>
      <c r="L3097">
        <v>0</v>
      </c>
    </row>
    <row r="3098" spans="1:12" x14ac:dyDescent="0.25">
      <c r="A3098">
        <v>3097</v>
      </c>
      <c r="B3098" t="s">
        <v>5062</v>
      </c>
      <c r="C3098">
        <v>0</v>
      </c>
      <c r="J3098">
        <v>3097</v>
      </c>
      <c r="K3098" t="s">
        <v>5062</v>
      </c>
      <c r="L3098">
        <v>0</v>
      </c>
    </row>
    <row r="3099" spans="1:12" x14ac:dyDescent="0.25">
      <c r="A3099">
        <v>3098</v>
      </c>
      <c r="B3099" t="s">
        <v>5063</v>
      </c>
      <c r="C3099">
        <v>0</v>
      </c>
      <c r="J3099">
        <v>3098</v>
      </c>
      <c r="K3099" t="s">
        <v>5063</v>
      </c>
      <c r="L3099">
        <v>0</v>
      </c>
    </row>
    <row r="3100" spans="1:12" x14ac:dyDescent="0.25">
      <c r="A3100">
        <v>3099</v>
      </c>
      <c r="B3100" t="s">
        <v>5064</v>
      </c>
      <c r="C3100">
        <v>0</v>
      </c>
      <c r="J3100">
        <v>3099</v>
      </c>
      <c r="K3100" t="s">
        <v>5064</v>
      </c>
      <c r="L3100">
        <v>0</v>
      </c>
    </row>
    <row r="3101" spans="1:12" x14ac:dyDescent="0.25">
      <c r="A3101">
        <v>3100</v>
      </c>
      <c r="B3101" t="s">
        <v>5065</v>
      </c>
      <c r="C3101">
        <v>0</v>
      </c>
      <c r="J3101">
        <v>3100</v>
      </c>
      <c r="K3101" t="s">
        <v>5065</v>
      </c>
      <c r="L3101">
        <v>0</v>
      </c>
    </row>
    <row r="3102" spans="1:12" x14ac:dyDescent="0.25">
      <c r="A3102">
        <v>3101</v>
      </c>
      <c r="B3102" t="s">
        <v>5066</v>
      </c>
      <c r="C3102">
        <v>0</v>
      </c>
      <c r="J3102">
        <v>3101</v>
      </c>
      <c r="K3102" t="s">
        <v>5066</v>
      </c>
      <c r="L3102">
        <v>0</v>
      </c>
    </row>
    <row r="3103" spans="1:12" x14ac:dyDescent="0.25">
      <c r="A3103">
        <v>3102</v>
      </c>
      <c r="B3103" t="s">
        <v>5067</v>
      </c>
      <c r="C3103">
        <v>0</v>
      </c>
      <c r="J3103">
        <v>3102</v>
      </c>
      <c r="K3103" t="s">
        <v>5067</v>
      </c>
      <c r="L3103">
        <v>0</v>
      </c>
    </row>
    <row r="3104" spans="1:12" x14ac:dyDescent="0.25">
      <c r="A3104">
        <v>3103</v>
      </c>
      <c r="B3104" t="s">
        <v>5068</v>
      </c>
      <c r="C3104">
        <v>0</v>
      </c>
      <c r="J3104">
        <v>3103</v>
      </c>
      <c r="K3104" t="s">
        <v>5068</v>
      </c>
      <c r="L3104">
        <v>0</v>
      </c>
    </row>
    <row r="3105" spans="1:12" x14ac:dyDescent="0.25">
      <c r="A3105">
        <v>3104</v>
      </c>
      <c r="B3105" t="s">
        <v>5069</v>
      </c>
      <c r="C3105">
        <v>0</v>
      </c>
      <c r="J3105">
        <v>3104</v>
      </c>
      <c r="K3105" t="s">
        <v>5069</v>
      </c>
      <c r="L3105">
        <v>0</v>
      </c>
    </row>
    <row r="3106" spans="1:12" x14ac:dyDescent="0.25">
      <c r="A3106">
        <v>3105</v>
      </c>
      <c r="B3106" t="s">
        <v>5070</v>
      </c>
      <c r="C3106">
        <v>0</v>
      </c>
      <c r="J3106">
        <v>3105</v>
      </c>
      <c r="K3106" t="s">
        <v>5070</v>
      </c>
      <c r="L3106">
        <v>0</v>
      </c>
    </row>
    <row r="3107" spans="1:12" x14ac:dyDescent="0.25">
      <c r="A3107">
        <v>3106</v>
      </c>
      <c r="B3107" t="s">
        <v>5071</v>
      </c>
      <c r="C3107">
        <v>0</v>
      </c>
      <c r="J3107">
        <v>3106</v>
      </c>
      <c r="K3107" t="s">
        <v>5071</v>
      </c>
      <c r="L3107">
        <v>0</v>
      </c>
    </row>
    <row r="3108" spans="1:12" x14ac:dyDescent="0.25">
      <c r="A3108">
        <v>3107</v>
      </c>
      <c r="B3108" t="s">
        <v>5072</v>
      </c>
      <c r="C3108">
        <v>0</v>
      </c>
      <c r="J3108">
        <v>3107</v>
      </c>
      <c r="K3108" t="s">
        <v>5072</v>
      </c>
      <c r="L3108">
        <v>0</v>
      </c>
    </row>
    <row r="3109" spans="1:12" x14ac:dyDescent="0.25">
      <c r="A3109">
        <v>3108</v>
      </c>
      <c r="B3109" t="s">
        <v>5073</v>
      </c>
      <c r="C3109">
        <v>0</v>
      </c>
      <c r="J3109">
        <v>3108</v>
      </c>
      <c r="K3109" t="s">
        <v>5073</v>
      </c>
      <c r="L3109">
        <v>0</v>
      </c>
    </row>
    <row r="3110" spans="1:12" x14ac:dyDescent="0.25">
      <c r="A3110">
        <v>3109</v>
      </c>
      <c r="B3110" t="s">
        <v>5074</v>
      </c>
      <c r="C3110">
        <v>0</v>
      </c>
      <c r="J3110">
        <v>3109</v>
      </c>
      <c r="K3110" t="s">
        <v>5074</v>
      </c>
      <c r="L3110">
        <v>0</v>
      </c>
    </row>
    <row r="3111" spans="1:12" x14ac:dyDescent="0.25">
      <c r="A3111">
        <v>3110</v>
      </c>
      <c r="B3111" t="s">
        <v>5075</v>
      </c>
      <c r="C3111">
        <v>0</v>
      </c>
      <c r="J3111">
        <v>3110</v>
      </c>
      <c r="K3111" t="s">
        <v>5075</v>
      </c>
      <c r="L3111">
        <v>0</v>
      </c>
    </row>
    <row r="3112" spans="1:12" x14ac:dyDescent="0.25">
      <c r="A3112">
        <v>3111</v>
      </c>
      <c r="B3112" t="s">
        <v>5076</v>
      </c>
      <c r="C3112">
        <v>0</v>
      </c>
      <c r="J3112">
        <v>3111</v>
      </c>
      <c r="K3112" t="s">
        <v>5076</v>
      </c>
      <c r="L3112">
        <v>0</v>
      </c>
    </row>
    <row r="3113" spans="1:12" x14ac:dyDescent="0.25">
      <c r="A3113">
        <v>3112</v>
      </c>
      <c r="B3113" t="s">
        <v>5077</v>
      </c>
      <c r="C3113">
        <v>0</v>
      </c>
      <c r="J3113">
        <v>3112</v>
      </c>
      <c r="K3113" t="s">
        <v>5077</v>
      </c>
      <c r="L3113">
        <v>0</v>
      </c>
    </row>
    <row r="3114" spans="1:12" x14ac:dyDescent="0.25">
      <c r="A3114">
        <v>3113</v>
      </c>
      <c r="B3114" t="s">
        <v>5078</v>
      </c>
      <c r="C3114">
        <v>0</v>
      </c>
      <c r="J3114">
        <v>3113</v>
      </c>
      <c r="K3114" t="s">
        <v>5078</v>
      </c>
      <c r="L3114">
        <v>0</v>
      </c>
    </row>
    <row r="3115" spans="1:12" x14ac:dyDescent="0.25">
      <c r="A3115">
        <v>3114</v>
      </c>
      <c r="B3115" t="s">
        <v>5079</v>
      </c>
      <c r="C3115">
        <v>0</v>
      </c>
      <c r="J3115">
        <v>3114</v>
      </c>
      <c r="K3115" t="s">
        <v>5079</v>
      </c>
      <c r="L3115">
        <v>0</v>
      </c>
    </row>
    <row r="3116" spans="1:12" x14ac:dyDescent="0.25">
      <c r="A3116">
        <v>3115</v>
      </c>
      <c r="B3116" t="s">
        <v>5080</v>
      </c>
      <c r="C3116">
        <v>0</v>
      </c>
      <c r="J3116">
        <v>3115</v>
      </c>
      <c r="K3116" t="s">
        <v>5080</v>
      </c>
      <c r="L3116">
        <v>0</v>
      </c>
    </row>
    <row r="3117" spans="1:12" x14ac:dyDescent="0.25">
      <c r="A3117">
        <v>3116</v>
      </c>
      <c r="B3117" t="s">
        <v>5081</v>
      </c>
      <c r="C3117">
        <v>0</v>
      </c>
      <c r="J3117">
        <v>3116</v>
      </c>
      <c r="K3117" t="s">
        <v>5081</v>
      </c>
      <c r="L3117">
        <v>0</v>
      </c>
    </row>
    <row r="3118" spans="1:12" x14ac:dyDescent="0.25">
      <c r="A3118">
        <v>3117</v>
      </c>
      <c r="B3118" t="s">
        <v>5082</v>
      </c>
      <c r="C3118">
        <v>0</v>
      </c>
      <c r="J3118">
        <v>3117</v>
      </c>
      <c r="K3118" t="s">
        <v>5082</v>
      </c>
      <c r="L3118">
        <v>0</v>
      </c>
    </row>
    <row r="3119" spans="1:12" x14ac:dyDescent="0.25">
      <c r="A3119">
        <v>3118</v>
      </c>
      <c r="B3119" t="s">
        <v>5083</v>
      </c>
      <c r="C3119">
        <v>0</v>
      </c>
      <c r="J3119">
        <v>3118</v>
      </c>
      <c r="K3119" t="s">
        <v>5083</v>
      </c>
      <c r="L3119">
        <v>0</v>
      </c>
    </row>
    <row r="3120" spans="1:12" x14ac:dyDescent="0.25">
      <c r="A3120">
        <v>3119</v>
      </c>
      <c r="B3120" t="s">
        <v>5084</v>
      </c>
      <c r="C3120">
        <v>0</v>
      </c>
      <c r="J3120">
        <v>3119</v>
      </c>
      <c r="K3120" t="s">
        <v>5084</v>
      </c>
      <c r="L3120">
        <v>0</v>
      </c>
    </row>
    <row r="3121" spans="1:12" x14ac:dyDescent="0.25">
      <c r="A3121">
        <v>3120</v>
      </c>
      <c r="B3121" t="s">
        <v>5085</v>
      </c>
      <c r="C3121">
        <v>0</v>
      </c>
      <c r="J3121">
        <v>3120</v>
      </c>
      <c r="K3121" t="s">
        <v>5085</v>
      </c>
      <c r="L3121">
        <v>0</v>
      </c>
    </row>
    <row r="3122" spans="1:12" x14ac:dyDescent="0.25">
      <c r="A3122">
        <v>3121</v>
      </c>
      <c r="B3122" t="s">
        <v>5086</v>
      </c>
      <c r="C3122">
        <v>0</v>
      </c>
      <c r="J3122">
        <v>3121</v>
      </c>
      <c r="K3122" t="s">
        <v>5086</v>
      </c>
      <c r="L3122">
        <v>0</v>
      </c>
    </row>
    <row r="3123" spans="1:12" x14ac:dyDescent="0.25">
      <c r="A3123">
        <v>3122</v>
      </c>
      <c r="B3123" t="s">
        <v>5087</v>
      </c>
      <c r="C3123">
        <v>0</v>
      </c>
      <c r="J3123">
        <v>3122</v>
      </c>
      <c r="K3123" t="s">
        <v>5087</v>
      </c>
      <c r="L3123">
        <v>0</v>
      </c>
    </row>
    <row r="3124" spans="1:12" x14ac:dyDescent="0.25">
      <c r="A3124">
        <v>3123</v>
      </c>
      <c r="B3124" t="s">
        <v>5088</v>
      </c>
      <c r="C3124">
        <v>0</v>
      </c>
      <c r="J3124">
        <v>3123</v>
      </c>
      <c r="K3124" t="s">
        <v>5088</v>
      </c>
      <c r="L3124">
        <v>0</v>
      </c>
    </row>
    <row r="3125" spans="1:12" x14ac:dyDescent="0.25">
      <c r="A3125">
        <v>3124</v>
      </c>
      <c r="B3125" t="s">
        <v>5089</v>
      </c>
      <c r="C3125">
        <v>0</v>
      </c>
      <c r="J3125">
        <v>3124</v>
      </c>
      <c r="K3125" t="s">
        <v>5089</v>
      </c>
      <c r="L3125">
        <v>0</v>
      </c>
    </row>
    <row r="3126" spans="1:12" x14ac:dyDescent="0.25">
      <c r="A3126">
        <v>3125</v>
      </c>
      <c r="B3126" t="s">
        <v>5090</v>
      </c>
      <c r="C3126">
        <v>0</v>
      </c>
      <c r="J3126">
        <v>3125</v>
      </c>
      <c r="K3126" t="s">
        <v>5090</v>
      </c>
      <c r="L3126">
        <v>0</v>
      </c>
    </row>
    <row r="3127" spans="1:12" x14ac:dyDescent="0.25">
      <c r="A3127">
        <v>3126</v>
      </c>
      <c r="B3127" t="s">
        <v>5091</v>
      </c>
      <c r="C3127">
        <v>0</v>
      </c>
      <c r="J3127">
        <v>3126</v>
      </c>
      <c r="K3127" t="s">
        <v>5091</v>
      </c>
      <c r="L3127">
        <v>0</v>
      </c>
    </row>
    <row r="3128" spans="1:12" x14ac:dyDescent="0.25">
      <c r="A3128">
        <v>3127</v>
      </c>
      <c r="B3128" t="s">
        <v>5092</v>
      </c>
      <c r="C3128">
        <v>0</v>
      </c>
      <c r="J3128">
        <v>3127</v>
      </c>
      <c r="K3128" t="s">
        <v>5092</v>
      </c>
      <c r="L3128">
        <v>0</v>
      </c>
    </row>
    <row r="3129" spans="1:12" x14ac:dyDescent="0.25">
      <c r="A3129">
        <v>3128</v>
      </c>
      <c r="B3129" t="s">
        <v>5093</v>
      </c>
      <c r="C3129">
        <v>0</v>
      </c>
      <c r="J3129">
        <v>3128</v>
      </c>
      <c r="K3129" t="s">
        <v>5093</v>
      </c>
      <c r="L3129">
        <v>0</v>
      </c>
    </row>
    <row r="3130" spans="1:12" x14ac:dyDescent="0.25">
      <c r="A3130">
        <v>3129</v>
      </c>
      <c r="B3130" t="s">
        <v>5094</v>
      </c>
      <c r="C3130">
        <v>0</v>
      </c>
      <c r="J3130">
        <v>3129</v>
      </c>
      <c r="K3130" t="s">
        <v>5094</v>
      </c>
      <c r="L3130">
        <v>0</v>
      </c>
    </row>
    <row r="3131" spans="1:12" x14ac:dyDescent="0.25">
      <c r="A3131">
        <v>3130</v>
      </c>
      <c r="B3131" t="s">
        <v>5095</v>
      </c>
      <c r="C3131">
        <v>0</v>
      </c>
      <c r="J3131">
        <v>3130</v>
      </c>
      <c r="K3131" t="s">
        <v>5095</v>
      </c>
      <c r="L3131">
        <v>0</v>
      </c>
    </row>
    <row r="3132" spans="1:12" x14ac:dyDescent="0.25">
      <c r="A3132">
        <v>3131</v>
      </c>
      <c r="B3132" t="s">
        <v>5096</v>
      </c>
      <c r="C3132">
        <v>0</v>
      </c>
      <c r="J3132">
        <v>3131</v>
      </c>
      <c r="K3132" t="s">
        <v>5096</v>
      </c>
      <c r="L3132">
        <v>0</v>
      </c>
    </row>
    <row r="3133" spans="1:12" x14ac:dyDescent="0.25">
      <c r="A3133">
        <v>3132</v>
      </c>
      <c r="B3133" t="s">
        <v>5097</v>
      </c>
      <c r="C3133">
        <v>0</v>
      </c>
      <c r="J3133">
        <v>3132</v>
      </c>
      <c r="K3133" t="s">
        <v>5097</v>
      </c>
      <c r="L3133">
        <v>0</v>
      </c>
    </row>
    <row r="3134" spans="1:12" x14ac:dyDescent="0.25">
      <c r="A3134">
        <v>3133</v>
      </c>
      <c r="B3134" t="s">
        <v>5098</v>
      </c>
      <c r="C3134">
        <v>0</v>
      </c>
      <c r="J3134">
        <v>3133</v>
      </c>
      <c r="K3134" t="s">
        <v>5098</v>
      </c>
      <c r="L3134">
        <v>0</v>
      </c>
    </row>
    <row r="3135" spans="1:12" x14ac:dyDescent="0.25">
      <c r="A3135">
        <v>3134</v>
      </c>
      <c r="B3135" t="s">
        <v>5099</v>
      </c>
      <c r="C3135">
        <v>0</v>
      </c>
      <c r="J3135">
        <v>3134</v>
      </c>
      <c r="K3135" t="s">
        <v>5099</v>
      </c>
      <c r="L3135">
        <v>0</v>
      </c>
    </row>
    <row r="3136" spans="1:12" x14ac:dyDescent="0.25">
      <c r="A3136">
        <v>3135</v>
      </c>
      <c r="B3136" t="s">
        <v>5100</v>
      </c>
      <c r="C3136">
        <v>0</v>
      </c>
      <c r="J3136">
        <v>3135</v>
      </c>
      <c r="K3136" t="s">
        <v>5100</v>
      </c>
      <c r="L3136">
        <v>0</v>
      </c>
    </row>
    <row r="3137" spans="1:12" x14ac:dyDescent="0.25">
      <c r="A3137">
        <v>3136</v>
      </c>
      <c r="B3137" t="s">
        <v>5101</v>
      </c>
      <c r="C3137">
        <v>0</v>
      </c>
      <c r="J3137">
        <v>3136</v>
      </c>
      <c r="K3137" t="s">
        <v>5101</v>
      </c>
      <c r="L3137">
        <v>0</v>
      </c>
    </row>
    <row r="3138" spans="1:12" x14ac:dyDescent="0.25">
      <c r="A3138">
        <v>3137</v>
      </c>
      <c r="B3138" t="s">
        <v>5102</v>
      </c>
      <c r="C3138">
        <v>0</v>
      </c>
      <c r="J3138">
        <v>3137</v>
      </c>
      <c r="K3138" t="s">
        <v>5102</v>
      </c>
      <c r="L3138">
        <v>0</v>
      </c>
    </row>
    <row r="3139" spans="1:12" x14ac:dyDescent="0.25">
      <c r="A3139">
        <v>3138</v>
      </c>
      <c r="B3139" t="s">
        <v>5103</v>
      </c>
      <c r="C3139">
        <v>0</v>
      </c>
      <c r="J3139">
        <v>3138</v>
      </c>
      <c r="K3139" t="s">
        <v>5103</v>
      </c>
      <c r="L3139">
        <v>0</v>
      </c>
    </row>
    <row r="3140" spans="1:12" x14ac:dyDescent="0.25">
      <c r="A3140">
        <v>3139</v>
      </c>
      <c r="B3140" t="s">
        <v>5104</v>
      </c>
      <c r="C3140">
        <v>0</v>
      </c>
      <c r="J3140">
        <v>3139</v>
      </c>
      <c r="K3140" t="s">
        <v>5104</v>
      </c>
      <c r="L3140">
        <v>0</v>
      </c>
    </row>
    <row r="3141" spans="1:12" x14ac:dyDescent="0.25">
      <c r="A3141">
        <v>3140</v>
      </c>
      <c r="B3141" t="s">
        <v>5105</v>
      </c>
      <c r="C3141">
        <v>0</v>
      </c>
      <c r="J3141">
        <v>3140</v>
      </c>
      <c r="K3141" t="s">
        <v>5105</v>
      </c>
      <c r="L3141">
        <v>0</v>
      </c>
    </row>
    <row r="3142" spans="1:12" x14ac:dyDescent="0.25">
      <c r="A3142">
        <v>3141</v>
      </c>
      <c r="B3142" t="s">
        <v>5106</v>
      </c>
      <c r="C3142">
        <v>0</v>
      </c>
      <c r="J3142">
        <v>3141</v>
      </c>
      <c r="K3142" t="s">
        <v>5106</v>
      </c>
      <c r="L3142">
        <v>0</v>
      </c>
    </row>
    <row r="3143" spans="1:12" x14ac:dyDescent="0.25">
      <c r="A3143">
        <v>3142</v>
      </c>
      <c r="B3143" t="s">
        <v>5107</v>
      </c>
      <c r="C3143">
        <v>0</v>
      </c>
      <c r="J3143">
        <v>3142</v>
      </c>
      <c r="K3143" t="s">
        <v>5107</v>
      </c>
      <c r="L3143">
        <v>0</v>
      </c>
    </row>
    <row r="3144" spans="1:12" x14ac:dyDescent="0.25">
      <c r="A3144">
        <v>3143</v>
      </c>
      <c r="B3144" t="s">
        <v>5108</v>
      </c>
      <c r="C3144">
        <v>0</v>
      </c>
      <c r="J3144">
        <v>3143</v>
      </c>
      <c r="K3144" t="s">
        <v>5108</v>
      </c>
      <c r="L3144">
        <v>0</v>
      </c>
    </row>
    <row r="3145" spans="1:12" x14ac:dyDescent="0.25">
      <c r="A3145">
        <v>3144</v>
      </c>
      <c r="B3145" t="s">
        <v>5109</v>
      </c>
      <c r="C3145">
        <v>0</v>
      </c>
      <c r="J3145">
        <v>3144</v>
      </c>
      <c r="K3145" t="s">
        <v>5109</v>
      </c>
      <c r="L3145">
        <v>0</v>
      </c>
    </row>
    <row r="3146" spans="1:12" x14ac:dyDescent="0.25">
      <c r="A3146">
        <v>3145</v>
      </c>
      <c r="B3146" t="s">
        <v>5110</v>
      </c>
      <c r="C3146">
        <v>0</v>
      </c>
      <c r="J3146">
        <v>3145</v>
      </c>
      <c r="K3146" t="s">
        <v>5110</v>
      </c>
      <c r="L3146">
        <v>0</v>
      </c>
    </row>
    <row r="3147" spans="1:12" x14ac:dyDescent="0.25">
      <c r="A3147">
        <v>3146</v>
      </c>
      <c r="B3147" t="s">
        <v>5111</v>
      </c>
      <c r="C3147">
        <v>0</v>
      </c>
      <c r="J3147">
        <v>3146</v>
      </c>
      <c r="K3147" t="s">
        <v>5111</v>
      </c>
      <c r="L3147">
        <v>0</v>
      </c>
    </row>
    <row r="3148" spans="1:12" x14ac:dyDescent="0.25">
      <c r="A3148">
        <v>3147</v>
      </c>
      <c r="B3148" t="s">
        <v>5112</v>
      </c>
      <c r="C3148">
        <v>0</v>
      </c>
      <c r="J3148">
        <v>3147</v>
      </c>
      <c r="K3148" t="s">
        <v>5112</v>
      </c>
      <c r="L3148">
        <v>0</v>
      </c>
    </row>
    <row r="3149" spans="1:12" x14ac:dyDescent="0.25">
      <c r="A3149">
        <v>3148</v>
      </c>
      <c r="B3149" t="s">
        <v>5113</v>
      </c>
      <c r="C3149">
        <v>0</v>
      </c>
      <c r="J3149">
        <v>3148</v>
      </c>
      <c r="K3149" t="s">
        <v>5113</v>
      </c>
      <c r="L3149">
        <v>0</v>
      </c>
    </row>
    <row r="3150" spans="1:12" x14ac:dyDescent="0.25">
      <c r="A3150">
        <v>3149</v>
      </c>
      <c r="B3150" t="s">
        <v>5114</v>
      </c>
      <c r="C3150">
        <v>0</v>
      </c>
      <c r="J3150">
        <v>3149</v>
      </c>
      <c r="K3150" t="s">
        <v>5114</v>
      </c>
      <c r="L3150">
        <v>0</v>
      </c>
    </row>
    <row r="3151" spans="1:12" x14ac:dyDescent="0.25">
      <c r="A3151">
        <v>3150</v>
      </c>
      <c r="B3151" t="s">
        <v>5115</v>
      </c>
      <c r="C3151">
        <v>0</v>
      </c>
      <c r="J3151">
        <v>3150</v>
      </c>
      <c r="K3151" t="s">
        <v>5115</v>
      </c>
      <c r="L3151">
        <v>0</v>
      </c>
    </row>
    <row r="3152" spans="1:12" x14ac:dyDescent="0.25">
      <c r="A3152">
        <v>3151</v>
      </c>
      <c r="B3152" t="s">
        <v>5116</v>
      </c>
      <c r="C3152">
        <v>0</v>
      </c>
      <c r="J3152">
        <v>3151</v>
      </c>
      <c r="K3152" t="s">
        <v>5116</v>
      </c>
      <c r="L3152">
        <v>0</v>
      </c>
    </row>
    <row r="3153" spans="1:12" x14ac:dyDescent="0.25">
      <c r="A3153">
        <v>3152</v>
      </c>
      <c r="B3153" t="s">
        <v>5117</v>
      </c>
      <c r="C3153">
        <v>0</v>
      </c>
      <c r="J3153">
        <v>3152</v>
      </c>
      <c r="K3153" t="s">
        <v>5117</v>
      </c>
      <c r="L3153">
        <v>0</v>
      </c>
    </row>
    <row r="3154" spans="1:12" x14ac:dyDescent="0.25">
      <c r="A3154">
        <v>3153</v>
      </c>
      <c r="B3154" t="s">
        <v>5118</v>
      </c>
      <c r="C3154">
        <v>0</v>
      </c>
      <c r="J3154">
        <v>3153</v>
      </c>
      <c r="K3154" t="s">
        <v>5118</v>
      </c>
      <c r="L3154">
        <v>0</v>
      </c>
    </row>
    <row r="3155" spans="1:12" x14ac:dyDescent="0.25">
      <c r="A3155">
        <v>3154</v>
      </c>
      <c r="B3155" t="s">
        <v>5119</v>
      </c>
      <c r="C3155">
        <v>0</v>
      </c>
      <c r="J3155">
        <v>3154</v>
      </c>
      <c r="K3155" t="s">
        <v>5119</v>
      </c>
      <c r="L3155">
        <v>0</v>
      </c>
    </row>
    <row r="3156" spans="1:12" x14ac:dyDescent="0.25">
      <c r="A3156">
        <v>3155</v>
      </c>
      <c r="B3156" t="s">
        <v>5120</v>
      </c>
      <c r="C3156">
        <v>0</v>
      </c>
      <c r="J3156">
        <v>3155</v>
      </c>
      <c r="K3156" t="s">
        <v>5120</v>
      </c>
      <c r="L3156">
        <v>0</v>
      </c>
    </row>
    <row r="3157" spans="1:12" x14ac:dyDescent="0.25">
      <c r="A3157">
        <v>3156</v>
      </c>
      <c r="B3157" t="s">
        <v>5121</v>
      </c>
      <c r="C3157">
        <v>0</v>
      </c>
      <c r="J3157">
        <v>3156</v>
      </c>
      <c r="K3157" t="s">
        <v>5121</v>
      </c>
      <c r="L3157">
        <v>0</v>
      </c>
    </row>
    <row r="3158" spans="1:12" x14ac:dyDescent="0.25">
      <c r="A3158">
        <v>3157</v>
      </c>
      <c r="B3158" t="s">
        <v>5122</v>
      </c>
      <c r="C3158">
        <v>0</v>
      </c>
      <c r="J3158">
        <v>3157</v>
      </c>
      <c r="K3158" t="s">
        <v>5122</v>
      </c>
      <c r="L3158">
        <v>0</v>
      </c>
    </row>
    <row r="3159" spans="1:12" x14ac:dyDescent="0.25">
      <c r="A3159">
        <v>3158</v>
      </c>
      <c r="B3159" t="s">
        <v>5123</v>
      </c>
      <c r="C3159">
        <v>0</v>
      </c>
      <c r="J3159">
        <v>3158</v>
      </c>
      <c r="K3159" t="s">
        <v>5123</v>
      </c>
      <c r="L3159">
        <v>0</v>
      </c>
    </row>
    <row r="3160" spans="1:12" x14ac:dyDescent="0.25">
      <c r="A3160">
        <v>3159</v>
      </c>
      <c r="B3160" t="s">
        <v>5124</v>
      </c>
      <c r="C3160">
        <v>0</v>
      </c>
      <c r="J3160">
        <v>3159</v>
      </c>
      <c r="K3160" t="s">
        <v>5124</v>
      </c>
      <c r="L3160">
        <v>0</v>
      </c>
    </row>
    <row r="3161" spans="1:12" x14ac:dyDescent="0.25">
      <c r="A3161">
        <v>3160</v>
      </c>
      <c r="B3161" t="s">
        <v>5125</v>
      </c>
      <c r="C3161">
        <v>0</v>
      </c>
      <c r="J3161">
        <v>3160</v>
      </c>
      <c r="K3161" t="s">
        <v>5125</v>
      </c>
      <c r="L3161">
        <v>0</v>
      </c>
    </row>
    <row r="3162" spans="1:12" x14ac:dyDescent="0.25">
      <c r="A3162">
        <v>3161</v>
      </c>
      <c r="B3162" t="s">
        <v>5126</v>
      </c>
      <c r="C3162">
        <v>0</v>
      </c>
      <c r="J3162">
        <v>3161</v>
      </c>
      <c r="K3162" t="s">
        <v>5126</v>
      </c>
      <c r="L3162">
        <v>0</v>
      </c>
    </row>
    <row r="3163" spans="1:12" x14ac:dyDescent="0.25">
      <c r="A3163">
        <v>3162</v>
      </c>
      <c r="B3163" t="s">
        <v>5127</v>
      </c>
      <c r="C3163">
        <v>0</v>
      </c>
      <c r="J3163">
        <v>3162</v>
      </c>
      <c r="K3163" t="s">
        <v>5127</v>
      </c>
      <c r="L3163">
        <v>0</v>
      </c>
    </row>
    <row r="3164" spans="1:12" x14ac:dyDescent="0.25">
      <c r="A3164">
        <v>3163</v>
      </c>
      <c r="B3164" t="s">
        <v>5128</v>
      </c>
      <c r="C3164">
        <v>0</v>
      </c>
      <c r="J3164">
        <v>3163</v>
      </c>
      <c r="K3164" t="s">
        <v>5128</v>
      </c>
      <c r="L3164">
        <v>0</v>
      </c>
    </row>
    <row r="3165" spans="1:12" x14ac:dyDescent="0.25">
      <c r="A3165">
        <v>3164</v>
      </c>
      <c r="B3165" t="s">
        <v>5129</v>
      </c>
      <c r="C3165">
        <v>0</v>
      </c>
      <c r="J3165">
        <v>3164</v>
      </c>
      <c r="K3165" t="s">
        <v>5129</v>
      </c>
      <c r="L3165">
        <v>0</v>
      </c>
    </row>
    <row r="3166" spans="1:12" x14ac:dyDescent="0.25">
      <c r="A3166">
        <v>3165</v>
      </c>
      <c r="B3166" t="s">
        <v>5130</v>
      </c>
      <c r="C3166">
        <v>0</v>
      </c>
      <c r="J3166">
        <v>3165</v>
      </c>
      <c r="K3166" t="s">
        <v>5130</v>
      </c>
      <c r="L3166">
        <v>0</v>
      </c>
    </row>
    <row r="3167" spans="1:12" x14ac:dyDescent="0.25">
      <c r="A3167">
        <v>3166</v>
      </c>
      <c r="B3167" t="s">
        <v>5131</v>
      </c>
      <c r="C3167">
        <v>0</v>
      </c>
      <c r="J3167">
        <v>3166</v>
      </c>
      <c r="K3167" t="s">
        <v>5131</v>
      </c>
      <c r="L3167">
        <v>0</v>
      </c>
    </row>
    <row r="3168" spans="1:12" x14ac:dyDescent="0.25">
      <c r="A3168">
        <v>3167</v>
      </c>
      <c r="B3168" t="s">
        <v>5132</v>
      </c>
      <c r="C3168">
        <v>0</v>
      </c>
      <c r="J3168">
        <v>3167</v>
      </c>
      <c r="K3168" t="s">
        <v>5132</v>
      </c>
      <c r="L3168">
        <v>0</v>
      </c>
    </row>
    <row r="3169" spans="1:12" x14ac:dyDescent="0.25">
      <c r="A3169">
        <v>3168</v>
      </c>
      <c r="B3169" t="s">
        <v>5133</v>
      </c>
      <c r="C3169">
        <v>0</v>
      </c>
      <c r="J3169">
        <v>3168</v>
      </c>
      <c r="K3169" t="s">
        <v>5133</v>
      </c>
      <c r="L3169">
        <v>0</v>
      </c>
    </row>
    <row r="3170" spans="1:12" x14ac:dyDescent="0.25">
      <c r="A3170">
        <v>3169</v>
      </c>
      <c r="B3170" t="s">
        <v>5134</v>
      </c>
      <c r="C3170">
        <v>0</v>
      </c>
      <c r="J3170">
        <v>3169</v>
      </c>
      <c r="K3170" t="s">
        <v>5134</v>
      </c>
      <c r="L3170">
        <v>0</v>
      </c>
    </row>
    <row r="3171" spans="1:12" x14ac:dyDescent="0.25">
      <c r="A3171">
        <v>3170</v>
      </c>
      <c r="B3171" t="s">
        <v>5135</v>
      </c>
      <c r="C3171">
        <v>0</v>
      </c>
      <c r="J3171">
        <v>3170</v>
      </c>
      <c r="K3171" t="s">
        <v>5135</v>
      </c>
      <c r="L3171">
        <v>0</v>
      </c>
    </row>
    <row r="3172" spans="1:12" x14ac:dyDescent="0.25">
      <c r="A3172">
        <v>3171</v>
      </c>
      <c r="B3172" t="s">
        <v>5136</v>
      </c>
      <c r="C3172">
        <v>0</v>
      </c>
      <c r="J3172">
        <v>3171</v>
      </c>
      <c r="K3172" t="s">
        <v>5136</v>
      </c>
      <c r="L3172">
        <v>0</v>
      </c>
    </row>
    <row r="3173" spans="1:12" x14ac:dyDescent="0.25">
      <c r="A3173">
        <v>3172</v>
      </c>
      <c r="B3173" t="s">
        <v>5137</v>
      </c>
      <c r="C3173">
        <v>0</v>
      </c>
      <c r="J3173">
        <v>3172</v>
      </c>
      <c r="K3173" t="s">
        <v>5137</v>
      </c>
      <c r="L3173">
        <v>0</v>
      </c>
    </row>
    <row r="3174" spans="1:12" x14ac:dyDescent="0.25">
      <c r="A3174">
        <v>3173</v>
      </c>
      <c r="B3174" t="s">
        <v>5138</v>
      </c>
      <c r="C3174">
        <v>0</v>
      </c>
      <c r="J3174">
        <v>3173</v>
      </c>
      <c r="K3174" t="s">
        <v>5138</v>
      </c>
      <c r="L3174">
        <v>0</v>
      </c>
    </row>
    <row r="3175" spans="1:12" x14ac:dyDescent="0.25">
      <c r="A3175">
        <v>3174</v>
      </c>
      <c r="B3175" t="s">
        <v>5139</v>
      </c>
      <c r="C3175">
        <v>0</v>
      </c>
      <c r="J3175">
        <v>3174</v>
      </c>
      <c r="K3175" t="s">
        <v>5139</v>
      </c>
      <c r="L3175">
        <v>0</v>
      </c>
    </row>
    <row r="3176" spans="1:12" x14ac:dyDescent="0.25">
      <c r="A3176">
        <v>3175</v>
      </c>
      <c r="B3176" t="s">
        <v>5140</v>
      </c>
      <c r="C3176">
        <v>0</v>
      </c>
      <c r="J3176">
        <v>3175</v>
      </c>
      <c r="K3176" t="s">
        <v>5140</v>
      </c>
      <c r="L3176">
        <v>0</v>
      </c>
    </row>
    <row r="3177" spans="1:12" x14ac:dyDescent="0.25">
      <c r="A3177">
        <v>3176</v>
      </c>
      <c r="B3177" t="s">
        <v>5141</v>
      </c>
      <c r="C3177">
        <v>0</v>
      </c>
      <c r="J3177">
        <v>3176</v>
      </c>
      <c r="K3177" t="s">
        <v>5141</v>
      </c>
      <c r="L3177">
        <v>0</v>
      </c>
    </row>
    <row r="3178" spans="1:12" x14ac:dyDescent="0.25">
      <c r="A3178">
        <v>3177</v>
      </c>
      <c r="B3178" t="s">
        <v>5142</v>
      </c>
      <c r="C3178">
        <v>0</v>
      </c>
      <c r="J3178">
        <v>3177</v>
      </c>
      <c r="K3178" t="s">
        <v>5142</v>
      </c>
      <c r="L3178">
        <v>0</v>
      </c>
    </row>
    <row r="3179" spans="1:12" x14ac:dyDescent="0.25">
      <c r="A3179">
        <v>3178</v>
      </c>
      <c r="B3179" t="s">
        <v>5143</v>
      </c>
      <c r="C3179">
        <v>0</v>
      </c>
      <c r="J3179">
        <v>3178</v>
      </c>
      <c r="K3179" t="s">
        <v>5143</v>
      </c>
      <c r="L3179">
        <v>0</v>
      </c>
    </row>
    <row r="3180" spans="1:12" x14ac:dyDescent="0.25">
      <c r="A3180">
        <v>3179</v>
      </c>
      <c r="B3180" t="s">
        <v>5144</v>
      </c>
      <c r="C3180">
        <v>0</v>
      </c>
      <c r="J3180">
        <v>3179</v>
      </c>
      <c r="K3180" t="s">
        <v>5144</v>
      </c>
      <c r="L3180">
        <v>0</v>
      </c>
    </row>
    <row r="3181" spans="1:12" x14ac:dyDescent="0.25">
      <c r="A3181">
        <v>3180</v>
      </c>
      <c r="B3181" t="s">
        <v>5145</v>
      </c>
      <c r="C3181">
        <v>0</v>
      </c>
      <c r="J3181">
        <v>3180</v>
      </c>
      <c r="K3181" t="s">
        <v>5145</v>
      </c>
      <c r="L3181">
        <v>0</v>
      </c>
    </row>
    <row r="3182" spans="1:12" x14ac:dyDescent="0.25">
      <c r="A3182">
        <v>3181</v>
      </c>
      <c r="B3182" t="s">
        <v>5146</v>
      </c>
      <c r="C3182">
        <v>0</v>
      </c>
      <c r="J3182">
        <v>3181</v>
      </c>
      <c r="K3182" t="s">
        <v>5146</v>
      </c>
      <c r="L3182">
        <v>0</v>
      </c>
    </row>
    <row r="3183" spans="1:12" x14ac:dyDescent="0.25">
      <c r="A3183">
        <v>3182</v>
      </c>
      <c r="B3183" t="s">
        <v>5147</v>
      </c>
      <c r="C3183">
        <v>0</v>
      </c>
      <c r="J3183">
        <v>3182</v>
      </c>
      <c r="K3183" t="s">
        <v>5147</v>
      </c>
      <c r="L3183">
        <v>0</v>
      </c>
    </row>
    <row r="3184" spans="1:12" x14ac:dyDescent="0.25">
      <c r="A3184">
        <v>3183</v>
      </c>
      <c r="B3184" t="s">
        <v>5148</v>
      </c>
      <c r="C3184">
        <v>0</v>
      </c>
      <c r="J3184">
        <v>3183</v>
      </c>
      <c r="K3184" t="s">
        <v>5148</v>
      </c>
      <c r="L3184">
        <v>0</v>
      </c>
    </row>
    <row r="3185" spans="1:12" x14ac:dyDescent="0.25">
      <c r="A3185">
        <v>3184</v>
      </c>
      <c r="B3185" t="s">
        <v>5149</v>
      </c>
      <c r="C3185">
        <v>0</v>
      </c>
      <c r="J3185">
        <v>3184</v>
      </c>
      <c r="K3185" t="s">
        <v>5149</v>
      </c>
      <c r="L3185">
        <v>0</v>
      </c>
    </row>
    <row r="3186" spans="1:12" x14ac:dyDescent="0.25">
      <c r="A3186">
        <v>3185</v>
      </c>
      <c r="B3186" t="s">
        <v>5150</v>
      </c>
      <c r="C3186">
        <v>0</v>
      </c>
      <c r="J3186">
        <v>3185</v>
      </c>
      <c r="K3186" t="s">
        <v>5150</v>
      </c>
      <c r="L3186">
        <v>0</v>
      </c>
    </row>
    <row r="3187" spans="1:12" x14ac:dyDescent="0.25">
      <c r="A3187">
        <v>3186</v>
      </c>
      <c r="B3187" t="s">
        <v>5151</v>
      </c>
      <c r="C3187">
        <v>0</v>
      </c>
      <c r="J3187">
        <v>3186</v>
      </c>
      <c r="K3187" t="s">
        <v>5151</v>
      </c>
      <c r="L3187">
        <v>0</v>
      </c>
    </row>
    <row r="3188" spans="1:12" x14ac:dyDescent="0.25">
      <c r="A3188">
        <v>3187</v>
      </c>
      <c r="B3188" t="s">
        <v>5152</v>
      </c>
      <c r="C3188">
        <v>0</v>
      </c>
      <c r="J3188">
        <v>3187</v>
      </c>
      <c r="K3188" t="s">
        <v>5152</v>
      </c>
      <c r="L3188">
        <v>0</v>
      </c>
    </row>
    <row r="3189" spans="1:12" x14ac:dyDescent="0.25">
      <c r="A3189">
        <v>3188</v>
      </c>
      <c r="B3189" t="s">
        <v>5153</v>
      </c>
      <c r="C3189">
        <v>0</v>
      </c>
      <c r="J3189">
        <v>3188</v>
      </c>
      <c r="K3189" t="s">
        <v>5153</v>
      </c>
      <c r="L3189">
        <v>0</v>
      </c>
    </row>
    <row r="3190" spans="1:12" x14ac:dyDescent="0.25">
      <c r="A3190">
        <v>3189</v>
      </c>
      <c r="B3190" t="s">
        <v>5154</v>
      </c>
      <c r="C3190">
        <v>0</v>
      </c>
      <c r="J3190">
        <v>3189</v>
      </c>
      <c r="K3190" t="s">
        <v>5154</v>
      </c>
      <c r="L3190">
        <v>0</v>
      </c>
    </row>
    <row r="3191" spans="1:12" x14ac:dyDescent="0.25">
      <c r="A3191">
        <v>3190</v>
      </c>
      <c r="B3191" t="s">
        <v>5155</v>
      </c>
      <c r="C3191">
        <v>0</v>
      </c>
      <c r="J3191">
        <v>3190</v>
      </c>
      <c r="K3191" t="s">
        <v>5155</v>
      </c>
      <c r="L3191">
        <v>0</v>
      </c>
    </row>
    <row r="3192" spans="1:12" x14ac:dyDescent="0.25">
      <c r="A3192">
        <v>3191</v>
      </c>
      <c r="B3192" t="s">
        <v>5156</v>
      </c>
      <c r="C3192">
        <v>0</v>
      </c>
      <c r="J3192">
        <v>3191</v>
      </c>
      <c r="K3192" t="s">
        <v>5156</v>
      </c>
      <c r="L3192">
        <v>0</v>
      </c>
    </row>
    <row r="3193" spans="1:12" x14ac:dyDescent="0.25">
      <c r="A3193">
        <v>3192</v>
      </c>
      <c r="B3193" t="s">
        <v>5157</v>
      </c>
      <c r="C3193">
        <v>0</v>
      </c>
      <c r="J3193">
        <v>3192</v>
      </c>
      <c r="K3193" t="s">
        <v>5157</v>
      </c>
      <c r="L3193">
        <v>0</v>
      </c>
    </row>
    <row r="3194" spans="1:12" x14ac:dyDescent="0.25">
      <c r="A3194">
        <v>3193</v>
      </c>
      <c r="B3194" t="s">
        <v>5158</v>
      </c>
      <c r="C3194">
        <v>0</v>
      </c>
      <c r="J3194">
        <v>3193</v>
      </c>
      <c r="K3194" t="s">
        <v>5158</v>
      </c>
      <c r="L3194">
        <v>0</v>
      </c>
    </row>
    <row r="3195" spans="1:12" x14ac:dyDescent="0.25">
      <c r="A3195">
        <v>3194</v>
      </c>
      <c r="B3195" t="s">
        <v>5159</v>
      </c>
      <c r="C3195">
        <v>0</v>
      </c>
      <c r="J3195">
        <v>3194</v>
      </c>
      <c r="K3195" t="s">
        <v>5159</v>
      </c>
      <c r="L3195">
        <v>0</v>
      </c>
    </row>
    <row r="3196" spans="1:12" x14ac:dyDescent="0.25">
      <c r="A3196">
        <v>3195</v>
      </c>
      <c r="B3196" t="s">
        <v>5160</v>
      </c>
      <c r="C3196">
        <v>0</v>
      </c>
      <c r="J3196">
        <v>3195</v>
      </c>
      <c r="K3196" t="s">
        <v>5160</v>
      </c>
      <c r="L3196">
        <v>0</v>
      </c>
    </row>
    <row r="3197" spans="1:12" x14ac:dyDescent="0.25">
      <c r="A3197">
        <v>3196</v>
      </c>
      <c r="B3197" t="s">
        <v>5161</v>
      </c>
      <c r="C3197">
        <v>0</v>
      </c>
      <c r="J3197">
        <v>3196</v>
      </c>
      <c r="K3197" t="s">
        <v>5161</v>
      </c>
      <c r="L3197">
        <v>0</v>
      </c>
    </row>
    <row r="3198" spans="1:12" x14ac:dyDescent="0.25">
      <c r="A3198">
        <v>3197</v>
      </c>
      <c r="B3198" t="s">
        <v>5162</v>
      </c>
      <c r="C3198">
        <v>0</v>
      </c>
      <c r="J3198">
        <v>3197</v>
      </c>
      <c r="K3198" t="s">
        <v>5162</v>
      </c>
      <c r="L3198">
        <v>0</v>
      </c>
    </row>
    <row r="3199" spans="1:12" x14ac:dyDescent="0.25">
      <c r="A3199">
        <v>3198</v>
      </c>
      <c r="B3199" t="s">
        <v>5163</v>
      </c>
      <c r="C3199">
        <v>0</v>
      </c>
      <c r="J3199">
        <v>3198</v>
      </c>
      <c r="K3199" t="s">
        <v>5163</v>
      </c>
      <c r="L3199">
        <v>0</v>
      </c>
    </row>
    <row r="3200" spans="1:12" x14ac:dyDescent="0.25">
      <c r="A3200">
        <v>3199</v>
      </c>
      <c r="B3200" t="s">
        <v>5164</v>
      </c>
      <c r="C3200">
        <v>0</v>
      </c>
      <c r="J3200">
        <v>3199</v>
      </c>
      <c r="K3200" t="s">
        <v>5164</v>
      </c>
      <c r="L3200">
        <v>0</v>
      </c>
    </row>
    <row r="3201" spans="1:12" x14ac:dyDescent="0.25">
      <c r="A3201">
        <v>3200</v>
      </c>
      <c r="B3201" t="s">
        <v>5165</v>
      </c>
      <c r="C3201">
        <v>0</v>
      </c>
      <c r="J3201">
        <v>3200</v>
      </c>
      <c r="K3201" t="s">
        <v>5165</v>
      </c>
      <c r="L3201">
        <v>0</v>
      </c>
    </row>
    <row r="3202" spans="1:12" x14ac:dyDescent="0.25">
      <c r="A3202">
        <v>3201</v>
      </c>
      <c r="B3202" t="s">
        <v>5166</v>
      </c>
      <c r="C3202">
        <v>0</v>
      </c>
      <c r="J3202">
        <v>3201</v>
      </c>
      <c r="K3202" t="s">
        <v>5166</v>
      </c>
      <c r="L3202">
        <v>0</v>
      </c>
    </row>
    <row r="3203" spans="1:12" x14ac:dyDescent="0.25">
      <c r="A3203">
        <v>3202</v>
      </c>
      <c r="B3203" t="s">
        <v>5167</v>
      </c>
      <c r="C3203">
        <v>0</v>
      </c>
      <c r="J3203">
        <v>3202</v>
      </c>
      <c r="K3203" t="s">
        <v>5167</v>
      </c>
      <c r="L3203">
        <v>0</v>
      </c>
    </row>
    <row r="3204" spans="1:12" x14ac:dyDescent="0.25">
      <c r="A3204">
        <v>3203</v>
      </c>
      <c r="B3204" t="s">
        <v>5168</v>
      </c>
      <c r="C3204">
        <v>0</v>
      </c>
      <c r="J3204">
        <v>3203</v>
      </c>
      <c r="K3204" t="s">
        <v>5168</v>
      </c>
      <c r="L3204">
        <v>0</v>
      </c>
    </row>
    <row r="3205" spans="1:12" x14ac:dyDescent="0.25">
      <c r="A3205">
        <v>3204</v>
      </c>
      <c r="B3205" t="s">
        <v>5169</v>
      </c>
      <c r="C3205">
        <v>0</v>
      </c>
      <c r="J3205">
        <v>3204</v>
      </c>
      <c r="K3205" t="s">
        <v>5169</v>
      </c>
      <c r="L3205">
        <v>0</v>
      </c>
    </row>
    <row r="3206" spans="1:12" x14ac:dyDescent="0.25">
      <c r="A3206">
        <v>3205</v>
      </c>
      <c r="B3206" t="s">
        <v>5170</v>
      </c>
      <c r="C3206">
        <v>0</v>
      </c>
      <c r="J3206">
        <v>3205</v>
      </c>
      <c r="K3206" t="s">
        <v>5170</v>
      </c>
      <c r="L3206">
        <v>0</v>
      </c>
    </row>
    <row r="3207" spans="1:12" x14ac:dyDescent="0.25">
      <c r="A3207">
        <v>3206</v>
      </c>
      <c r="B3207" t="s">
        <v>5171</v>
      </c>
      <c r="C3207">
        <v>0</v>
      </c>
      <c r="J3207">
        <v>3206</v>
      </c>
      <c r="K3207" t="s">
        <v>5171</v>
      </c>
      <c r="L3207">
        <v>0</v>
      </c>
    </row>
    <row r="3208" spans="1:12" x14ac:dyDescent="0.25">
      <c r="A3208">
        <v>3207</v>
      </c>
      <c r="B3208" t="s">
        <v>5172</v>
      </c>
      <c r="C3208">
        <v>0</v>
      </c>
      <c r="J3208">
        <v>3207</v>
      </c>
      <c r="K3208" t="s">
        <v>5172</v>
      </c>
      <c r="L3208">
        <v>0</v>
      </c>
    </row>
    <row r="3209" spans="1:12" x14ac:dyDescent="0.25">
      <c r="A3209">
        <v>3208</v>
      </c>
      <c r="B3209" t="s">
        <v>5173</v>
      </c>
      <c r="C3209">
        <v>0</v>
      </c>
      <c r="J3209">
        <v>3208</v>
      </c>
      <c r="K3209" t="s">
        <v>5173</v>
      </c>
      <c r="L3209">
        <v>0</v>
      </c>
    </row>
    <row r="3210" spans="1:12" x14ac:dyDescent="0.25">
      <c r="A3210">
        <v>3209</v>
      </c>
      <c r="B3210" t="s">
        <v>5174</v>
      </c>
      <c r="C3210">
        <v>0</v>
      </c>
      <c r="J3210">
        <v>3209</v>
      </c>
      <c r="K3210" t="s">
        <v>5174</v>
      </c>
      <c r="L3210">
        <v>0</v>
      </c>
    </row>
    <row r="3211" spans="1:12" x14ac:dyDescent="0.25">
      <c r="A3211">
        <v>3210</v>
      </c>
      <c r="B3211" t="s">
        <v>5175</v>
      </c>
      <c r="C3211">
        <v>0</v>
      </c>
      <c r="J3211">
        <v>3210</v>
      </c>
      <c r="K3211" t="s">
        <v>5175</v>
      </c>
      <c r="L3211">
        <v>0</v>
      </c>
    </row>
    <row r="3212" spans="1:12" x14ac:dyDescent="0.25">
      <c r="A3212">
        <v>3211</v>
      </c>
      <c r="B3212" t="s">
        <v>5176</v>
      </c>
      <c r="C3212">
        <v>0</v>
      </c>
      <c r="J3212">
        <v>3211</v>
      </c>
      <c r="K3212" t="s">
        <v>5176</v>
      </c>
      <c r="L3212">
        <v>0</v>
      </c>
    </row>
    <row r="3213" spans="1:12" x14ac:dyDescent="0.25">
      <c r="A3213">
        <v>3212</v>
      </c>
      <c r="B3213" t="s">
        <v>5177</v>
      </c>
      <c r="C3213">
        <v>0</v>
      </c>
      <c r="J3213">
        <v>3212</v>
      </c>
      <c r="K3213" t="s">
        <v>5177</v>
      </c>
      <c r="L3213">
        <v>0</v>
      </c>
    </row>
    <row r="3214" spans="1:12" x14ac:dyDescent="0.25">
      <c r="A3214">
        <v>3213</v>
      </c>
      <c r="B3214" t="s">
        <v>5178</v>
      </c>
      <c r="C3214">
        <v>0</v>
      </c>
      <c r="J3214">
        <v>3213</v>
      </c>
      <c r="K3214" t="s">
        <v>5178</v>
      </c>
      <c r="L3214">
        <v>0</v>
      </c>
    </row>
    <row r="3215" spans="1:12" x14ac:dyDescent="0.25">
      <c r="A3215">
        <v>3214</v>
      </c>
      <c r="B3215" t="s">
        <v>5179</v>
      </c>
      <c r="C3215">
        <v>0</v>
      </c>
      <c r="J3215">
        <v>3214</v>
      </c>
      <c r="K3215" t="s">
        <v>5179</v>
      </c>
      <c r="L3215">
        <v>0</v>
      </c>
    </row>
    <row r="3216" spans="1:12" x14ac:dyDescent="0.25">
      <c r="A3216">
        <v>3215</v>
      </c>
      <c r="B3216" t="s">
        <v>5180</v>
      </c>
      <c r="C3216">
        <v>0</v>
      </c>
      <c r="J3216">
        <v>3215</v>
      </c>
      <c r="K3216" t="s">
        <v>5180</v>
      </c>
      <c r="L3216">
        <v>0</v>
      </c>
    </row>
    <row r="3217" spans="1:12" x14ac:dyDescent="0.25">
      <c r="A3217">
        <v>3216</v>
      </c>
      <c r="B3217" t="s">
        <v>5181</v>
      </c>
      <c r="C3217">
        <v>0</v>
      </c>
      <c r="J3217">
        <v>3216</v>
      </c>
      <c r="K3217" t="s">
        <v>5181</v>
      </c>
      <c r="L3217">
        <v>0</v>
      </c>
    </row>
    <row r="3218" spans="1:12" x14ac:dyDescent="0.25">
      <c r="A3218">
        <v>3217</v>
      </c>
      <c r="B3218" t="s">
        <v>5182</v>
      </c>
      <c r="C3218">
        <v>0</v>
      </c>
      <c r="J3218">
        <v>3217</v>
      </c>
      <c r="K3218" t="s">
        <v>5182</v>
      </c>
      <c r="L3218">
        <v>0</v>
      </c>
    </row>
    <row r="3219" spans="1:12" x14ac:dyDescent="0.25">
      <c r="A3219">
        <v>3218</v>
      </c>
      <c r="B3219" t="s">
        <v>5183</v>
      </c>
      <c r="C3219">
        <v>0</v>
      </c>
      <c r="J3219">
        <v>3218</v>
      </c>
      <c r="K3219" t="s">
        <v>5183</v>
      </c>
      <c r="L3219">
        <v>0</v>
      </c>
    </row>
    <row r="3220" spans="1:12" x14ac:dyDescent="0.25">
      <c r="A3220">
        <v>3219</v>
      </c>
      <c r="B3220" t="s">
        <v>5184</v>
      </c>
      <c r="C3220">
        <v>0</v>
      </c>
      <c r="J3220">
        <v>3219</v>
      </c>
      <c r="K3220" t="s">
        <v>5184</v>
      </c>
      <c r="L3220">
        <v>0</v>
      </c>
    </row>
    <row r="3221" spans="1:12" x14ac:dyDescent="0.25">
      <c r="A3221">
        <v>3220</v>
      </c>
      <c r="B3221" t="s">
        <v>5185</v>
      </c>
      <c r="C3221">
        <v>0</v>
      </c>
      <c r="J3221">
        <v>3220</v>
      </c>
      <c r="K3221" t="s">
        <v>5185</v>
      </c>
      <c r="L3221">
        <v>0</v>
      </c>
    </row>
    <row r="3222" spans="1:12" x14ac:dyDescent="0.25">
      <c r="A3222">
        <v>3221</v>
      </c>
      <c r="B3222" t="s">
        <v>5186</v>
      </c>
      <c r="C3222">
        <v>0</v>
      </c>
      <c r="J3222">
        <v>3221</v>
      </c>
      <c r="K3222" t="s">
        <v>5186</v>
      </c>
      <c r="L3222">
        <v>0</v>
      </c>
    </row>
    <row r="3223" spans="1:12" x14ac:dyDescent="0.25">
      <c r="A3223">
        <v>3222</v>
      </c>
      <c r="B3223" t="s">
        <v>5187</v>
      </c>
      <c r="C3223">
        <v>0</v>
      </c>
      <c r="J3223">
        <v>3222</v>
      </c>
      <c r="K3223" t="s">
        <v>5187</v>
      </c>
      <c r="L3223">
        <v>0</v>
      </c>
    </row>
    <row r="3224" spans="1:12" x14ac:dyDescent="0.25">
      <c r="A3224">
        <v>3223</v>
      </c>
      <c r="B3224" t="s">
        <v>5188</v>
      </c>
      <c r="C3224">
        <v>0</v>
      </c>
      <c r="J3224">
        <v>3223</v>
      </c>
      <c r="K3224" t="s">
        <v>5188</v>
      </c>
      <c r="L3224">
        <v>0</v>
      </c>
    </row>
    <row r="3225" spans="1:12" x14ac:dyDescent="0.25">
      <c r="A3225">
        <v>3224</v>
      </c>
      <c r="B3225" t="s">
        <v>5189</v>
      </c>
      <c r="C3225">
        <v>0</v>
      </c>
      <c r="J3225">
        <v>3224</v>
      </c>
      <c r="K3225" t="s">
        <v>5189</v>
      </c>
      <c r="L3225">
        <v>0</v>
      </c>
    </row>
    <row r="3226" spans="1:12" x14ac:dyDescent="0.25">
      <c r="A3226">
        <v>3225</v>
      </c>
      <c r="B3226" t="s">
        <v>5190</v>
      </c>
      <c r="C3226">
        <v>0</v>
      </c>
      <c r="J3226">
        <v>3225</v>
      </c>
      <c r="K3226" t="s">
        <v>5190</v>
      </c>
      <c r="L3226">
        <v>0</v>
      </c>
    </row>
    <row r="3227" spans="1:12" x14ac:dyDescent="0.25">
      <c r="A3227">
        <v>3226</v>
      </c>
      <c r="B3227" t="s">
        <v>5191</v>
      </c>
      <c r="C3227">
        <v>0</v>
      </c>
      <c r="J3227">
        <v>3226</v>
      </c>
      <c r="K3227" t="s">
        <v>5191</v>
      </c>
      <c r="L3227">
        <v>0</v>
      </c>
    </row>
    <row r="3228" spans="1:12" x14ac:dyDescent="0.25">
      <c r="A3228">
        <v>3227</v>
      </c>
      <c r="B3228" t="s">
        <v>5192</v>
      </c>
      <c r="C3228">
        <v>0</v>
      </c>
      <c r="J3228">
        <v>3227</v>
      </c>
      <c r="K3228" t="s">
        <v>5192</v>
      </c>
      <c r="L3228">
        <v>0</v>
      </c>
    </row>
    <row r="3229" spans="1:12" x14ac:dyDescent="0.25">
      <c r="A3229">
        <v>3228</v>
      </c>
      <c r="B3229" t="s">
        <v>5193</v>
      </c>
      <c r="C3229">
        <v>0</v>
      </c>
      <c r="J3229">
        <v>3228</v>
      </c>
      <c r="K3229" t="s">
        <v>5193</v>
      </c>
      <c r="L3229">
        <v>0</v>
      </c>
    </row>
    <row r="3230" spans="1:12" x14ac:dyDescent="0.25">
      <c r="A3230">
        <v>3229</v>
      </c>
      <c r="B3230" t="s">
        <v>5194</v>
      </c>
      <c r="C3230">
        <v>0</v>
      </c>
      <c r="J3230">
        <v>3229</v>
      </c>
      <c r="K3230" t="s">
        <v>5194</v>
      </c>
      <c r="L3230">
        <v>0</v>
      </c>
    </row>
    <row r="3231" spans="1:12" x14ac:dyDescent="0.25">
      <c r="A3231">
        <v>3230</v>
      </c>
      <c r="B3231" t="s">
        <v>5195</v>
      </c>
      <c r="C3231">
        <v>0</v>
      </c>
      <c r="J3231">
        <v>3230</v>
      </c>
      <c r="K3231" t="s">
        <v>5195</v>
      </c>
      <c r="L3231">
        <v>0</v>
      </c>
    </row>
    <row r="3232" spans="1:12" x14ac:dyDescent="0.25">
      <c r="A3232">
        <v>3231</v>
      </c>
      <c r="B3232" t="s">
        <v>5196</v>
      </c>
      <c r="C3232">
        <v>0</v>
      </c>
      <c r="J3232">
        <v>3231</v>
      </c>
      <c r="K3232" t="s">
        <v>5196</v>
      </c>
      <c r="L3232">
        <v>0</v>
      </c>
    </row>
    <row r="3233" spans="1:12" x14ac:dyDescent="0.25">
      <c r="A3233">
        <v>3232</v>
      </c>
      <c r="B3233" t="s">
        <v>5197</v>
      </c>
      <c r="C3233">
        <v>0</v>
      </c>
      <c r="J3233">
        <v>3232</v>
      </c>
      <c r="K3233" t="s">
        <v>5197</v>
      </c>
      <c r="L3233">
        <v>0</v>
      </c>
    </row>
    <row r="3234" spans="1:12" x14ac:dyDescent="0.25">
      <c r="A3234">
        <v>3233</v>
      </c>
      <c r="B3234" t="s">
        <v>5198</v>
      </c>
      <c r="C3234">
        <v>0</v>
      </c>
      <c r="J3234">
        <v>3233</v>
      </c>
      <c r="K3234" t="s">
        <v>5198</v>
      </c>
      <c r="L3234">
        <v>0</v>
      </c>
    </row>
    <row r="3235" spans="1:12" x14ac:dyDescent="0.25">
      <c r="A3235">
        <v>3234</v>
      </c>
      <c r="B3235" t="s">
        <v>5199</v>
      </c>
      <c r="C3235">
        <v>0</v>
      </c>
      <c r="J3235">
        <v>3234</v>
      </c>
      <c r="K3235" t="s">
        <v>5199</v>
      </c>
      <c r="L3235">
        <v>0</v>
      </c>
    </row>
    <row r="3236" spans="1:12" x14ac:dyDescent="0.25">
      <c r="A3236">
        <v>3235</v>
      </c>
      <c r="B3236" t="s">
        <v>5200</v>
      </c>
      <c r="C3236">
        <v>0</v>
      </c>
      <c r="J3236">
        <v>3235</v>
      </c>
      <c r="K3236" t="s">
        <v>5200</v>
      </c>
      <c r="L3236">
        <v>0</v>
      </c>
    </row>
    <row r="3237" spans="1:12" x14ac:dyDescent="0.25">
      <c r="A3237">
        <v>3236</v>
      </c>
      <c r="B3237" t="s">
        <v>5201</v>
      </c>
      <c r="C3237">
        <v>0</v>
      </c>
      <c r="J3237">
        <v>3236</v>
      </c>
      <c r="K3237" t="s">
        <v>5201</v>
      </c>
      <c r="L3237">
        <v>0</v>
      </c>
    </row>
    <row r="3238" spans="1:12" x14ac:dyDescent="0.25">
      <c r="A3238">
        <v>3237</v>
      </c>
      <c r="B3238" t="s">
        <v>5202</v>
      </c>
      <c r="C3238">
        <v>0</v>
      </c>
      <c r="J3238">
        <v>3237</v>
      </c>
      <c r="K3238" t="s">
        <v>5202</v>
      </c>
      <c r="L3238">
        <v>0</v>
      </c>
    </row>
    <row r="3239" spans="1:12" x14ac:dyDescent="0.25">
      <c r="A3239">
        <v>3238</v>
      </c>
      <c r="B3239" t="s">
        <v>5203</v>
      </c>
      <c r="C3239">
        <v>0</v>
      </c>
      <c r="J3239">
        <v>3238</v>
      </c>
      <c r="K3239" t="s">
        <v>5203</v>
      </c>
      <c r="L3239">
        <v>0</v>
      </c>
    </row>
    <row r="3240" spans="1:12" x14ac:dyDescent="0.25">
      <c r="A3240">
        <v>3239</v>
      </c>
      <c r="B3240" t="s">
        <v>5204</v>
      </c>
      <c r="C3240">
        <v>0</v>
      </c>
      <c r="J3240">
        <v>3239</v>
      </c>
      <c r="K3240" t="s">
        <v>5204</v>
      </c>
      <c r="L3240">
        <v>0</v>
      </c>
    </row>
    <row r="3241" spans="1:12" x14ac:dyDescent="0.25">
      <c r="A3241">
        <v>3240</v>
      </c>
      <c r="B3241" t="s">
        <v>5205</v>
      </c>
      <c r="C3241">
        <v>0</v>
      </c>
      <c r="J3241">
        <v>3240</v>
      </c>
      <c r="K3241" t="s">
        <v>5205</v>
      </c>
      <c r="L3241">
        <v>0</v>
      </c>
    </row>
    <row r="3242" spans="1:12" x14ac:dyDescent="0.25">
      <c r="A3242">
        <v>3241</v>
      </c>
      <c r="B3242" t="s">
        <v>5206</v>
      </c>
      <c r="C3242">
        <v>0</v>
      </c>
      <c r="J3242">
        <v>3241</v>
      </c>
      <c r="K3242" t="s">
        <v>5206</v>
      </c>
      <c r="L3242">
        <v>0</v>
      </c>
    </row>
    <row r="3243" spans="1:12" x14ac:dyDescent="0.25">
      <c r="A3243">
        <v>3242</v>
      </c>
      <c r="B3243" t="s">
        <v>5207</v>
      </c>
      <c r="C3243">
        <v>0</v>
      </c>
      <c r="J3243">
        <v>3242</v>
      </c>
      <c r="K3243" t="s">
        <v>5207</v>
      </c>
      <c r="L3243">
        <v>0</v>
      </c>
    </row>
    <row r="3244" spans="1:12" x14ac:dyDescent="0.25">
      <c r="A3244">
        <v>3243</v>
      </c>
      <c r="B3244" t="s">
        <v>5208</v>
      </c>
      <c r="C3244">
        <v>0</v>
      </c>
      <c r="J3244">
        <v>3243</v>
      </c>
      <c r="K3244" t="s">
        <v>5208</v>
      </c>
      <c r="L3244">
        <v>0</v>
      </c>
    </row>
    <row r="3245" spans="1:12" x14ac:dyDescent="0.25">
      <c r="A3245">
        <v>3244</v>
      </c>
      <c r="B3245" t="s">
        <v>5209</v>
      </c>
      <c r="C3245">
        <v>0</v>
      </c>
      <c r="J3245">
        <v>3244</v>
      </c>
      <c r="K3245" t="s">
        <v>5209</v>
      </c>
      <c r="L3245">
        <v>0</v>
      </c>
    </row>
    <row r="3246" spans="1:12" x14ac:dyDescent="0.25">
      <c r="A3246">
        <v>3245</v>
      </c>
      <c r="B3246" t="s">
        <v>5210</v>
      </c>
      <c r="C3246">
        <v>0</v>
      </c>
      <c r="J3246">
        <v>3245</v>
      </c>
      <c r="K3246" t="s">
        <v>5210</v>
      </c>
      <c r="L3246">
        <v>0</v>
      </c>
    </row>
    <row r="3247" spans="1:12" x14ac:dyDescent="0.25">
      <c r="A3247">
        <v>3246</v>
      </c>
      <c r="B3247" t="s">
        <v>5211</v>
      </c>
      <c r="C3247">
        <v>0</v>
      </c>
      <c r="J3247">
        <v>3246</v>
      </c>
      <c r="K3247" t="s">
        <v>5211</v>
      </c>
      <c r="L3247">
        <v>0</v>
      </c>
    </row>
    <row r="3248" spans="1:12" x14ac:dyDescent="0.25">
      <c r="A3248">
        <v>3247</v>
      </c>
      <c r="B3248" t="s">
        <v>5212</v>
      </c>
      <c r="C3248">
        <v>0</v>
      </c>
      <c r="J3248">
        <v>3247</v>
      </c>
      <c r="K3248" t="s">
        <v>5212</v>
      </c>
      <c r="L3248">
        <v>0</v>
      </c>
    </row>
    <row r="3249" spans="1:12" x14ac:dyDescent="0.25">
      <c r="A3249">
        <v>3248</v>
      </c>
      <c r="B3249" t="s">
        <v>5213</v>
      </c>
      <c r="C3249">
        <v>0</v>
      </c>
      <c r="J3249">
        <v>3248</v>
      </c>
      <c r="K3249" t="s">
        <v>5213</v>
      </c>
      <c r="L3249">
        <v>0</v>
      </c>
    </row>
    <row r="3250" spans="1:12" x14ac:dyDescent="0.25">
      <c r="A3250">
        <v>3249</v>
      </c>
      <c r="B3250" t="s">
        <v>5214</v>
      </c>
      <c r="C3250">
        <v>0</v>
      </c>
      <c r="J3250">
        <v>3249</v>
      </c>
      <c r="K3250" t="s">
        <v>5214</v>
      </c>
      <c r="L3250">
        <v>0</v>
      </c>
    </row>
    <row r="3251" spans="1:12" x14ac:dyDescent="0.25">
      <c r="A3251">
        <v>3250</v>
      </c>
      <c r="B3251" t="s">
        <v>5215</v>
      </c>
      <c r="C3251">
        <v>0</v>
      </c>
      <c r="J3251">
        <v>3250</v>
      </c>
      <c r="K3251" t="s">
        <v>5215</v>
      </c>
      <c r="L3251">
        <v>0</v>
      </c>
    </row>
    <row r="3252" spans="1:12" x14ac:dyDescent="0.25">
      <c r="A3252">
        <v>3251</v>
      </c>
      <c r="B3252" t="s">
        <v>5216</v>
      </c>
      <c r="C3252">
        <v>0</v>
      </c>
      <c r="J3252">
        <v>3251</v>
      </c>
      <c r="K3252" t="s">
        <v>5216</v>
      </c>
      <c r="L3252">
        <v>0</v>
      </c>
    </row>
    <row r="3253" spans="1:12" x14ac:dyDescent="0.25">
      <c r="A3253">
        <v>3252</v>
      </c>
      <c r="B3253" t="s">
        <v>5217</v>
      </c>
      <c r="C3253">
        <v>0</v>
      </c>
      <c r="J3253">
        <v>3252</v>
      </c>
      <c r="K3253" t="s">
        <v>5217</v>
      </c>
      <c r="L3253">
        <v>0</v>
      </c>
    </row>
    <row r="3254" spans="1:12" x14ac:dyDescent="0.25">
      <c r="A3254">
        <v>3253</v>
      </c>
      <c r="B3254" t="s">
        <v>5218</v>
      </c>
      <c r="C3254">
        <v>0</v>
      </c>
      <c r="J3254">
        <v>3253</v>
      </c>
      <c r="K3254" t="s">
        <v>5218</v>
      </c>
      <c r="L3254">
        <v>0</v>
      </c>
    </row>
    <row r="3255" spans="1:12" x14ac:dyDescent="0.25">
      <c r="A3255">
        <v>3254</v>
      </c>
      <c r="B3255" t="s">
        <v>5219</v>
      </c>
      <c r="C3255">
        <v>0</v>
      </c>
      <c r="J3255">
        <v>3254</v>
      </c>
      <c r="K3255" t="s">
        <v>5219</v>
      </c>
      <c r="L3255">
        <v>0</v>
      </c>
    </row>
    <row r="3256" spans="1:12" x14ac:dyDescent="0.25">
      <c r="A3256">
        <v>3255</v>
      </c>
      <c r="B3256" t="s">
        <v>5220</v>
      </c>
      <c r="C3256">
        <v>0</v>
      </c>
      <c r="J3256">
        <v>3255</v>
      </c>
      <c r="K3256" t="s">
        <v>5220</v>
      </c>
      <c r="L3256">
        <v>0</v>
      </c>
    </row>
    <row r="3257" spans="1:12" x14ac:dyDescent="0.25">
      <c r="A3257">
        <v>3256</v>
      </c>
      <c r="B3257" t="s">
        <v>5221</v>
      </c>
      <c r="C3257">
        <v>0</v>
      </c>
      <c r="J3257">
        <v>3256</v>
      </c>
      <c r="K3257" t="s">
        <v>5221</v>
      </c>
      <c r="L3257">
        <v>0</v>
      </c>
    </row>
    <row r="3258" spans="1:12" x14ac:dyDescent="0.25">
      <c r="A3258">
        <v>3257</v>
      </c>
      <c r="B3258" t="s">
        <v>5222</v>
      </c>
      <c r="C3258">
        <v>0</v>
      </c>
      <c r="J3258">
        <v>3257</v>
      </c>
      <c r="K3258" t="s">
        <v>5222</v>
      </c>
      <c r="L3258">
        <v>0</v>
      </c>
    </row>
    <row r="3259" spans="1:12" x14ac:dyDescent="0.25">
      <c r="A3259">
        <v>3258</v>
      </c>
      <c r="B3259" t="s">
        <v>5223</v>
      </c>
      <c r="C3259">
        <v>0</v>
      </c>
      <c r="J3259">
        <v>3258</v>
      </c>
      <c r="K3259" t="s">
        <v>5223</v>
      </c>
      <c r="L3259">
        <v>0</v>
      </c>
    </row>
    <row r="3260" spans="1:12" x14ac:dyDescent="0.25">
      <c r="A3260">
        <v>3259</v>
      </c>
      <c r="B3260" t="s">
        <v>5224</v>
      </c>
      <c r="C3260">
        <v>0</v>
      </c>
      <c r="J3260">
        <v>3259</v>
      </c>
      <c r="K3260" t="s">
        <v>5224</v>
      </c>
      <c r="L3260">
        <v>0</v>
      </c>
    </row>
    <row r="3261" spans="1:12" x14ac:dyDescent="0.25">
      <c r="A3261">
        <v>3260</v>
      </c>
      <c r="B3261" t="s">
        <v>5225</v>
      </c>
      <c r="C3261">
        <v>0</v>
      </c>
      <c r="J3261">
        <v>3260</v>
      </c>
      <c r="K3261" t="s">
        <v>5225</v>
      </c>
      <c r="L3261">
        <v>0</v>
      </c>
    </row>
    <row r="3262" spans="1:12" x14ac:dyDescent="0.25">
      <c r="A3262">
        <v>3261</v>
      </c>
      <c r="B3262" t="s">
        <v>5226</v>
      </c>
      <c r="C3262">
        <v>0</v>
      </c>
      <c r="J3262">
        <v>3261</v>
      </c>
      <c r="K3262" t="s">
        <v>5226</v>
      </c>
      <c r="L3262">
        <v>0</v>
      </c>
    </row>
    <row r="3263" spans="1:12" x14ac:dyDescent="0.25">
      <c r="A3263">
        <v>3262</v>
      </c>
      <c r="B3263" t="s">
        <v>5227</v>
      </c>
      <c r="C3263">
        <v>0</v>
      </c>
      <c r="J3263">
        <v>3262</v>
      </c>
      <c r="K3263" t="s">
        <v>5227</v>
      </c>
      <c r="L3263">
        <v>0</v>
      </c>
    </row>
    <row r="3264" spans="1:12" x14ac:dyDescent="0.25">
      <c r="A3264">
        <v>3263</v>
      </c>
      <c r="B3264" t="s">
        <v>5228</v>
      </c>
      <c r="C3264">
        <v>0</v>
      </c>
      <c r="J3264">
        <v>3263</v>
      </c>
      <c r="K3264" t="s">
        <v>5228</v>
      </c>
      <c r="L3264">
        <v>0</v>
      </c>
    </row>
    <row r="3265" spans="1:12" x14ac:dyDescent="0.25">
      <c r="A3265">
        <v>3264</v>
      </c>
      <c r="B3265" t="s">
        <v>5229</v>
      </c>
      <c r="C3265">
        <v>0</v>
      </c>
      <c r="J3265">
        <v>3264</v>
      </c>
      <c r="K3265" t="s">
        <v>5229</v>
      </c>
      <c r="L3265">
        <v>0</v>
      </c>
    </row>
    <row r="3266" spans="1:12" x14ac:dyDescent="0.25">
      <c r="A3266">
        <v>3265</v>
      </c>
      <c r="B3266" t="s">
        <v>5230</v>
      </c>
      <c r="C3266">
        <v>0</v>
      </c>
      <c r="J3266">
        <v>3265</v>
      </c>
      <c r="K3266" t="s">
        <v>5230</v>
      </c>
      <c r="L3266">
        <v>0</v>
      </c>
    </row>
    <row r="3267" spans="1:12" x14ac:dyDescent="0.25">
      <c r="A3267">
        <v>3266</v>
      </c>
      <c r="B3267" t="s">
        <v>5231</v>
      </c>
      <c r="C3267">
        <v>0</v>
      </c>
      <c r="J3267">
        <v>3266</v>
      </c>
      <c r="K3267" t="s">
        <v>5231</v>
      </c>
      <c r="L3267">
        <v>0</v>
      </c>
    </row>
    <row r="3268" spans="1:12" x14ac:dyDescent="0.25">
      <c r="A3268">
        <v>3267</v>
      </c>
      <c r="B3268" t="s">
        <v>5232</v>
      </c>
      <c r="C3268">
        <v>0</v>
      </c>
      <c r="J3268">
        <v>3267</v>
      </c>
      <c r="K3268" t="s">
        <v>5232</v>
      </c>
      <c r="L3268">
        <v>0</v>
      </c>
    </row>
    <row r="3269" spans="1:12" x14ac:dyDescent="0.25">
      <c r="A3269">
        <v>3268</v>
      </c>
      <c r="B3269" t="s">
        <v>5233</v>
      </c>
      <c r="C3269">
        <v>0</v>
      </c>
      <c r="J3269">
        <v>3268</v>
      </c>
      <c r="K3269" t="s">
        <v>5233</v>
      </c>
      <c r="L3269">
        <v>0</v>
      </c>
    </row>
    <row r="3270" spans="1:12" x14ac:dyDescent="0.25">
      <c r="A3270">
        <v>3269</v>
      </c>
      <c r="B3270" t="s">
        <v>5234</v>
      </c>
      <c r="C3270">
        <v>0</v>
      </c>
      <c r="J3270">
        <v>3269</v>
      </c>
      <c r="K3270" t="s">
        <v>5234</v>
      </c>
      <c r="L3270">
        <v>0</v>
      </c>
    </row>
    <row r="3271" spans="1:12" x14ac:dyDescent="0.25">
      <c r="A3271">
        <v>3270</v>
      </c>
      <c r="B3271" t="s">
        <v>5235</v>
      </c>
      <c r="C3271">
        <v>0</v>
      </c>
      <c r="J3271">
        <v>3270</v>
      </c>
      <c r="K3271" t="s">
        <v>5235</v>
      </c>
      <c r="L3271">
        <v>0</v>
      </c>
    </row>
    <row r="3272" spans="1:12" x14ac:dyDescent="0.25">
      <c r="A3272">
        <v>3271</v>
      </c>
      <c r="B3272" t="s">
        <v>5236</v>
      </c>
      <c r="C3272">
        <v>0</v>
      </c>
      <c r="J3272">
        <v>3271</v>
      </c>
      <c r="K3272" t="s">
        <v>5236</v>
      </c>
      <c r="L3272">
        <v>0</v>
      </c>
    </row>
    <row r="3273" spans="1:12" x14ac:dyDescent="0.25">
      <c r="A3273">
        <v>3272</v>
      </c>
      <c r="B3273" t="s">
        <v>5237</v>
      </c>
      <c r="C3273">
        <v>0</v>
      </c>
      <c r="J3273">
        <v>3272</v>
      </c>
      <c r="K3273" t="s">
        <v>5237</v>
      </c>
      <c r="L3273">
        <v>0</v>
      </c>
    </row>
    <row r="3274" spans="1:12" x14ac:dyDescent="0.25">
      <c r="A3274">
        <v>3273</v>
      </c>
      <c r="B3274" t="s">
        <v>5238</v>
      </c>
      <c r="C3274">
        <v>0</v>
      </c>
      <c r="J3274">
        <v>3273</v>
      </c>
      <c r="K3274" t="s">
        <v>5238</v>
      </c>
      <c r="L3274">
        <v>0</v>
      </c>
    </row>
    <row r="3275" spans="1:12" x14ac:dyDescent="0.25">
      <c r="A3275">
        <v>3274</v>
      </c>
      <c r="B3275" t="s">
        <v>5239</v>
      </c>
      <c r="C3275">
        <v>0</v>
      </c>
      <c r="J3275">
        <v>3274</v>
      </c>
      <c r="K3275" t="s">
        <v>5239</v>
      </c>
      <c r="L3275">
        <v>0</v>
      </c>
    </row>
    <row r="3276" spans="1:12" x14ac:dyDescent="0.25">
      <c r="A3276">
        <v>3275</v>
      </c>
      <c r="B3276" t="s">
        <v>5240</v>
      </c>
      <c r="C3276">
        <v>0</v>
      </c>
      <c r="J3276">
        <v>3275</v>
      </c>
      <c r="K3276" t="s">
        <v>5240</v>
      </c>
      <c r="L3276">
        <v>0</v>
      </c>
    </row>
    <row r="3277" spans="1:12" x14ac:dyDescent="0.25">
      <c r="A3277">
        <v>3276</v>
      </c>
      <c r="B3277" t="s">
        <v>5241</v>
      </c>
      <c r="C3277">
        <v>0</v>
      </c>
      <c r="J3277">
        <v>3276</v>
      </c>
      <c r="K3277" t="s">
        <v>5241</v>
      </c>
      <c r="L3277">
        <v>0</v>
      </c>
    </row>
    <row r="3278" spans="1:12" x14ac:dyDescent="0.25">
      <c r="A3278">
        <v>3277</v>
      </c>
      <c r="B3278" t="s">
        <v>5242</v>
      </c>
      <c r="C3278">
        <v>0</v>
      </c>
      <c r="J3278">
        <v>3277</v>
      </c>
      <c r="K3278" t="s">
        <v>5242</v>
      </c>
      <c r="L3278">
        <v>0</v>
      </c>
    </row>
    <row r="3279" spans="1:12" x14ac:dyDescent="0.25">
      <c r="A3279">
        <v>3278</v>
      </c>
      <c r="B3279" t="s">
        <v>5243</v>
      </c>
      <c r="C3279">
        <v>0</v>
      </c>
      <c r="J3279">
        <v>3278</v>
      </c>
      <c r="K3279" t="s">
        <v>5243</v>
      </c>
      <c r="L3279">
        <v>0</v>
      </c>
    </row>
    <row r="3280" spans="1:12" x14ac:dyDescent="0.25">
      <c r="A3280">
        <v>3279</v>
      </c>
      <c r="B3280" t="s">
        <v>5244</v>
      </c>
      <c r="C3280">
        <v>0</v>
      </c>
      <c r="J3280">
        <v>3279</v>
      </c>
      <c r="K3280" t="s">
        <v>5244</v>
      </c>
      <c r="L3280">
        <v>0</v>
      </c>
    </row>
    <row r="3281" spans="1:12" x14ac:dyDescent="0.25">
      <c r="A3281">
        <v>3280</v>
      </c>
      <c r="B3281" t="s">
        <v>5245</v>
      </c>
      <c r="C3281">
        <v>0</v>
      </c>
      <c r="J3281">
        <v>3280</v>
      </c>
      <c r="K3281" t="s">
        <v>5245</v>
      </c>
      <c r="L3281">
        <v>0</v>
      </c>
    </row>
    <row r="3282" spans="1:12" x14ac:dyDescent="0.25">
      <c r="A3282">
        <v>3281</v>
      </c>
      <c r="B3282" t="s">
        <v>5246</v>
      </c>
      <c r="C3282">
        <v>0</v>
      </c>
      <c r="J3282">
        <v>3281</v>
      </c>
      <c r="K3282" t="s">
        <v>5246</v>
      </c>
      <c r="L3282">
        <v>0</v>
      </c>
    </row>
    <row r="3283" spans="1:12" x14ac:dyDescent="0.25">
      <c r="A3283">
        <v>3282</v>
      </c>
      <c r="B3283" t="s">
        <v>5247</v>
      </c>
      <c r="C3283">
        <v>0</v>
      </c>
      <c r="J3283">
        <v>3282</v>
      </c>
      <c r="K3283" t="s">
        <v>5247</v>
      </c>
      <c r="L3283">
        <v>0</v>
      </c>
    </row>
    <row r="3284" spans="1:12" x14ac:dyDescent="0.25">
      <c r="A3284">
        <v>3283</v>
      </c>
      <c r="B3284" t="s">
        <v>5248</v>
      </c>
      <c r="C3284">
        <v>0</v>
      </c>
      <c r="J3284">
        <v>3283</v>
      </c>
      <c r="K3284" t="s">
        <v>5248</v>
      </c>
      <c r="L3284">
        <v>0</v>
      </c>
    </row>
    <row r="3285" spans="1:12" x14ac:dyDescent="0.25">
      <c r="A3285">
        <v>3284</v>
      </c>
      <c r="B3285" t="s">
        <v>5249</v>
      </c>
      <c r="C3285">
        <v>0</v>
      </c>
      <c r="J3285">
        <v>3284</v>
      </c>
      <c r="K3285" t="s">
        <v>5249</v>
      </c>
      <c r="L3285">
        <v>0</v>
      </c>
    </row>
    <row r="3286" spans="1:12" x14ac:dyDescent="0.25">
      <c r="A3286">
        <v>3285</v>
      </c>
      <c r="B3286" t="s">
        <v>5250</v>
      </c>
      <c r="C3286">
        <v>0</v>
      </c>
      <c r="J3286">
        <v>3285</v>
      </c>
      <c r="K3286" t="s">
        <v>5250</v>
      </c>
      <c r="L3286">
        <v>0</v>
      </c>
    </row>
    <row r="3287" spans="1:12" x14ac:dyDescent="0.25">
      <c r="A3287">
        <v>3286</v>
      </c>
      <c r="B3287" t="s">
        <v>5251</v>
      </c>
      <c r="C3287">
        <v>0</v>
      </c>
      <c r="J3287">
        <v>3286</v>
      </c>
      <c r="K3287" t="s">
        <v>5251</v>
      </c>
      <c r="L3287">
        <v>0</v>
      </c>
    </row>
    <row r="3288" spans="1:12" x14ac:dyDescent="0.25">
      <c r="A3288">
        <v>3287</v>
      </c>
      <c r="B3288" t="s">
        <v>5252</v>
      </c>
      <c r="C3288">
        <v>0</v>
      </c>
      <c r="J3288">
        <v>3287</v>
      </c>
      <c r="K3288" t="s">
        <v>5252</v>
      </c>
      <c r="L3288">
        <v>0</v>
      </c>
    </row>
    <row r="3289" spans="1:12" x14ac:dyDescent="0.25">
      <c r="A3289">
        <v>3288</v>
      </c>
      <c r="B3289" t="s">
        <v>5253</v>
      </c>
      <c r="C3289">
        <v>0</v>
      </c>
      <c r="J3289">
        <v>3288</v>
      </c>
      <c r="K3289" t="s">
        <v>5253</v>
      </c>
      <c r="L3289">
        <v>0</v>
      </c>
    </row>
    <row r="3290" spans="1:12" x14ac:dyDescent="0.25">
      <c r="A3290">
        <v>3289</v>
      </c>
      <c r="B3290" t="s">
        <v>5254</v>
      </c>
      <c r="C3290">
        <v>0</v>
      </c>
      <c r="J3290">
        <v>3289</v>
      </c>
      <c r="K3290" t="s">
        <v>5254</v>
      </c>
      <c r="L3290">
        <v>0</v>
      </c>
    </row>
    <row r="3291" spans="1:12" x14ac:dyDescent="0.25">
      <c r="A3291">
        <v>3290</v>
      </c>
      <c r="B3291" t="s">
        <v>5255</v>
      </c>
      <c r="C3291">
        <v>0</v>
      </c>
      <c r="J3291">
        <v>3290</v>
      </c>
      <c r="K3291" t="s">
        <v>5255</v>
      </c>
      <c r="L3291">
        <v>0</v>
      </c>
    </row>
    <row r="3292" spans="1:12" x14ac:dyDescent="0.25">
      <c r="A3292">
        <v>3291</v>
      </c>
      <c r="B3292" t="s">
        <v>5256</v>
      </c>
      <c r="C3292">
        <v>0</v>
      </c>
      <c r="J3292">
        <v>3291</v>
      </c>
      <c r="K3292" t="s">
        <v>5256</v>
      </c>
      <c r="L3292">
        <v>0</v>
      </c>
    </row>
    <row r="3293" spans="1:12" x14ac:dyDescent="0.25">
      <c r="A3293">
        <v>3292</v>
      </c>
      <c r="B3293" t="s">
        <v>5257</v>
      </c>
      <c r="C3293">
        <v>0</v>
      </c>
      <c r="J3293">
        <v>3292</v>
      </c>
      <c r="K3293" t="s">
        <v>5257</v>
      </c>
      <c r="L3293">
        <v>0</v>
      </c>
    </row>
    <row r="3294" spans="1:12" x14ac:dyDescent="0.25">
      <c r="A3294">
        <v>3293</v>
      </c>
      <c r="B3294" t="s">
        <v>5258</v>
      </c>
      <c r="C3294">
        <v>0</v>
      </c>
      <c r="J3294">
        <v>3293</v>
      </c>
      <c r="K3294" t="s">
        <v>5258</v>
      </c>
      <c r="L3294">
        <v>0</v>
      </c>
    </row>
    <row r="3295" spans="1:12" x14ac:dyDescent="0.25">
      <c r="A3295">
        <v>3294</v>
      </c>
      <c r="B3295" t="s">
        <v>5259</v>
      </c>
      <c r="C3295">
        <v>0</v>
      </c>
      <c r="J3295">
        <v>3294</v>
      </c>
      <c r="K3295" t="s">
        <v>5259</v>
      </c>
      <c r="L3295">
        <v>0</v>
      </c>
    </row>
    <row r="3296" spans="1:12" x14ac:dyDescent="0.25">
      <c r="A3296">
        <v>3295</v>
      </c>
      <c r="B3296" t="s">
        <v>5260</v>
      </c>
      <c r="C3296">
        <v>0</v>
      </c>
      <c r="J3296">
        <v>3295</v>
      </c>
      <c r="K3296" t="s">
        <v>5260</v>
      </c>
      <c r="L3296">
        <v>0</v>
      </c>
    </row>
    <row r="3297" spans="1:12" x14ac:dyDescent="0.25">
      <c r="A3297">
        <v>3296</v>
      </c>
      <c r="B3297" t="s">
        <v>5261</v>
      </c>
      <c r="C3297">
        <v>0</v>
      </c>
      <c r="J3297">
        <v>3296</v>
      </c>
      <c r="K3297" t="s">
        <v>5261</v>
      </c>
      <c r="L3297">
        <v>0</v>
      </c>
    </row>
    <row r="3298" spans="1:12" x14ac:dyDescent="0.25">
      <c r="A3298">
        <v>3297</v>
      </c>
      <c r="B3298" t="s">
        <v>5262</v>
      </c>
      <c r="C3298">
        <v>0</v>
      </c>
      <c r="J3298">
        <v>3297</v>
      </c>
      <c r="K3298" t="s">
        <v>5262</v>
      </c>
      <c r="L3298">
        <v>0</v>
      </c>
    </row>
    <row r="3299" spans="1:12" x14ac:dyDescent="0.25">
      <c r="A3299">
        <v>3298</v>
      </c>
      <c r="B3299" t="s">
        <v>5263</v>
      </c>
      <c r="C3299">
        <v>0</v>
      </c>
      <c r="J3299">
        <v>3298</v>
      </c>
      <c r="K3299" t="s">
        <v>5263</v>
      </c>
      <c r="L3299">
        <v>0</v>
      </c>
    </row>
    <row r="3300" spans="1:12" x14ac:dyDescent="0.25">
      <c r="A3300">
        <v>3299</v>
      </c>
      <c r="B3300" t="s">
        <v>5264</v>
      </c>
      <c r="C3300">
        <v>0</v>
      </c>
      <c r="J3300">
        <v>3299</v>
      </c>
      <c r="K3300" t="s">
        <v>5264</v>
      </c>
      <c r="L3300">
        <v>0</v>
      </c>
    </row>
    <row r="3301" spans="1:12" x14ac:dyDescent="0.25">
      <c r="A3301">
        <v>3300</v>
      </c>
      <c r="B3301" t="s">
        <v>5265</v>
      </c>
      <c r="C3301">
        <v>0</v>
      </c>
      <c r="J3301">
        <v>3300</v>
      </c>
      <c r="K3301" t="s">
        <v>5265</v>
      </c>
      <c r="L3301">
        <v>0</v>
      </c>
    </row>
    <row r="3302" spans="1:12" x14ac:dyDescent="0.25">
      <c r="A3302">
        <v>3301</v>
      </c>
      <c r="B3302" t="s">
        <v>5266</v>
      </c>
      <c r="C3302">
        <v>0</v>
      </c>
      <c r="J3302">
        <v>3301</v>
      </c>
      <c r="K3302" t="s">
        <v>5266</v>
      </c>
      <c r="L3302">
        <v>0</v>
      </c>
    </row>
    <row r="3303" spans="1:12" x14ac:dyDescent="0.25">
      <c r="A3303">
        <v>3302</v>
      </c>
      <c r="B3303" t="s">
        <v>5267</v>
      </c>
      <c r="C3303">
        <v>0</v>
      </c>
      <c r="J3303">
        <v>3302</v>
      </c>
      <c r="K3303" t="s">
        <v>5267</v>
      </c>
      <c r="L3303">
        <v>0</v>
      </c>
    </row>
    <row r="3304" spans="1:12" x14ac:dyDescent="0.25">
      <c r="A3304">
        <v>3303</v>
      </c>
      <c r="B3304" t="s">
        <v>5268</v>
      </c>
      <c r="C3304">
        <v>0</v>
      </c>
      <c r="J3304">
        <v>3303</v>
      </c>
      <c r="K3304" t="s">
        <v>5268</v>
      </c>
      <c r="L3304">
        <v>0</v>
      </c>
    </row>
    <row r="3305" spans="1:12" x14ac:dyDescent="0.25">
      <c r="A3305">
        <v>3304</v>
      </c>
      <c r="B3305" t="s">
        <v>5269</v>
      </c>
      <c r="C3305">
        <v>0</v>
      </c>
      <c r="J3305">
        <v>3304</v>
      </c>
      <c r="K3305" t="s">
        <v>5269</v>
      </c>
      <c r="L3305">
        <v>0</v>
      </c>
    </row>
    <row r="3306" spans="1:12" x14ac:dyDescent="0.25">
      <c r="A3306">
        <v>3305</v>
      </c>
      <c r="B3306" t="s">
        <v>5270</v>
      </c>
      <c r="C3306">
        <v>0</v>
      </c>
      <c r="J3306">
        <v>3305</v>
      </c>
      <c r="K3306" t="s">
        <v>5270</v>
      </c>
      <c r="L3306">
        <v>0</v>
      </c>
    </row>
    <row r="3307" spans="1:12" x14ac:dyDescent="0.25">
      <c r="A3307">
        <v>3306</v>
      </c>
      <c r="B3307" t="s">
        <v>5271</v>
      </c>
      <c r="C3307">
        <v>0</v>
      </c>
      <c r="J3307">
        <v>3306</v>
      </c>
      <c r="K3307" t="s">
        <v>5271</v>
      </c>
      <c r="L3307">
        <v>0</v>
      </c>
    </row>
    <row r="3308" spans="1:12" x14ac:dyDescent="0.25">
      <c r="A3308">
        <v>3307</v>
      </c>
      <c r="B3308" t="s">
        <v>5272</v>
      </c>
      <c r="C3308">
        <v>0</v>
      </c>
      <c r="J3308">
        <v>3307</v>
      </c>
      <c r="K3308" t="s">
        <v>5272</v>
      </c>
      <c r="L3308">
        <v>0</v>
      </c>
    </row>
    <row r="3309" spans="1:12" x14ac:dyDescent="0.25">
      <c r="A3309">
        <v>3308</v>
      </c>
      <c r="B3309" t="s">
        <v>5273</v>
      </c>
      <c r="C3309">
        <v>0</v>
      </c>
      <c r="J3309">
        <v>3308</v>
      </c>
      <c r="K3309" t="s">
        <v>5273</v>
      </c>
      <c r="L3309">
        <v>0</v>
      </c>
    </row>
    <row r="3310" spans="1:12" x14ac:dyDescent="0.25">
      <c r="A3310">
        <v>3309</v>
      </c>
      <c r="B3310" t="s">
        <v>5274</v>
      </c>
      <c r="C3310">
        <v>0</v>
      </c>
      <c r="J3310">
        <v>3309</v>
      </c>
      <c r="K3310" t="s">
        <v>5274</v>
      </c>
      <c r="L3310">
        <v>0</v>
      </c>
    </row>
    <row r="3311" spans="1:12" x14ac:dyDescent="0.25">
      <c r="A3311">
        <v>3310</v>
      </c>
      <c r="B3311" t="s">
        <v>5275</v>
      </c>
      <c r="C3311">
        <v>0</v>
      </c>
      <c r="J3311">
        <v>3310</v>
      </c>
      <c r="K3311" t="s">
        <v>5275</v>
      </c>
      <c r="L3311">
        <v>0</v>
      </c>
    </row>
    <row r="3312" spans="1:12" x14ac:dyDescent="0.25">
      <c r="A3312">
        <v>3311</v>
      </c>
      <c r="B3312" t="s">
        <v>5276</v>
      </c>
      <c r="C3312">
        <v>0</v>
      </c>
      <c r="J3312">
        <v>3311</v>
      </c>
      <c r="K3312" t="s">
        <v>5276</v>
      </c>
      <c r="L3312">
        <v>0</v>
      </c>
    </row>
    <row r="3313" spans="1:12" x14ac:dyDescent="0.25">
      <c r="A3313">
        <v>3312</v>
      </c>
      <c r="B3313" t="s">
        <v>5277</v>
      </c>
      <c r="C3313">
        <v>0</v>
      </c>
      <c r="J3313">
        <v>3312</v>
      </c>
      <c r="K3313" t="s">
        <v>5277</v>
      </c>
      <c r="L3313">
        <v>0</v>
      </c>
    </row>
    <row r="3314" spans="1:12" x14ac:dyDescent="0.25">
      <c r="A3314">
        <v>3313</v>
      </c>
      <c r="B3314" t="s">
        <v>5278</v>
      </c>
      <c r="C3314">
        <v>0</v>
      </c>
      <c r="J3314">
        <v>3313</v>
      </c>
      <c r="K3314" t="s">
        <v>5278</v>
      </c>
      <c r="L3314">
        <v>0</v>
      </c>
    </row>
    <row r="3315" spans="1:12" x14ac:dyDescent="0.25">
      <c r="A3315">
        <v>3314</v>
      </c>
      <c r="B3315" t="s">
        <v>5279</v>
      </c>
      <c r="C3315">
        <v>0</v>
      </c>
      <c r="J3315">
        <v>3314</v>
      </c>
      <c r="K3315" t="s">
        <v>5279</v>
      </c>
      <c r="L3315">
        <v>0</v>
      </c>
    </row>
    <row r="3316" spans="1:12" x14ac:dyDescent="0.25">
      <c r="A3316">
        <v>3315</v>
      </c>
      <c r="B3316" t="s">
        <v>5280</v>
      </c>
      <c r="C3316">
        <v>0</v>
      </c>
      <c r="J3316">
        <v>3315</v>
      </c>
      <c r="K3316" t="s">
        <v>5280</v>
      </c>
      <c r="L3316">
        <v>0</v>
      </c>
    </row>
    <row r="3317" spans="1:12" x14ac:dyDescent="0.25">
      <c r="A3317">
        <v>3316</v>
      </c>
      <c r="B3317" t="s">
        <v>5281</v>
      </c>
      <c r="C3317">
        <v>0</v>
      </c>
      <c r="J3317">
        <v>3316</v>
      </c>
      <c r="K3317" t="s">
        <v>5281</v>
      </c>
      <c r="L3317">
        <v>0</v>
      </c>
    </row>
    <row r="3318" spans="1:12" x14ac:dyDescent="0.25">
      <c r="A3318">
        <v>3317</v>
      </c>
      <c r="B3318" t="s">
        <v>5282</v>
      </c>
      <c r="C3318">
        <v>0</v>
      </c>
      <c r="J3318">
        <v>3317</v>
      </c>
      <c r="K3318" t="s">
        <v>5282</v>
      </c>
      <c r="L3318">
        <v>0</v>
      </c>
    </row>
    <row r="3319" spans="1:12" x14ac:dyDescent="0.25">
      <c r="A3319">
        <v>3318</v>
      </c>
      <c r="B3319" t="s">
        <v>5283</v>
      </c>
      <c r="C3319">
        <v>0</v>
      </c>
      <c r="J3319">
        <v>3318</v>
      </c>
      <c r="K3319" t="s">
        <v>5283</v>
      </c>
      <c r="L3319">
        <v>0</v>
      </c>
    </row>
    <row r="3320" spans="1:12" x14ac:dyDescent="0.25">
      <c r="A3320">
        <v>3319</v>
      </c>
      <c r="B3320" t="s">
        <v>5284</v>
      </c>
      <c r="C3320">
        <v>0</v>
      </c>
      <c r="J3320">
        <v>3319</v>
      </c>
      <c r="K3320" t="s">
        <v>5284</v>
      </c>
      <c r="L3320">
        <v>0</v>
      </c>
    </row>
    <row r="3321" spans="1:12" x14ac:dyDescent="0.25">
      <c r="A3321">
        <v>3320</v>
      </c>
      <c r="B3321" t="s">
        <v>5285</v>
      </c>
      <c r="C3321">
        <v>0</v>
      </c>
      <c r="J3321">
        <v>3320</v>
      </c>
      <c r="K3321" t="s">
        <v>5285</v>
      </c>
      <c r="L3321">
        <v>0</v>
      </c>
    </row>
    <row r="3322" spans="1:12" x14ac:dyDescent="0.25">
      <c r="A3322">
        <v>3321</v>
      </c>
      <c r="B3322" t="s">
        <v>5286</v>
      </c>
      <c r="C3322">
        <v>0</v>
      </c>
      <c r="J3322">
        <v>3321</v>
      </c>
      <c r="K3322" t="s">
        <v>5286</v>
      </c>
      <c r="L3322">
        <v>0</v>
      </c>
    </row>
    <row r="3323" spans="1:12" x14ac:dyDescent="0.25">
      <c r="A3323">
        <v>3322</v>
      </c>
      <c r="B3323" t="s">
        <v>5287</v>
      </c>
      <c r="C3323">
        <v>0</v>
      </c>
      <c r="J3323">
        <v>3322</v>
      </c>
      <c r="K3323" t="s">
        <v>5287</v>
      </c>
      <c r="L3323">
        <v>0</v>
      </c>
    </row>
    <row r="3324" spans="1:12" x14ac:dyDescent="0.25">
      <c r="A3324">
        <v>3323</v>
      </c>
      <c r="B3324" t="s">
        <v>5288</v>
      </c>
      <c r="C3324">
        <v>0</v>
      </c>
      <c r="J3324">
        <v>3323</v>
      </c>
      <c r="K3324" t="s">
        <v>5288</v>
      </c>
      <c r="L3324">
        <v>0</v>
      </c>
    </row>
    <row r="3325" spans="1:12" x14ac:dyDescent="0.25">
      <c r="A3325">
        <v>3324</v>
      </c>
      <c r="B3325" t="s">
        <v>5289</v>
      </c>
      <c r="C3325">
        <v>0</v>
      </c>
      <c r="J3325">
        <v>3324</v>
      </c>
      <c r="K3325" t="s">
        <v>5289</v>
      </c>
      <c r="L3325">
        <v>0</v>
      </c>
    </row>
    <row r="3326" spans="1:12" x14ac:dyDescent="0.25">
      <c r="A3326">
        <v>3325</v>
      </c>
      <c r="B3326" t="s">
        <v>5290</v>
      </c>
      <c r="C3326">
        <v>0</v>
      </c>
      <c r="J3326">
        <v>3325</v>
      </c>
      <c r="K3326" t="s">
        <v>5290</v>
      </c>
      <c r="L3326">
        <v>0</v>
      </c>
    </row>
    <row r="3327" spans="1:12" x14ac:dyDescent="0.25">
      <c r="A3327">
        <v>3326</v>
      </c>
      <c r="B3327" t="s">
        <v>5291</v>
      </c>
      <c r="C3327">
        <v>0</v>
      </c>
      <c r="J3327">
        <v>3326</v>
      </c>
      <c r="K3327" t="s">
        <v>5291</v>
      </c>
      <c r="L3327">
        <v>0</v>
      </c>
    </row>
    <row r="3328" spans="1:12" x14ac:dyDescent="0.25">
      <c r="A3328">
        <v>3327</v>
      </c>
      <c r="B3328" t="s">
        <v>5292</v>
      </c>
      <c r="C3328">
        <v>0</v>
      </c>
      <c r="J3328">
        <v>3327</v>
      </c>
      <c r="K3328" t="s">
        <v>5292</v>
      </c>
      <c r="L3328">
        <v>0</v>
      </c>
    </row>
    <row r="3329" spans="1:12" x14ac:dyDescent="0.25">
      <c r="A3329">
        <v>3328</v>
      </c>
      <c r="B3329" t="s">
        <v>5293</v>
      </c>
      <c r="C3329">
        <v>0</v>
      </c>
      <c r="J3329">
        <v>3328</v>
      </c>
      <c r="K3329" t="s">
        <v>5293</v>
      </c>
      <c r="L3329">
        <v>0</v>
      </c>
    </row>
    <row r="3330" spans="1:12" x14ac:dyDescent="0.25">
      <c r="A3330">
        <v>3329</v>
      </c>
      <c r="B3330" t="s">
        <v>5294</v>
      </c>
      <c r="C3330">
        <v>0</v>
      </c>
      <c r="J3330">
        <v>3329</v>
      </c>
      <c r="K3330" t="s">
        <v>5294</v>
      </c>
      <c r="L3330">
        <v>0</v>
      </c>
    </row>
    <row r="3331" spans="1:12" x14ac:dyDescent="0.25">
      <c r="A3331">
        <v>3330</v>
      </c>
      <c r="B3331" t="s">
        <v>5295</v>
      </c>
      <c r="C3331">
        <v>0</v>
      </c>
      <c r="J3331">
        <v>3330</v>
      </c>
      <c r="K3331" t="s">
        <v>5295</v>
      </c>
      <c r="L3331">
        <v>0</v>
      </c>
    </row>
    <row r="3332" spans="1:12" x14ac:dyDescent="0.25">
      <c r="A3332">
        <v>3331</v>
      </c>
      <c r="B3332" t="s">
        <v>5296</v>
      </c>
      <c r="C3332">
        <v>0</v>
      </c>
      <c r="J3332">
        <v>3331</v>
      </c>
      <c r="K3332" t="s">
        <v>5296</v>
      </c>
      <c r="L3332">
        <v>0</v>
      </c>
    </row>
    <row r="3333" spans="1:12" x14ac:dyDescent="0.25">
      <c r="A3333">
        <v>3332</v>
      </c>
      <c r="B3333" t="s">
        <v>5297</v>
      </c>
      <c r="C3333">
        <v>0</v>
      </c>
      <c r="J3333">
        <v>3332</v>
      </c>
      <c r="K3333" t="s">
        <v>5297</v>
      </c>
      <c r="L3333">
        <v>0</v>
      </c>
    </row>
    <row r="3334" spans="1:12" x14ac:dyDescent="0.25">
      <c r="A3334">
        <v>3333</v>
      </c>
      <c r="B3334" t="s">
        <v>5298</v>
      </c>
      <c r="C3334">
        <v>0</v>
      </c>
      <c r="J3334">
        <v>3333</v>
      </c>
      <c r="K3334" t="s">
        <v>5298</v>
      </c>
      <c r="L3334">
        <v>0</v>
      </c>
    </row>
    <row r="3335" spans="1:12" x14ac:dyDescent="0.25">
      <c r="A3335">
        <v>3334</v>
      </c>
      <c r="B3335" t="s">
        <v>5299</v>
      </c>
      <c r="C3335">
        <v>0</v>
      </c>
      <c r="J3335">
        <v>3334</v>
      </c>
      <c r="K3335" t="s">
        <v>5299</v>
      </c>
      <c r="L3335">
        <v>0</v>
      </c>
    </row>
    <row r="3336" spans="1:12" x14ac:dyDescent="0.25">
      <c r="A3336">
        <v>3335</v>
      </c>
      <c r="B3336" t="s">
        <v>5300</v>
      </c>
      <c r="C3336">
        <v>0</v>
      </c>
      <c r="J3336">
        <v>3335</v>
      </c>
      <c r="K3336" t="s">
        <v>5300</v>
      </c>
      <c r="L3336">
        <v>0</v>
      </c>
    </row>
    <row r="3337" spans="1:12" x14ac:dyDescent="0.25">
      <c r="A3337">
        <v>3336</v>
      </c>
      <c r="B3337" t="s">
        <v>5301</v>
      </c>
      <c r="C3337">
        <v>0</v>
      </c>
      <c r="J3337">
        <v>3336</v>
      </c>
      <c r="K3337" t="s">
        <v>5301</v>
      </c>
      <c r="L3337">
        <v>0</v>
      </c>
    </row>
    <row r="3338" spans="1:12" x14ac:dyDescent="0.25">
      <c r="A3338">
        <v>3337</v>
      </c>
      <c r="B3338" t="s">
        <v>5302</v>
      </c>
      <c r="C3338">
        <v>0</v>
      </c>
      <c r="J3338">
        <v>3337</v>
      </c>
      <c r="K3338" t="s">
        <v>5302</v>
      </c>
      <c r="L3338">
        <v>0</v>
      </c>
    </row>
    <row r="3339" spans="1:12" x14ac:dyDescent="0.25">
      <c r="A3339">
        <v>3338</v>
      </c>
      <c r="B3339" t="s">
        <v>5303</v>
      </c>
      <c r="C3339">
        <v>0</v>
      </c>
      <c r="J3339">
        <v>3338</v>
      </c>
      <c r="K3339" t="s">
        <v>5303</v>
      </c>
      <c r="L3339">
        <v>0</v>
      </c>
    </row>
    <row r="3340" spans="1:12" x14ac:dyDescent="0.25">
      <c r="A3340">
        <v>3339</v>
      </c>
      <c r="B3340" t="s">
        <v>5304</v>
      </c>
      <c r="C3340">
        <v>0</v>
      </c>
      <c r="J3340">
        <v>3339</v>
      </c>
      <c r="K3340" t="s">
        <v>5304</v>
      </c>
      <c r="L3340">
        <v>0</v>
      </c>
    </row>
    <row r="3341" spans="1:12" x14ac:dyDescent="0.25">
      <c r="A3341">
        <v>3340</v>
      </c>
      <c r="B3341" t="s">
        <v>5305</v>
      </c>
      <c r="C3341">
        <v>0</v>
      </c>
      <c r="J3341">
        <v>3340</v>
      </c>
      <c r="K3341" t="s">
        <v>5305</v>
      </c>
      <c r="L3341">
        <v>0</v>
      </c>
    </row>
    <row r="3342" spans="1:12" x14ac:dyDescent="0.25">
      <c r="A3342">
        <v>3341</v>
      </c>
      <c r="B3342" t="s">
        <v>5306</v>
      </c>
      <c r="C3342">
        <v>0</v>
      </c>
      <c r="J3342">
        <v>3341</v>
      </c>
      <c r="K3342" t="s">
        <v>5306</v>
      </c>
      <c r="L3342">
        <v>0</v>
      </c>
    </row>
    <row r="3343" spans="1:12" x14ac:dyDescent="0.25">
      <c r="A3343">
        <v>3342</v>
      </c>
      <c r="B3343" t="s">
        <v>5307</v>
      </c>
      <c r="C3343">
        <v>0</v>
      </c>
      <c r="J3343">
        <v>3342</v>
      </c>
      <c r="K3343" t="s">
        <v>5307</v>
      </c>
      <c r="L3343">
        <v>0</v>
      </c>
    </row>
    <row r="3344" spans="1:12" x14ac:dyDescent="0.25">
      <c r="A3344">
        <v>3343</v>
      </c>
      <c r="B3344" t="s">
        <v>5308</v>
      </c>
      <c r="C3344">
        <v>0</v>
      </c>
      <c r="J3344">
        <v>3343</v>
      </c>
      <c r="K3344" t="s">
        <v>5308</v>
      </c>
      <c r="L3344">
        <v>0</v>
      </c>
    </row>
    <row r="3345" spans="1:12" x14ac:dyDescent="0.25">
      <c r="A3345">
        <v>3344</v>
      </c>
      <c r="B3345" t="s">
        <v>5309</v>
      </c>
      <c r="C3345">
        <v>0</v>
      </c>
      <c r="J3345">
        <v>3344</v>
      </c>
      <c r="K3345" t="s">
        <v>5309</v>
      </c>
      <c r="L3345">
        <v>0</v>
      </c>
    </row>
    <row r="3346" spans="1:12" x14ac:dyDescent="0.25">
      <c r="A3346">
        <v>3345</v>
      </c>
      <c r="B3346" t="s">
        <v>5310</v>
      </c>
      <c r="C3346">
        <v>0</v>
      </c>
      <c r="J3346">
        <v>3345</v>
      </c>
      <c r="K3346" t="s">
        <v>5310</v>
      </c>
      <c r="L3346">
        <v>0</v>
      </c>
    </row>
    <row r="3347" spans="1:12" x14ac:dyDescent="0.25">
      <c r="A3347">
        <v>3346</v>
      </c>
      <c r="B3347" t="s">
        <v>5311</v>
      </c>
      <c r="C3347">
        <v>0</v>
      </c>
      <c r="J3347">
        <v>3346</v>
      </c>
      <c r="K3347" t="s">
        <v>5311</v>
      </c>
      <c r="L3347">
        <v>0</v>
      </c>
    </row>
    <row r="3348" spans="1:12" x14ac:dyDescent="0.25">
      <c r="A3348">
        <v>3347</v>
      </c>
      <c r="B3348" t="s">
        <v>5312</v>
      </c>
      <c r="C3348">
        <v>0</v>
      </c>
      <c r="J3348">
        <v>3347</v>
      </c>
      <c r="K3348" t="s">
        <v>5312</v>
      </c>
      <c r="L3348">
        <v>0</v>
      </c>
    </row>
    <row r="3349" spans="1:12" x14ac:dyDescent="0.25">
      <c r="A3349">
        <v>3348</v>
      </c>
      <c r="B3349" t="s">
        <v>5313</v>
      </c>
      <c r="C3349">
        <v>0</v>
      </c>
      <c r="J3349">
        <v>3348</v>
      </c>
      <c r="K3349" t="s">
        <v>5313</v>
      </c>
      <c r="L3349">
        <v>0</v>
      </c>
    </row>
    <row r="3350" spans="1:12" x14ac:dyDescent="0.25">
      <c r="A3350">
        <v>3349</v>
      </c>
      <c r="B3350" t="s">
        <v>5314</v>
      </c>
      <c r="C3350">
        <v>0</v>
      </c>
      <c r="J3350">
        <v>3349</v>
      </c>
      <c r="K3350" t="s">
        <v>5314</v>
      </c>
      <c r="L3350">
        <v>0</v>
      </c>
    </row>
    <row r="3351" spans="1:12" x14ac:dyDescent="0.25">
      <c r="A3351">
        <v>3350</v>
      </c>
      <c r="B3351" t="s">
        <v>5315</v>
      </c>
      <c r="C3351">
        <v>0</v>
      </c>
      <c r="J3351">
        <v>3350</v>
      </c>
      <c r="K3351" t="s">
        <v>5315</v>
      </c>
      <c r="L3351">
        <v>0</v>
      </c>
    </row>
    <row r="3352" spans="1:12" x14ac:dyDescent="0.25">
      <c r="A3352">
        <v>3351</v>
      </c>
      <c r="B3352" t="s">
        <v>5316</v>
      </c>
      <c r="C3352">
        <v>0</v>
      </c>
      <c r="J3352">
        <v>3351</v>
      </c>
      <c r="K3352" t="s">
        <v>5316</v>
      </c>
      <c r="L3352">
        <v>0</v>
      </c>
    </row>
    <row r="3353" spans="1:12" x14ac:dyDescent="0.25">
      <c r="A3353">
        <v>3352</v>
      </c>
      <c r="B3353" t="s">
        <v>5317</v>
      </c>
      <c r="C3353">
        <v>0</v>
      </c>
      <c r="J3353">
        <v>3352</v>
      </c>
      <c r="K3353" t="s">
        <v>5317</v>
      </c>
      <c r="L3353">
        <v>0</v>
      </c>
    </row>
    <row r="3354" spans="1:12" x14ac:dyDescent="0.25">
      <c r="A3354">
        <v>3353</v>
      </c>
      <c r="B3354" t="s">
        <v>5318</v>
      </c>
      <c r="C3354">
        <v>0</v>
      </c>
      <c r="J3354">
        <v>3353</v>
      </c>
      <c r="K3354" t="s">
        <v>5318</v>
      </c>
      <c r="L3354">
        <v>0</v>
      </c>
    </row>
    <row r="3355" spans="1:12" x14ac:dyDescent="0.25">
      <c r="A3355">
        <v>3354</v>
      </c>
      <c r="B3355" t="s">
        <v>5319</v>
      </c>
      <c r="C3355">
        <v>0</v>
      </c>
      <c r="J3355">
        <v>3354</v>
      </c>
      <c r="K3355" t="s">
        <v>5319</v>
      </c>
      <c r="L3355">
        <v>0</v>
      </c>
    </row>
    <row r="3356" spans="1:12" x14ac:dyDescent="0.25">
      <c r="A3356">
        <v>3355</v>
      </c>
      <c r="B3356" t="s">
        <v>5320</v>
      </c>
      <c r="C3356">
        <v>0</v>
      </c>
      <c r="J3356">
        <v>3355</v>
      </c>
      <c r="K3356" t="s">
        <v>5320</v>
      </c>
      <c r="L3356">
        <v>0</v>
      </c>
    </row>
    <row r="3357" spans="1:12" x14ac:dyDescent="0.25">
      <c r="A3357">
        <v>3356</v>
      </c>
      <c r="B3357" t="s">
        <v>5321</v>
      </c>
      <c r="C3357">
        <v>0</v>
      </c>
      <c r="J3357">
        <v>3356</v>
      </c>
      <c r="K3357" t="s">
        <v>5321</v>
      </c>
      <c r="L3357">
        <v>0</v>
      </c>
    </row>
    <row r="3358" spans="1:12" x14ac:dyDescent="0.25">
      <c r="A3358">
        <v>3357</v>
      </c>
      <c r="B3358" t="s">
        <v>5322</v>
      </c>
      <c r="C3358">
        <v>0</v>
      </c>
      <c r="J3358">
        <v>3357</v>
      </c>
      <c r="K3358" t="s">
        <v>5322</v>
      </c>
      <c r="L3358">
        <v>0</v>
      </c>
    </row>
    <row r="3359" spans="1:12" x14ac:dyDescent="0.25">
      <c r="A3359">
        <v>3358</v>
      </c>
      <c r="B3359" t="s">
        <v>5323</v>
      </c>
      <c r="C3359">
        <v>0</v>
      </c>
      <c r="J3359">
        <v>3358</v>
      </c>
      <c r="K3359" t="s">
        <v>5323</v>
      </c>
      <c r="L3359">
        <v>0</v>
      </c>
    </row>
    <row r="3360" spans="1:12" x14ac:dyDescent="0.25">
      <c r="A3360">
        <v>3359</v>
      </c>
      <c r="B3360" t="s">
        <v>5324</v>
      </c>
      <c r="C3360">
        <v>0</v>
      </c>
      <c r="J3360">
        <v>3359</v>
      </c>
      <c r="K3360" t="s">
        <v>5324</v>
      </c>
      <c r="L3360">
        <v>0</v>
      </c>
    </row>
    <row r="3361" spans="1:12" x14ac:dyDescent="0.25">
      <c r="A3361">
        <v>3360</v>
      </c>
      <c r="B3361" t="s">
        <v>5325</v>
      </c>
      <c r="C3361">
        <v>0</v>
      </c>
      <c r="J3361">
        <v>3360</v>
      </c>
      <c r="K3361" t="s">
        <v>5325</v>
      </c>
      <c r="L3361">
        <v>0</v>
      </c>
    </row>
    <row r="3362" spans="1:12" x14ac:dyDescent="0.25">
      <c r="A3362">
        <v>3361</v>
      </c>
      <c r="B3362" t="s">
        <v>5326</v>
      </c>
      <c r="C3362">
        <v>0</v>
      </c>
      <c r="J3362">
        <v>3361</v>
      </c>
      <c r="K3362" t="s">
        <v>5326</v>
      </c>
      <c r="L3362">
        <v>0</v>
      </c>
    </row>
    <row r="3363" spans="1:12" x14ac:dyDescent="0.25">
      <c r="A3363">
        <v>3362</v>
      </c>
      <c r="B3363" t="s">
        <v>5327</v>
      </c>
      <c r="C3363">
        <v>0</v>
      </c>
      <c r="J3363">
        <v>3362</v>
      </c>
      <c r="K3363" t="s">
        <v>5327</v>
      </c>
      <c r="L3363">
        <v>0</v>
      </c>
    </row>
    <row r="3364" spans="1:12" x14ac:dyDescent="0.25">
      <c r="A3364">
        <v>3363</v>
      </c>
      <c r="B3364" t="s">
        <v>5328</v>
      </c>
      <c r="C3364">
        <v>0</v>
      </c>
      <c r="J3364">
        <v>3363</v>
      </c>
      <c r="K3364" t="s">
        <v>5328</v>
      </c>
      <c r="L3364">
        <v>0</v>
      </c>
    </row>
    <row r="3365" spans="1:12" x14ac:dyDescent="0.25">
      <c r="A3365">
        <v>3364</v>
      </c>
      <c r="B3365" t="s">
        <v>5329</v>
      </c>
      <c r="C3365">
        <v>0</v>
      </c>
      <c r="J3365">
        <v>3364</v>
      </c>
      <c r="K3365" t="s">
        <v>5329</v>
      </c>
      <c r="L3365">
        <v>0</v>
      </c>
    </row>
    <row r="3366" spans="1:12" x14ac:dyDescent="0.25">
      <c r="A3366">
        <v>3365</v>
      </c>
      <c r="B3366" t="s">
        <v>5330</v>
      </c>
      <c r="C3366">
        <v>0</v>
      </c>
      <c r="J3366">
        <v>3365</v>
      </c>
      <c r="K3366" t="s">
        <v>5330</v>
      </c>
      <c r="L3366">
        <v>0</v>
      </c>
    </row>
    <row r="3367" spans="1:12" x14ac:dyDescent="0.25">
      <c r="A3367">
        <v>3366</v>
      </c>
      <c r="B3367" t="s">
        <v>5331</v>
      </c>
      <c r="C3367">
        <v>0</v>
      </c>
      <c r="J3367">
        <v>3366</v>
      </c>
      <c r="K3367" t="s">
        <v>5331</v>
      </c>
      <c r="L3367">
        <v>0</v>
      </c>
    </row>
    <row r="3368" spans="1:12" x14ac:dyDescent="0.25">
      <c r="A3368">
        <v>3367</v>
      </c>
      <c r="B3368" t="s">
        <v>5332</v>
      </c>
      <c r="C3368">
        <v>0</v>
      </c>
      <c r="J3368">
        <v>3367</v>
      </c>
      <c r="K3368" t="s">
        <v>5332</v>
      </c>
      <c r="L3368">
        <v>0</v>
      </c>
    </row>
    <row r="3369" spans="1:12" x14ac:dyDescent="0.25">
      <c r="A3369">
        <v>3368</v>
      </c>
      <c r="B3369" t="s">
        <v>5333</v>
      </c>
      <c r="C3369">
        <v>0</v>
      </c>
      <c r="J3369">
        <v>3368</v>
      </c>
      <c r="K3369" t="s">
        <v>5333</v>
      </c>
      <c r="L3369">
        <v>0</v>
      </c>
    </row>
    <row r="3370" spans="1:12" x14ac:dyDescent="0.25">
      <c r="A3370">
        <v>3369</v>
      </c>
      <c r="B3370" t="s">
        <v>5334</v>
      </c>
      <c r="C3370">
        <v>0</v>
      </c>
      <c r="J3370">
        <v>3369</v>
      </c>
      <c r="K3370" t="s">
        <v>5334</v>
      </c>
      <c r="L3370">
        <v>0</v>
      </c>
    </row>
    <row r="3371" spans="1:12" x14ac:dyDescent="0.25">
      <c r="A3371">
        <v>3370</v>
      </c>
      <c r="B3371" t="s">
        <v>5335</v>
      </c>
      <c r="C3371">
        <v>0</v>
      </c>
      <c r="J3371">
        <v>3370</v>
      </c>
      <c r="K3371" t="s">
        <v>5335</v>
      </c>
      <c r="L3371">
        <v>0</v>
      </c>
    </row>
    <row r="3372" spans="1:12" x14ac:dyDescent="0.25">
      <c r="A3372">
        <v>3371</v>
      </c>
      <c r="B3372" t="s">
        <v>5336</v>
      </c>
      <c r="C3372">
        <v>0</v>
      </c>
      <c r="J3372">
        <v>3371</v>
      </c>
      <c r="K3372" t="s">
        <v>5336</v>
      </c>
      <c r="L3372">
        <v>0</v>
      </c>
    </row>
    <row r="3373" spans="1:12" x14ac:dyDescent="0.25">
      <c r="A3373">
        <v>3372</v>
      </c>
      <c r="B3373" t="s">
        <v>5337</v>
      </c>
      <c r="C3373">
        <v>0</v>
      </c>
      <c r="J3373">
        <v>3372</v>
      </c>
      <c r="K3373" t="s">
        <v>5337</v>
      </c>
      <c r="L3373">
        <v>0</v>
      </c>
    </row>
    <row r="3374" spans="1:12" x14ac:dyDescent="0.25">
      <c r="A3374">
        <v>3373</v>
      </c>
      <c r="B3374" t="s">
        <v>5338</v>
      </c>
      <c r="C3374">
        <v>0</v>
      </c>
      <c r="J3374">
        <v>3373</v>
      </c>
      <c r="K3374" t="s">
        <v>5338</v>
      </c>
      <c r="L3374">
        <v>0</v>
      </c>
    </row>
    <row r="3375" spans="1:12" x14ac:dyDescent="0.25">
      <c r="A3375">
        <v>3374</v>
      </c>
      <c r="B3375" t="s">
        <v>5339</v>
      </c>
      <c r="C3375">
        <v>0</v>
      </c>
      <c r="J3375">
        <v>3374</v>
      </c>
      <c r="K3375" t="s">
        <v>5339</v>
      </c>
      <c r="L3375">
        <v>0</v>
      </c>
    </row>
    <row r="3376" spans="1:12" x14ac:dyDescent="0.25">
      <c r="A3376">
        <v>3375</v>
      </c>
      <c r="B3376" t="s">
        <v>5340</v>
      </c>
      <c r="C3376">
        <v>0</v>
      </c>
      <c r="J3376">
        <v>3375</v>
      </c>
      <c r="K3376" t="s">
        <v>5340</v>
      </c>
      <c r="L3376">
        <v>0</v>
      </c>
    </row>
    <row r="3377" spans="1:12" x14ac:dyDescent="0.25">
      <c r="A3377">
        <v>3376</v>
      </c>
      <c r="B3377" t="s">
        <v>5341</v>
      </c>
      <c r="C3377">
        <v>0</v>
      </c>
      <c r="J3377">
        <v>3376</v>
      </c>
      <c r="K3377" t="s">
        <v>5341</v>
      </c>
      <c r="L3377">
        <v>0</v>
      </c>
    </row>
    <row r="3378" spans="1:12" x14ac:dyDescent="0.25">
      <c r="A3378">
        <v>3377</v>
      </c>
      <c r="B3378" t="s">
        <v>5342</v>
      </c>
      <c r="C3378">
        <v>0</v>
      </c>
      <c r="J3378">
        <v>3377</v>
      </c>
      <c r="K3378" t="s">
        <v>5342</v>
      </c>
      <c r="L3378">
        <v>0</v>
      </c>
    </row>
    <row r="3379" spans="1:12" x14ac:dyDescent="0.25">
      <c r="A3379">
        <v>3378</v>
      </c>
      <c r="B3379" t="s">
        <v>5343</v>
      </c>
      <c r="C3379">
        <v>0</v>
      </c>
      <c r="J3379">
        <v>3378</v>
      </c>
      <c r="K3379" t="s">
        <v>5343</v>
      </c>
      <c r="L3379">
        <v>0</v>
      </c>
    </row>
    <row r="3380" spans="1:12" x14ac:dyDescent="0.25">
      <c r="A3380">
        <v>3379</v>
      </c>
      <c r="B3380" t="s">
        <v>5344</v>
      </c>
      <c r="C3380">
        <v>0</v>
      </c>
      <c r="J3380">
        <v>3379</v>
      </c>
      <c r="K3380" t="s">
        <v>5344</v>
      </c>
      <c r="L3380">
        <v>0</v>
      </c>
    </row>
    <row r="3381" spans="1:12" x14ac:dyDescent="0.25">
      <c r="A3381">
        <v>3380</v>
      </c>
      <c r="B3381" t="s">
        <v>5345</v>
      </c>
      <c r="C3381">
        <v>0</v>
      </c>
      <c r="J3381">
        <v>3380</v>
      </c>
      <c r="K3381" t="s">
        <v>5345</v>
      </c>
      <c r="L3381">
        <v>0</v>
      </c>
    </row>
    <row r="3382" spans="1:12" x14ac:dyDescent="0.25">
      <c r="A3382">
        <v>3381</v>
      </c>
      <c r="B3382" t="s">
        <v>5346</v>
      </c>
      <c r="C3382">
        <v>0</v>
      </c>
      <c r="J3382">
        <v>3381</v>
      </c>
      <c r="K3382" t="s">
        <v>5346</v>
      </c>
      <c r="L3382">
        <v>0</v>
      </c>
    </row>
    <row r="3383" spans="1:12" x14ac:dyDescent="0.25">
      <c r="A3383">
        <v>3382</v>
      </c>
      <c r="B3383" t="s">
        <v>5347</v>
      </c>
      <c r="C3383">
        <v>0</v>
      </c>
      <c r="J3383">
        <v>3382</v>
      </c>
      <c r="K3383" t="s">
        <v>5347</v>
      </c>
      <c r="L3383">
        <v>0</v>
      </c>
    </row>
    <row r="3384" spans="1:12" x14ac:dyDescent="0.25">
      <c r="A3384">
        <v>3383</v>
      </c>
      <c r="B3384" t="s">
        <v>5348</v>
      </c>
      <c r="C3384">
        <v>0</v>
      </c>
      <c r="J3384">
        <v>3383</v>
      </c>
      <c r="K3384" t="s">
        <v>5348</v>
      </c>
      <c r="L3384">
        <v>0</v>
      </c>
    </row>
    <row r="3385" spans="1:12" x14ac:dyDescent="0.25">
      <c r="A3385">
        <v>3384</v>
      </c>
      <c r="B3385" t="s">
        <v>5349</v>
      </c>
      <c r="C3385">
        <v>0</v>
      </c>
      <c r="J3385">
        <v>3384</v>
      </c>
      <c r="K3385" t="s">
        <v>5349</v>
      </c>
      <c r="L3385">
        <v>0</v>
      </c>
    </row>
    <row r="3386" spans="1:12" x14ac:dyDescent="0.25">
      <c r="A3386">
        <v>3385</v>
      </c>
      <c r="B3386" t="s">
        <v>5350</v>
      </c>
      <c r="C3386">
        <v>0</v>
      </c>
      <c r="J3386">
        <v>3385</v>
      </c>
      <c r="K3386" t="s">
        <v>5350</v>
      </c>
      <c r="L3386">
        <v>0</v>
      </c>
    </row>
    <row r="3387" spans="1:12" x14ac:dyDescent="0.25">
      <c r="A3387">
        <v>3386</v>
      </c>
      <c r="B3387" t="s">
        <v>5351</v>
      </c>
      <c r="C3387">
        <v>0</v>
      </c>
      <c r="J3387">
        <v>3386</v>
      </c>
      <c r="K3387" t="s">
        <v>5351</v>
      </c>
      <c r="L3387">
        <v>0</v>
      </c>
    </row>
    <row r="3388" spans="1:12" x14ac:dyDescent="0.25">
      <c r="A3388">
        <v>3387</v>
      </c>
      <c r="B3388" t="s">
        <v>5352</v>
      </c>
      <c r="C3388">
        <v>0</v>
      </c>
      <c r="J3388">
        <v>3387</v>
      </c>
      <c r="K3388" t="s">
        <v>5352</v>
      </c>
      <c r="L3388">
        <v>0</v>
      </c>
    </row>
    <row r="3389" spans="1:12" x14ac:dyDescent="0.25">
      <c r="A3389">
        <v>3388</v>
      </c>
      <c r="B3389" t="s">
        <v>5353</v>
      </c>
      <c r="C3389">
        <v>0</v>
      </c>
      <c r="J3389">
        <v>3388</v>
      </c>
      <c r="K3389" t="s">
        <v>5353</v>
      </c>
      <c r="L3389">
        <v>0</v>
      </c>
    </row>
    <row r="3390" spans="1:12" x14ac:dyDescent="0.25">
      <c r="A3390">
        <v>3389</v>
      </c>
      <c r="B3390" t="s">
        <v>5354</v>
      </c>
      <c r="C3390">
        <v>0</v>
      </c>
      <c r="J3390">
        <v>3389</v>
      </c>
      <c r="K3390" t="s">
        <v>5354</v>
      </c>
      <c r="L3390">
        <v>0</v>
      </c>
    </row>
    <row r="3391" spans="1:12" x14ac:dyDescent="0.25">
      <c r="A3391">
        <v>3390</v>
      </c>
      <c r="B3391" t="s">
        <v>5355</v>
      </c>
      <c r="C3391">
        <v>0</v>
      </c>
      <c r="J3391">
        <v>3390</v>
      </c>
      <c r="K3391" t="s">
        <v>5355</v>
      </c>
      <c r="L3391">
        <v>0</v>
      </c>
    </row>
    <row r="3392" spans="1:12" x14ac:dyDescent="0.25">
      <c r="A3392">
        <v>3391</v>
      </c>
      <c r="B3392" t="s">
        <v>5356</v>
      </c>
      <c r="C3392">
        <v>0</v>
      </c>
      <c r="J3392">
        <v>3391</v>
      </c>
      <c r="K3392" t="s">
        <v>5356</v>
      </c>
      <c r="L3392">
        <v>0</v>
      </c>
    </row>
    <row r="3393" spans="1:12" x14ac:dyDescent="0.25">
      <c r="A3393">
        <v>3392</v>
      </c>
      <c r="B3393" t="s">
        <v>5357</v>
      </c>
      <c r="C3393">
        <v>0</v>
      </c>
      <c r="J3393">
        <v>3392</v>
      </c>
      <c r="K3393" t="s">
        <v>5357</v>
      </c>
      <c r="L3393">
        <v>0</v>
      </c>
    </row>
    <row r="3394" spans="1:12" x14ac:dyDescent="0.25">
      <c r="A3394">
        <v>3393</v>
      </c>
      <c r="B3394" t="s">
        <v>5358</v>
      </c>
      <c r="C3394">
        <v>0</v>
      </c>
      <c r="J3394">
        <v>3393</v>
      </c>
      <c r="K3394" t="s">
        <v>5358</v>
      </c>
      <c r="L3394">
        <v>0</v>
      </c>
    </row>
    <row r="3395" spans="1:12" x14ac:dyDescent="0.25">
      <c r="A3395">
        <v>3394</v>
      </c>
      <c r="B3395" t="s">
        <v>5359</v>
      </c>
      <c r="C3395">
        <v>0</v>
      </c>
      <c r="J3395">
        <v>3394</v>
      </c>
      <c r="K3395" t="s">
        <v>5359</v>
      </c>
      <c r="L3395">
        <v>0</v>
      </c>
    </row>
    <row r="3396" spans="1:12" x14ac:dyDescent="0.25">
      <c r="A3396">
        <v>3395</v>
      </c>
      <c r="B3396" t="s">
        <v>5360</v>
      </c>
      <c r="C3396">
        <v>0</v>
      </c>
      <c r="J3396">
        <v>3395</v>
      </c>
      <c r="K3396" t="s">
        <v>5360</v>
      </c>
      <c r="L3396">
        <v>0</v>
      </c>
    </row>
    <row r="3397" spans="1:12" x14ac:dyDescent="0.25">
      <c r="A3397">
        <v>3396</v>
      </c>
      <c r="B3397" t="s">
        <v>5361</v>
      </c>
      <c r="C3397">
        <v>0</v>
      </c>
      <c r="J3397">
        <v>3396</v>
      </c>
      <c r="K3397" t="s">
        <v>5361</v>
      </c>
      <c r="L3397">
        <v>0</v>
      </c>
    </row>
    <row r="3398" spans="1:12" x14ac:dyDescent="0.25">
      <c r="A3398">
        <v>3397</v>
      </c>
      <c r="B3398" t="s">
        <v>5362</v>
      </c>
      <c r="C3398">
        <v>0</v>
      </c>
      <c r="J3398">
        <v>3397</v>
      </c>
      <c r="K3398" t="s">
        <v>5362</v>
      </c>
      <c r="L3398">
        <v>0</v>
      </c>
    </row>
    <row r="3399" spans="1:12" x14ac:dyDescent="0.25">
      <c r="A3399">
        <v>3398</v>
      </c>
      <c r="B3399" t="s">
        <v>5363</v>
      </c>
      <c r="C3399">
        <v>0</v>
      </c>
      <c r="J3399">
        <v>3398</v>
      </c>
      <c r="K3399" t="s">
        <v>5363</v>
      </c>
      <c r="L3399">
        <v>0</v>
      </c>
    </row>
    <row r="3400" spans="1:12" x14ac:dyDescent="0.25">
      <c r="A3400">
        <v>3399</v>
      </c>
      <c r="B3400" t="s">
        <v>5364</v>
      </c>
      <c r="C3400">
        <v>0</v>
      </c>
      <c r="J3400">
        <v>3399</v>
      </c>
      <c r="K3400" t="s">
        <v>5364</v>
      </c>
      <c r="L3400">
        <v>0</v>
      </c>
    </row>
    <row r="3401" spans="1:12" x14ac:dyDescent="0.25">
      <c r="A3401">
        <v>3400</v>
      </c>
      <c r="B3401" t="s">
        <v>5365</v>
      </c>
      <c r="C3401">
        <v>0</v>
      </c>
      <c r="J3401">
        <v>3400</v>
      </c>
      <c r="K3401" t="s">
        <v>5365</v>
      </c>
      <c r="L3401">
        <v>0</v>
      </c>
    </row>
    <row r="3402" spans="1:12" x14ac:dyDescent="0.25">
      <c r="A3402">
        <v>3401</v>
      </c>
      <c r="B3402" t="s">
        <v>5366</v>
      </c>
      <c r="C3402">
        <v>0</v>
      </c>
      <c r="J3402">
        <v>3401</v>
      </c>
      <c r="K3402" t="s">
        <v>5366</v>
      </c>
      <c r="L3402">
        <v>0</v>
      </c>
    </row>
    <row r="3403" spans="1:12" x14ac:dyDescent="0.25">
      <c r="A3403">
        <v>3402</v>
      </c>
      <c r="B3403" t="s">
        <v>5367</v>
      </c>
      <c r="C3403">
        <v>0</v>
      </c>
      <c r="J3403">
        <v>3402</v>
      </c>
      <c r="K3403" t="s">
        <v>5367</v>
      </c>
      <c r="L3403">
        <v>0</v>
      </c>
    </row>
    <row r="3404" spans="1:12" x14ac:dyDescent="0.25">
      <c r="A3404">
        <v>3403</v>
      </c>
      <c r="B3404" t="s">
        <v>5368</v>
      </c>
      <c r="C3404">
        <v>0</v>
      </c>
      <c r="J3404">
        <v>3403</v>
      </c>
      <c r="K3404" t="s">
        <v>5368</v>
      </c>
      <c r="L3404">
        <v>0</v>
      </c>
    </row>
    <row r="3405" spans="1:12" x14ac:dyDescent="0.25">
      <c r="A3405">
        <v>3404</v>
      </c>
      <c r="B3405" t="s">
        <v>5369</v>
      </c>
      <c r="C3405">
        <v>0</v>
      </c>
      <c r="J3405">
        <v>3404</v>
      </c>
      <c r="K3405" t="s">
        <v>5369</v>
      </c>
      <c r="L3405">
        <v>0</v>
      </c>
    </row>
    <row r="3406" spans="1:12" x14ac:dyDescent="0.25">
      <c r="A3406">
        <v>3405</v>
      </c>
      <c r="B3406" t="s">
        <v>5370</v>
      </c>
      <c r="C3406">
        <v>0</v>
      </c>
      <c r="J3406">
        <v>3405</v>
      </c>
      <c r="K3406" t="s">
        <v>5370</v>
      </c>
      <c r="L3406">
        <v>0</v>
      </c>
    </row>
    <row r="3407" spans="1:12" x14ac:dyDescent="0.25">
      <c r="A3407">
        <v>3406</v>
      </c>
      <c r="B3407" t="s">
        <v>5371</v>
      </c>
      <c r="C3407">
        <v>0</v>
      </c>
      <c r="J3407">
        <v>3406</v>
      </c>
      <c r="K3407" t="s">
        <v>5371</v>
      </c>
      <c r="L3407">
        <v>0</v>
      </c>
    </row>
    <row r="3408" spans="1:12" x14ac:dyDescent="0.25">
      <c r="A3408">
        <v>3407</v>
      </c>
      <c r="B3408" t="s">
        <v>5372</v>
      </c>
      <c r="C3408">
        <v>0</v>
      </c>
      <c r="J3408">
        <v>3407</v>
      </c>
      <c r="K3408" t="s">
        <v>5372</v>
      </c>
      <c r="L3408">
        <v>0</v>
      </c>
    </row>
    <row r="3409" spans="1:12" x14ac:dyDescent="0.25">
      <c r="A3409">
        <v>3408</v>
      </c>
      <c r="B3409" t="s">
        <v>5373</v>
      </c>
      <c r="C3409">
        <v>0</v>
      </c>
      <c r="J3409">
        <v>3408</v>
      </c>
      <c r="K3409" t="s">
        <v>5373</v>
      </c>
      <c r="L3409">
        <v>0</v>
      </c>
    </row>
    <row r="3410" spans="1:12" x14ac:dyDescent="0.25">
      <c r="A3410">
        <v>3409</v>
      </c>
      <c r="B3410" t="s">
        <v>5374</v>
      </c>
      <c r="C3410">
        <v>0</v>
      </c>
      <c r="J3410">
        <v>3409</v>
      </c>
      <c r="K3410" t="s">
        <v>5374</v>
      </c>
      <c r="L3410">
        <v>0</v>
      </c>
    </row>
    <row r="3411" spans="1:12" x14ac:dyDescent="0.25">
      <c r="A3411">
        <v>3410</v>
      </c>
      <c r="B3411" t="s">
        <v>5375</v>
      </c>
      <c r="C3411">
        <v>0</v>
      </c>
      <c r="J3411">
        <v>3410</v>
      </c>
      <c r="K3411" t="s">
        <v>5375</v>
      </c>
      <c r="L3411">
        <v>0</v>
      </c>
    </row>
    <row r="3412" spans="1:12" x14ac:dyDescent="0.25">
      <c r="A3412">
        <v>3411</v>
      </c>
      <c r="B3412" t="s">
        <v>5376</v>
      </c>
      <c r="C3412">
        <v>0</v>
      </c>
      <c r="J3412">
        <v>3411</v>
      </c>
      <c r="K3412" t="s">
        <v>5376</v>
      </c>
      <c r="L3412">
        <v>0</v>
      </c>
    </row>
    <row r="3413" spans="1:12" x14ac:dyDescent="0.25">
      <c r="A3413">
        <v>3412</v>
      </c>
      <c r="B3413" t="s">
        <v>5377</v>
      </c>
      <c r="C3413">
        <v>0</v>
      </c>
      <c r="J3413">
        <v>3412</v>
      </c>
      <c r="K3413" t="s">
        <v>5377</v>
      </c>
      <c r="L3413">
        <v>0</v>
      </c>
    </row>
    <row r="3414" spans="1:12" x14ac:dyDescent="0.25">
      <c r="A3414">
        <v>3413</v>
      </c>
      <c r="B3414" t="s">
        <v>5378</v>
      </c>
      <c r="C3414">
        <v>0</v>
      </c>
      <c r="J3414">
        <v>3413</v>
      </c>
      <c r="K3414" t="s">
        <v>5378</v>
      </c>
      <c r="L3414">
        <v>0</v>
      </c>
    </row>
    <row r="3415" spans="1:12" x14ac:dyDescent="0.25">
      <c r="A3415">
        <v>3414</v>
      </c>
      <c r="B3415" t="s">
        <v>5379</v>
      </c>
      <c r="C3415">
        <v>0</v>
      </c>
      <c r="J3415">
        <v>3414</v>
      </c>
      <c r="K3415" t="s">
        <v>5379</v>
      </c>
      <c r="L3415">
        <v>0</v>
      </c>
    </row>
    <row r="3416" spans="1:12" x14ac:dyDescent="0.25">
      <c r="A3416">
        <v>3415</v>
      </c>
      <c r="B3416" t="s">
        <v>5380</v>
      </c>
      <c r="C3416">
        <v>0</v>
      </c>
      <c r="J3416">
        <v>3415</v>
      </c>
      <c r="K3416" t="s">
        <v>5380</v>
      </c>
      <c r="L3416">
        <v>0</v>
      </c>
    </row>
    <row r="3417" spans="1:12" x14ac:dyDescent="0.25">
      <c r="A3417">
        <v>3416</v>
      </c>
      <c r="B3417" t="s">
        <v>5381</v>
      </c>
      <c r="C3417">
        <v>0</v>
      </c>
      <c r="J3417">
        <v>3416</v>
      </c>
      <c r="K3417" t="s">
        <v>5381</v>
      </c>
      <c r="L3417">
        <v>0</v>
      </c>
    </row>
    <row r="3418" spans="1:12" x14ac:dyDescent="0.25">
      <c r="A3418">
        <v>3417</v>
      </c>
      <c r="B3418" t="s">
        <v>5382</v>
      </c>
      <c r="C3418">
        <v>0</v>
      </c>
      <c r="J3418">
        <v>3417</v>
      </c>
      <c r="K3418" t="s">
        <v>5382</v>
      </c>
      <c r="L3418">
        <v>0</v>
      </c>
    </row>
    <row r="3419" spans="1:12" x14ac:dyDescent="0.25">
      <c r="A3419">
        <v>3418</v>
      </c>
      <c r="B3419" t="s">
        <v>5383</v>
      </c>
      <c r="C3419">
        <v>0</v>
      </c>
      <c r="J3419">
        <v>3418</v>
      </c>
      <c r="K3419" t="s">
        <v>5383</v>
      </c>
      <c r="L3419">
        <v>0</v>
      </c>
    </row>
    <row r="3420" spans="1:12" x14ac:dyDescent="0.25">
      <c r="A3420">
        <v>3419</v>
      </c>
      <c r="B3420" t="s">
        <v>5384</v>
      </c>
      <c r="C3420">
        <v>0</v>
      </c>
      <c r="J3420">
        <v>3419</v>
      </c>
      <c r="K3420" t="s">
        <v>5384</v>
      </c>
      <c r="L3420">
        <v>0</v>
      </c>
    </row>
    <row r="3421" spans="1:12" x14ac:dyDescent="0.25">
      <c r="A3421">
        <v>3420</v>
      </c>
      <c r="B3421" t="s">
        <v>5385</v>
      </c>
      <c r="C3421">
        <v>0</v>
      </c>
      <c r="J3421">
        <v>3420</v>
      </c>
      <c r="K3421" t="s">
        <v>5385</v>
      </c>
      <c r="L3421">
        <v>0</v>
      </c>
    </row>
    <row r="3422" spans="1:12" x14ac:dyDescent="0.25">
      <c r="A3422">
        <v>3421</v>
      </c>
      <c r="B3422" t="s">
        <v>5386</v>
      </c>
      <c r="C3422">
        <v>0</v>
      </c>
      <c r="J3422">
        <v>3421</v>
      </c>
      <c r="K3422" t="s">
        <v>5386</v>
      </c>
      <c r="L3422">
        <v>0</v>
      </c>
    </row>
    <row r="3423" spans="1:12" x14ac:dyDescent="0.25">
      <c r="A3423">
        <v>3422</v>
      </c>
      <c r="B3423" t="s">
        <v>5387</v>
      </c>
      <c r="C3423">
        <v>0</v>
      </c>
      <c r="J3423">
        <v>3422</v>
      </c>
      <c r="K3423" t="s">
        <v>5387</v>
      </c>
      <c r="L3423">
        <v>0</v>
      </c>
    </row>
    <row r="3424" spans="1:12" x14ac:dyDescent="0.25">
      <c r="A3424">
        <v>3423</v>
      </c>
      <c r="B3424" t="s">
        <v>5388</v>
      </c>
      <c r="C3424">
        <v>0</v>
      </c>
      <c r="J3424">
        <v>3423</v>
      </c>
      <c r="K3424" t="s">
        <v>5388</v>
      </c>
      <c r="L3424">
        <v>0</v>
      </c>
    </row>
    <row r="3425" spans="1:12" x14ac:dyDescent="0.25">
      <c r="A3425">
        <v>3424</v>
      </c>
      <c r="B3425" t="s">
        <v>5389</v>
      </c>
      <c r="C3425">
        <v>0</v>
      </c>
      <c r="J3425">
        <v>3424</v>
      </c>
      <c r="K3425" t="s">
        <v>5389</v>
      </c>
      <c r="L3425">
        <v>0</v>
      </c>
    </row>
    <row r="3426" spans="1:12" x14ac:dyDescent="0.25">
      <c r="A3426">
        <v>3425</v>
      </c>
      <c r="B3426" t="s">
        <v>5390</v>
      </c>
      <c r="C3426">
        <v>0</v>
      </c>
      <c r="J3426">
        <v>3425</v>
      </c>
      <c r="K3426" t="s">
        <v>5390</v>
      </c>
      <c r="L3426">
        <v>0</v>
      </c>
    </row>
    <row r="3427" spans="1:12" x14ac:dyDescent="0.25">
      <c r="A3427">
        <v>3426</v>
      </c>
      <c r="B3427" t="s">
        <v>5391</v>
      </c>
      <c r="C3427">
        <v>0</v>
      </c>
      <c r="J3427">
        <v>3426</v>
      </c>
      <c r="K3427" t="s">
        <v>5391</v>
      </c>
      <c r="L3427">
        <v>0</v>
      </c>
    </row>
    <row r="3428" spans="1:12" x14ac:dyDescent="0.25">
      <c r="A3428">
        <v>3427</v>
      </c>
      <c r="B3428" t="s">
        <v>5392</v>
      </c>
      <c r="C3428">
        <v>0</v>
      </c>
      <c r="J3428">
        <v>3427</v>
      </c>
      <c r="K3428" t="s">
        <v>5392</v>
      </c>
      <c r="L3428">
        <v>0</v>
      </c>
    </row>
    <row r="3429" spans="1:12" x14ac:dyDescent="0.25">
      <c r="A3429">
        <v>3428</v>
      </c>
      <c r="B3429" t="s">
        <v>5393</v>
      </c>
      <c r="C3429">
        <v>0</v>
      </c>
      <c r="J3429">
        <v>3428</v>
      </c>
      <c r="K3429" t="s">
        <v>5393</v>
      </c>
      <c r="L3429">
        <v>0</v>
      </c>
    </row>
    <row r="3430" spans="1:12" x14ac:dyDescent="0.25">
      <c r="A3430">
        <v>3429</v>
      </c>
      <c r="B3430" t="s">
        <v>5394</v>
      </c>
      <c r="C3430">
        <v>0</v>
      </c>
      <c r="J3430">
        <v>3429</v>
      </c>
      <c r="K3430" t="s">
        <v>5394</v>
      </c>
      <c r="L3430">
        <v>0</v>
      </c>
    </row>
    <row r="3431" spans="1:12" x14ac:dyDescent="0.25">
      <c r="A3431">
        <v>3430</v>
      </c>
      <c r="B3431" t="s">
        <v>5395</v>
      </c>
      <c r="C3431">
        <v>0</v>
      </c>
      <c r="J3431">
        <v>3430</v>
      </c>
      <c r="K3431" t="s">
        <v>5395</v>
      </c>
      <c r="L3431">
        <v>0</v>
      </c>
    </row>
    <row r="3432" spans="1:12" x14ac:dyDescent="0.25">
      <c r="A3432">
        <v>3431</v>
      </c>
      <c r="B3432" t="s">
        <v>5396</v>
      </c>
      <c r="C3432">
        <v>0</v>
      </c>
      <c r="J3432">
        <v>3431</v>
      </c>
      <c r="K3432" t="s">
        <v>5396</v>
      </c>
      <c r="L3432">
        <v>0</v>
      </c>
    </row>
    <row r="3433" spans="1:12" x14ac:dyDescent="0.25">
      <c r="A3433">
        <v>3432</v>
      </c>
      <c r="B3433" t="s">
        <v>5397</v>
      </c>
      <c r="C3433">
        <v>0</v>
      </c>
      <c r="J3433">
        <v>3432</v>
      </c>
      <c r="K3433" t="s">
        <v>5397</v>
      </c>
      <c r="L3433">
        <v>0</v>
      </c>
    </row>
    <row r="3434" spans="1:12" x14ac:dyDescent="0.25">
      <c r="A3434">
        <v>3433</v>
      </c>
      <c r="B3434" t="s">
        <v>5398</v>
      </c>
      <c r="C3434">
        <v>0</v>
      </c>
      <c r="J3434">
        <v>3433</v>
      </c>
      <c r="K3434" t="s">
        <v>5398</v>
      </c>
      <c r="L3434">
        <v>0</v>
      </c>
    </row>
    <row r="3435" spans="1:12" x14ac:dyDescent="0.25">
      <c r="A3435">
        <v>3434</v>
      </c>
      <c r="B3435" t="s">
        <v>5399</v>
      </c>
      <c r="C3435">
        <v>0</v>
      </c>
      <c r="J3435">
        <v>3434</v>
      </c>
      <c r="K3435" t="s">
        <v>5399</v>
      </c>
      <c r="L3435">
        <v>0</v>
      </c>
    </row>
    <row r="3436" spans="1:12" x14ac:dyDescent="0.25">
      <c r="A3436">
        <v>3435</v>
      </c>
      <c r="B3436" t="s">
        <v>5400</v>
      </c>
      <c r="C3436">
        <v>0</v>
      </c>
      <c r="J3436">
        <v>3435</v>
      </c>
      <c r="K3436" t="s">
        <v>5400</v>
      </c>
      <c r="L3436">
        <v>0</v>
      </c>
    </row>
    <row r="3437" spans="1:12" x14ac:dyDescent="0.25">
      <c r="A3437">
        <v>3436</v>
      </c>
      <c r="B3437" t="s">
        <v>5401</v>
      </c>
      <c r="C3437">
        <v>0</v>
      </c>
      <c r="J3437">
        <v>3436</v>
      </c>
      <c r="K3437" t="s">
        <v>5401</v>
      </c>
      <c r="L3437">
        <v>0</v>
      </c>
    </row>
    <row r="3438" spans="1:12" x14ac:dyDescent="0.25">
      <c r="A3438">
        <v>3437</v>
      </c>
      <c r="B3438" t="s">
        <v>5402</v>
      </c>
      <c r="C3438">
        <v>0</v>
      </c>
      <c r="J3438">
        <v>3437</v>
      </c>
      <c r="K3438" t="s">
        <v>5402</v>
      </c>
      <c r="L3438">
        <v>0</v>
      </c>
    </row>
    <row r="3439" spans="1:12" x14ac:dyDescent="0.25">
      <c r="A3439">
        <v>3438</v>
      </c>
      <c r="B3439" t="s">
        <v>5403</v>
      </c>
      <c r="C3439">
        <v>0</v>
      </c>
      <c r="J3439">
        <v>3438</v>
      </c>
      <c r="K3439" t="s">
        <v>5403</v>
      </c>
      <c r="L3439">
        <v>0</v>
      </c>
    </row>
    <row r="3440" spans="1:12" x14ac:dyDescent="0.25">
      <c r="A3440">
        <v>3439</v>
      </c>
      <c r="B3440" t="s">
        <v>5404</v>
      </c>
      <c r="C3440">
        <v>0</v>
      </c>
      <c r="J3440">
        <v>3439</v>
      </c>
      <c r="K3440" t="s">
        <v>5404</v>
      </c>
      <c r="L3440">
        <v>0</v>
      </c>
    </row>
    <row r="3441" spans="1:12" x14ac:dyDescent="0.25">
      <c r="A3441">
        <v>3440</v>
      </c>
      <c r="B3441" t="s">
        <v>5405</v>
      </c>
      <c r="C3441">
        <v>0</v>
      </c>
      <c r="J3441">
        <v>3440</v>
      </c>
      <c r="K3441" t="s">
        <v>5405</v>
      </c>
      <c r="L3441">
        <v>0</v>
      </c>
    </row>
    <row r="3442" spans="1:12" x14ac:dyDescent="0.25">
      <c r="A3442">
        <v>3441</v>
      </c>
      <c r="B3442" t="s">
        <v>5406</v>
      </c>
      <c r="C3442">
        <v>0</v>
      </c>
      <c r="J3442">
        <v>3441</v>
      </c>
      <c r="K3442" t="s">
        <v>5406</v>
      </c>
      <c r="L3442">
        <v>0</v>
      </c>
    </row>
    <row r="3443" spans="1:12" x14ac:dyDescent="0.25">
      <c r="A3443">
        <v>3442</v>
      </c>
      <c r="B3443" t="s">
        <v>5407</v>
      </c>
      <c r="C3443">
        <v>0</v>
      </c>
      <c r="J3443">
        <v>3442</v>
      </c>
      <c r="K3443" t="s">
        <v>5407</v>
      </c>
      <c r="L3443">
        <v>0</v>
      </c>
    </row>
    <row r="3444" spans="1:12" x14ac:dyDescent="0.25">
      <c r="A3444">
        <v>3443</v>
      </c>
      <c r="B3444" t="s">
        <v>5408</v>
      </c>
      <c r="C3444">
        <v>0</v>
      </c>
      <c r="J3444">
        <v>3443</v>
      </c>
      <c r="K3444" t="s">
        <v>5408</v>
      </c>
      <c r="L3444">
        <v>0</v>
      </c>
    </row>
    <row r="3445" spans="1:12" x14ac:dyDescent="0.25">
      <c r="A3445">
        <v>3444</v>
      </c>
      <c r="B3445" t="s">
        <v>5409</v>
      </c>
      <c r="C3445">
        <v>0</v>
      </c>
      <c r="J3445">
        <v>3444</v>
      </c>
      <c r="K3445" t="s">
        <v>5409</v>
      </c>
      <c r="L3445">
        <v>0</v>
      </c>
    </row>
    <row r="3446" spans="1:12" x14ac:dyDescent="0.25">
      <c r="A3446">
        <v>3445</v>
      </c>
      <c r="B3446" t="s">
        <v>5410</v>
      </c>
      <c r="C3446">
        <v>0</v>
      </c>
      <c r="J3446">
        <v>3445</v>
      </c>
      <c r="K3446" t="s">
        <v>5410</v>
      </c>
      <c r="L3446">
        <v>0</v>
      </c>
    </row>
    <row r="3447" spans="1:12" x14ac:dyDescent="0.25">
      <c r="A3447">
        <v>3446</v>
      </c>
      <c r="B3447" t="s">
        <v>5411</v>
      </c>
      <c r="C3447">
        <v>0</v>
      </c>
      <c r="J3447">
        <v>3446</v>
      </c>
      <c r="K3447" t="s">
        <v>5411</v>
      </c>
      <c r="L3447">
        <v>0</v>
      </c>
    </row>
    <row r="3448" spans="1:12" x14ac:dyDescent="0.25">
      <c r="A3448">
        <v>3447</v>
      </c>
      <c r="B3448" t="s">
        <v>5412</v>
      </c>
      <c r="C3448">
        <v>0</v>
      </c>
      <c r="J3448">
        <v>3447</v>
      </c>
      <c r="K3448" t="s">
        <v>5412</v>
      </c>
      <c r="L3448">
        <v>0</v>
      </c>
    </row>
    <row r="3449" spans="1:12" x14ac:dyDescent="0.25">
      <c r="A3449">
        <v>3448</v>
      </c>
      <c r="B3449" t="s">
        <v>5413</v>
      </c>
      <c r="C3449">
        <v>0</v>
      </c>
      <c r="J3449">
        <v>3448</v>
      </c>
      <c r="K3449" t="s">
        <v>5413</v>
      </c>
      <c r="L3449">
        <v>0</v>
      </c>
    </row>
    <row r="3450" spans="1:12" x14ac:dyDescent="0.25">
      <c r="A3450">
        <v>3449</v>
      </c>
      <c r="B3450" t="s">
        <v>5414</v>
      </c>
      <c r="C3450">
        <v>0</v>
      </c>
      <c r="J3450">
        <v>3449</v>
      </c>
      <c r="K3450" t="s">
        <v>5414</v>
      </c>
      <c r="L3450">
        <v>0</v>
      </c>
    </row>
    <row r="3451" spans="1:12" x14ac:dyDescent="0.25">
      <c r="A3451">
        <v>3450</v>
      </c>
      <c r="B3451" t="s">
        <v>5415</v>
      </c>
      <c r="C3451">
        <v>0</v>
      </c>
      <c r="J3451">
        <v>3450</v>
      </c>
      <c r="K3451" t="s">
        <v>5415</v>
      </c>
      <c r="L3451">
        <v>0</v>
      </c>
    </row>
    <row r="3452" spans="1:12" x14ac:dyDescent="0.25">
      <c r="A3452">
        <v>3451</v>
      </c>
      <c r="B3452" t="s">
        <v>5416</v>
      </c>
      <c r="C3452">
        <v>0</v>
      </c>
      <c r="J3452">
        <v>3451</v>
      </c>
      <c r="K3452" t="s">
        <v>5416</v>
      </c>
      <c r="L3452">
        <v>0</v>
      </c>
    </row>
    <row r="3453" spans="1:12" x14ac:dyDescent="0.25">
      <c r="A3453">
        <v>3452</v>
      </c>
      <c r="B3453" t="s">
        <v>5417</v>
      </c>
      <c r="C3453">
        <v>0</v>
      </c>
      <c r="J3453">
        <v>3452</v>
      </c>
      <c r="K3453" t="s">
        <v>5417</v>
      </c>
      <c r="L3453">
        <v>0</v>
      </c>
    </row>
    <row r="3454" spans="1:12" x14ac:dyDescent="0.25">
      <c r="A3454">
        <v>3453</v>
      </c>
      <c r="B3454" t="s">
        <v>5418</v>
      </c>
      <c r="C3454">
        <v>0</v>
      </c>
      <c r="J3454">
        <v>3453</v>
      </c>
      <c r="K3454" t="s">
        <v>5418</v>
      </c>
      <c r="L3454">
        <v>0</v>
      </c>
    </row>
    <row r="3455" spans="1:12" x14ac:dyDescent="0.25">
      <c r="A3455">
        <v>3454</v>
      </c>
      <c r="B3455" t="s">
        <v>5419</v>
      </c>
      <c r="C3455">
        <v>0</v>
      </c>
      <c r="J3455">
        <v>3454</v>
      </c>
      <c r="K3455" t="s">
        <v>5419</v>
      </c>
      <c r="L3455">
        <v>0</v>
      </c>
    </row>
    <row r="3456" spans="1:12" x14ac:dyDescent="0.25">
      <c r="A3456">
        <v>3455</v>
      </c>
      <c r="B3456" t="s">
        <v>5420</v>
      </c>
      <c r="C3456">
        <v>0</v>
      </c>
      <c r="J3456">
        <v>3455</v>
      </c>
      <c r="K3456" t="s">
        <v>5420</v>
      </c>
      <c r="L3456">
        <v>0</v>
      </c>
    </row>
    <row r="3457" spans="1:12" x14ac:dyDescent="0.25">
      <c r="A3457">
        <v>3456</v>
      </c>
      <c r="B3457" t="s">
        <v>5421</v>
      </c>
      <c r="C3457">
        <v>0</v>
      </c>
      <c r="J3457">
        <v>3456</v>
      </c>
      <c r="K3457" t="s">
        <v>5421</v>
      </c>
      <c r="L3457">
        <v>0</v>
      </c>
    </row>
    <row r="3458" spans="1:12" x14ac:dyDescent="0.25">
      <c r="A3458">
        <v>3457</v>
      </c>
      <c r="B3458" t="s">
        <v>5422</v>
      </c>
      <c r="C3458">
        <v>0</v>
      </c>
      <c r="J3458">
        <v>3457</v>
      </c>
      <c r="K3458" t="s">
        <v>5422</v>
      </c>
      <c r="L3458">
        <v>0</v>
      </c>
    </row>
    <row r="3459" spans="1:12" x14ac:dyDescent="0.25">
      <c r="A3459">
        <v>3458</v>
      </c>
      <c r="B3459" t="s">
        <v>5423</v>
      </c>
      <c r="C3459">
        <v>0</v>
      </c>
      <c r="J3459">
        <v>3458</v>
      </c>
      <c r="K3459" t="s">
        <v>5423</v>
      </c>
      <c r="L3459">
        <v>0</v>
      </c>
    </row>
    <row r="3460" spans="1:12" x14ac:dyDescent="0.25">
      <c r="A3460">
        <v>3459</v>
      </c>
      <c r="B3460" t="s">
        <v>5424</v>
      </c>
      <c r="C3460">
        <v>0</v>
      </c>
      <c r="J3460">
        <v>3459</v>
      </c>
      <c r="K3460" t="s">
        <v>5424</v>
      </c>
      <c r="L3460">
        <v>0</v>
      </c>
    </row>
    <row r="3461" spans="1:12" x14ac:dyDescent="0.25">
      <c r="A3461">
        <v>3460</v>
      </c>
      <c r="B3461" t="s">
        <v>5425</v>
      </c>
      <c r="C3461">
        <v>0</v>
      </c>
      <c r="J3461">
        <v>3460</v>
      </c>
      <c r="K3461" t="s">
        <v>5425</v>
      </c>
      <c r="L3461">
        <v>0</v>
      </c>
    </row>
    <row r="3462" spans="1:12" x14ac:dyDescent="0.25">
      <c r="A3462">
        <v>3461</v>
      </c>
      <c r="B3462" t="s">
        <v>5426</v>
      </c>
      <c r="C3462">
        <v>0</v>
      </c>
      <c r="J3462">
        <v>3461</v>
      </c>
      <c r="K3462" t="s">
        <v>5426</v>
      </c>
      <c r="L3462">
        <v>0</v>
      </c>
    </row>
    <row r="3463" spans="1:12" x14ac:dyDescent="0.25">
      <c r="A3463">
        <v>3462</v>
      </c>
      <c r="B3463" t="s">
        <v>5427</v>
      </c>
      <c r="C3463">
        <v>0</v>
      </c>
      <c r="J3463">
        <v>3462</v>
      </c>
      <c r="K3463" t="s">
        <v>5427</v>
      </c>
      <c r="L3463">
        <v>0</v>
      </c>
    </row>
    <row r="3464" spans="1:12" x14ac:dyDescent="0.25">
      <c r="A3464">
        <v>3463</v>
      </c>
      <c r="B3464" t="s">
        <v>5428</v>
      </c>
      <c r="C3464">
        <v>0</v>
      </c>
      <c r="J3464">
        <v>3463</v>
      </c>
      <c r="K3464" t="s">
        <v>5428</v>
      </c>
      <c r="L3464">
        <v>0</v>
      </c>
    </row>
    <row r="3465" spans="1:12" x14ac:dyDescent="0.25">
      <c r="A3465">
        <v>3464</v>
      </c>
      <c r="B3465" t="s">
        <v>5429</v>
      </c>
      <c r="C3465">
        <v>0</v>
      </c>
      <c r="J3465">
        <v>3464</v>
      </c>
      <c r="K3465" t="s">
        <v>5429</v>
      </c>
      <c r="L3465">
        <v>0</v>
      </c>
    </row>
    <row r="3466" spans="1:12" x14ac:dyDescent="0.25">
      <c r="A3466">
        <v>3465</v>
      </c>
      <c r="B3466" t="s">
        <v>5430</v>
      </c>
      <c r="C3466">
        <v>0</v>
      </c>
      <c r="J3466">
        <v>3465</v>
      </c>
      <c r="K3466" t="s">
        <v>5430</v>
      </c>
      <c r="L3466">
        <v>0</v>
      </c>
    </row>
    <row r="3467" spans="1:12" x14ac:dyDescent="0.25">
      <c r="A3467">
        <v>3466</v>
      </c>
      <c r="B3467" t="s">
        <v>5431</v>
      </c>
      <c r="C3467">
        <v>0</v>
      </c>
      <c r="J3467">
        <v>3466</v>
      </c>
      <c r="K3467" t="s">
        <v>5431</v>
      </c>
      <c r="L3467">
        <v>0</v>
      </c>
    </row>
    <row r="3468" spans="1:12" x14ac:dyDescent="0.25">
      <c r="A3468">
        <v>3467</v>
      </c>
      <c r="B3468" t="s">
        <v>5432</v>
      </c>
      <c r="C3468">
        <v>0</v>
      </c>
      <c r="J3468">
        <v>3467</v>
      </c>
      <c r="K3468" t="s">
        <v>5432</v>
      </c>
      <c r="L3468">
        <v>0</v>
      </c>
    </row>
    <row r="3469" spans="1:12" x14ac:dyDescent="0.25">
      <c r="A3469">
        <v>3468</v>
      </c>
      <c r="B3469" t="s">
        <v>5433</v>
      </c>
      <c r="C3469">
        <v>0</v>
      </c>
      <c r="J3469">
        <v>3468</v>
      </c>
      <c r="K3469" t="s">
        <v>5433</v>
      </c>
      <c r="L3469">
        <v>0</v>
      </c>
    </row>
    <row r="3470" spans="1:12" x14ac:dyDescent="0.25">
      <c r="A3470">
        <v>3469</v>
      </c>
      <c r="B3470" t="s">
        <v>5434</v>
      </c>
      <c r="C3470">
        <v>0</v>
      </c>
      <c r="J3470">
        <v>3469</v>
      </c>
      <c r="K3470" t="s">
        <v>5434</v>
      </c>
      <c r="L3470">
        <v>0</v>
      </c>
    </row>
    <row r="3471" spans="1:12" x14ac:dyDescent="0.25">
      <c r="A3471">
        <v>3470</v>
      </c>
      <c r="B3471" t="s">
        <v>5435</v>
      </c>
      <c r="C3471">
        <v>0</v>
      </c>
      <c r="J3471">
        <v>3470</v>
      </c>
      <c r="K3471" t="s">
        <v>5435</v>
      </c>
      <c r="L3471">
        <v>0</v>
      </c>
    </row>
    <row r="3472" spans="1:12" x14ac:dyDescent="0.25">
      <c r="A3472">
        <v>3471</v>
      </c>
      <c r="B3472" t="s">
        <v>5436</v>
      </c>
      <c r="C3472">
        <v>0</v>
      </c>
      <c r="J3472">
        <v>3471</v>
      </c>
      <c r="K3472" t="s">
        <v>5436</v>
      </c>
      <c r="L3472">
        <v>0</v>
      </c>
    </row>
    <row r="3473" spans="1:12" x14ac:dyDescent="0.25">
      <c r="A3473">
        <v>3472</v>
      </c>
      <c r="B3473" t="s">
        <v>5437</v>
      </c>
      <c r="C3473">
        <v>0</v>
      </c>
      <c r="J3473">
        <v>3472</v>
      </c>
      <c r="K3473" t="s">
        <v>5437</v>
      </c>
      <c r="L3473">
        <v>0</v>
      </c>
    </row>
    <row r="3474" spans="1:12" x14ac:dyDescent="0.25">
      <c r="A3474">
        <v>3473</v>
      </c>
      <c r="B3474" t="s">
        <v>5438</v>
      </c>
      <c r="C3474">
        <v>0</v>
      </c>
      <c r="J3474">
        <v>3473</v>
      </c>
      <c r="K3474" t="s">
        <v>5438</v>
      </c>
      <c r="L3474">
        <v>0</v>
      </c>
    </row>
    <row r="3475" spans="1:12" x14ac:dyDescent="0.25">
      <c r="A3475">
        <v>3474</v>
      </c>
      <c r="B3475" t="s">
        <v>5439</v>
      </c>
      <c r="C3475">
        <v>0</v>
      </c>
      <c r="J3475">
        <v>3474</v>
      </c>
      <c r="K3475" t="s">
        <v>5439</v>
      </c>
      <c r="L3475">
        <v>0</v>
      </c>
    </row>
    <row r="3476" spans="1:12" x14ac:dyDescent="0.25">
      <c r="A3476">
        <v>3475</v>
      </c>
      <c r="B3476" t="s">
        <v>5440</v>
      </c>
      <c r="C3476">
        <v>0</v>
      </c>
      <c r="J3476">
        <v>3475</v>
      </c>
      <c r="K3476" t="s">
        <v>5440</v>
      </c>
      <c r="L3476">
        <v>0</v>
      </c>
    </row>
    <row r="3477" spans="1:12" x14ac:dyDescent="0.25">
      <c r="A3477">
        <v>3476</v>
      </c>
      <c r="B3477" t="s">
        <v>5441</v>
      </c>
      <c r="C3477">
        <v>0</v>
      </c>
      <c r="J3477">
        <v>3476</v>
      </c>
      <c r="K3477" t="s">
        <v>5441</v>
      </c>
      <c r="L3477">
        <v>0</v>
      </c>
    </row>
    <row r="3478" spans="1:12" x14ac:dyDescent="0.25">
      <c r="A3478">
        <v>3477</v>
      </c>
      <c r="B3478" t="s">
        <v>5442</v>
      </c>
      <c r="C3478">
        <v>0</v>
      </c>
      <c r="J3478">
        <v>3477</v>
      </c>
      <c r="K3478" t="s">
        <v>5442</v>
      </c>
      <c r="L3478">
        <v>0</v>
      </c>
    </row>
    <row r="3479" spans="1:12" x14ac:dyDescent="0.25">
      <c r="A3479">
        <v>3478</v>
      </c>
      <c r="B3479" t="s">
        <v>5443</v>
      </c>
      <c r="C3479">
        <v>0</v>
      </c>
      <c r="J3479">
        <v>3478</v>
      </c>
      <c r="K3479" t="s">
        <v>5443</v>
      </c>
      <c r="L3479">
        <v>0</v>
      </c>
    </row>
    <row r="3480" spans="1:12" x14ac:dyDescent="0.25">
      <c r="A3480">
        <v>3479</v>
      </c>
      <c r="B3480" t="s">
        <v>5444</v>
      </c>
      <c r="C3480">
        <v>0</v>
      </c>
      <c r="J3480">
        <v>3479</v>
      </c>
      <c r="K3480" t="s">
        <v>5444</v>
      </c>
      <c r="L3480">
        <v>0</v>
      </c>
    </row>
    <row r="3481" spans="1:12" x14ac:dyDescent="0.25">
      <c r="A3481">
        <v>3480</v>
      </c>
      <c r="B3481" t="s">
        <v>5445</v>
      </c>
      <c r="C3481">
        <v>0</v>
      </c>
      <c r="J3481">
        <v>3480</v>
      </c>
      <c r="K3481" t="s">
        <v>5445</v>
      </c>
      <c r="L3481">
        <v>0</v>
      </c>
    </row>
    <row r="3482" spans="1:12" x14ac:dyDescent="0.25">
      <c r="A3482">
        <v>3481</v>
      </c>
      <c r="B3482" t="s">
        <v>5446</v>
      </c>
      <c r="C3482">
        <v>0</v>
      </c>
      <c r="J3482">
        <v>3481</v>
      </c>
      <c r="K3482" t="s">
        <v>5446</v>
      </c>
      <c r="L3482">
        <v>0</v>
      </c>
    </row>
    <row r="3483" spans="1:12" x14ac:dyDescent="0.25">
      <c r="A3483">
        <v>3482</v>
      </c>
      <c r="B3483" t="s">
        <v>5447</v>
      </c>
      <c r="C3483">
        <v>0</v>
      </c>
      <c r="J3483">
        <v>3482</v>
      </c>
      <c r="K3483" t="s">
        <v>5447</v>
      </c>
      <c r="L3483">
        <v>0</v>
      </c>
    </row>
    <row r="3484" spans="1:12" x14ac:dyDescent="0.25">
      <c r="A3484">
        <v>3483</v>
      </c>
      <c r="B3484" t="s">
        <v>5448</v>
      </c>
      <c r="C3484">
        <v>0</v>
      </c>
      <c r="J3484">
        <v>3483</v>
      </c>
      <c r="K3484" t="s">
        <v>5448</v>
      </c>
      <c r="L3484">
        <v>0</v>
      </c>
    </row>
    <row r="3485" spans="1:12" x14ac:dyDescent="0.25">
      <c r="A3485">
        <v>3484</v>
      </c>
      <c r="B3485" t="s">
        <v>5449</v>
      </c>
      <c r="C3485">
        <v>0</v>
      </c>
      <c r="J3485">
        <v>3484</v>
      </c>
      <c r="K3485" t="s">
        <v>5449</v>
      </c>
      <c r="L3485">
        <v>0</v>
      </c>
    </row>
    <row r="3486" spans="1:12" x14ac:dyDescent="0.25">
      <c r="A3486">
        <v>3485</v>
      </c>
      <c r="B3486" t="s">
        <v>5450</v>
      </c>
      <c r="C3486">
        <v>0</v>
      </c>
      <c r="J3486">
        <v>3485</v>
      </c>
      <c r="K3486" t="s">
        <v>5450</v>
      </c>
      <c r="L3486">
        <v>0</v>
      </c>
    </row>
    <row r="3487" spans="1:12" x14ac:dyDescent="0.25">
      <c r="A3487">
        <v>3486</v>
      </c>
      <c r="B3487" t="s">
        <v>5451</v>
      </c>
      <c r="C3487">
        <v>0</v>
      </c>
      <c r="J3487">
        <v>3486</v>
      </c>
      <c r="K3487" t="s">
        <v>5451</v>
      </c>
      <c r="L3487">
        <v>0</v>
      </c>
    </row>
    <row r="3488" spans="1:12" x14ac:dyDescent="0.25">
      <c r="A3488">
        <v>3487</v>
      </c>
      <c r="B3488" t="s">
        <v>5452</v>
      </c>
      <c r="C3488">
        <v>0</v>
      </c>
      <c r="J3488">
        <v>3487</v>
      </c>
      <c r="K3488" t="s">
        <v>5452</v>
      </c>
      <c r="L3488">
        <v>0</v>
      </c>
    </row>
    <row r="3489" spans="1:12" x14ac:dyDescent="0.25">
      <c r="A3489">
        <v>3488</v>
      </c>
      <c r="B3489" t="s">
        <v>5453</v>
      </c>
      <c r="C3489">
        <v>0</v>
      </c>
      <c r="J3489">
        <v>3488</v>
      </c>
      <c r="K3489" t="s">
        <v>5453</v>
      </c>
      <c r="L3489">
        <v>0</v>
      </c>
    </row>
    <row r="3490" spans="1:12" x14ac:dyDescent="0.25">
      <c r="A3490">
        <v>3489</v>
      </c>
      <c r="B3490" t="s">
        <v>5454</v>
      </c>
      <c r="C3490">
        <v>0</v>
      </c>
      <c r="J3490">
        <v>3489</v>
      </c>
      <c r="K3490" t="s">
        <v>5454</v>
      </c>
      <c r="L3490">
        <v>0</v>
      </c>
    </row>
    <row r="3491" spans="1:12" x14ac:dyDescent="0.25">
      <c r="A3491">
        <v>3490</v>
      </c>
      <c r="B3491" t="s">
        <v>5455</v>
      </c>
      <c r="C3491">
        <v>0</v>
      </c>
      <c r="J3491">
        <v>3490</v>
      </c>
      <c r="K3491" t="s">
        <v>5455</v>
      </c>
      <c r="L3491">
        <v>0</v>
      </c>
    </row>
    <row r="3492" spans="1:12" x14ac:dyDescent="0.25">
      <c r="A3492">
        <v>3491</v>
      </c>
      <c r="B3492" t="s">
        <v>5456</v>
      </c>
      <c r="C3492">
        <v>0</v>
      </c>
      <c r="J3492">
        <v>3491</v>
      </c>
      <c r="K3492" t="s">
        <v>5456</v>
      </c>
      <c r="L3492">
        <v>0</v>
      </c>
    </row>
    <row r="3493" spans="1:12" x14ac:dyDescent="0.25">
      <c r="A3493">
        <v>3492</v>
      </c>
      <c r="B3493" t="s">
        <v>5457</v>
      </c>
      <c r="C3493">
        <v>0</v>
      </c>
      <c r="J3493">
        <v>3492</v>
      </c>
      <c r="K3493" t="s">
        <v>5457</v>
      </c>
      <c r="L3493">
        <v>0</v>
      </c>
    </row>
    <row r="3494" spans="1:12" x14ac:dyDescent="0.25">
      <c r="A3494">
        <v>3493</v>
      </c>
      <c r="B3494" t="s">
        <v>5458</v>
      </c>
      <c r="C3494">
        <v>0</v>
      </c>
      <c r="J3494">
        <v>3493</v>
      </c>
      <c r="K3494" t="s">
        <v>5458</v>
      </c>
      <c r="L3494">
        <v>0</v>
      </c>
    </row>
    <row r="3495" spans="1:12" x14ac:dyDescent="0.25">
      <c r="A3495">
        <v>3494</v>
      </c>
      <c r="B3495" t="s">
        <v>5459</v>
      </c>
      <c r="C3495">
        <v>0</v>
      </c>
      <c r="J3495">
        <v>3494</v>
      </c>
      <c r="K3495" t="s">
        <v>5459</v>
      </c>
      <c r="L3495">
        <v>0</v>
      </c>
    </row>
    <row r="3496" spans="1:12" x14ac:dyDescent="0.25">
      <c r="A3496">
        <v>3495</v>
      </c>
      <c r="B3496" t="s">
        <v>5460</v>
      </c>
      <c r="C3496">
        <v>0</v>
      </c>
      <c r="J3496">
        <v>3495</v>
      </c>
      <c r="K3496" t="s">
        <v>5460</v>
      </c>
      <c r="L3496">
        <v>0</v>
      </c>
    </row>
    <row r="3497" spans="1:12" x14ac:dyDescent="0.25">
      <c r="A3497">
        <v>3496</v>
      </c>
      <c r="B3497" t="s">
        <v>5461</v>
      </c>
      <c r="C3497">
        <v>0</v>
      </c>
      <c r="J3497">
        <v>3496</v>
      </c>
      <c r="K3497" t="s">
        <v>5461</v>
      </c>
      <c r="L3497">
        <v>0</v>
      </c>
    </row>
    <row r="3498" spans="1:12" x14ac:dyDescent="0.25">
      <c r="A3498">
        <v>3497</v>
      </c>
      <c r="B3498" t="s">
        <v>5462</v>
      </c>
      <c r="C3498">
        <v>0</v>
      </c>
      <c r="J3498">
        <v>3497</v>
      </c>
      <c r="K3498" t="s">
        <v>5462</v>
      </c>
      <c r="L3498">
        <v>0</v>
      </c>
    </row>
    <row r="3499" spans="1:12" x14ac:dyDescent="0.25">
      <c r="A3499">
        <v>3498</v>
      </c>
      <c r="B3499" t="s">
        <v>5463</v>
      </c>
      <c r="C3499">
        <v>0</v>
      </c>
      <c r="J3499">
        <v>3498</v>
      </c>
      <c r="K3499" t="s">
        <v>5463</v>
      </c>
      <c r="L3499">
        <v>0</v>
      </c>
    </row>
    <row r="3500" spans="1:12" x14ac:dyDescent="0.25">
      <c r="A3500">
        <v>3499</v>
      </c>
      <c r="B3500" t="s">
        <v>5464</v>
      </c>
      <c r="C3500">
        <v>0</v>
      </c>
      <c r="J3500">
        <v>3499</v>
      </c>
      <c r="K3500" t="s">
        <v>5464</v>
      </c>
      <c r="L3500">
        <v>0</v>
      </c>
    </row>
    <row r="3501" spans="1:12" x14ac:dyDescent="0.25">
      <c r="A3501">
        <v>3500</v>
      </c>
      <c r="B3501" t="s">
        <v>5465</v>
      </c>
      <c r="C3501">
        <v>0</v>
      </c>
      <c r="J3501">
        <v>3500</v>
      </c>
      <c r="K3501" t="s">
        <v>5465</v>
      </c>
      <c r="L3501">
        <v>0</v>
      </c>
    </row>
    <row r="3502" spans="1:12" x14ac:dyDescent="0.25">
      <c r="A3502">
        <v>3501</v>
      </c>
      <c r="B3502" t="s">
        <v>5466</v>
      </c>
      <c r="C3502">
        <v>0</v>
      </c>
      <c r="J3502">
        <v>3501</v>
      </c>
      <c r="K3502" t="s">
        <v>5466</v>
      </c>
      <c r="L3502">
        <v>0</v>
      </c>
    </row>
    <row r="3503" spans="1:12" x14ac:dyDescent="0.25">
      <c r="A3503">
        <v>3502</v>
      </c>
      <c r="B3503" t="s">
        <v>5467</v>
      </c>
      <c r="C3503">
        <v>0</v>
      </c>
      <c r="J3503">
        <v>3502</v>
      </c>
      <c r="K3503" t="s">
        <v>5467</v>
      </c>
      <c r="L3503">
        <v>0</v>
      </c>
    </row>
    <row r="3504" spans="1:12" x14ac:dyDescent="0.25">
      <c r="A3504">
        <v>3503</v>
      </c>
      <c r="B3504" t="s">
        <v>5468</v>
      </c>
      <c r="C3504">
        <v>0</v>
      </c>
      <c r="J3504">
        <v>3503</v>
      </c>
      <c r="K3504" t="s">
        <v>5468</v>
      </c>
      <c r="L3504">
        <v>0</v>
      </c>
    </row>
    <row r="3505" spans="1:12" x14ac:dyDescent="0.25">
      <c r="A3505">
        <v>3504</v>
      </c>
      <c r="B3505" t="s">
        <v>5469</v>
      </c>
      <c r="C3505">
        <v>0</v>
      </c>
      <c r="J3505">
        <v>3504</v>
      </c>
      <c r="K3505" t="s">
        <v>5469</v>
      </c>
      <c r="L3505">
        <v>0</v>
      </c>
    </row>
    <row r="3506" spans="1:12" x14ac:dyDescent="0.25">
      <c r="A3506">
        <v>3505</v>
      </c>
      <c r="B3506" t="s">
        <v>5470</v>
      </c>
      <c r="C3506">
        <v>0</v>
      </c>
      <c r="J3506">
        <v>3505</v>
      </c>
      <c r="K3506" t="s">
        <v>5470</v>
      </c>
      <c r="L3506">
        <v>0</v>
      </c>
    </row>
    <row r="3507" spans="1:12" x14ac:dyDescent="0.25">
      <c r="A3507">
        <v>3506</v>
      </c>
      <c r="B3507" t="s">
        <v>5471</v>
      </c>
      <c r="C3507">
        <v>0</v>
      </c>
      <c r="J3507">
        <v>3506</v>
      </c>
      <c r="K3507" t="s">
        <v>5471</v>
      </c>
      <c r="L3507">
        <v>0</v>
      </c>
    </row>
    <row r="3508" spans="1:12" x14ac:dyDescent="0.25">
      <c r="A3508">
        <v>3507</v>
      </c>
      <c r="B3508" t="s">
        <v>5472</v>
      </c>
      <c r="C3508">
        <v>0</v>
      </c>
      <c r="J3508">
        <v>3507</v>
      </c>
      <c r="K3508" t="s">
        <v>5472</v>
      </c>
      <c r="L3508">
        <v>0</v>
      </c>
    </row>
    <row r="3509" spans="1:12" x14ac:dyDescent="0.25">
      <c r="A3509">
        <v>3508</v>
      </c>
      <c r="B3509" t="s">
        <v>5473</v>
      </c>
      <c r="C3509">
        <v>0</v>
      </c>
      <c r="J3509">
        <v>3508</v>
      </c>
      <c r="K3509" t="s">
        <v>5473</v>
      </c>
      <c r="L3509">
        <v>0</v>
      </c>
    </row>
    <row r="3510" spans="1:12" x14ac:dyDescent="0.25">
      <c r="A3510">
        <v>3509</v>
      </c>
      <c r="B3510" t="s">
        <v>5474</v>
      </c>
      <c r="C3510">
        <v>0</v>
      </c>
      <c r="J3510">
        <v>3509</v>
      </c>
      <c r="K3510" t="s">
        <v>5474</v>
      </c>
      <c r="L3510">
        <v>0</v>
      </c>
    </row>
    <row r="3511" spans="1:12" x14ac:dyDescent="0.25">
      <c r="A3511">
        <v>3510</v>
      </c>
      <c r="B3511" t="s">
        <v>5475</v>
      </c>
      <c r="C3511">
        <v>0</v>
      </c>
      <c r="J3511">
        <v>3510</v>
      </c>
      <c r="K3511" t="s">
        <v>5475</v>
      </c>
      <c r="L3511">
        <v>0</v>
      </c>
    </row>
    <row r="3512" spans="1:12" x14ac:dyDescent="0.25">
      <c r="A3512">
        <v>3511</v>
      </c>
      <c r="B3512" t="s">
        <v>5476</v>
      </c>
      <c r="C3512">
        <v>0</v>
      </c>
      <c r="J3512">
        <v>3511</v>
      </c>
      <c r="K3512" t="s">
        <v>5476</v>
      </c>
      <c r="L3512">
        <v>0</v>
      </c>
    </row>
    <row r="3513" spans="1:12" x14ac:dyDescent="0.25">
      <c r="A3513">
        <v>3512</v>
      </c>
      <c r="B3513" t="s">
        <v>5477</v>
      </c>
      <c r="C3513">
        <v>0</v>
      </c>
      <c r="J3513">
        <v>3512</v>
      </c>
      <c r="K3513" t="s">
        <v>5477</v>
      </c>
      <c r="L3513">
        <v>0</v>
      </c>
    </row>
    <row r="3514" spans="1:12" x14ac:dyDescent="0.25">
      <c r="A3514">
        <v>3513</v>
      </c>
      <c r="B3514" t="s">
        <v>5478</v>
      </c>
      <c r="C3514">
        <v>0</v>
      </c>
      <c r="J3514">
        <v>3513</v>
      </c>
      <c r="K3514" t="s">
        <v>5478</v>
      </c>
      <c r="L3514">
        <v>0</v>
      </c>
    </row>
    <row r="3515" spans="1:12" x14ac:dyDescent="0.25">
      <c r="A3515">
        <v>3514</v>
      </c>
      <c r="B3515" t="s">
        <v>5479</v>
      </c>
      <c r="C3515">
        <v>0</v>
      </c>
      <c r="J3515">
        <v>3514</v>
      </c>
      <c r="K3515" t="s">
        <v>5479</v>
      </c>
      <c r="L3515">
        <v>0</v>
      </c>
    </row>
    <row r="3516" spans="1:12" x14ac:dyDescent="0.25">
      <c r="A3516">
        <v>3515</v>
      </c>
      <c r="B3516" t="s">
        <v>5480</v>
      </c>
      <c r="C3516">
        <v>0</v>
      </c>
      <c r="J3516">
        <v>3515</v>
      </c>
      <c r="K3516" t="s">
        <v>5480</v>
      </c>
      <c r="L3516">
        <v>0</v>
      </c>
    </row>
    <row r="3517" spans="1:12" x14ac:dyDescent="0.25">
      <c r="A3517">
        <v>3516</v>
      </c>
      <c r="B3517" t="s">
        <v>5481</v>
      </c>
      <c r="C3517">
        <v>0</v>
      </c>
      <c r="J3517">
        <v>3516</v>
      </c>
      <c r="K3517" t="s">
        <v>5481</v>
      </c>
      <c r="L3517">
        <v>0</v>
      </c>
    </row>
    <row r="3518" spans="1:12" x14ac:dyDescent="0.25">
      <c r="A3518">
        <v>3517</v>
      </c>
      <c r="B3518" t="s">
        <v>5482</v>
      </c>
      <c r="C3518">
        <v>0</v>
      </c>
      <c r="J3518">
        <v>3517</v>
      </c>
      <c r="K3518" t="s">
        <v>5482</v>
      </c>
      <c r="L3518">
        <v>0</v>
      </c>
    </row>
    <row r="3519" spans="1:12" x14ac:dyDescent="0.25">
      <c r="A3519">
        <v>3518</v>
      </c>
      <c r="B3519" t="s">
        <v>5483</v>
      </c>
      <c r="C3519">
        <v>0</v>
      </c>
      <c r="J3519">
        <v>3518</v>
      </c>
      <c r="K3519" t="s">
        <v>5483</v>
      </c>
      <c r="L3519">
        <v>0</v>
      </c>
    </row>
    <row r="3520" spans="1:12" x14ac:dyDescent="0.25">
      <c r="A3520">
        <v>3519</v>
      </c>
      <c r="B3520" t="s">
        <v>5484</v>
      </c>
      <c r="C3520">
        <v>0</v>
      </c>
      <c r="J3520">
        <v>3519</v>
      </c>
      <c r="K3520" t="s">
        <v>5484</v>
      </c>
      <c r="L3520">
        <v>0</v>
      </c>
    </row>
    <row r="3521" spans="1:12" x14ac:dyDescent="0.25">
      <c r="A3521">
        <v>3520</v>
      </c>
      <c r="B3521" t="s">
        <v>5485</v>
      </c>
      <c r="C3521">
        <v>0</v>
      </c>
      <c r="J3521">
        <v>3520</v>
      </c>
      <c r="K3521" t="s">
        <v>5485</v>
      </c>
      <c r="L3521">
        <v>0</v>
      </c>
    </row>
    <row r="3522" spans="1:12" x14ac:dyDescent="0.25">
      <c r="A3522">
        <v>3521</v>
      </c>
      <c r="B3522" t="s">
        <v>5486</v>
      </c>
      <c r="C3522">
        <v>0</v>
      </c>
      <c r="J3522">
        <v>3521</v>
      </c>
      <c r="K3522" t="s">
        <v>5486</v>
      </c>
      <c r="L3522">
        <v>0</v>
      </c>
    </row>
    <row r="3523" spans="1:12" x14ac:dyDescent="0.25">
      <c r="A3523">
        <v>3522</v>
      </c>
      <c r="B3523" t="s">
        <v>5487</v>
      </c>
      <c r="C3523">
        <v>0</v>
      </c>
      <c r="J3523">
        <v>3522</v>
      </c>
      <c r="K3523" t="s">
        <v>5487</v>
      </c>
      <c r="L3523">
        <v>0</v>
      </c>
    </row>
    <row r="3524" spans="1:12" x14ac:dyDescent="0.25">
      <c r="A3524">
        <v>3523</v>
      </c>
      <c r="B3524" t="s">
        <v>5488</v>
      </c>
      <c r="C3524">
        <v>0</v>
      </c>
      <c r="J3524">
        <v>3523</v>
      </c>
      <c r="K3524" t="s">
        <v>5488</v>
      </c>
      <c r="L3524">
        <v>0</v>
      </c>
    </row>
    <row r="3525" spans="1:12" x14ac:dyDescent="0.25">
      <c r="A3525">
        <v>3524</v>
      </c>
      <c r="B3525" t="s">
        <v>5489</v>
      </c>
      <c r="C3525">
        <v>0</v>
      </c>
      <c r="J3525">
        <v>3524</v>
      </c>
      <c r="K3525" t="s">
        <v>5489</v>
      </c>
      <c r="L3525">
        <v>0</v>
      </c>
    </row>
    <row r="3526" spans="1:12" x14ac:dyDescent="0.25">
      <c r="A3526">
        <v>3525</v>
      </c>
      <c r="B3526" t="s">
        <v>5490</v>
      </c>
      <c r="C3526">
        <v>0</v>
      </c>
      <c r="J3526">
        <v>3525</v>
      </c>
      <c r="K3526" t="s">
        <v>5490</v>
      </c>
      <c r="L3526">
        <v>0</v>
      </c>
    </row>
    <row r="3527" spans="1:12" x14ac:dyDescent="0.25">
      <c r="A3527">
        <v>3526</v>
      </c>
      <c r="B3527" t="s">
        <v>5491</v>
      </c>
      <c r="C3527">
        <v>0</v>
      </c>
      <c r="J3527">
        <v>3526</v>
      </c>
      <c r="K3527" t="s">
        <v>5491</v>
      </c>
      <c r="L3527">
        <v>0</v>
      </c>
    </row>
    <row r="3528" spans="1:12" x14ac:dyDescent="0.25">
      <c r="A3528">
        <v>3527</v>
      </c>
      <c r="B3528" t="s">
        <v>5492</v>
      </c>
      <c r="C3528">
        <v>0</v>
      </c>
      <c r="J3528">
        <v>3527</v>
      </c>
      <c r="K3528" t="s">
        <v>5492</v>
      </c>
      <c r="L3528">
        <v>0</v>
      </c>
    </row>
    <row r="3529" spans="1:12" x14ac:dyDescent="0.25">
      <c r="A3529">
        <v>3528</v>
      </c>
      <c r="B3529" t="s">
        <v>5493</v>
      </c>
      <c r="C3529">
        <v>0</v>
      </c>
      <c r="J3529">
        <v>3528</v>
      </c>
      <c r="K3529" t="s">
        <v>5493</v>
      </c>
      <c r="L3529">
        <v>0</v>
      </c>
    </row>
    <row r="3530" spans="1:12" x14ac:dyDescent="0.25">
      <c r="A3530">
        <v>3529</v>
      </c>
      <c r="B3530" t="s">
        <v>5494</v>
      </c>
      <c r="C3530">
        <v>0</v>
      </c>
      <c r="J3530">
        <v>3529</v>
      </c>
      <c r="K3530" t="s">
        <v>5494</v>
      </c>
      <c r="L3530">
        <v>0</v>
      </c>
    </row>
    <row r="3531" spans="1:12" x14ac:dyDescent="0.25">
      <c r="A3531">
        <v>3530</v>
      </c>
      <c r="B3531" t="s">
        <v>5495</v>
      </c>
      <c r="C3531">
        <v>0</v>
      </c>
      <c r="J3531">
        <v>3530</v>
      </c>
      <c r="K3531" t="s">
        <v>5495</v>
      </c>
      <c r="L3531">
        <v>0</v>
      </c>
    </row>
    <row r="3532" spans="1:12" x14ac:dyDescent="0.25">
      <c r="A3532">
        <v>3531</v>
      </c>
      <c r="B3532" t="s">
        <v>5496</v>
      </c>
      <c r="C3532">
        <v>0</v>
      </c>
      <c r="J3532">
        <v>3531</v>
      </c>
      <c r="K3532" t="s">
        <v>5496</v>
      </c>
      <c r="L3532">
        <v>0</v>
      </c>
    </row>
    <row r="3533" spans="1:12" x14ac:dyDescent="0.25">
      <c r="A3533">
        <v>3532</v>
      </c>
      <c r="B3533" t="s">
        <v>5497</v>
      </c>
      <c r="C3533">
        <v>0</v>
      </c>
      <c r="J3533">
        <v>3532</v>
      </c>
      <c r="K3533" t="s">
        <v>5497</v>
      </c>
      <c r="L3533">
        <v>0</v>
      </c>
    </row>
    <row r="3534" spans="1:12" x14ac:dyDescent="0.25">
      <c r="A3534">
        <v>3533</v>
      </c>
      <c r="B3534" t="s">
        <v>5498</v>
      </c>
      <c r="C3534">
        <v>0</v>
      </c>
      <c r="J3534">
        <v>3533</v>
      </c>
      <c r="K3534" t="s">
        <v>5498</v>
      </c>
      <c r="L3534">
        <v>0</v>
      </c>
    </row>
    <row r="3535" spans="1:12" x14ac:dyDescent="0.25">
      <c r="A3535">
        <v>3534</v>
      </c>
      <c r="B3535" t="s">
        <v>5499</v>
      </c>
      <c r="C3535">
        <v>0</v>
      </c>
      <c r="J3535">
        <v>3534</v>
      </c>
      <c r="K3535" t="s">
        <v>5499</v>
      </c>
      <c r="L3535">
        <v>0</v>
      </c>
    </row>
    <row r="3536" spans="1:12" x14ac:dyDescent="0.25">
      <c r="A3536">
        <v>3535</v>
      </c>
      <c r="B3536" t="s">
        <v>5500</v>
      </c>
      <c r="C3536">
        <v>0</v>
      </c>
      <c r="J3536">
        <v>3535</v>
      </c>
      <c r="K3536" t="s">
        <v>5500</v>
      </c>
      <c r="L3536">
        <v>0</v>
      </c>
    </row>
    <row r="3537" spans="1:12" x14ac:dyDescent="0.25">
      <c r="A3537">
        <v>3536</v>
      </c>
      <c r="B3537" t="s">
        <v>5501</v>
      </c>
      <c r="C3537">
        <v>0</v>
      </c>
      <c r="J3537">
        <v>3536</v>
      </c>
      <c r="K3537" t="s">
        <v>5501</v>
      </c>
      <c r="L3537">
        <v>0</v>
      </c>
    </row>
    <row r="3538" spans="1:12" x14ac:dyDescent="0.25">
      <c r="A3538">
        <v>3537</v>
      </c>
      <c r="B3538" t="s">
        <v>5502</v>
      </c>
      <c r="C3538">
        <v>0</v>
      </c>
      <c r="J3538">
        <v>3537</v>
      </c>
      <c r="K3538" t="s">
        <v>5502</v>
      </c>
      <c r="L3538">
        <v>0</v>
      </c>
    </row>
    <row r="3539" spans="1:12" x14ac:dyDescent="0.25">
      <c r="A3539">
        <v>3538</v>
      </c>
      <c r="B3539" t="s">
        <v>5503</v>
      </c>
      <c r="C3539">
        <v>0</v>
      </c>
      <c r="J3539">
        <v>3538</v>
      </c>
      <c r="K3539" t="s">
        <v>5503</v>
      </c>
      <c r="L3539">
        <v>0</v>
      </c>
    </row>
    <row r="3540" spans="1:12" x14ac:dyDescent="0.25">
      <c r="A3540">
        <v>3539</v>
      </c>
      <c r="B3540" t="s">
        <v>5504</v>
      </c>
      <c r="C3540">
        <v>0</v>
      </c>
      <c r="J3540">
        <v>3539</v>
      </c>
      <c r="K3540" t="s">
        <v>5504</v>
      </c>
      <c r="L3540">
        <v>0</v>
      </c>
    </row>
    <row r="3541" spans="1:12" x14ac:dyDescent="0.25">
      <c r="A3541">
        <v>3540</v>
      </c>
      <c r="B3541" t="s">
        <v>5505</v>
      </c>
      <c r="C3541">
        <v>0</v>
      </c>
      <c r="J3541">
        <v>3540</v>
      </c>
      <c r="K3541" t="s">
        <v>5505</v>
      </c>
      <c r="L3541">
        <v>0</v>
      </c>
    </row>
    <row r="3542" spans="1:12" x14ac:dyDescent="0.25">
      <c r="A3542">
        <v>3541</v>
      </c>
      <c r="B3542" t="s">
        <v>5506</v>
      </c>
      <c r="C3542">
        <v>0</v>
      </c>
      <c r="J3542">
        <v>3541</v>
      </c>
      <c r="K3542" t="s">
        <v>5506</v>
      </c>
      <c r="L3542">
        <v>0</v>
      </c>
    </row>
    <row r="3543" spans="1:12" x14ac:dyDescent="0.25">
      <c r="A3543">
        <v>3542</v>
      </c>
      <c r="B3543" t="s">
        <v>5507</v>
      </c>
      <c r="C3543">
        <v>0</v>
      </c>
      <c r="J3543">
        <v>3542</v>
      </c>
      <c r="K3543" t="s">
        <v>5507</v>
      </c>
      <c r="L3543">
        <v>0</v>
      </c>
    </row>
    <row r="3544" spans="1:12" x14ac:dyDescent="0.25">
      <c r="A3544">
        <v>3543</v>
      </c>
      <c r="B3544" t="s">
        <v>5508</v>
      </c>
      <c r="C3544">
        <v>0</v>
      </c>
      <c r="J3544">
        <v>3543</v>
      </c>
      <c r="K3544" t="s">
        <v>5508</v>
      </c>
      <c r="L3544">
        <v>0</v>
      </c>
    </row>
    <row r="3545" spans="1:12" x14ac:dyDescent="0.25">
      <c r="A3545">
        <v>3544</v>
      </c>
      <c r="B3545" t="s">
        <v>5509</v>
      </c>
      <c r="C3545">
        <v>0</v>
      </c>
      <c r="J3545">
        <v>3544</v>
      </c>
      <c r="K3545" t="s">
        <v>5509</v>
      </c>
      <c r="L3545">
        <v>0</v>
      </c>
    </row>
    <row r="3546" spans="1:12" x14ac:dyDescent="0.25">
      <c r="A3546">
        <v>3545</v>
      </c>
      <c r="B3546" t="s">
        <v>5510</v>
      </c>
      <c r="C3546">
        <v>0</v>
      </c>
      <c r="J3546">
        <v>3545</v>
      </c>
      <c r="K3546" t="s">
        <v>5510</v>
      </c>
      <c r="L3546">
        <v>0</v>
      </c>
    </row>
    <row r="3547" spans="1:12" x14ac:dyDescent="0.25">
      <c r="A3547">
        <v>3546</v>
      </c>
      <c r="B3547" t="s">
        <v>5511</v>
      </c>
      <c r="C3547">
        <v>0</v>
      </c>
      <c r="J3547">
        <v>3546</v>
      </c>
      <c r="K3547" t="s">
        <v>5511</v>
      </c>
      <c r="L3547">
        <v>0</v>
      </c>
    </row>
    <row r="3548" spans="1:12" x14ac:dyDescent="0.25">
      <c r="A3548">
        <v>3547</v>
      </c>
      <c r="B3548" t="s">
        <v>5512</v>
      </c>
      <c r="C3548">
        <v>0</v>
      </c>
      <c r="J3548">
        <v>3547</v>
      </c>
      <c r="K3548" t="s">
        <v>5512</v>
      </c>
      <c r="L3548">
        <v>0</v>
      </c>
    </row>
    <row r="3549" spans="1:12" x14ac:dyDescent="0.25">
      <c r="A3549">
        <v>3548</v>
      </c>
      <c r="B3549" t="s">
        <v>5513</v>
      </c>
      <c r="C3549">
        <v>0</v>
      </c>
      <c r="J3549">
        <v>3548</v>
      </c>
      <c r="K3549" t="s">
        <v>5513</v>
      </c>
      <c r="L3549">
        <v>0</v>
      </c>
    </row>
    <row r="3550" spans="1:12" x14ac:dyDescent="0.25">
      <c r="A3550">
        <v>3549</v>
      </c>
      <c r="B3550" t="s">
        <v>5514</v>
      </c>
      <c r="C3550">
        <v>0</v>
      </c>
      <c r="J3550">
        <v>3549</v>
      </c>
      <c r="K3550" t="s">
        <v>5514</v>
      </c>
      <c r="L3550">
        <v>0</v>
      </c>
    </row>
    <row r="3551" spans="1:12" x14ac:dyDescent="0.25">
      <c r="A3551">
        <v>3550</v>
      </c>
      <c r="B3551" t="s">
        <v>5515</v>
      </c>
      <c r="C3551">
        <v>0</v>
      </c>
      <c r="J3551">
        <v>3550</v>
      </c>
      <c r="K3551" t="s">
        <v>5515</v>
      </c>
      <c r="L3551">
        <v>0</v>
      </c>
    </row>
    <row r="3552" spans="1:12" x14ac:dyDescent="0.25">
      <c r="A3552">
        <v>3551</v>
      </c>
      <c r="B3552" t="s">
        <v>5516</v>
      </c>
      <c r="C3552">
        <v>0</v>
      </c>
      <c r="J3552">
        <v>3551</v>
      </c>
      <c r="K3552" t="s">
        <v>5516</v>
      </c>
      <c r="L3552">
        <v>0</v>
      </c>
    </row>
    <row r="3553" spans="1:12" x14ac:dyDescent="0.25">
      <c r="A3553">
        <v>3552</v>
      </c>
      <c r="B3553" t="s">
        <v>5517</v>
      </c>
      <c r="C3553">
        <v>0</v>
      </c>
      <c r="J3553">
        <v>3552</v>
      </c>
      <c r="K3553" t="s">
        <v>5517</v>
      </c>
      <c r="L3553">
        <v>0</v>
      </c>
    </row>
    <row r="3554" spans="1:12" x14ac:dyDescent="0.25">
      <c r="A3554">
        <v>3553</v>
      </c>
      <c r="B3554" t="s">
        <v>5518</v>
      </c>
      <c r="C3554">
        <v>0</v>
      </c>
      <c r="J3554">
        <v>3553</v>
      </c>
      <c r="K3554" t="s">
        <v>5518</v>
      </c>
      <c r="L3554">
        <v>0</v>
      </c>
    </row>
    <row r="3555" spans="1:12" x14ac:dyDescent="0.25">
      <c r="A3555">
        <v>3554</v>
      </c>
      <c r="B3555" t="s">
        <v>5519</v>
      </c>
      <c r="C3555">
        <v>0</v>
      </c>
      <c r="J3555">
        <v>3554</v>
      </c>
      <c r="K3555" t="s">
        <v>5519</v>
      </c>
      <c r="L3555">
        <v>0</v>
      </c>
    </row>
    <row r="3556" spans="1:12" x14ac:dyDescent="0.25">
      <c r="A3556">
        <v>3555</v>
      </c>
      <c r="B3556" t="s">
        <v>5520</v>
      </c>
      <c r="C3556">
        <v>0</v>
      </c>
      <c r="J3556">
        <v>3555</v>
      </c>
      <c r="K3556" t="s">
        <v>5520</v>
      </c>
      <c r="L3556">
        <v>0</v>
      </c>
    </row>
    <row r="3557" spans="1:12" x14ac:dyDescent="0.25">
      <c r="A3557">
        <v>3556</v>
      </c>
      <c r="B3557" t="s">
        <v>5521</v>
      </c>
      <c r="C3557">
        <v>0</v>
      </c>
      <c r="J3557">
        <v>3556</v>
      </c>
      <c r="K3557" t="s">
        <v>5521</v>
      </c>
      <c r="L3557">
        <v>0</v>
      </c>
    </row>
    <row r="3558" spans="1:12" x14ac:dyDescent="0.25">
      <c r="A3558">
        <v>3557</v>
      </c>
      <c r="B3558" t="s">
        <v>5522</v>
      </c>
      <c r="C3558">
        <v>0</v>
      </c>
      <c r="J3558">
        <v>3557</v>
      </c>
      <c r="K3558" t="s">
        <v>5522</v>
      </c>
      <c r="L3558">
        <v>0</v>
      </c>
    </row>
    <row r="3559" spans="1:12" x14ac:dyDescent="0.25">
      <c r="A3559">
        <v>3558</v>
      </c>
      <c r="B3559" t="s">
        <v>5523</v>
      </c>
      <c r="C3559">
        <v>0</v>
      </c>
      <c r="J3559">
        <v>3558</v>
      </c>
      <c r="K3559" t="s">
        <v>5523</v>
      </c>
      <c r="L3559">
        <v>0</v>
      </c>
    </row>
    <row r="3560" spans="1:12" x14ac:dyDescent="0.25">
      <c r="A3560">
        <v>3559</v>
      </c>
      <c r="B3560" t="s">
        <v>5524</v>
      </c>
      <c r="C3560">
        <v>0</v>
      </c>
      <c r="J3560">
        <v>3559</v>
      </c>
      <c r="K3560" t="s">
        <v>5524</v>
      </c>
      <c r="L3560">
        <v>0</v>
      </c>
    </row>
    <row r="3561" spans="1:12" x14ac:dyDescent="0.25">
      <c r="A3561">
        <v>3560</v>
      </c>
      <c r="B3561" t="s">
        <v>5525</v>
      </c>
      <c r="C3561">
        <v>0</v>
      </c>
      <c r="J3561">
        <v>3560</v>
      </c>
      <c r="K3561" t="s">
        <v>5525</v>
      </c>
      <c r="L3561">
        <v>0</v>
      </c>
    </row>
    <row r="3562" spans="1:12" x14ac:dyDescent="0.25">
      <c r="A3562">
        <v>3561</v>
      </c>
      <c r="B3562" t="s">
        <v>5526</v>
      </c>
      <c r="C3562">
        <v>0</v>
      </c>
      <c r="J3562">
        <v>3561</v>
      </c>
      <c r="K3562" t="s">
        <v>5526</v>
      </c>
      <c r="L3562">
        <v>0</v>
      </c>
    </row>
    <row r="3563" spans="1:12" x14ac:dyDescent="0.25">
      <c r="A3563">
        <v>3562</v>
      </c>
      <c r="B3563" t="s">
        <v>5527</v>
      </c>
      <c r="C3563">
        <v>0</v>
      </c>
      <c r="J3563">
        <v>3562</v>
      </c>
      <c r="K3563" t="s">
        <v>5527</v>
      </c>
      <c r="L3563">
        <v>0</v>
      </c>
    </row>
    <row r="3564" spans="1:12" x14ac:dyDescent="0.25">
      <c r="A3564">
        <v>3563</v>
      </c>
      <c r="B3564" t="s">
        <v>5528</v>
      </c>
      <c r="C3564">
        <v>0</v>
      </c>
      <c r="J3564">
        <v>3563</v>
      </c>
      <c r="K3564" t="s">
        <v>5528</v>
      </c>
      <c r="L3564">
        <v>0</v>
      </c>
    </row>
    <row r="3565" spans="1:12" x14ac:dyDescent="0.25">
      <c r="A3565">
        <v>3564</v>
      </c>
      <c r="B3565" t="s">
        <v>5529</v>
      </c>
      <c r="C3565">
        <v>0</v>
      </c>
      <c r="J3565">
        <v>3564</v>
      </c>
      <c r="K3565" t="s">
        <v>5529</v>
      </c>
      <c r="L3565">
        <v>0</v>
      </c>
    </row>
    <row r="3566" spans="1:12" x14ac:dyDescent="0.25">
      <c r="A3566">
        <v>3565</v>
      </c>
      <c r="B3566" t="s">
        <v>5530</v>
      </c>
      <c r="C3566">
        <v>0</v>
      </c>
      <c r="J3566">
        <v>3565</v>
      </c>
      <c r="K3566" t="s">
        <v>5530</v>
      </c>
      <c r="L3566">
        <v>0</v>
      </c>
    </row>
    <row r="3567" spans="1:12" x14ac:dyDescent="0.25">
      <c r="A3567">
        <v>3566</v>
      </c>
      <c r="B3567" t="s">
        <v>5531</v>
      </c>
      <c r="C3567">
        <v>0</v>
      </c>
      <c r="J3567">
        <v>3566</v>
      </c>
      <c r="K3567" t="s">
        <v>5531</v>
      </c>
      <c r="L3567">
        <v>0</v>
      </c>
    </row>
    <row r="3568" spans="1:12" x14ac:dyDescent="0.25">
      <c r="A3568">
        <v>3567</v>
      </c>
      <c r="B3568" t="s">
        <v>5532</v>
      </c>
      <c r="C3568">
        <v>0</v>
      </c>
      <c r="J3568">
        <v>3567</v>
      </c>
      <c r="K3568" t="s">
        <v>5532</v>
      </c>
      <c r="L3568">
        <v>0</v>
      </c>
    </row>
    <row r="3569" spans="1:12" x14ac:dyDescent="0.25">
      <c r="A3569">
        <v>3568</v>
      </c>
      <c r="B3569" t="s">
        <v>5533</v>
      </c>
      <c r="C3569">
        <v>0</v>
      </c>
      <c r="J3569">
        <v>3568</v>
      </c>
      <c r="K3569" t="s">
        <v>5533</v>
      </c>
      <c r="L3569">
        <v>0</v>
      </c>
    </row>
    <row r="3570" spans="1:12" x14ac:dyDescent="0.25">
      <c r="A3570">
        <v>3569</v>
      </c>
      <c r="B3570" t="s">
        <v>5534</v>
      </c>
      <c r="C3570">
        <v>0</v>
      </c>
      <c r="J3570">
        <v>3569</v>
      </c>
      <c r="K3570" t="s">
        <v>5534</v>
      </c>
      <c r="L3570">
        <v>0</v>
      </c>
    </row>
    <row r="3571" spans="1:12" x14ac:dyDescent="0.25">
      <c r="A3571">
        <v>3570</v>
      </c>
      <c r="B3571" t="s">
        <v>5535</v>
      </c>
      <c r="C3571">
        <v>0</v>
      </c>
      <c r="J3571">
        <v>3570</v>
      </c>
      <c r="K3571" t="s">
        <v>5535</v>
      </c>
      <c r="L3571">
        <v>0</v>
      </c>
    </row>
    <row r="3572" spans="1:12" x14ac:dyDescent="0.25">
      <c r="A3572">
        <v>3571</v>
      </c>
      <c r="B3572" t="s">
        <v>5536</v>
      </c>
      <c r="C3572">
        <v>0</v>
      </c>
      <c r="J3572">
        <v>3571</v>
      </c>
      <c r="K3572" t="s">
        <v>5536</v>
      </c>
      <c r="L3572">
        <v>0</v>
      </c>
    </row>
    <row r="3573" spans="1:12" x14ac:dyDescent="0.25">
      <c r="A3573">
        <v>3572</v>
      </c>
      <c r="B3573" t="s">
        <v>5537</v>
      </c>
      <c r="C3573">
        <v>0</v>
      </c>
      <c r="J3573">
        <v>3572</v>
      </c>
      <c r="K3573" t="s">
        <v>5537</v>
      </c>
      <c r="L3573">
        <v>0</v>
      </c>
    </row>
    <row r="3574" spans="1:12" x14ac:dyDescent="0.25">
      <c r="A3574">
        <v>3573</v>
      </c>
      <c r="B3574" t="s">
        <v>5538</v>
      </c>
      <c r="C3574">
        <v>0</v>
      </c>
      <c r="J3574">
        <v>3573</v>
      </c>
      <c r="K3574" t="s">
        <v>5538</v>
      </c>
      <c r="L3574">
        <v>0</v>
      </c>
    </row>
    <row r="3575" spans="1:12" x14ac:dyDescent="0.25">
      <c r="A3575">
        <v>3574</v>
      </c>
      <c r="B3575" t="s">
        <v>5539</v>
      </c>
      <c r="C3575">
        <v>0</v>
      </c>
      <c r="J3575">
        <v>3574</v>
      </c>
      <c r="K3575" t="s">
        <v>5539</v>
      </c>
      <c r="L3575">
        <v>0</v>
      </c>
    </row>
    <row r="3576" spans="1:12" x14ac:dyDescent="0.25">
      <c r="A3576">
        <v>3575</v>
      </c>
      <c r="B3576" t="s">
        <v>5540</v>
      </c>
      <c r="C3576">
        <v>0</v>
      </c>
      <c r="J3576">
        <v>3575</v>
      </c>
      <c r="K3576" t="s">
        <v>5540</v>
      </c>
      <c r="L3576">
        <v>0</v>
      </c>
    </row>
    <row r="3577" spans="1:12" x14ac:dyDescent="0.25">
      <c r="A3577">
        <v>3576</v>
      </c>
      <c r="B3577" t="s">
        <v>5541</v>
      </c>
      <c r="C3577">
        <v>0</v>
      </c>
      <c r="J3577">
        <v>3576</v>
      </c>
      <c r="K3577" t="s">
        <v>5541</v>
      </c>
      <c r="L3577">
        <v>0</v>
      </c>
    </row>
    <row r="3578" spans="1:12" x14ac:dyDescent="0.25">
      <c r="A3578">
        <v>3577</v>
      </c>
      <c r="B3578" t="s">
        <v>5542</v>
      </c>
      <c r="C3578">
        <v>0</v>
      </c>
      <c r="J3578">
        <v>3577</v>
      </c>
      <c r="K3578" t="s">
        <v>5542</v>
      </c>
      <c r="L3578">
        <v>0</v>
      </c>
    </row>
    <row r="3579" spans="1:12" x14ac:dyDescent="0.25">
      <c r="A3579">
        <v>3578</v>
      </c>
      <c r="B3579" t="s">
        <v>5543</v>
      </c>
      <c r="C3579">
        <v>0</v>
      </c>
      <c r="J3579">
        <v>3578</v>
      </c>
      <c r="K3579" t="s">
        <v>5543</v>
      </c>
      <c r="L3579">
        <v>0</v>
      </c>
    </row>
    <row r="3580" spans="1:12" x14ac:dyDescent="0.25">
      <c r="A3580">
        <v>3579</v>
      </c>
      <c r="B3580" t="s">
        <v>5544</v>
      </c>
      <c r="C3580">
        <v>0</v>
      </c>
      <c r="J3580">
        <v>3579</v>
      </c>
      <c r="K3580" t="s">
        <v>5544</v>
      </c>
      <c r="L3580">
        <v>0</v>
      </c>
    </row>
    <row r="3581" spans="1:12" x14ac:dyDescent="0.25">
      <c r="A3581">
        <v>3580</v>
      </c>
      <c r="B3581" t="s">
        <v>5545</v>
      </c>
      <c r="C3581">
        <v>0</v>
      </c>
      <c r="J3581">
        <v>3580</v>
      </c>
      <c r="K3581" t="s">
        <v>5545</v>
      </c>
      <c r="L3581">
        <v>0</v>
      </c>
    </row>
    <row r="3582" spans="1:12" x14ac:dyDescent="0.25">
      <c r="A3582">
        <v>3581</v>
      </c>
      <c r="B3582" t="s">
        <v>5546</v>
      </c>
      <c r="C3582">
        <v>0</v>
      </c>
      <c r="J3582">
        <v>3581</v>
      </c>
      <c r="K3582" t="s">
        <v>5546</v>
      </c>
      <c r="L3582">
        <v>0</v>
      </c>
    </row>
    <row r="3583" spans="1:12" x14ac:dyDescent="0.25">
      <c r="A3583">
        <v>3582</v>
      </c>
      <c r="B3583" t="s">
        <v>5547</v>
      </c>
      <c r="C3583">
        <v>0</v>
      </c>
      <c r="J3583">
        <v>3582</v>
      </c>
      <c r="K3583" t="s">
        <v>5547</v>
      </c>
      <c r="L3583">
        <v>0</v>
      </c>
    </row>
    <row r="3584" spans="1:12" x14ac:dyDescent="0.25">
      <c r="A3584">
        <v>3583</v>
      </c>
      <c r="B3584" t="s">
        <v>5548</v>
      </c>
      <c r="C3584">
        <v>0</v>
      </c>
      <c r="J3584">
        <v>3583</v>
      </c>
      <c r="K3584" t="s">
        <v>5548</v>
      </c>
      <c r="L3584">
        <v>0</v>
      </c>
    </row>
    <row r="3585" spans="1:12" x14ac:dyDescent="0.25">
      <c r="A3585">
        <v>3584</v>
      </c>
      <c r="B3585" t="s">
        <v>5549</v>
      </c>
      <c r="C3585">
        <v>0</v>
      </c>
      <c r="J3585">
        <v>3584</v>
      </c>
      <c r="K3585" t="s">
        <v>5549</v>
      </c>
      <c r="L3585">
        <v>0</v>
      </c>
    </row>
    <row r="3586" spans="1:12" x14ac:dyDescent="0.25">
      <c r="A3586">
        <v>3585</v>
      </c>
      <c r="B3586" t="s">
        <v>5550</v>
      </c>
      <c r="C3586">
        <v>0</v>
      </c>
      <c r="J3586">
        <v>3585</v>
      </c>
      <c r="K3586" t="s">
        <v>5550</v>
      </c>
      <c r="L3586">
        <v>0</v>
      </c>
    </row>
    <row r="3587" spans="1:12" x14ac:dyDescent="0.25">
      <c r="A3587">
        <v>3586</v>
      </c>
      <c r="B3587" t="s">
        <v>5551</v>
      </c>
      <c r="C3587">
        <v>0</v>
      </c>
      <c r="J3587">
        <v>3586</v>
      </c>
      <c r="K3587" t="s">
        <v>5551</v>
      </c>
      <c r="L3587">
        <v>0</v>
      </c>
    </row>
    <row r="3588" spans="1:12" x14ac:dyDescent="0.25">
      <c r="A3588">
        <v>3587</v>
      </c>
      <c r="B3588" t="s">
        <v>5552</v>
      </c>
      <c r="C3588">
        <v>0</v>
      </c>
      <c r="J3588">
        <v>3587</v>
      </c>
      <c r="K3588" t="s">
        <v>5552</v>
      </c>
      <c r="L3588">
        <v>0</v>
      </c>
    </row>
    <row r="3589" spans="1:12" x14ac:dyDescent="0.25">
      <c r="A3589">
        <v>3588</v>
      </c>
      <c r="B3589" t="s">
        <v>5553</v>
      </c>
      <c r="C3589">
        <v>0</v>
      </c>
      <c r="J3589">
        <v>3588</v>
      </c>
      <c r="K3589" t="s">
        <v>5553</v>
      </c>
      <c r="L3589">
        <v>0</v>
      </c>
    </row>
    <row r="3590" spans="1:12" x14ac:dyDescent="0.25">
      <c r="A3590">
        <v>3589</v>
      </c>
      <c r="B3590" t="s">
        <v>5554</v>
      </c>
      <c r="C3590">
        <v>0</v>
      </c>
      <c r="J3590">
        <v>3589</v>
      </c>
      <c r="K3590" t="s">
        <v>5554</v>
      </c>
      <c r="L3590">
        <v>0</v>
      </c>
    </row>
    <row r="3591" spans="1:12" x14ac:dyDescent="0.25">
      <c r="A3591">
        <v>3590</v>
      </c>
      <c r="B3591" t="s">
        <v>5555</v>
      </c>
      <c r="C3591">
        <v>0</v>
      </c>
      <c r="J3591">
        <v>3590</v>
      </c>
      <c r="K3591" t="s">
        <v>5555</v>
      </c>
      <c r="L3591">
        <v>0</v>
      </c>
    </row>
    <row r="3592" spans="1:12" x14ac:dyDescent="0.25">
      <c r="A3592">
        <v>3591</v>
      </c>
      <c r="B3592" t="s">
        <v>5556</v>
      </c>
      <c r="C3592">
        <v>0</v>
      </c>
      <c r="J3592">
        <v>3591</v>
      </c>
      <c r="K3592" t="s">
        <v>5556</v>
      </c>
      <c r="L3592">
        <v>0</v>
      </c>
    </row>
    <row r="3593" spans="1:12" x14ac:dyDescent="0.25">
      <c r="A3593">
        <v>3592</v>
      </c>
      <c r="B3593" t="s">
        <v>5557</v>
      </c>
      <c r="C3593">
        <v>0</v>
      </c>
      <c r="J3593">
        <v>3592</v>
      </c>
      <c r="K3593" t="s">
        <v>5557</v>
      </c>
      <c r="L3593">
        <v>0</v>
      </c>
    </row>
    <row r="3594" spans="1:12" x14ac:dyDescent="0.25">
      <c r="A3594">
        <v>3593</v>
      </c>
      <c r="B3594" t="s">
        <v>5558</v>
      </c>
      <c r="C3594">
        <v>0</v>
      </c>
      <c r="J3594">
        <v>3593</v>
      </c>
      <c r="K3594" t="s">
        <v>5558</v>
      </c>
      <c r="L3594">
        <v>0</v>
      </c>
    </row>
    <row r="3595" spans="1:12" x14ac:dyDescent="0.25">
      <c r="A3595">
        <v>3594</v>
      </c>
      <c r="B3595" t="s">
        <v>5559</v>
      </c>
      <c r="C3595">
        <v>0</v>
      </c>
      <c r="J3595">
        <v>3594</v>
      </c>
      <c r="K3595" t="s">
        <v>5559</v>
      </c>
      <c r="L3595">
        <v>0</v>
      </c>
    </row>
    <row r="3596" spans="1:12" x14ac:dyDescent="0.25">
      <c r="A3596">
        <v>3595</v>
      </c>
      <c r="B3596" t="s">
        <v>5560</v>
      </c>
      <c r="C3596">
        <v>0</v>
      </c>
      <c r="J3596">
        <v>3595</v>
      </c>
      <c r="K3596" t="s">
        <v>5560</v>
      </c>
      <c r="L3596">
        <v>0</v>
      </c>
    </row>
    <row r="3597" spans="1:12" x14ac:dyDescent="0.25">
      <c r="A3597">
        <v>3596</v>
      </c>
      <c r="B3597" t="s">
        <v>5561</v>
      </c>
      <c r="C3597">
        <v>0</v>
      </c>
      <c r="J3597">
        <v>3596</v>
      </c>
      <c r="K3597" t="s">
        <v>5561</v>
      </c>
      <c r="L3597">
        <v>0</v>
      </c>
    </row>
    <row r="3598" spans="1:12" x14ac:dyDescent="0.25">
      <c r="A3598">
        <v>3597</v>
      </c>
      <c r="B3598" t="s">
        <v>5562</v>
      </c>
      <c r="C3598">
        <v>0</v>
      </c>
      <c r="J3598">
        <v>3597</v>
      </c>
      <c r="K3598" t="s">
        <v>5562</v>
      </c>
      <c r="L3598">
        <v>0</v>
      </c>
    </row>
    <row r="3599" spans="1:12" x14ac:dyDescent="0.25">
      <c r="A3599">
        <v>3598</v>
      </c>
      <c r="B3599" t="s">
        <v>5563</v>
      </c>
      <c r="C3599">
        <v>0</v>
      </c>
      <c r="J3599">
        <v>3598</v>
      </c>
      <c r="K3599" t="s">
        <v>5563</v>
      </c>
      <c r="L3599">
        <v>0</v>
      </c>
    </row>
    <row r="3600" spans="1:12" x14ac:dyDescent="0.25">
      <c r="A3600">
        <v>3599</v>
      </c>
      <c r="B3600" t="s">
        <v>5564</v>
      </c>
      <c r="C3600">
        <v>0</v>
      </c>
      <c r="J3600">
        <v>3599</v>
      </c>
      <c r="K3600" t="s">
        <v>5564</v>
      </c>
      <c r="L3600">
        <v>0</v>
      </c>
    </row>
    <row r="3601" spans="1:12" x14ac:dyDescent="0.25">
      <c r="A3601">
        <v>3600</v>
      </c>
      <c r="B3601" t="s">
        <v>5565</v>
      </c>
      <c r="C3601">
        <v>0</v>
      </c>
      <c r="J3601">
        <v>3600</v>
      </c>
      <c r="K3601" t="s">
        <v>5565</v>
      </c>
      <c r="L3601">
        <v>0</v>
      </c>
    </row>
    <row r="3602" spans="1:12" x14ac:dyDescent="0.25">
      <c r="A3602">
        <v>3601</v>
      </c>
      <c r="B3602" t="s">
        <v>5566</v>
      </c>
      <c r="C3602">
        <v>0</v>
      </c>
      <c r="J3602">
        <v>3601</v>
      </c>
      <c r="K3602" t="s">
        <v>5566</v>
      </c>
      <c r="L3602">
        <v>0</v>
      </c>
    </row>
    <row r="3603" spans="1:12" x14ac:dyDescent="0.25">
      <c r="A3603">
        <v>3602</v>
      </c>
      <c r="B3603" t="s">
        <v>5567</v>
      </c>
      <c r="C3603">
        <v>0</v>
      </c>
      <c r="J3603">
        <v>3602</v>
      </c>
      <c r="K3603" t="s">
        <v>5567</v>
      </c>
      <c r="L3603">
        <v>0</v>
      </c>
    </row>
    <row r="3604" spans="1:12" x14ac:dyDescent="0.25">
      <c r="A3604">
        <v>3603</v>
      </c>
      <c r="B3604" t="s">
        <v>5568</v>
      </c>
      <c r="C3604">
        <v>0</v>
      </c>
      <c r="J3604">
        <v>3603</v>
      </c>
      <c r="K3604" t="s">
        <v>5568</v>
      </c>
      <c r="L3604">
        <v>0</v>
      </c>
    </row>
    <row r="3605" spans="1:12" x14ac:dyDescent="0.25">
      <c r="A3605">
        <v>3604</v>
      </c>
      <c r="B3605" t="s">
        <v>5569</v>
      </c>
      <c r="C3605">
        <v>0</v>
      </c>
      <c r="J3605">
        <v>3604</v>
      </c>
      <c r="K3605" t="s">
        <v>5569</v>
      </c>
      <c r="L3605">
        <v>0</v>
      </c>
    </row>
    <row r="3606" spans="1:12" x14ac:dyDescent="0.25">
      <c r="A3606">
        <v>3605</v>
      </c>
      <c r="B3606" t="s">
        <v>5570</v>
      </c>
      <c r="C3606">
        <v>0</v>
      </c>
      <c r="J3606">
        <v>3605</v>
      </c>
      <c r="K3606" t="s">
        <v>5570</v>
      </c>
      <c r="L3606">
        <v>0</v>
      </c>
    </row>
    <row r="3607" spans="1:12" x14ac:dyDescent="0.25">
      <c r="A3607">
        <v>3606</v>
      </c>
      <c r="B3607" t="s">
        <v>5571</v>
      </c>
      <c r="C3607">
        <v>0</v>
      </c>
      <c r="J3607">
        <v>3606</v>
      </c>
      <c r="K3607" t="s">
        <v>5571</v>
      </c>
      <c r="L3607">
        <v>0</v>
      </c>
    </row>
    <row r="3608" spans="1:12" x14ac:dyDescent="0.25">
      <c r="A3608">
        <v>3607</v>
      </c>
      <c r="B3608" t="s">
        <v>5572</v>
      </c>
      <c r="C3608">
        <v>0</v>
      </c>
      <c r="J3608">
        <v>3607</v>
      </c>
      <c r="K3608" t="s">
        <v>5572</v>
      </c>
      <c r="L3608">
        <v>0</v>
      </c>
    </row>
    <row r="3609" spans="1:12" x14ac:dyDescent="0.25">
      <c r="A3609">
        <v>3608</v>
      </c>
      <c r="B3609" t="s">
        <v>5573</v>
      </c>
      <c r="C3609">
        <v>0</v>
      </c>
      <c r="J3609">
        <v>3608</v>
      </c>
      <c r="K3609" t="s">
        <v>5573</v>
      </c>
      <c r="L3609">
        <v>0</v>
      </c>
    </row>
    <row r="3610" spans="1:12" x14ac:dyDescent="0.25">
      <c r="A3610">
        <v>3609</v>
      </c>
      <c r="B3610" t="s">
        <v>5574</v>
      </c>
      <c r="C3610">
        <v>0</v>
      </c>
      <c r="J3610">
        <v>3609</v>
      </c>
      <c r="K3610" t="s">
        <v>5574</v>
      </c>
      <c r="L3610">
        <v>0</v>
      </c>
    </row>
    <row r="3611" spans="1:12" x14ac:dyDescent="0.25">
      <c r="A3611">
        <v>3610</v>
      </c>
      <c r="B3611" t="s">
        <v>5575</v>
      </c>
      <c r="C3611">
        <v>0</v>
      </c>
      <c r="J3611">
        <v>3610</v>
      </c>
      <c r="K3611" t="s">
        <v>5575</v>
      </c>
      <c r="L3611">
        <v>0</v>
      </c>
    </row>
    <row r="3612" spans="1:12" x14ac:dyDescent="0.25">
      <c r="A3612">
        <v>3611</v>
      </c>
      <c r="B3612" t="s">
        <v>5576</v>
      </c>
      <c r="C3612">
        <v>0</v>
      </c>
      <c r="J3612">
        <v>3611</v>
      </c>
      <c r="K3612" t="s">
        <v>5576</v>
      </c>
      <c r="L3612">
        <v>0</v>
      </c>
    </row>
    <row r="3613" spans="1:12" x14ac:dyDescent="0.25">
      <c r="A3613">
        <v>3612</v>
      </c>
      <c r="B3613" t="s">
        <v>5577</v>
      </c>
      <c r="C3613">
        <v>0</v>
      </c>
      <c r="J3613">
        <v>3612</v>
      </c>
      <c r="K3613" t="s">
        <v>5577</v>
      </c>
      <c r="L3613">
        <v>0</v>
      </c>
    </row>
    <row r="3614" spans="1:12" x14ac:dyDescent="0.25">
      <c r="A3614">
        <v>3613</v>
      </c>
      <c r="B3614" t="s">
        <v>5578</v>
      </c>
      <c r="C3614">
        <v>0</v>
      </c>
      <c r="J3614">
        <v>3613</v>
      </c>
      <c r="K3614" t="s">
        <v>5578</v>
      </c>
      <c r="L3614">
        <v>0</v>
      </c>
    </row>
    <row r="3615" spans="1:12" x14ac:dyDescent="0.25">
      <c r="A3615">
        <v>3614</v>
      </c>
      <c r="B3615" t="s">
        <v>5579</v>
      </c>
      <c r="C3615">
        <v>0</v>
      </c>
      <c r="J3615">
        <v>3614</v>
      </c>
      <c r="K3615" t="s">
        <v>5579</v>
      </c>
      <c r="L3615">
        <v>0</v>
      </c>
    </row>
    <row r="3616" spans="1:12" x14ac:dyDescent="0.25">
      <c r="A3616">
        <v>3615</v>
      </c>
      <c r="B3616" t="s">
        <v>5580</v>
      </c>
      <c r="C3616">
        <v>0</v>
      </c>
      <c r="J3616">
        <v>3615</v>
      </c>
      <c r="K3616" t="s">
        <v>5580</v>
      </c>
      <c r="L3616">
        <v>0</v>
      </c>
    </row>
    <row r="3617" spans="1:12" x14ac:dyDescent="0.25">
      <c r="A3617">
        <v>3616</v>
      </c>
      <c r="B3617" t="s">
        <v>5581</v>
      </c>
      <c r="C3617">
        <v>0</v>
      </c>
      <c r="J3617">
        <v>3616</v>
      </c>
      <c r="K3617" t="s">
        <v>5581</v>
      </c>
      <c r="L3617">
        <v>0</v>
      </c>
    </row>
    <row r="3618" spans="1:12" x14ac:dyDescent="0.25">
      <c r="A3618">
        <v>3617</v>
      </c>
      <c r="B3618" t="s">
        <v>5582</v>
      </c>
      <c r="C3618">
        <v>0</v>
      </c>
      <c r="J3618">
        <v>3617</v>
      </c>
      <c r="K3618" t="s">
        <v>5582</v>
      </c>
      <c r="L3618">
        <v>0</v>
      </c>
    </row>
    <row r="3619" spans="1:12" x14ac:dyDescent="0.25">
      <c r="A3619">
        <v>3618</v>
      </c>
      <c r="B3619" t="s">
        <v>5583</v>
      </c>
      <c r="C3619">
        <v>0</v>
      </c>
      <c r="J3619">
        <v>3618</v>
      </c>
      <c r="K3619" t="s">
        <v>5583</v>
      </c>
      <c r="L3619">
        <v>0</v>
      </c>
    </row>
    <row r="3620" spans="1:12" x14ac:dyDescent="0.25">
      <c r="A3620">
        <v>3619</v>
      </c>
      <c r="B3620" t="s">
        <v>5584</v>
      </c>
      <c r="C3620">
        <v>0</v>
      </c>
      <c r="J3620">
        <v>3619</v>
      </c>
      <c r="K3620" t="s">
        <v>5584</v>
      </c>
      <c r="L3620">
        <v>0</v>
      </c>
    </row>
    <row r="3621" spans="1:12" x14ac:dyDescent="0.25">
      <c r="A3621">
        <v>3620</v>
      </c>
      <c r="B3621" t="s">
        <v>5585</v>
      </c>
      <c r="C3621">
        <v>0</v>
      </c>
      <c r="J3621">
        <v>3620</v>
      </c>
      <c r="K3621" t="s">
        <v>5585</v>
      </c>
      <c r="L3621">
        <v>0</v>
      </c>
    </row>
    <row r="3622" spans="1:12" x14ac:dyDescent="0.25">
      <c r="A3622">
        <v>3621</v>
      </c>
      <c r="B3622" t="s">
        <v>5586</v>
      </c>
      <c r="C3622">
        <v>0</v>
      </c>
      <c r="J3622">
        <v>3621</v>
      </c>
      <c r="K3622" t="s">
        <v>5586</v>
      </c>
      <c r="L3622">
        <v>0</v>
      </c>
    </row>
    <row r="3623" spans="1:12" x14ac:dyDescent="0.25">
      <c r="A3623">
        <v>3622</v>
      </c>
      <c r="B3623" t="s">
        <v>5587</v>
      </c>
      <c r="C3623">
        <v>0</v>
      </c>
      <c r="J3623">
        <v>3622</v>
      </c>
      <c r="K3623" t="s">
        <v>5587</v>
      </c>
      <c r="L3623">
        <v>0</v>
      </c>
    </row>
    <row r="3624" spans="1:12" x14ac:dyDescent="0.25">
      <c r="A3624">
        <v>3623</v>
      </c>
      <c r="B3624" t="s">
        <v>5588</v>
      </c>
      <c r="C3624">
        <v>0</v>
      </c>
      <c r="J3624">
        <v>3623</v>
      </c>
      <c r="K3624" t="s">
        <v>5588</v>
      </c>
      <c r="L3624">
        <v>0</v>
      </c>
    </row>
    <row r="3625" spans="1:12" x14ac:dyDescent="0.25">
      <c r="A3625">
        <v>3624</v>
      </c>
      <c r="B3625" t="s">
        <v>5589</v>
      </c>
      <c r="C3625">
        <v>0</v>
      </c>
      <c r="J3625">
        <v>3624</v>
      </c>
      <c r="K3625" t="s">
        <v>5589</v>
      </c>
      <c r="L3625">
        <v>0</v>
      </c>
    </row>
    <row r="3626" spans="1:12" x14ac:dyDescent="0.25">
      <c r="A3626">
        <v>3625</v>
      </c>
      <c r="B3626" t="s">
        <v>5590</v>
      </c>
      <c r="C3626">
        <v>0</v>
      </c>
      <c r="J3626">
        <v>3625</v>
      </c>
      <c r="K3626" t="s">
        <v>5590</v>
      </c>
      <c r="L3626">
        <v>0</v>
      </c>
    </row>
    <row r="3627" spans="1:12" x14ac:dyDescent="0.25">
      <c r="A3627">
        <v>3626</v>
      </c>
      <c r="B3627" t="s">
        <v>5591</v>
      </c>
      <c r="C3627">
        <v>0</v>
      </c>
      <c r="J3627">
        <v>3626</v>
      </c>
      <c r="K3627" t="s">
        <v>5591</v>
      </c>
      <c r="L3627">
        <v>0</v>
      </c>
    </row>
    <row r="3628" spans="1:12" x14ac:dyDescent="0.25">
      <c r="A3628">
        <v>3627</v>
      </c>
      <c r="B3628" t="s">
        <v>5592</v>
      </c>
      <c r="C3628">
        <v>0</v>
      </c>
      <c r="J3628">
        <v>3627</v>
      </c>
      <c r="K3628" t="s">
        <v>5592</v>
      </c>
      <c r="L3628">
        <v>0</v>
      </c>
    </row>
    <row r="3629" spans="1:12" x14ac:dyDescent="0.25">
      <c r="A3629">
        <v>3628</v>
      </c>
      <c r="B3629" t="s">
        <v>5593</v>
      </c>
      <c r="C3629">
        <v>0</v>
      </c>
      <c r="J3629">
        <v>3628</v>
      </c>
      <c r="K3629" t="s">
        <v>5593</v>
      </c>
      <c r="L3629">
        <v>0</v>
      </c>
    </row>
    <row r="3630" spans="1:12" x14ac:dyDescent="0.25">
      <c r="A3630">
        <v>3629</v>
      </c>
      <c r="B3630" t="s">
        <v>5594</v>
      </c>
      <c r="C3630">
        <v>0</v>
      </c>
      <c r="J3630">
        <v>3629</v>
      </c>
      <c r="K3630" t="s">
        <v>5594</v>
      </c>
      <c r="L3630">
        <v>0</v>
      </c>
    </row>
    <row r="3631" spans="1:12" x14ac:dyDescent="0.25">
      <c r="A3631">
        <v>3630</v>
      </c>
      <c r="B3631" t="s">
        <v>5595</v>
      </c>
      <c r="C3631">
        <v>0</v>
      </c>
      <c r="J3631">
        <v>3630</v>
      </c>
      <c r="K3631" t="s">
        <v>5595</v>
      </c>
      <c r="L3631">
        <v>0</v>
      </c>
    </row>
    <row r="3632" spans="1:12" x14ac:dyDescent="0.25">
      <c r="A3632">
        <v>3631</v>
      </c>
      <c r="B3632" t="s">
        <v>5596</v>
      </c>
      <c r="C3632">
        <v>0</v>
      </c>
      <c r="J3632">
        <v>3631</v>
      </c>
      <c r="K3632" t="s">
        <v>5596</v>
      </c>
      <c r="L3632">
        <v>0</v>
      </c>
    </row>
    <row r="3633" spans="1:12" x14ac:dyDescent="0.25">
      <c r="A3633">
        <v>3632</v>
      </c>
      <c r="B3633" t="s">
        <v>5597</v>
      </c>
      <c r="C3633">
        <v>0</v>
      </c>
      <c r="J3633">
        <v>3632</v>
      </c>
      <c r="K3633" t="s">
        <v>5597</v>
      </c>
      <c r="L3633">
        <v>0</v>
      </c>
    </row>
    <row r="3634" spans="1:12" x14ac:dyDescent="0.25">
      <c r="A3634">
        <v>3633</v>
      </c>
      <c r="B3634" t="s">
        <v>5598</v>
      </c>
      <c r="C3634">
        <v>0</v>
      </c>
      <c r="J3634">
        <v>3633</v>
      </c>
      <c r="K3634" t="s">
        <v>5598</v>
      </c>
      <c r="L3634">
        <v>0</v>
      </c>
    </row>
    <row r="3635" spans="1:12" x14ac:dyDescent="0.25">
      <c r="A3635">
        <v>3634</v>
      </c>
      <c r="B3635" t="s">
        <v>5599</v>
      </c>
      <c r="C3635">
        <v>0</v>
      </c>
      <c r="J3635">
        <v>3634</v>
      </c>
      <c r="K3635" t="s">
        <v>5599</v>
      </c>
      <c r="L3635">
        <v>0</v>
      </c>
    </row>
    <row r="3636" spans="1:12" x14ac:dyDescent="0.25">
      <c r="A3636">
        <v>3635</v>
      </c>
      <c r="B3636" t="s">
        <v>5600</v>
      </c>
      <c r="C3636">
        <v>0</v>
      </c>
      <c r="J3636">
        <v>3635</v>
      </c>
      <c r="K3636" t="s">
        <v>5600</v>
      </c>
      <c r="L3636">
        <v>0</v>
      </c>
    </row>
    <row r="3637" spans="1:12" x14ac:dyDescent="0.25">
      <c r="A3637">
        <v>3636</v>
      </c>
      <c r="B3637" t="s">
        <v>5601</v>
      </c>
      <c r="C3637">
        <v>0</v>
      </c>
      <c r="J3637">
        <v>3636</v>
      </c>
      <c r="K3637" t="s">
        <v>5601</v>
      </c>
      <c r="L3637">
        <v>0</v>
      </c>
    </row>
    <row r="3638" spans="1:12" x14ac:dyDescent="0.25">
      <c r="A3638">
        <v>3637</v>
      </c>
      <c r="B3638" t="s">
        <v>5602</v>
      </c>
      <c r="C3638">
        <v>0</v>
      </c>
      <c r="J3638">
        <v>3637</v>
      </c>
      <c r="K3638" t="s">
        <v>5602</v>
      </c>
      <c r="L3638">
        <v>0</v>
      </c>
    </row>
    <row r="3639" spans="1:12" x14ac:dyDescent="0.25">
      <c r="A3639">
        <v>3638</v>
      </c>
      <c r="B3639" t="s">
        <v>5603</v>
      </c>
      <c r="C3639">
        <v>0</v>
      </c>
      <c r="J3639">
        <v>3638</v>
      </c>
      <c r="K3639" t="s">
        <v>5603</v>
      </c>
      <c r="L3639">
        <v>0</v>
      </c>
    </row>
    <row r="3640" spans="1:12" x14ac:dyDescent="0.25">
      <c r="A3640">
        <v>3639</v>
      </c>
      <c r="B3640" t="s">
        <v>5604</v>
      </c>
      <c r="C3640">
        <v>0</v>
      </c>
      <c r="J3640">
        <v>3639</v>
      </c>
      <c r="K3640" t="s">
        <v>5604</v>
      </c>
      <c r="L3640">
        <v>0</v>
      </c>
    </row>
    <row r="3641" spans="1:12" x14ac:dyDescent="0.25">
      <c r="A3641">
        <v>3640</v>
      </c>
      <c r="B3641" t="s">
        <v>5605</v>
      </c>
      <c r="C3641">
        <v>0</v>
      </c>
      <c r="J3641">
        <v>3640</v>
      </c>
      <c r="K3641" t="s">
        <v>5605</v>
      </c>
      <c r="L3641">
        <v>0</v>
      </c>
    </row>
    <row r="3642" spans="1:12" x14ac:dyDescent="0.25">
      <c r="A3642">
        <v>3641</v>
      </c>
      <c r="B3642" t="s">
        <v>5606</v>
      </c>
      <c r="C3642">
        <v>0</v>
      </c>
      <c r="J3642">
        <v>3641</v>
      </c>
      <c r="K3642" t="s">
        <v>5606</v>
      </c>
      <c r="L3642">
        <v>0</v>
      </c>
    </row>
    <row r="3643" spans="1:12" x14ac:dyDescent="0.25">
      <c r="A3643">
        <v>3642</v>
      </c>
      <c r="B3643" t="s">
        <v>5607</v>
      </c>
      <c r="C3643">
        <v>0</v>
      </c>
      <c r="J3643">
        <v>3642</v>
      </c>
      <c r="K3643" t="s">
        <v>5607</v>
      </c>
      <c r="L3643">
        <v>0</v>
      </c>
    </row>
    <row r="3644" spans="1:12" x14ac:dyDescent="0.25">
      <c r="A3644">
        <v>3643</v>
      </c>
      <c r="B3644" t="s">
        <v>5608</v>
      </c>
      <c r="C3644">
        <v>0</v>
      </c>
      <c r="J3644">
        <v>3643</v>
      </c>
      <c r="K3644" t="s">
        <v>5608</v>
      </c>
      <c r="L3644">
        <v>0</v>
      </c>
    </row>
    <row r="3645" spans="1:12" x14ac:dyDescent="0.25">
      <c r="A3645">
        <v>3644</v>
      </c>
      <c r="B3645" t="s">
        <v>5609</v>
      </c>
      <c r="C3645">
        <v>0</v>
      </c>
      <c r="J3645">
        <v>3644</v>
      </c>
      <c r="K3645" t="s">
        <v>5609</v>
      </c>
      <c r="L3645">
        <v>0</v>
      </c>
    </row>
    <row r="3646" spans="1:12" x14ac:dyDescent="0.25">
      <c r="A3646">
        <v>3645</v>
      </c>
      <c r="B3646" t="s">
        <v>5610</v>
      </c>
      <c r="C3646">
        <v>0</v>
      </c>
      <c r="J3646">
        <v>3645</v>
      </c>
      <c r="K3646" t="s">
        <v>5610</v>
      </c>
      <c r="L3646">
        <v>0</v>
      </c>
    </row>
    <row r="3647" spans="1:12" x14ac:dyDescent="0.25">
      <c r="A3647">
        <v>3646</v>
      </c>
      <c r="B3647" t="s">
        <v>5611</v>
      </c>
      <c r="C3647">
        <v>0</v>
      </c>
      <c r="J3647">
        <v>3646</v>
      </c>
      <c r="K3647" t="s">
        <v>5611</v>
      </c>
      <c r="L3647">
        <v>0</v>
      </c>
    </row>
    <row r="3648" spans="1:12" x14ac:dyDescent="0.25">
      <c r="A3648">
        <v>3647</v>
      </c>
      <c r="B3648" t="s">
        <v>5612</v>
      </c>
      <c r="C3648">
        <v>0</v>
      </c>
      <c r="J3648">
        <v>3647</v>
      </c>
      <c r="K3648" t="s">
        <v>5612</v>
      </c>
      <c r="L3648">
        <v>0</v>
      </c>
    </row>
    <row r="3649" spans="1:12" x14ac:dyDescent="0.25">
      <c r="A3649">
        <v>3648</v>
      </c>
      <c r="B3649" t="s">
        <v>5613</v>
      </c>
      <c r="C3649">
        <v>0</v>
      </c>
      <c r="J3649">
        <v>3648</v>
      </c>
      <c r="K3649" t="s">
        <v>5613</v>
      </c>
      <c r="L3649">
        <v>0</v>
      </c>
    </row>
    <row r="3650" spans="1:12" x14ac:dyDescent="0.25">
      <c r="A3650">
        <v>3649</v>
      </c>
      <c r="B3650" t="s">
        <v>5614</v>
      </c>
      <c r="C3650">
        <v>0</v>
      </c>
      <c r="J3650">
        <v>3649</v>
      </c>
      <c r="K3650" t="s">
        <v>5614</v>
      </c>
      <c r="L3650">
        <v>0</v>
      </c>
    </row>
    <row r="3651" spans="1:12" x14ac:dyDescent="0.25">
      <c r="A3651">
        <v>3650</v>
      </c>
      <c r="B3651" t="s">
        <v>5615</v>
      </c>
      <c r="C3651">
        <v>0</v>
      </c>
      <c r="J3651">
        <v>3650</v>
      </c>
      <c r="K3651" t="s">
        <v>5615</v>
      </c>
      <c r="L3651">
        <v>0</v>
      </c>
    </row>
    <row r="3652" spans="1:12" x14ac:dyDescent="0.25">
      <c r="A3652">
        <v>3651</v>
      </c>
      <c r="B3652" t="s">
        <v>5616</v>
      </c>
      <c r="C3652">
        <v>0</v>
      </c>
      <c r="J3652">
        <v>3651</v>
      </c>
      <c r="K3652" t="s">
        <v>5616</v>
      </c>
      <c r="L3652">
        <v>0</v>
      </c>
    </row>
    <row r="3653" spans="1:12" x14ac:dyDescent="0.25">
      <c r="A3653">
        <v>3652</v>
      </c>
      <c r="B3653" t="s">
        <v>5617</v>
      </c>
      <c r="C3653">
        <v>0</v>
      </c>
      <c r="J3653">
        <v>3652</v>
      </c>
      <c r="K3653" t="s">
        <v>5617</v>
      </c>
      <c r="L3653">
        <v>0</v>
      </c>
    </row>
    <row r="3654" spans="1:12" x14ac:dyDescent="0.25">
      <c r="A3654">
        <v>3653</v>
      </c>
      <c r="B3654" t="s">
        <v>5618</v>
      </c>
      <c r="C3654">
        <v>0</v>
      </c>
      <c r="J3654">
        <v>3653</v>
      </c>
      <c r="K3654" t="s">
        <v>5618</v>
      </c>
      <c r="L3654">
        <v>0</v>
      </c>
    </row>
    <row r="3655" spans="1:12" x14ac:dyDescent="0.25">
      <c r="A3655">
        <v>3654</v>
      </c>
      <c r="B3655" t="s">
        <v>5619</v>
      </c>
      <c r="C3655">
        <v>0</v>
      </c>
      <c r="J3655">
        <v>3654</v>
      </c>
      <c r="K3655" t="s">
        <v>5619</v>
      </c>
      <c r="L3655">
        <v>0</v>
      </c>
    </row>
    <row r="3656" spans="1:12" x14ac:dyDescent="0.25">
      <c r="A3656">
        <v>3655</v>
      </c>
      <c r="B3656" t="s">
        <v>5620</v>
      </c>
      <c r="C3656">
        <v>0</v>
      </c>
      <c r="J3656">
        <v>3655</v>
      </c>
      <c r="K3656" t="s">
        <v>5620</v>
      </c>
      <c r="L3656">
        <v>0</v>
      </c>
    </row>
    <row r="3657" spans="1:12" x14ac:dyDescent="0.25">
      <c r="A3657">
        <v>3656</v>
      </c>
      <c r="B3657" t="s">
        <v>5621</v>
      </c>
      <c r="C3657">
        <v>0</v>
      </c>
      <c r="J3657">
        <v>3656</v>
      </c>
      <c r="K3657" t="s">
        <v>5621</v>
      </c>
      <c r="L3657">
        <v>0</v>
      </c>
    </row>
    <row r="3658" spans="1:12" x14ac:dyDescent="0.25">
      <c r="A3658">
        <v>3657</v>
      </c>
      <c r="B3658" t="s">
        <v>5622</v>
      </c>
      <c r="C3658">
        <v>0</v>
      </c>
      <c r="J3658">
        <v>3657</v>
      </c>
      <c r="K3658" t="s">
        <v>5622</v>
      </c>
      <c r="L3658">
        <v>0</v>
      </c>
    </row>
    <row r="3659" spans="1:12" x14ac:dyDescent="0.25">
      <c r="A3659">
        <v>3658</v>
      </c>
      <c r="B3659" t="s">
        <v>5623</v>
      </c>
      <c r="C3659">
        <v>0</v>
      </c>
      <c r="J3659">
        <v>3658</v>
      </c>
      <c r="K3659" t="s">
        <v>5623</v>
      </c>
      <c r="L3659">
        <v>0</v>
      </c>
    </row>
    <row r="3660" spans="1:12" x14ac:dyDescent="0.25">
      <c r="A3660">
        <v>3659</v>
      </c>
      <c r="B3660" t="s">
        <v>5624</v>
      </c>
      <c r="C3660">
        <v>0</v>
      </c>
      <c r="J3660">
        <v>3659</v>
      </c>
      <c r="K3660" t="s">
        <v>5624</v>
      </c>
      <c r="L3660">
        <v>0</v>
      </c>
    </row>
    <row r="3661" spans="1:12" x14ac:dyDescent="0.25">
      <c r="A3661">
        <v>3660</v>
      </c>
      <c r="B3661" t="s">
        <v>5625</v>
      </c>
      <c r="C3661">
        <v>0</v>
      </c>
      <c r="J3661">
        <v>3660</v>
      </c>
      <c r="K3661" t="s">
        <v>5625</v>
      </c>
      <c r="L3661">
        <v>0</v>
      </c>
    </row>
    <row r="3662" spans="1:12" x14ac:dyDescent="0.25">
      <c r="A3662">
        <v>3661</v>
      </c>
      <c r="B3662" t="s">
        <v>5626</v>
      </c>
      <c r="C3662">
        <v>0</v>
      </c>
      <c r="J3662">
        <v>3661</v>
      </c>
      <c r="K3662" t="s">
        <v>5626</v>
      </c>
      <c r="L3662">
        <v>0</v>
      </c>
    </row>
    <row r="3663" spans="1:12" x14ac:dyDescent="0.25">
      <c r="A3663">
        <v>3662</v>
      </c>
      <c r="B3663" t="s">
        <v>5627</v>
      </c>
      <c r="C3663">
        <v>0</v>
      </c>
      <c r="J3663">
        <v>3662</v>
      </c>
      <c r="K3663" t="s">
        <v>5627</v>
      </c>
      <c r="L3663">
        <v>0</v>
      </c>
    </row>
    <row r="3664" spans="1:12" x14ac:dyDescent="0.25">
      <c r="A3664">
        <v>3663</v>
      </c>
      <c r="B3664" t="s">
        <v>5628</v>
      </c>
      <c r="C3664">
        <v>0</v>
      </c>
      <c r="J3664">
        <v>3663</v>
      </c>
      <c r="K3664" t="s">
        <v>5628</v>
      </c>
      <c r="L3664">
        <v>0</v>
      </c>
    </row>
    <row r="3665" spans="1:12" x14ac:dyDescent="0.25">
      <c r="A3665">
        <v>3664</v>
      </c>
      <c r="B3665" t="s">
        <v>5629</v>
      </c>
      <c r="C3665">
        <v>0</v>
      </c>
      <c r="J3665">
        <v>3664</v>
      </c>
      <c r="K3665" t="s">
        <v>5629</v>
      </c>
      <c r="L3665">
        <v>0</v>
      </c>
    </row>
    <row r="3666" spans="1:12" x14ac:dyDescent="0.25">
      <c r="A3666">
        <v>3665</v>
      </c>
      <c r="B3666" t="s">
        <v>5630</v>
      </c>
      <c r="C3666">
        <v>0</v>
      </c>
      <c r="J3666">
        <v>3665</v>
      </c>
      <c r="K3666" t="s">
        <v>5630</v>
      </c>
      <c r="L3666">
        <v>0</v>
      </c>
    </row>
    <row r="3667" spans="1:12" x14ac:dyDescent="0.25">
      <c r="A3667">
        <v>3666</v>
      </c>
      <c r="B3667" t="s">
        <v>5631</v>
      </c>
      <c r="C3667">
        <v>0</v>
      </c>
      <c r="J3667">
        <v>3666</v>
      </c>
      <c r="K3667" t="s">
        <v>5631</v>
      </c>
      <c r="L3667">
        <v>0</v>
      </c>
    </row>
    <row r="3668" spans="1:12" x14ac:dyDescent="0.25">
      <c r="A3668">
        <v>3667</v>
      </c>
      <c r="B3668" t="s">
        <v>5632</v>
      </c>
      <c r="C3668">
        <v>0</v>
      </c>
      <c r="J3668">
        <v>3667</v>
      </c>
      <c r="K3668" t="s">
        <v>5632</v>
      </c>
      <c r="L3668">
        <v>0</v>
      </c>
    </row>
    <row r="3669" spans="1:12" x14ac:dyDescent="0.25">
      <c r="A3669">
        <v>3668</v>
      </c>
      <c r="B3669" t="s">
        <v>5633</v>
      </c>
      <c r="C3669">
        <v>0</v>
      </c>
      <c r="J3669">
        <v>3668</v>
      </c>
      <c r="K3669" t="s">
        <v>5633</v>
      </c>
      <c r="L3669">
        <v>0</v>
      </c>
    </row>
    <row r="3670" spans="1:12" x14ac:dyDescent="0.25">
      <c r="A3670">
        <v>3669</v>
      </c>
      <c r="B3670" t="s">
        <v>5634</v>
      </c>
      <c r="C3670">
        <v>0</v>
      </c>
      <c r="J3670">
        <v>3669</v>
      </c>
      <c r="K3670" t="s">
        <v>5634</v>
      </c>
      <c r="L3670">
        <v>0</v>
      </c>
    </row>
    <row r="3671" spans="1:12" x14ac:dyDescent="0.25">
      <c r="A3671">
        <v>3670</v>
      </c>
      <c r="B3671" t="s">
        <v>5635</v>
      </c>
      <c r="C3671">
        <v>0</v>
      </c>
      <c r="J3671">
        <v>3670</v>
      </c>
      <c r="K3671" t="s">
        <v>5635</v>
      </c>
      <c r="L3671">
        <v>0</v>
      </c>
    </row>
    <row r="3672" spans="1:12" x14ac:dyDescent="0.25">
      <c r="A3672">
        <v>3671</v>
      </c>
      <c r="B3672" t="s">
        <v>5636</v>
      </c>
      <c r="C3672">
        <v>0</v>
      </c>
      <c r="J3672">
        <v>3671</v>
      </c>
      <c r="K3672" t="s">
        <v>5636</v>
      </c>
      <c r="L3672">
        <v>0</v>
      </c>
    </row>
    <row r="3673" spans="1:12" x14ac:dyDescent="0.25">
      <c r="A3673">
        <v>3672</v>
      </c>
      <c r="B3673" t="s">
        <v>5637</v>
      </c>
      <c r="C3673">
        <v>0</v>
      </c>
      <c r="J3673">
        <v>3672</v>
      </c>
      <c r="K3673" t="s">
        <v>5637</v>
      </c>
      <c r="L3673">
        <v>0</v>
      </c>
    </row>
    <row r="3674" spans="1:12" x14ac:dyDescent="0.25">
      <c r="A3674">
        <v>3673</v>
      </c>
      <c r="B3674" t="s">
        <v>5638</v>
      </c>
      <c r="C3674">
        <v>0</v>
      </c>
      <c r="J3674">
        <v>3673</v>
      </c>
      <c r="K3674" t="s">
        <v>5638</v>
      </c>
      <c r="L3674">
        <v>0</v>
      </c>
    </row>
    <row r="3675" spans="1:12" x14ac:dyDescent="0.25">
      <c r="A3675">
        <v>3674</v>
      </c>
      <c r="B3675" t="s">
        <v>5639</v>
      </c>
      <c r="C3675">
        <v>0</v>
      </c>
      <c r="J3675">
        <v>3674</v>
      </c>
      <c r="K3675" t="s">
        <v>5639</v>
      </c>
      <c r="L3675">
        <v>0</v>
      </c>
    </row>
    <row r="3676" spans="1:12" x14ac:dyDescent="0.25">
      <c r="A3676">
        <v>3675</v>
      </c>
      <c r="B3676" t="s">
        <v>5640</v>
      </c>
      <c r="C3676">
        <v>0</v>
      </c>
      <c r="J3676">
        <v>3675</v>
      </c>
      <c r="K3676" t="s">
        <v>5640</v>
      </c>
      <c r="L3676">
        <v>0</v>
      </c>
    </row>
    <row r="3677" spans="1:12" x14ac:dyDescent="0.25">
      <c r="A3677">
        <v>3676</v>
      </c>
      <c r="B3677" t="s">
        <v>5641</v>
      </c>
      <c r="C3677">
        <v>0</v>
      </c>
      <c r="J3677">
        <v>3676</v>
      </c>
      <c r="K3677" t="s">
        <v>5641</v>
      </c>
      <c r="L3677">
        <v>0</v>
      </c>
    </row>
    <row r="3678" spans="1:12" x14ac:dyDescent="0.25">
      <c r="A3678">
        <v>3677</v>
      </c>
      <c r="B3678" t="s">
        <v>5642</v>
      </c>
      <c r="C3678">
        <v>0</v>
      </c>
      <c r="J3678">
        <v>3677</v>
      </c>
      <c r="K3678" t="s">
        <v>5642</v>
      </c>
      <c r="L3678">
        <v>0</v>
      </c>
    </row>
    <row r="3679" spans="1:12" x14ac:dyDescent="0.25">
      <c r="A3679">
        <v>3678</v>
      </c>
      <c r="B3679" t="s">
        <v>5643</v>
      </c>
      <c r="C3679">
        <v>0</v>
      </c>
      <c r="J3679">
        <v>3678</v>
      </c>
      <c r="K3679" t="s">
        <v>5643</v>
      </c>
      <c r="L3679">
        <v>0</v>
      </c>
    </row>
    <row r="3680" spans="1:12" x14ac:dyDescent="0.25">
      <c r="A3680">
        <v>3679</v>
      </c>
      <c r="B3680" t="s">
        <v>5644</v>
      </c>
      <c r="C3680">
        <v>0</v>
      </c>
      <c r="J3680">
        <v>3679</v>
      </c>
      <c r="K3680" t="s">
        <v>5644</v>
      </c>
      <c r="L3680">
        <v>0</v>
      </c>
    </row>
    <row r="3681" spans="1:12" x14ac:dyDescent="0.25">
      <c r="A3681">
        <v>3680</v>
      </c>
      <c r="B3681" t="s">
        <v>5645</v>
      </c>
      <c r="C3681">
        <v>0</v>
      </c>
      <c r="J3681">
        <v>3680</v>
      </c>
      <c r="K3681" t="s">
        <v>5645</v>
      </c>
      <c r="L3681">
        <v>0</v>
      </c>
    </row>
    <row r="3682" spans="1:12" x14ac:dyDescent="0.25">
      <c r="A3682">
        <v>3681</v>
      </c>
      <c r="B3682" t="s">
        <v>5646</v>
      </c>
      <c r="C3682">
        <v>0</v>
      </c>
      <c r="J3682">
        <v>3681</v>
      </c>
      <c r="K3682" t="s">
        <v>5646</v>
      </c>
      <c r="L3682">
        <v>0</v>
      </c>
    </row>
    <row r="3683" spans="1:12" x14ac:dyDescent="0.25">
      <c r="A3683">
        <v>3682</v>
      </c>
      <c r="B3683" t="s">
        <v>5647</v>
      </c>
      <c r="C3683">
        <v>0</v>
      </c>
      <c r="J3683">
        <v>3682</v>
      </c>
      <c r="K3683" t="s">
        <v>5647</v>
      </c>
      <c r="L3683">
        <v>0</v>
      </c>
    </row>
    <row r="3684" spans="1:12" x14ac:dyDescent="0.25">
      <c r="A3684">
        <v>3683</v>
      </c>
      <c r="B3684" t="s">
        <v>5648</v>
      </c>
      <c r="C3684">
        <v>0</v>
      </c>
      <c r="J3684">
        <v>3683</v>
      </c>
      <c r="K3684" t="s">
        <v>5648</v>
      </c>
      <c r="L3684">
        <v>0</v>
      </c>
    </row>
    <row r="3685" spans="1:12" x14ac:dyDescent="0.25">
      <c r="A3685">
        <v>3684</v>
      </c>
      <c r="B3685" t="s">
        <v>5649</v>
      </c>
      <c r="C3685">
        <v>0</v>
      </c>
      <c r="J3685">
        <v>3684</v>
      </c>
      <c r="K3685" t="s">
        <v>5649</v>
      </c>
      <c r="L3685">
        <v>0</v>
      </c>
    </row>
    <row r="3686" spans="1:12" x14ac:dyDescent="0.25">
      <c r="A3686">
        <v>3685</v>
      </c>
      <c r="B3686" t="s">
        <v>5650</v>
      </c>
      <c r="C3686">
        <v>0</v>
      </c>
      <c r="J3686">
        <v>3685</v>
      </c>
      <c r="K3686" t="s">
        <v>5650</v>
      </c>
      <c r="L3686">
        <v>0</v>
      </c>
    </row>
    <row r="3687" spans="1:12" x14ac:dyDescent="0.25">
      <c r="A3687">
        <v>3686</v>
      </c>
      <c r="B3687" t="s">
        <v>5651</v>
      </c>
      <c r="C3687">
        <v>0</v>
      </c>
      <c r="J3687">
        <v>3686</v>
      </c>
      <c r="K3687" t="s">
        <v>5651</v>
      </c>
      <c r="L3687">
        <v>0</v>
      </c>
    </row>
    <row r="3688" spans="1:12" x14ac:dyDescent="0.25">
      <c r="A3688">
        <v>3687</v>
      </c>
      <c r="B3688" t="s">
        <v>5652</v>
      </c>
      <c r="C3688">
        <v>0</v>
      </c>
      <c r="J3688">
        <v>3687</v>
      </c>
      <c r="K3688" t="s">
        <v>5652</v>
      </c>
      <c r="L3688">
        <v>0</v>
      </c>
    </row>
    <row r="3689" spans="1:12" x14ac:dyDescent="0.25">
      <c r="A3689">
        <v>3688</v>
      </c>
      <c r="B3689" t="s">
        <v>5653</v>
      </c>
      <c r="C3689">
        <v>0</v>
      </c>
      <c r="J3689">
        <v>3688</v>
      </c>
      <c r="K3689" t="s">
        <v>5653</v>
      </c>
      <c r="L3689">
        <v>0</v>
      </c>
    </row>
    <row r="3690" spans="1:12" x14ac:dyDescent="0.25">
      <c r="A3690">
        <v>3689</v>
      </c>
      <c r="B3690" t="s">
        <v>5654</v>
      </c>
      <c r="C3690">
        <v>0</v>
      </c>
      <c r="J3690">
        <v>3689</v>
      </c>
      <c r="K3690" t="s">
        <v>5654</v>
      </c>
      <c r="L3690">
        <v>0</v>
      </c>
    </row>
    <row r="3691" spans="1:12" x14ac:dyDescent="0.25">
      <c r="A3691">
        <v>3690</v>
      </c>
      <c r="B3691" t="s">
        <v>5655</v>
      </c>
      <c r="C3691">
        <v>0</v>
      </c>
      <c r="J3691">
        <v>3690</v>
      </c>
      <c r="K3691" t="s">
        <v>5655</v>
      </c>
      <c r="L3691">
        <v>0</v>
      </c>
    </row>
    <row r="3692" spans="1:12" x14ac:dyDescent="0.25">
      <c r="A3692">
        <v>3691</v>
      </c>
      <c r="B3692" t="s">
        <v>5656</v>
      </c>
      <c r="C3692">
        <v>0</v>
      </c>
      <c r="J3692">
        <v>3691</v>
      </c>
      <c r="K3692" t="s">
        <v>5656</v>
      </c>
      <c r="L3692">
        <v>0</v>
      </c>
    </row>
    <row r="3693" spans="1:12" x14ac:dyDescent="0.25">
      <c r="A3693">
        <v>3692</v>
      </c>
      <c r="B3693" t="s">
        <v>5657</v>
      </c>
      <c r="C3693">
        <v>0</v>
      </c>
      <c r="J3693">
        <v>3692</v>
      </c>
      <c r="K3693" t="s">
        <v>5657</v>
      </c>
      <c r="L3693">
        <v>0</v>
      </c>
    </row>
    <row r="3694" spans="1:12" x14ac:dyDescent="0.25">
      <c r="A3694">
        <v>3693</v>
      </c>
      <c r="B3694" t="s">
        <v>5658</v>
      </c>
      <c r="C3694">
        <v>0</v>
      </c>
      <c r="J3694">
        <v>3693</v>
      </c>
      <c r="K3694" t="s">
        <v>5658</v>
      </c>
      <c r="L3694">
        <v>0</v>
      </c>
    </row>
    <row r="3695" spans="1:12" x14ac:dyDescent="0.25">
      <c r="A3695">
        <v>3694</v>
      </c>
      <c r="B3695" t="s">
        <v>5659</v>
      </c>
      <c r="C3695">
        <v>0</v>
      </c>
      <c r="J3695">
        <v>3694</v>
      </c>
      <c r="K3695" t="s">
        <v>5659</v>
      </c>
      <c r="L3695">
        <v>0</v>
      </c>
    </row>
    <row r="3696" spans="1:12" x14ac:dyDescent="0.25">
      <c r="A3696">
        <v>3695</v>
      </c>
      <c r="B3696" t="s">
        <v>5660</v>
      </c>
      <c r="C3696">
        <v>0</v>
      </c>
      <c r="J3696">
        <v>3695</v>
      </c>
      <c r="K3696" t="s">
        <v>5660</v>
      </c>
      <c r="L3696">
        <v>0</v>
      </c>
    </row>
    <row r="3697" spans="1:12" x14ac:dyDescent="0.25">
      <c r="A3697">
        <v>3696</v>
      </c>
      <c r="B3697" t="s">
        <v>5661</v>
      </c>
      <c r="C3697">
        <v>0</v>
      </c>
      <c r="J3697">
        <v>3696</v>
      </c>
      <c r="K3697" t="s">
        <v>5661</v>
      </c>
      <c r="L3697">
        <v>0</v>
      </c>
    </row>
    <row r="3698" spans="1:12" x14ac:dyDescent="0.25">
      <c r="A3698">
        <v>3697</v>
      </c>
      <c r="B3698" t="s">
        <v>5662</v>
      </c>
      <c r="C3698">
        <v>0</v>
      </c>
      <c r="J3698">
        <v>3697</v>
      </c>
      <c r="K3698" t="s">
        <v>5662</v>
      </c>
      <c r="L3698">
        <v>0</v>
      </c>
    </row>
    <row r="3699" spans="1:12" x14ac:dyDescent="0.25">
      <c r="A3699">
        <v>3698</v>
      </c>
      <c r="B3699" t="s">
        <v>5663</v>
      </c>
      <c r="C3699">
        <v>0</v>
      </c>
      <c r="J3699">
        <v>3698</v>
      </c>
      <c r="K3699" t="s">
        <v>5663</v>
      </c>
      <c r="L3699">
        <v>0</v>
      </c>
    </row>
    <row r="3700" spans="1:12" x14ac:dyDescent="0.25">
      <c r="A3700">
        <v>3699</v>
      </c>
      <c r="B3700" t="s">
        <v>5664</v>
      </c>
      <c r="C3700">
        <v>0</v>
      </c>
      <c r="J3700">
        <v>3699</v>
      </c>
      <c r="K3700" t="s">
        <v>5664</v>
      </c>
      <c r="L3700">
        <v>0</v>
      </c>
    </row>
    <row r="3701" spans="1:12" x14ac:dyDescent="0.25">
      <c r="A3701">
        <v>3700</v>
      </c>
      <c r="B3701" t="s">
        <v>5665</v>
      </c>
      <c r="C3701">
        <v>0</v>
      </c>
      <c r="J3701">
        <v>3700</v>
      </c>
      <c r="K3701" t="s">
        <v>5665</v>
      </c>
      <c r="L3701">
        <v>0</v>
      </c>
    </row>
    <row r="3702" spans="1:12" x14ac:dyDescent="0.25">
      <c r="A3702">
        <v>3701</v>
      </c>
      <c r="B3702" t="s">
        <v>5666</v>
      </c>
      <c r="C3702">
        <v>0</v>
      </c>
      <c r="J3702">
        <v>3701</v>
      </c>
      <c r="K3702" t="s">
        <v>5666</v>
      </c>
      <c r="L3702">
        <v>0</v>
      </c>
    </row>
    <row r="3703" spans="1:12" x14ac:dyDescent="0.25">
      <c r="A3703">
        <v>3702</v>
      </c>
      <c r="B3703" t="s">
        <v>5667</v>
      </c>
      <c r="C3703">
        <v>0</v>
      </c>
      <c r="J3703">
        <v>3702</v>
      </c>
      <c r="K3703" t="s">
        <v>5667</v>
      </c>
      <c r="L3703">
        <v>0</v>
      </c>
    </row>
    <row r="3704" spans="1:12" x14ac:dyDescent="0.25">
      <c r="A3704">
        <v>3703</v>
      </c>
      <c r="B3704" t="s">
        <v>5668</v>
      </c>
      <c r="C3704">
        <v>0</v>
      </c>
      <c r="J3704">
        <v>3703</v>
      </c>
      <c r="K3704" t="s">
        <v>5668</v>
      </c>
      <c r="L3704">
        <v>0</v>
      </c>
    </row>
    <row r="3705" spans="1:12" x14ac:dyDescent="0.25">
      <c r="A3705">
        <v>3704</v>
      </c>
      <c r="B3705" t="s">
        <v>5669</v>
      </c>
      <c r="C3705">
        <v>0</v>
      </c>
      <c r="J3705">
        <v>3704</v>
      </c>
      <c r="K3705" t="s">
        <v>5669</v>
      </c>
      <c r="L3705">
        <v>0</v>
      </c>
    </row>
    <row r="3706" spans="1:12" x14ac:dyDescent="0.25">
      <c r="A3706">
        <v>3705</v>
      </c>
      <c r="B3706" t="s">
        <v>5670</v>
      </c>
      <c r="C3706">
        <v>0</v>
      </c>
      <c r="J3706">
        <v>3705</v>
      </c>
      <c r="K3706" t="s">
        <v>5670</v>
      </c>
      <c r="L3706">
        <v>0</v>
      </c>
    </row>
    <row r="3707" spans="1:12" x14ac:dyDescent="0.25">
      <c r="A3707">
        <v>3706</v>
      </c>
      <c r="B3707" t="s">
        <v>5671</v>
      </c>
      <c r="C3707">
        <v>0</v>
      </c>
      <c r="J3707">
        <v>3706</v>
      </c>
      <c r="K3707" t="s">
        <v>5671</v>
      </c>
      <c r="L3707">
        <v>0</v>
      </c>
    </row>
    <row r="3708" spans="1:12" x14ac:dyDescent="0.25">
      <c r="A3708">
        <v>3707</v>
      </c>
      <c r="B3708" t="s">
        <v>5672</v>
      </c>
      <c r="C3708">
        <v>0</v>
      </c>
      <c r="J3708">
        <v>3707</v>
      </c>
      <c r="K3708" t="s">
        <v>5672</v>
      </c>
      <c r="L3708">
        <v>0</v>
      </c>
    </row>
    <row r="3709" spans="1:12" x14ac:dyDescent="0.25">
      <c r="A3709">
        <v>3708</v>
      </c>
      <c r="B3709" t="s">
        <v>5673</v>
      </c>
      <c r="C3709">
        <v>0</v>
      </c>
      <c r="J3709">
        <v>3708</v>
      </c>
      <c r="K3709" t="s">
        <v>5673</v>
      </c>
      <c r="L3709">
        <v>0</v>
      </c>
    </row>
    <row r="3710" spans="1:12" x14ac:dyDescent="0.25">
      <c r="A3710">
        <v>3709</v>
      </c>
      <c r="B3710" t="s">
        <v>5674</v>
      </c>
      <c r="C3710">
        <v>0</v>
      </c>
      <c r="J3710">
        <v>3709</v>
      </c>
      <c r="K3710" t="s">
        <v>5674</v>
      </c>
      <c r="L3710">
        <v>0</v>
      </c>
    </row>
    <row r="3711" spans="1:12" x14ac:dyDescent="0.25">
      <c r="A3711">
        <v>3710</v>
      </c>
      <c r="B3711" t="s">
        <v>5675</v>
      </c>
      <c r="C3711">
        <v>0</v>
      </c>
      <c r="J3711">
        <v>3710</v>
      </c>
      <c r="K3711" t="s">
        <v>5675</v>
      </c>
      <c r="L3711">
        <v>0</v>
      </c>
    </row>
    <row r="3712" spans="1:12" x14ac:dyDescent="0.25">
      <c r="A3712">
        <v>3711</v>
      </c>
      <c r="B3712" t="s">
        <v>5676</v>
      </c>
      <c r="C3712">
        <v>0</v>
      </c>
      <c r="J3712">
        <v>3711</v>
      </c>
      <c r="K3712" t="s">
        <v>5676</v>
      </c>
      <c r="L3712">
        <v>0</v>
      </c>
    </row>
    <row r="3713" spans="1:12" x14ac:dyDescent="0.25">
      <c r="A3713">
        <v>3712</v>
      </c>
      <c r="B3713" t="s">
        <v>5677</v>
      </c>
      <c r="C3713">
        <v>0</v>
      </c>
      <c r="J3713">
        <v>3712</v>
      </c>
      <c r="K3713" t="s">
        <v>5677</v>
      </c>
      <c r="L3713">
        <v>0</v>
      </c>
    </row>
    <row r="3714" spans="1:12" x14ac:dyDescent="0.25">
      <c r="A3714">
        <v>3713</v>
      </c>
      <c r="B3714" t="s">
        <v>5678</v>
      </c>
      <c r="C3714">
        <v>0</v>
      </c>
      <c r="J3714">
        <v>3713</v>
      </c>
      <c r="K3714" t="s">
        <v>5678</v>
      </c>
      <c r="L3714">
        <v>0</v>
      </c>
    </row>
    <row r="3715" spans="1:12" x14ac:dyDescent="0.25">
      <c r="A3715">
        <v>3714</v>
      </c>
      <c r="B3715" t="s">
        <v>5679</v>
      </c>
      <c r="C3715">
        <v>0</v>
      </c>
      <c r="J3715">
        <v>3714</v>
      </c>
      <c r="K3715" t="s">
        <v>5679</v>
      </c>
      <c r="L3715">
        <v>0</v>
      </c>
    </row>
    <row r="3716" spans="1:12" x14ac:dyDescent="0.25">
      <c r="A3716">
        <v>3715</v>
      </c>
      <c r="B3716" t="s">
        <v>5680</v>
      </c>
      <c r="C3716">
        <v>0</v>
      </c>
      <c r="J3716">
        <v>3715</v>
      </c>
      <c r="K3716" t="s">
        <v>5680</v>
      </c>
      <c r="L3716">
        <v>0</v>
      </c>
    </row>
    <row r="3717" spans="1:12" x14ac:dyDescent="0.25">
      <c r="A3717">
        <v>3716</v>
      </c>
      <c r="B3717" t="s">
        <v>5681</v>
      </c>
      <c r="C3717">
        <v>0</v>
      </c>
      <c r="J3717">
        <v>3716</v>
      </c>
      <c r="K3717" t="s">
        <v>5681</v>
      </c>
      <c r="L3717">
        <v>0</v>
      </c>
    </row>
    <row r="3718" spans="1:12" x14ac:dyDescent="0.25">
      <c r="A3718">
        <v>3717</v>
      </c>
      <c r="B3718" t="s">
        <v>5682</v>
      </c>
      <c r="C3718">
        <v>0</v>
      </c>
      <c r="J3718">
        <v>3717</v>
      </c>
      <c r="K3718" t="s">
        <v>5682</v>
      </c>
      <c r="L3718">
        <v>0</v>
      </c>
    </row>
    <row r="3719" spans="1:12" x14ac:dyDescent="0.25">
      <c r="A3719">
        <v>3718</v>
      </c>
      <c r="B3719" t="s">
        <v>5683</v>
      </c>
      <c r="C3719">
        <v>0</v>
      </c>
      <c r="J3719">
        <v>3718</v>
      </c>
      <c r="K3719" t="s">
        <v>5683</v>
      </c>
      <c r="L3719">
        <v>0</v>
      </c>
    </row>
    <row r="3720" spans="1:12" x14ac:dyDescent="0.25">
      <c r="A3720">
        <v>3719</v>
      </c>
      <c r="B3720" t="s">
        <v>5684</v>
      </c>
      <c r="C3720">
        <v>0</v>
      </c>
      <c r="J3720">
        <v>3719</v>
      </c>
      <c r="K3720" t="s">
        <v>5684</v>
      </c>
      <c r="L3720">
        <v>0</v>
      </c>
    </row>
    <row r="3721" spans="1:12" x14ac:dyDescent="0.25">
      <c r="A3721">
        <v>3720</v>
      </c>
      <c r="B3721" t="s">
        <v>5685</v>
      </c>
      <c r="C3721">
        <v>0</v>
      </c>
      <c r="J3721">
        <v>3720</v>
      </c>
      <c r="K3721" t="s">
        <v>5685</v>
      </c>
      <c r="L3721">
        <v>0</v>
      </c>
    </row>
    <row r="3722" spans="1:12" x14ac:dyDescent="0.25">
      <c r="A3722">
        <v>3721</v>
      </c>
      <c r="B3722" t="s">
        <v>5686</v>
      </c>
      <c r="C3722">
        <v>0</v>
      </c>
      <c r="J3722">
        <v>3721</v>
      </c>
      <c r="K3722" t="s">
        <v>5686</v>
      </c>
      <c r="L3722">
        <v>0</v>
      </c>
    </row>
    <row r="3723" spans="1:12" x14ac:dyDescent="0.25">
      <c r="A3723">
        <v>3722</v>
      </c>
      <c r="B3723" t="s">
        <v>5687</v>
      </c>
      <c r="C3723">
        <v>0</v>
      </c>
      <c r="J3723">
        <v>3722</v>
      </c>
      <c r="K3723" t="s">
        <v>5687</v>
      </c>
      <c r="L3723">
        <v>0</v>
      </c>
    </row>
    <row r="3724" spans="1:12" x14ac:dyDescent="0.25">
      <c r="A3724">
        <v>3723</v>
      </c>
      <c r="B3724" t="s">
        <v>5688</v>
      </c>
      <c r="C3724">
        <v>0</v>
      </c>
      <c r="J3724">
        <v>3723</v>
      </c>
      <c r="K3724" t="s">
        <v>5688</v>
      </c>
      <c r="L3724">
        <v>0</v>
      </c>
    </row>
    <row r="3725" spans="1:12" x14ac:dyDescent="0.25">
      <c r="A3725">
        <v>3724</v>
      </c>
      <c r="B3725" t="s">
        <v>5689</v>
      </c>
      <c r="C3725">
        <v>0</v>
      </c>
      <c r="J3725">
        <v>3724</v>
      </c>
      <c r="K3725" t="s">
        <v>5689</v>
      </c>
      <c r="L3725">
        <v>0</v>
      </c>
    </row>
    <row r="3726" spans="1:12" x14ac:dyDescent="0.25">
      <c r="A3726">
        <v>3725</v>
      </c>
      <c r="B3726" t="s">
        <v>5690</v>
      </c>
      <c r="C3726">
        <v>0</v>
      </c>
      <c r="J3726">
        <v>3725</v>
      </c>
      <c r="K3726" t="s">
        <v>5690</v>
      </c>
      <c r="L3726">
        <v>0</v>
      </c>
    </row>
    <row r="3727" spans="1:12" x14ac:dyDescent="0.25">
      <c r="A3727">
        <v>3726</v>
      </c>
      <c r="B3727" t="s">
        <v>5691</v>
      </c>
      <c r="C3727">
        <v>0</v>
      </c>
      <c r="J3727">
        <v>3726</v>
      </c>
      <c r="K3727" t="s">
        <v>5691</v>
      </c>
      <c r="L3727">
        <v>0</v>
      </c>
    </row>
    <row r="3728" spans="1:12" x14ac:dyDescent="0.25">
      <c r="A3728">
        <v>3727</v>
      </c>
      <c r="B3728" t="s">
        <v>5692</v>
      </c>
      <c r="C3728">
        <v>0</v>
      </c>
      <c r="J3728">
        <v>3727</v>
      </c>
      <c r="K3728" t="s">
        <v>5692</v>
      </c>
      <c r="L3728">
        <v>0</v>
      </c>
    </row>
    <row r="3729" spans="1:12" x14ac:dyDescent="0.25">
      <c r="A3729">
        <v>3728</v>
      </c>
      <c r="B3729" t="s">
        <v>5693</v>
      </c>
      <c r="C3729">
        <v>0</v>
      </c>
      <c r="J3729">
        <v>3728</v>
      </c>
      <c r="K3729" t="s">
        <v>5693</v>
      </c>
      <c r="L3729">
        <v>0</v>
      </c>
    </row>
    <row r="3730" spans="1:12" x14ac:dyDescent="0.25">
      <c r="A3730">
        <v>3729</v>
      </c>
      <c r="B3730" t="s">
        <v>5694</v>
      </c>
      <c r="C3730">
        <v>0</v>
      </c>
      <c r="J3730">
        <v>3729</v>
      </c>
      <c r="K3730" t="s">
        <v>5694</v>
      </c>
      <c r="L3730">
        <v>0</v>
      </c>
    </row>
    <row r="3731" spans="1:12" x14ac:dyDescent="0.25">
      <c r="A3731">
        <v>3730</v>
      </c>
      <c r="B3731" t="s">
        <v>5695</v>
      </c>
      <c r="C3731">
        <v>0</v>
      </c>
      <c r="J3731">
        <v>3730</v>
      </c>
      <c r="K3731" t="s">
        <v>5695</v>
      </c>
      <c r="L3731">
        <v>0</v>
      </c>
    </row>
    <row r="3732" spans="1:12" x14ac:dyDescent="0.25">
      <c r="A3732">
        <v>3731</v>
      </c>
      <c r="B3732" t="s">
        <v>5696</v>
      </c>
      <c r="C3732">
        <v>0</v>
      </c>
      <c r="J3732">
        <v>3731</v>
      </c>
      <c r="K3732" t="s">
        <v>5696</v>
      </c>
      <c r="L3732">
        <v>0</v>
      </c>
    </row>
    <row r="3733" spans="1:12" x14ac:dyDescent="0.25">
      <c r="A3733">
        <v>3732</v>
      </c>
      <c r="B3733" t="s">
        <v>5697</v>
      </c>
      <c r="C3733">
        <v>0</v>
      </c>
      <c r="J3733">
        <v>3732</v>
      </c>
      <c r="K3733" t="s">
        <v>5697</v>
      </c>
      <c r="L3733">
        <v>0</v>
      </c>
    </row>
    <row r="3734" spans="1:12" x14ac:dyDescent="0.25">
      <c r="A3734">
        <v>3733</v>
      </c>
      <c r="B3734" t="s">
        <v>5698</v>
      </c>
      <c r="C3734">
        <v>0</v>
      </c>
      <c r="J3734">
        <v>3733</v>
      </c>
      <c r="K3734" t="s">
        <v>5698</v>
      </c>
      <c r="L3734">
        <v>0</v>
      </c>
    </row>
    <row r="3735" spans="1:12" x14ac:dyDescent="0.25">
      <c r="A3735">
        <v>3734</v>
      </c>
      <c r="B3735" t="s">
        <v>5699</v>
      </c>
      <c r="C3735">
        <v>0</v>
      </c>
      <c r="J3735">
        <v>3734</v>
      </c>
      <c r="K3735" t="s">
        <v>5699</v>
      </c>
      <c r="L3735">
        <v>0</v>
      </c>
    </row>
    <row r="3736" spans="1:12" x14ac:dyDescent="0.25">
      <c r="A3736">
        <v>3735</v>
      </c>
      <c r="B3736" t="s">
        <v>5700</v>
      </c>
      <c r="C3736">
        <v>0</v>
      </c>
      <c r="J3736">
        <v>3735</v>
      </c>
      <c r="K3736" t="s">
        <v>5700</v>
      </c>
      <c r="L3736">
        <v>0</v>
      </c>
    </row>
    <row r="3737" spans="1:12" x14ac:dyDescent="0.25">
      <c r="A3737">
        <v>3736</v>
      </c>
      <c r="B3737" t="s">
        <v>5701</v>
      </c>
      <c r="C3737">
        <v>0</v>
      </c>
      <c r="J3737">
        <v>3736</v>
      </c>
      <c r="K3737" t="s">
        <v>5701</v>
      </c>
      <c r="L3737">
        <v>0</v>
      </c>
    </row>
    <row r="3738" spans="1:12" x14ac:dyDescent="0.25">
      <c r="A3738">
        <v>3737</v>
      </c>
      <c r="B3738" t="s">
        <v>5702</v>
      </c>
      <c r="C3738">
        <v>0</v>
      </c>
      <c r="J3738">
        <v>3737</v>
      </c>
      <c r="K3738" t="s">
        <v>5702</v>
      </c>
      <c r="L3738">
        <v>0</v>
      </c>
    </row>
    <row r="3739" spans="1:12" x14ac:dyDescent="0.25">
      <c r="A3739">
        <v>3738</v>
      </c>
      <c r="B3739" t="s">
        <v>5703</v>
      </c>
      <c r="C3739">
        <v>0</v>
      </c>
      <c r="J3739">
        <v>3738</v>
      </c>
      <c r="K3739" t="s">
        <v>5703</v>
      </c>
      <c r="L3739">
        <v>0</v>
      </c>
    </row>
    <row r="3740" spans="1:12" x14ac:dyDescent="0.25">
      <c r="A3740">
        <v>3739</v>
      </c>
      <c r="B3740" t="s">
        <v>5704</v>
      </c>
      <c r="C3740">
        <v>0</v>
      </c>
      <c r="J3740">
        <v>3739</v>
      </c>
      <c r="K3740" t="s">
        <v>5704</v>
      </c>
      <c r="L3740">
        <v>0</v>
      </c>
    </row>
    <row r="3741" spans="1:12" x14ac:dyDescent="0.25">
      <c r="A3741">
        <v>3740</v>
      </c>
      <c r="B3741" t="s">
        <v>5705</v>
      </c>
      <c r="C3741">
        <v>0</v>
      </c>
      <c r="J3741">
        <v>3740</v>
      </c>
      <c r="K3741" t="s">
        <v>5705</v>
      </c>
      <c r="L3741">
        <v>0</v>
      </c>
    </row>
    <row r="3742" spans="1:12" x14ac:dyDescent="0.25">
      <c r="A3742">
        <v>3741</v>
      </c>
      <c r="B3742" t="s">
        <v>5706</v>
      </c>
      <c r="C3742">
        <v>0</v>
      </c>
      <c r="J3742">
        <v>3741</v>
      </c>
      <c r="K3742" t="s">
        <v>5706</v>
      </c>
      <c r="L3742">
        <v>0</v>
      </c>
    </row>
    <row r="3743" spans="1:12" x14ac:dyDescent="0.25">
      <c r="A3743">
        <v>3742</v>
      </c>
      <c r="B3743" t="s">
        <v>5707</v>
      </c>
      <c r="C3743">
        <v>0</v>
      </c>
      <c r="J3743">
        <v>3742</v>
      </c>
      <c r="K3743" t="s">
        <v>5707</v>
      </c>
      <c r="L3743">
        <v>0</v>
      </c>
    </row>
    <row r="3744" spans="1:12" x14ac:dyDescent="0.25">
      <c r="A3744">
        <v>3743</v>
      </c>
      <c r="B3744" t="s">
        <v>5708</v>
      </c>
      <c r="C3744">
        <v>0</v>
      </c>
      <c r="J3744">
        <v>3743</v>
      </c>
      <c r="K3744" t="s">
        <v>5708</v>
      </c>
      <c r="L3744">
        <v>0</v>
      </c>
    </row>
    <row r="3745" spans="1:12" x14ac:dyDescent="0.25">
      <c r="A3745">
        <v>3744</v>
      </c>
      <c r="B3745" t="s">
        <v>5709</v>
      </c>
      <c r="C3745">
        <v>0</v>
      </c>
      <c r="J3745">
        <v>3744</v>
      </c>
      <c r="K3745" t="s">
        <v>5709</v>
      </c>
      <c r="L3745">
        <v>0</v>
      </c>
    </row>
    <row r="3746" spans="1:12" x14ac:dyDescent="0.25">
      <c r="A3746">
        <v>3745</v>
      </c>
      <c r="B3746" t="s">
        <v>5710</v>
      </c>
      <c r="C3746">
        <v>0</v>
      </c>
      <c r="J3746">
        <v>3745</v>
      </c>
      <c r="K3746" t="s">
        <v>5710</v>
      </c>
      <c r="L3746">
        <v>0</v>
      </c>
    </row>
    <row r="3747" spans="1:12" x14ac:dyDescent="0.25">
      <c r="A3747">
        <v>3746</v>
      </c>
      <c r="B3747" t="s">
        <v>5711</v>
      </c>
      <c r="C3747">
        <v>0</v>
      </c>
      <c r="J3747">
        <v>3746</v>
      </c>
      <c r="K3747" t="s">
        <v>5711</v>
      </c>
      <c r="L3747">
        <v>0</v>
      </c>
    </row>
    <row r="3748" spans="1:12" x14ac:dyDescent="0.25">
      <c r="A3748">
        <v>3747</v>
      </c>
      <c r="B3748" t="s">
        <v>5712</v>
      </c>
      <c r="C3748">
        <v>0</v>
      </c>
      <c r="J3748">
        <v>3747</v>
      </c>
      <c r="K3748" t="s">
        <v>5712</v>
      </c>
      <c r="L3748">
        <v>0</v>
      </c>
    </row>
    <row r="3749" spans="1:12" x14ac:dyDescent="0.25">
      <c r="A3749">
        <v>3748</v>
      </c>
      <c r="B3749" t="s">
        <v>5713</v>
      </c>
      <c r="C3749">
        <v>0</v>
      </c>
      <c r="J3749">
        <v>3748</v>
      </c>
      <c r="K3749" t="s">
        <v>5713</v>
      </c>
      <c r="L3749">
        <v>0</v>
      </c>
    </row>
    <row r="3750" spans="1:12" x14ac:dyDescent="0.25">
      <c r="A3750">
        <v>3749</v>
      </c>
      <c r="B3750" t="s">
        <v>5714</v>
      </c>
      <c r="C3750">
        <v>0</v>
      </c>
      <c r="J3750">
        <v>3749</v>
      </c>
      <c r="K3750" t="s">
        <v>5714</v>
      </c>
      <c r="L3750">
        <v>0</v>
      </c>
    </row>
    <row r="3751" spans="1:12" x14ac:dyDescent="0.25">
      <c r="A3751">
        <v>3750</v>
      </c>
      <c r="B3751" t="s">
        <v>5715</v>
      </c>
      <c r="C3751">
        <v>0</v>
      </c>
      <c r="J3751">
        <v>3750</v>
      </c>
      <c r="K3751" t="s">
        <v>5715</v>
      </c>
      <c r="L3751">
        <v>0</v>
      </c>
    </row>
    <row r="3752" spans="1:12" x14ac:dyDescent="0.25">
      <c r="A3752">
        <v>3751</v>
      </c>
      <c r="B3752" t="s">
        <v>5716</v>
      </c>
      <c r="C3752">
        <v>0</v>
      </c>
      <c r="J3752">
        <v>3751</v>
      </c>
      <c r="K3752" t="s">
        <v>5716</v>
      </c>
      <c r="L3752">
        <v>0</v>
      </c>
    </row>
    <row r="3753" spans="1:12" x14ac:dyDescent="0.25">
      <c r="A3753">
        <v>3752</v>
      </c>
      <c r="B3753" t="s">
        <v>5717</v>
      </c>
      <c r="C3753">
        <v>0</v>
      </c>
      <c r="J3753">
        <v>3752</v>
      </c>
      <c r="K3753" t="s">
        <v>5717</v>
      </c>
      <c r="L3753">
        <v>0</v>
      </c>
    </row>
    <row r="3754" spans="1:12" x14ac:dyDescent="0.25">
      <c r="A3754">
        <v>3753</v>
      </c>
      <c r="B3754" t="s">
        <v>5718</v>
      </c>
      <c r="C3754">
        <v>0</v>
      </c>
      <c r="J3754">
        <v>3753</v>
      </c>
      <c r="K3754" t="s">
        <v>5718</v>
      </c>
      <c r="L3754">
        <v>0</v>
      </c>
    </row>
    <row r="3755" spans="1:12" x14ac:dyDescent="0.25">
      <c r="A3755">
        <v>3754</v>
      </c>
      <c r="B3755" t="s">
        <v>5719</v>
      </c>
      <c r="C3755">
        <v>0</v>
      </c>
      <c r="J3755">
        <v>3754</v>
      </c>
      <c r="K3755" t="s">
        <v>5719</v>
      </c>
      <c r="L3755">
        <v>0</v>
      </c>
    </row>
    <row r="3756" spans="1:12" x14ac:dyDescent="0.25">
      <c r="A3756">
        <v>3755</v>
      </c>
      <c r="B3756" t="s">
        <v>5720</v>
      </c>
      <c r="C3756">
        <v>0</v>
      </c>
      <c r="J3756">
        <v>3755</v>
      </c>
      <c r="K3756" t="s">
        <v>5720</v>
      </c>
      <c r="L3756">
        <v>0</v>
      </c>
    </row>
    <row r="3757" spans="1:12" x14ac:dyDescent="0.25">
      <c r="A3757">
        <v>3756</v>
      </c>
      <c r="B3757" t="s">
        <v>5721</v>
      </c>
      <c r="C3757">
        <v>0</v>
      </c>
      <c r="J3757">
        <v>3756</v>
      </c>
      <c r="K3757" t="s">
        <v>5721</v>
      </c>
      <c r="L3757">
        <v>0</v>
      </c>
    </row>
    <row r="3758" spans="1:12" x14ac:dyDescent="0.25">
      <c r="A3758">
        <v>3757</v>
      </c>
      <c r="B3758" t="s">
        <v>5722</v>
      </c>
      <c r="C3758">
        <v>0</v>
      </c>
      <c r="J3758">
        <v>3757</v>
      </c>
      <c r="K3758" t="s">
        <v>5722</v>
      </c>
      <c r="L3758">
        <v>0</v>
      </c>
    </row>
    <row r="3759" spans="1:12" x14ac:dyDescent="0.25">
      <c r="A3759">
        <v>3758</v>
      </c>
      <c r="B3759" t="s">
        <v>5723</v>
      </c>
      <c r="C3759">
        <v>0</v>
      </c>
      <c r="J3759">
        <v>3758</v>
      </c>
      <c r="K3759" t="s">
        <v>5723</v>
      </c>
      <c r="L3759">
        <v>0</v>
      </c>
    </row>
    <row r="3760" spans="1:12" x14ac:dyDescent="0.25">
      <c r="A3760">
        <v>3759</v>
      </c>
      <c r="B3760" t="s">
        <v>5724</v>
      </c>
      <c r="C3760">
        <v>0</v>
      </c>
      <c r="J3760">
        <v>3759</v>
      </c>
      <c r="K3760" t="s">
        <v>5724</v>
      </c>
      <c r="L3760">
        <v>0</v>
      </c>
    </row>
    <row r="3761" spans="1:12" x14ac:dyDescent="0.25">
      <c r="A3761">
        <v>3760</v>
      </c>
      <c r="B3761" t="s">
        <v>5725</v>
      </c>
      <c r="C3761">
        <v>0</v>
      </c>
      <c r="J3761">
        <v>3760</v>
      </c>
      <c r="K3761" t="s">
        <v>5725</v>
      </c>
      <c r="L3761">
        <v>0</v>
      </c>
    </row>
    <row r="3762" spans="1:12" x14ac:dyDescent="0.25">
      <c r="A3762">
        <v>3761</v>
      </c>
      <c r="B3762" t="s">
        <v>5726</v>
      </c>
      <c r="C3762">
        <v>0</v>
      </c>
      <c r="J3762">
        <v>3761</v>
      </c>
      <c r="K3762" t="s">
        <v>5726</v>
      </c>
      <c r="L3762">
        <v>0</v>
      </c>
    </row>
    <row r="3763" spans="1:12" x14ac:dyDescent="0.25">
      <c r="A3763">
        <v>3762</v>
      </c>
      <c r="B3763" t="s">
        <v>5727</v>
      </c>
      <c r="C3763">
        <v>0</v>
      </c>
      <c r="J3763">
        <v>3762</v>
      </c>
      <c r="K3763" t="s">
        <v>5727</v>
      </c>
      <c r="L3763">
        <v>0</v>
      </c>
    </row>
    <row r="3764" spans="1:12" x14ac:dyDescent="0.25">
      <c r="A3764">
        <v>3763</v>
      </c>
      <c r="B3764" t="s">
        <v>5728</v>
      </c>
      <c r="C3764">
        <v>0</v>
      </c>
      <c r="J3764">
        <v>3763</v>
      </c>
      <c r="K3764" t="s">
        <v>5728</v>
      </c>
      <c r="L3764">
        <v>0</v>
      </c>
    </row>
    <row r="3765" spans="1:12" x14ac:dyDescent="0.25">
      <c r="A3765">
        <v>3764</v>
      </c>
      <c r="B3765" t="s">
        <v>5729</v>
      </c>
      <c r="C3765">
        <v>0</v>
      </c>
      <c r="J3765">
        <v>3764</v>
      </c>
      <c r="K3765" t="s">
        <v>5729</v>
      </c>
      <c r="L3765">
        <v>0</v>
      </c>
    </row>
    <row r="3766" spans="1:12" x14ac:dyDescent="0.25">
      <c r="A3766">
        <v>3765</v>
      </c>
      <c r="B3766" t="s">
        <v>5730</v>
      </c>
      <c r="C3766">
        <v>0</v>
      </c>
      <c r="J3766">
        <v>3765</v>
      </c>
      <c r="K3766" t="s">
        <v>5730</v>
      </c>
      <c r="L3766">
        <v>0</v>
      </c>
    </row>
    <row r="3767" spans="1:12" x14ac:dyDescent="0.25">
      <c r="A3767">
        <v>3766</v>
      </c>
      <c r="B3767" t="s">
        <v>5731</v>
      </c>
      <c r="C3767">
        <v>0</v>
      </c>
      <c r="J3767">
        <v>3766</v>
      </c>
      <c r="K3767" t="s">
        <v>5731</v>
      </c>
      <c r="L3767">
        <v>0</v>
      </c>
    </row>
    <row r="3768" spans="1:12" x14ac:dyDescent="0.25">
      <c r="A3768">
        <v>3767</v>
      </c>
      <c r="B3768" t="s">
        <v>5732</v>
      </c>
      <c r="C3768">
        <v>0</v>
      </c>
      <c r="J3768">
        <v>3767</v>
      </c>
      <c r="K3768" t="s">
        <v>5732</v>
      </c>
      <c r="L3768">
        <v>0</v>
      </c>
    </row>
    <row r="3769" spans="1:12" x14ac:dyDescent="0.25">
      <c r="A3769">
        <v>3768</v>
      </c>
      <c r="B3769" t="s">
        <v>5733</v>
      </c>
      <c r="C3769">
        <v>0</v>
      </c>
      <c r="J3769">
        <v>3768</v>
      </c>
      <c r="K3769" t="s">
        <v>5733</v>
      </c>
      <c r="L3769">
        <v>0</v>
      </c>
    </row>
    <row r="3770" spans="1:12" x14ac:dyDescent="0.25">
      <c r="A3770">
        <v>3769</v>
      </c>
      <c r="B3770" t="s">
        <v>5734</v>
      </c>
      <c r="C3770">
        <v>0</v>
      </c>
      <c r="J3770">
        <v>3769</v>
      </c>
      <c r="K3770" t="s">
        <v>5734</v>
      </c>
      <c r="L3770">
        <v>0</v>
      </c>
    </row>
    <row r="3771" spans="1:12" x14ac:dyDescent="0.25">
      <c r="A3771">
        <v>3770</v>
      </c>
      <c r="B3771" t="s">
        <v>5735</v>
      </c>
      <c r="C3771">
        <v>0</v>
      </c>
      <c r="J3771">
        <v>3770</v>
      </c>
      <c r="K3771" t="s">
        <v>5735</v>
      </c>
      <c r="L3771">
        <v>0</v>
      </c>
    </row>
    <row r="3772" spans="1:12" x14ac:dyDescent="0.25">
      <c r="A3772">
        <v>3771</v>
      </c>
      <c r="B3772" t="s">
        <v>5736</v>
      </c>
      <c r="C3772">
        <v>0</v>
      </c>
      <c r="J3772">
        <v>3771</v>
      </c>
      <c r="K3772" t="s">
        <v>5736</v>
      </c>
      <c r="L3772">
        <v>0</v>
      </c>
    </row>
    <row r="3773" spans="1:12" x14ac:dyDescent="0.25">
      <c r="A3773">
        <v>3772</v>
      </c>
      <c r="B3773" t="s">
        <v>5737</v>
      </c>
      <c r="C3773">
        <v>0</v>
      </c>
      <c r="J3773">
        <v>3772</v>
      </c>
      <c r="K3773" t="s">
        <v>5737</v>
      </c>
      <c r="L3773">
        <v>0</v>
      </c>
    </row>
    <row r="3774" spans="1:12" x14ac:dyDescent="0.25">
      <c r="A3774">
        <v>3773</v>
      </c>
      <c r="B3774" t="s">
        <v>5738</v>
      </c>
      <c r="C3774">
        <v>0</v>
      </c>
      <c r="J3774">
        <v>3773</v>
      </c>
      <c r="K3774" t="s">
        <v>5738</v>
      </c>
      <c r="L3774">
        <v>0</v>
      </c>
    </row>
    <row r="3775" spans="1:12" x14ac:dyDescent="0.25">
      <c r="A3775">
        <v>3774</v>
      </c>
      <c r="B3775" t="s">
        <v>5739</v>
      </c>
      <c r="C3775">
        <v>0</v>
      </c>
      <c r="J3775">
        <v>3774</v>
      </c>
      <c r="K3775" t="s">
        <v>5739</v>
      </c>
      <c r="L3775">
        <v>0</v>
      </c>
    </row>
    <row r="3776" spans="1:12" x14ac:dyDescent="0.25">
      <c r="A3776">
        <v>3775</v>
      </c>
      <c r="B3776" t="s">
        <v>5740</v>
      </c>
      <c r="C3776">
        <v>0</v>
      </c>
      <c r="J3776">
        <v>3775</v>
      </c>
      <c r="K3776" t="s">
        <v>5740</v>
      </c>
      <c r="L3776">
        <v>0</v>
      </c>
    </row>
    <row r="3777" spans="1:12" x14ac:dyDescent="0.25">
      <c r="A3777">
        <v>3776</v>
      </c>
      <c r="B3777" t="s">
        <v>5741</v>
      </c>
      <c r="C3777">
        <v>0</v>
      </c>
      <c r="J3777">
        <v>3776</v>
      </c>
      <c r="K3777" t="s">
        <v>5741</v>
      </c>
      <c r="L3777">
        <v>0</v>
      </c>
    </row>
    <row r="3778" spans="1:12" x14ac:dyDescent="0.25">
      <c r="A3778">
        <v>3777</v>
      </c>
      <c r="B3778" t="s">
        <v>5742</v>
      </c>
      <c r="C3778">
        <v>0</v>
      </c>
      <c r="J3778">
        <v>3777</v>
      </c>
      <c r="K3778" t="s">
        <v>5742</v>
      </c>
      <c r="L3778">
        <v>0</v>
      </c>
    </row>
    <row r="3779" spans="1:12" x14ac:dyDescent="0.25">
      <c r="A3779">
        <v>3778</v>
      </c>
      <c r="B3779" t="s">
        <v>5743</v>
      </c>
      <c r="C3779">
        <v>0</v>
      </c>
      <c r="J3779">
        <v>3778</v>
      </c>
      <c r="K3779" t="s">
        <v>5743</v>
      </c>
      <c r="L3779">
        <v>0</v>
      </c>
    </row>
    <row r="3780" spans="1:12" x14ac:dyDescent="0.25">
      <c r="A3780">
        <v>3779</v>
      </c>
      <c r="B3780" t="s">
        <v>5744</v>
      </c>
      <c r="C3780">
        <v>0</v>
      </c>
      <c r="J3780">
        <v>3779</v>
      </c>
      <c r="K3780" t="s">
        <v>5744</v>
      </c>
      <c r="L3780">
        <v>0</v>
      </c>
    </row>
    <row r="3781" spans="1:12" x14ac:dyDescent="0.25">
      <c r="A3781">
        <v>3780</v>
      </c>
      <c r="B3781" t="s">
        <v>5745</v>
      </c>
      <c r="C3781">
        <v>0</v>
      </c>
      <c r="J3781">
        <v>3780</v>
      </c>
      <c r="K3781" t="s">
        <v>5745</v>
      </c>
      <c r="L3781">
        <v>0</v>
      </c>
    </row>
    <row r="3782" spans="1:12" x14ac:dyDescent="0.25">
      <c r="A3782">
        <v>3781</v>
      </c>
      <c r="B3782" t="s">
        <v>5746</v>
      </c>
      <c r="C3782">
        <v>0</v>
      </c>
      <c r="J3782">
        <v>3781</v>
      </c>
      <c r="K3782" t="s">
        <v>5746</v>
      </c>
      <c r="L3782">
        <v>0</v>
      </c>
    </row>
    <row r="3783" spans="1:12" x14ac:dyDescent="0.25">
      <c r="A3783">
        <v>3782</v>
      </c>
      <c r="B3783" t="s">
        <v>5747</v>
      </c>
      <c r="C3783">
        <v>0</v>
      </c>
      <c r="J3783">
        <v>3782</v>
      </c>
      <c r="K3783" t="s">
        <v>5747</v>
      </c>
      <c r="L3783">
        <v>0</v>
      </c>
    </row>
    <row r="3784" spans="1:12" x14ac:dyDescent="0.25">
      <c r="A3784">
        <v>3783</v>
      </c>
      <c r="B3784" t="s">
        <v>5748</v>
      </c>
      <c r="C3784">
        <v>0</v>
      </c>
      <c r="J3784">
        <v>3783</v>
      </c>
      <c r="K3784" t="s">
        <v>5748</v>
      </c>
      <c r="L3784">
        <v>0</v>
      </c>
    </row>
    <row r="3785" spans="1:12" x14ac:dyDescent="0.25">
      <c r="A3785">
        <v>3784</v>
      </c>
      <c r="B3785" t="s">
        <v>5749</v>
      </c>
      <c r="C3785">
        <v>0</v>
      </c>
      <c r="J3785">
        <v>3784</v>
      </c>
      <c r="K3785" t="s">
        <v>5749</v>
      </c>
      <c r="L3785">
        <v>0</v>
      </c>
    </row>
    <row r="3786" spans="1:12" x14ac:dyDescent="0.25">
      <c r="A3786">
        <v>3785</v>
      </c>
      <c r="B3786" t="s">
        <v>5750</v>
      </c>
      <c r="C3786">
        <v>0</v>
      </c>
      <c r="J3786">
        <v>3785</v>
      </c>
      <c r="K3786" t="s">
        <v>5750</v>
      </c>
      <c r="L3786">
        <v>0</v>
      </c>
    </row>
    <row r="3787" spans="1:12" x14ac:dyDescent="0.25">
      <c r="A3787">
        <v>3786</v>
      </c>
      <c r="B3787" t="s">
        <v>5751</v>
      </c>
      <c r="C3787">
        <v>0</v>
      </c>
      <c r="J3787">
        <v>3786</v>
      </c>
      <c r="K3787" t="s">
        <v>5751</v>
      </c>
      <c r="L3787">
        <v>0</v>
      </c>
    </row>
    <row r="3788" spans="1:12" x14ac:dyDescent="0.25">
      <c r="A3788">
        <v>3787</v>
      </c>
      <c r="B3788" t="s">
        <v>5752</v>
      </c>
      <c r="C3788">
        <v>0</v>
      </c>
      <c r="J3788">
        <v>3787</v>
      </c>
      <c r="K3788" t="s">
        <v>5752</v>
      </c>
      <c r="L3788">
        <v>0</v>
      </c>
    </row>
    <row r="3789" spans="1:12" x14ac:dyDescent="0.25">
      <c r="A3789">
        <v>3788</v>
      </c>
      <c r="B3789" t="s">
        <v>5753</v>
      </c>
      <c r="C3789">
        <v>0</v>
      </c>
      <c r="J3789">
        <v>3788</v>
      </c>
      <c r="K3789" t="s">
        <v>5753</v>
      </c>
      <c r="L3789">
        <v>0</v>
      </c>
    </row>
    <row r="3790" spans="1:12" x14ac:dyDescent="0.25">
      <c r="A3790">
        <v>3789</v>
      </c>
      <c r="B3790" t="s">
        <v>5754</v>
      </c>
      <c r="C3790">
        <v>0</v>
      </c>
      <c r="J3790">
        <v>3789</v>
      </c>
      <c r="K3790" t="s">
        <v>5754</v>
      </c>
      <c r="L3790">
        <v>0</v>
      </c>
    </row>
    <row r="3791" spans="1:12" x14ac:dyDescent="0.25">
      <c r="A3791">
        <v>3790</v>
      </c>
      <c r="B3791" t="s">
        <v>5755</v>
      </c>
      <c r="C3791">
        <v>0</v>
      </c>
      <c r="J3791">
        <v>3790</v>
      </c>
      <c r="K3791" t="s">
        <v>5755</v>
      </c>
      <c r="L3791">
        <v>0</v>
      </c>
    </row>
    <row r="3792" spans="1:12" x14ac:dyDescent="0.25">
      <c r="A3792">
        <v>3791</v>
      </c>
      <c r="B3792" t="s">
        <v>5756</v>
      </c>
      <c r="C3792">
        <v>0</v>
      </c>
      <c r="J3792">
        <v>3791</v>
      </c>
      <c r="K3792" t="s">
        <v>5756</v>
      </c>
      <c r="L3792">
        <v>0</v>
      </c>
    </row>
    <row r="3793" spans="1:12" x14ac:dyDescent="0.25">
      <c r="A3793">
        <v>3792</v>
      </c>
      <c r="B3793" t="s">
        <v>5757</v>
      </c>
      <c r="C3793">
        <v>0</v>
      </c>
      <c r="J3793">
        <v>3792</v>
      </c>
      <c r="K3793" t="s">
        <v>5757</v>
      </c>
      <c r="L3793">
        <v>0</v>
      </c>
    </row>
    <row r="3794" spans="1:12" x14ac:dyDescent="0.25">
      <c r="A3794">
        <v>3793</v>
      </c>
      <c r="B3794" t="s">
        <v>5758</v>
      </c>
      <c r="C3794">
        <v>0</v>
      </c>
      <c r="J3794">
        <v>3793</v>
      </c>
      <c r="K3794" t="s">
        <v>5758</v>
      </c>
      <c r="L3794">
        <v>0</v>
      </c>
    </row>
    <row r="3795" spans="1:12" x14ac:dyDescent="0.25">
      <c r="A3795">
        <v>3794</v>
      </c>
      <c r="B3795" t="s">
        <v>5759</v>
      </c>
      <c r="C3795">
        <v>0</v>
      </c>
      <c r="J3795">
        <v>3794</v>
      </c>
      <c r="K3795" t="s">
        <v>5759</v>
      </c>
      <c r="L3795">
        <v>0</v>
      </c>
    </row>
    <row r="3796" spans="1:12" x14ac:dyDescent="0.25">
      <c r="A3796">
        <v>3795</v>
      </c>
      <c r="B3796" t="s">
        <v>5760</v>
      </c>
      <c r="C3796">
        <v>0</v>
      </c>
      <c r="J3796">
        <v>3795</v>
      </c>
      <c r="K3796" t="s">
        <v>5760</v>
      </c>
      <c r="L3796">
        <v>0</v>
      </c>
    </row>
    <row r="3797" spans="1:12" x14ac:dyDescent="0.25">
      <c r="A3797">
        <v>3796</v>
      </c>
      <c r="B3797" t="s">
        <v>5761</v>
      </c>
      <c r="C3797">
        <v>0</v>
      </c>
      <c r="J3797">
        <v>3796</v>
      </c>
      <c r="K3797" t="s">
        <v>5761</v>
      </c>
      <c r="L3797">
        <v>0</v>
      </c>
    </row>
    <row r="3798" spans="1:12" x14ac:dyDescent="0.25">
      <c r="A3798">
        <v>3797</v>
      </c>
      <c r="B3798" t="s">
        <v>5762</v>
      </c>
      <c r="C3798">
        <v>0</v>
      </c>
      <c r="J3798">
        <v>3797</v>
      </c>
      <c r="K3798" t="s">
        <v>5762</v>
      </c>
      <c r="L3798">
        <v>0</v>
      </c>
    </row>
    <row r="3799" spans="1:12" x14ac:dyDescent="0.25">
      <c r="A3799">
        <v>3798</v>
      </c>
      <c r="B3799" t="s">
        <v>5763</v>
      </c>
      <c r="C3799">
        <v>0</v>
      </c>
      <c r="J3799">
        <v>3798</v>
      </c>
      <c r="K3799" t="s">
        <v>5763</v>
      </c>
      <c r="L3799">
        <v>0</v>
      </c>
    </row>
    <row r="3800" spans="1:12" x14ac:dyDescent="0.25">
      <c r="A3800">
        <v>3799</v>
      </c>
      <c r="B3800" t="s">
        <v>5764</v>
      </c>
      <c r="C3800">
        <v>0</v>
      </c>
      <c r="J3800">
        <v>3799</v>
      </c>
      <c r="K3800" t="s">
        <v>5764</v>
      </c>
      <c r="L3800">
        <v>0</v>
      </c>
    </row>
    <row r="3801" spans="1:12" x14ac:dyDescent="0.25">
      <c r="A3801">
        <v>3800</v>
      </c>
      <c r="B3801" t="s">
        <v>5765</v>
      </c>
      <c r="C3801">
        <v>0</v>
      </c>
      <c r="J3801">
        <v>3800</v>
      </c>
      <c r="K3801" t="s">
        <v>5765</v>
      </c>
      <c r="L3801">
        <v>0</v>
      </c>
    </row>
    <row r="3802" spans="1:12" x14ac:dyDescent="0.25">
      <c r="A3802">
        <v>3801</v>
      </c>
      <c r="B3802" t="s">
        <v>5766</v>
      </c>
      <c r="C3802">
        <v>0</v>
      </c>
      <c r="J3802">
        <v>3801</v>
      </c>
      <c r="K3802" t="s">
        <v>5766</v>
      </c>
      <c r="L3802">
        <v>0</v>
      </c>
    </row>
    <row r="3803" spans="1:12" x14ac:dyDescent="0.25">
      <c r="A3803">
        <v>3802</v>
      </c>
      <c r="B3803" t="s">
        <v>5767</v>
      </c>
      <c r="C3803">
        <v>0</v>
      </c>
      <c r="J3803">
        <v>3802</v>
      </c>
      <c r="K3803" t="s">
        <v>5767</v>
      </c>
      <c r="L3803">
        <v>0</v>
      </c>
    </row>
    <row r="3804" spans="1:12" x14ac:dyDescent="0.25">
      <c r="A3804">
        <v>3803</v>
      </c>
      <c r="B3804" t="s">
        <v>5768</v>
      </c>
      <c r="C3804">
        <v>0</v>
      </c>
      <c r="J3804">
        <v>3803</v>
      </c>
      <c r="K3804" t="s">
        <v>5768</v>
      </c>
      <c r="L3804">
        <v>0</v>
      </c>
    </row>
    <row r="3805" spans="1:12" x14ac:dyDescent="0.25">
      <c r="A3805">
        <v>3804</v>
      </c>
      <c r="B3805" t="s">
        <v>5769</v>
      </c>
      <c r="C3805">
        <v>0</v>
      </c>
      <c r="J3805">
        <v>3804</v>
      </c>
      <c r="K3805" t="s">
        <v>5769</v>
      </c>
      <c r="L3805">
        <v>0</v>
      </c>
    </row>
    <row r="3806" spans="1:12" x14ac:dyDescent="0.25">
      <c r="A3806">
        <v>3805</v>
      </c>
      <c r="B3806" t="s">
        <v>5770</v>
      </c>
      <c r="C3806">
        <v>0</v>
      </c>
      <c r="J3806">
        <v>3805</v>
      </c>
      <c r="K3806" t="s">
        <v>5770</v>
      </c>
      <c r="L3806">
        <v>0</v>
      </c>
    </row>
    <row r="3807" spans="1:12" x14ac:dyDescent="0.25">
      <c r="A3807">
        <v>3806</v>
      </c>
      <c r="B3807" t="s">
        <v>5771</v>
      </c>
      <c r="C3807">
        <v>0</v>
      </c>
      <c r="J3807">
        <v>3806</v>
      </c>
      <c r="K3807" t="s">
        <v>5771</v>
      </c>
      <c r="L3807">
        <v>0</v>
      </c>
    </row>
    <row r="3808" spans="1:12" x14ac:dyDescent="0.25">
      <c r="A3808">
        <v>3807</v>
      </c>
      <c r="B3808" t="s">
        <v>5772</v>
      </c>
      <c r="C3808">
        <v>0</v>
      </c>
      <c r="J3808">
        <v>3807</v>
      </c>
      <c r="K3808" t="s">
        <v>5772</v>
      </c>
      <c r="L3808">
        <v>0</v>
      </c>
    </row>
    <row r="3809" spans="1:12" x14ac:dyDescent="0.25">
      <c r="A3809">
        <v>3808</v>
      </c>
      <c r="B3809" t="s">
        <v>5773</v>
      </c>
      <c r="C3809">
        <v>0</v>
      </c>
      <c r="J3809">
        <v>3808</v>
      </c>
      <c r="K3809" t="s">
        <v>5773</v>
      </c>
      <c r="L3809">
        <v>0</v>
      </c>
    </row>
    <row r="3810" spans="1:12" x14ac:dyDescent="0.25">
      <c r="A3810">
        <v>3809</v>
      </c>
      <c r="B3810" t="s">
        <v>5774</v>
      </c>
      <c r="C3810">
        <v>0</v>
      </c>
      <c r="J3810">
        <v>3809</v>
      </c>
      <c r="K3810" t="s">
        <v>5774</v>
      </c>
      <c r="L3810">
        <v>0</v>
      </c>
    </row>
    <row r="3811" spans="1:12" x14ac:dyDescent="0.25">
      <c r="A3811">
        <v>3810</v>
      </c>
      <c r="B3811" t="s">
        <v>5775</v>
      </c>
      <c r="C3811">
        <v>0</v>
      </c>
      <c r="J3811">
        <v>3810</v>
      </c>
      <c r="K3811" t="s">
        <v>5775</v>
      </c>
      <c r="L3811">
        <v>0</v>
      </c>
    </row>
    <row r="3812" spans="1:12" x14ac:dyDescent="0.25">
      <c r="A3812">
        <v>3811</v>
      </c>
      <c r="B3812" t="s">
        <v>5776</v>
      </c>
      <c r="C3812">
        <v>0</v>
      </c>
      <c r="J3812">
        <v>3811</v>
      </c>
      <c r="K3812" t="s">
        <v>5776</v>
      </c>
      <c r="L3812">
        <v>0</v>
      </c>
    </row>
    <row r="3813" spans="1:12" x14ac:dyDescent="0.25">
      <c r="A3813">
        <v>3812</v>
      </c>
      <c r="B3813" t="s">
        <v>5777</v>
      </c>
      <c r="C3813">
        <v>0</v>
      </c>
      <c r="J3813">
        <v>3812</v>
      </c>
      <c r="K3813" t="s">
        <v>5777</v>
      </c>
      <c r="L3813">
        <v>0</v>
      </c>
    </row>
    <row r="3814" spans="1:12" x14ac:dyDescent="0.25">
      <c r="A3814">
        <v>3813</v>
      </c>
      <c r="B3814" t="s">
        <v>5778</v>
      </c>
      <c r="C3814">
        <v>0</v>
      </c>
      <c r="J3814">
        <v>3813</v>
      </c>
      <c r="K3814" t="s">
        <v>5778</v>
      </c>
      <c r="L3814">
        <v>0</v>
      </c>
    </row>
    <row r="3815" spans="1:12" x14ac:dyDescent="0.25">
      <c r="A3815">
        <v>3814</v>
      </c>
      <c r="B3815" t="s">
        <v>5779</v>
      </c>
      <c r="C3815">
        <v>0</v>
      </c>
      <c r="J3815">
        <v>3814</v>
      </c>
      <c r="K3815" t="s">
        <v>5779</v>
      </c>
      <c r="L3815">
        <v>0</v>
      </c>
    </row>
    <row r="3816" spans="1:12" x14ac:dyDescent="0.25">
      <c r="A3816">
        <v>3815</v>
      </c>
      <c r="B3816" t="s">
        <v>5780</v>
      </c>
      <c r="C3816">
        <v>0</v>
      </c>
      <c r="J3816">
        <v>3815</v>
      </c>
      <c r="K3816" t="s">
        <v>5780</v>
      </c>
      <c r="L3816">
        <v>0</v>
      </c>
    </row>
    <row r="3817" spans="1:12" x14ac:dyDescent="0.25">
      <c r="A3817">
        <v>3816</v>
      </c>
      <c r="B3817" t="s">
        <v>5781</v>
      </c>
      <c r="C3817">
        <v>0</v>
      </c>
      <c r="J3817">
        <v>3816</v>
      </c>
      <c r="K3817" t="s">
        <v>5781</v>
      </c>
      <c r="L3817">
        <v>0</v>
      </c>
    </row>
    <row r="3818" spans="1:12" x14ac:dyDescent="0.25">
      <c r="A3818">
        <v>3817</v>
      </c>
      <c r="B3818" t="s">
        <v>5782</v>
      </c>
      <c r="C3818">
        <v>0</v>
      </c>
      <c r="J3818">
        <v>3817</v>
      </c>
      <c r="K3818" t="s">
        <v>5782</v>
      </c>
      <c r="L3818">
        <v>0</v>
      </c>
    </row>
    <row r="3819" spans="1:12" x14ac:dyDescent="0.25">
      <c r="A3819">
        <v>3818</v>
      </c>
      <c r="B3819" t="s">
        <v>5783</v>
      </c>
      <c r="C3819">
        <v>0</v>
      </c>
      <c r="J3819">
        <v>3818</v>
      </c>
      <c r="K3819" t="s">
        <v>5783</v>
      </c>
      <c r="L3819">
        <v>0</v>
      </c>
    </row>
    <row r="3820" spans="1:12" x14ac:dyDescent="0.25">
      <c r="A3820">
        <v>3819</v>
      </c>
      <c r="B3820" t="s">
        <v>5784</v>
      </c>
      <c r="C3820">
        <v>0</v>
      </c>
      <c r="J3820">
        <v>3819</v>
      </c>
      <c r="K3820" t="s">
        <v>5784</v>
      </c>
      <c r="L3820">
        <v>0</v>
      </c>
    </row>
    <row r="3821" spans="1:12" x14ac:dyDescent="0.25">
      <c r="A3821">
        <v>3820</v>
      </c>
      <c r="B3821" t="s">
        <v>5785</v>
      </c>
      <c r="C3821">
        <v>0</v>
      </c>
      <c r="J3821">
        <v>3820</v>
      </c>
      <c r="K3821" t="s">
        <v>5785</v>
      </c>
      <c r="L3821">
        <v>0</v>
      </c>
    </row>
    <row r="3822" spans="1:12" x14ac:dyDescent="0.25">
      <c r="A3822">
        <v>3821</v>
      </c>
      <c r="B3822" t="s">
        <v>5786</v>
      </c>
      <c r="C3822">
        <v>0</v>
      </c>
      <c r="J3822">
        <v>3821</v>
      </c>
      <c r="K3822" t="s">
        <v>5786</v>
      </c>
      <c r="L3822">
        <v>0</v>
      </c>
    </row>
    <row r="3823" spans="1:12" x14ac:dyDescent="0.25">
      <c r="A3823">
        <v>3822</v>
      </c>
      <c r="B3823" t="s">
        <v>5787</v>
      </c>
      <c r="C3823">
        <v>0</v>
      </c>
      <c r="J3823">
        <v>3822</v>
      </c>
      <c r="K3823" t="s">
        <v>5787</v>
      </c>
      <c r="L3823">
        <v>0</v>
      </c>
    </row>
    <row r="3824" spans="1:12" x14ac:dyDescent="0.25">
      <c r="A3824">
        <v>3823</v>
      </c>
      <c r="B3824" t="s">
        <v>5788</v>
      </c>
      <c r="C3824">
        <v>0</v>
      </c>
      <c r="J3824">
        <v>3823</v>
      </c>
      <c r="K3824" t="s">
        <v>5788</v>
      </c>
      <c r="L3824">
        <v>0</v>
      </c>
    </row>
    <row r="3825" spans="1:12" x14ac:dyDescent="0.25">
      <c r="A3825">
        <v>3824</v>
      </c>
      <c r="B3825" t="s">
        <v>5789</v>
      </c>
      <c r="C3825">
        <v>0</v>
      </c>
      <c r="J3825">
        <v>3824</v>
      </c>
      <c r="K3825" t="s">
        <v>5789</v>
      </c>
      <c r="L3825">
        <v>0</v>
      </c>
    </row>
    <row r="3826" spans="1:12" x14ac:dyDescent="0.25">
      <c r="A3826">
        <v>3825</v>
      </c>
      <c r="B3826" t="s">
        <v>5790</v>
      </c>
      <c r="C3826">
        <v>0</v>
      </c>
      <c r="J3826">
        <v>3825</v>
      </c>
      <c r="K3826" t="s">
        <v>5790</v>
      </c>
      <c r="L3826">
        <v>0</v>
      </c>
    </row>
    <row r="3827" spans="1:12" x14ac:dyDescent="0.25">
      <c r="A3827">
        <v>3826</v>
      </c>
      <c r="B3827" t="s">
        <v>5791</v>
      </c>
      <c r="C3827">
        <v>0</v>
      </c>
      <c r="J3827">
        <v>3826</v>
      </c>
      <c r="K3827" t="s">
        <v>5791</v>
      </c>
      <c r="L3827">
        <v>0</v>
      </c>
    </row>
    <row r="3828" spans="1:12" x14ac:dyDescent="0.25">
      <c r="A3828">
        <v>3827</v>
      </c>
      <c r="B3828" t="s">
        <v>5792</v>
      </c>
      <c r="C3828">
        <v>0</v>
      </c>
      <c r="J3828">
        <v>3827</v>
      </c>
      <c r="K3828" t="s">
        <v>5792</v>
      </c>
      <c r="L3828">
        <v>0</v>
      </c>
    </row>
    <row r="3829" spans="1:12" x14ac:dyDescent="0.25">
      <c r="A3829">
        <v>3828</v>
      </c>
      <c r="B3829" t="s">
        <v>5793</v>
      </c>
      <c r="C3829">
        <v>0</v>
      </c>
      <c r="J3829">
        <v>3828</v>
      </c>
      <c r="K3829" t="s">
        <v>5793</v>
      </c>
      <c r="L3829">
        <v>0</v>
      </c>
    </row>
    <row r="3830" spans="1:12" x14ac:dyDescent="0.25">
      <c r="A3830">
        <v>3829</v>
      </c>
      <c r="B3830" t="s">
        <v>5794</v>
      </c>
      <c r="C3830">
        <v>0</v>
      </c>
      <c r="J3830">
        <v>3829</v>
      </c>
      <c r="K3830" t="s">
        <v>5794</v>
      </c>
      <c r="L3830">
        <v>0</v>
      </c>
    </row>
    <row r="3831" spans="1:12" x14ac:dyDescent="0.25">
      <c r="A3831">
        <v>3830</v>
      </c>
      <c r="B3831" t="s">
        <v>5795</v>
      </c>
      <c r="C3831">
        <v>0</v>
      </c>
      <c r="J3831">
        <v>3830</v>
      </c>
      <c r="K3831" t="s">
        <v>5795</v>
      </c>
      <c r="L3831">
        <v>0</v>
      </c>
    </row>
    <row r="3832" spans="1:12" x14ac:dyDescent="0.25">
      <c r="A3832">
        <v>3831</v>
      </c>
      <c r="B3832" t="s">
        <v>5796</v>
      </c>
      <c r="C3832">
        <v>0</v>
      </c>
      <c r="J3832">
        <v>3831</v>
      </c>
      <c r="K3832" t="s">
        <v>5796</v>
      </c>
      <c r="L3832">
        <v>0</v>
      </c>
    </row>
    <row r="3833" spans="1:12" x14ac:dyDescent="0.25">
      <c r="A3833">
        <v>3832</v>
      </c>
      <c r="B3833" t="s">
        <v>5797</v>
      </c>
      <c r="C3833">
        <v>0</v>
      </c>
      <c r="J3833">
        <v>3832</v>
      </c>
      <c r="K3833" t="s">
        <v>5797</v>
      </c>
      <c r="L3833">
        <v>0</v>
      </c>
    </row>
    <row r="3834" spans="1:12" x14ac:dyDescent="0.25">
      <c r="A3834">
        <v>3833</v>
      </c>
      <c r="B3834" t="s">
        <v>5798</v>
      </c>
      <c r="C3834">
        <v>0</v>
      </c>
      <c r="J3834">
        <v>3833</v>
      </c>
      <c r="K3834" t="s">
        <v>5798</v>
      </c>
      <c r="L3834">
        <v>0</v>
      </c>
    </row>
    <row r="3835" spans="1:12" x14ac:dyDescent="0.25">
      <c r="A3835">
        <v>3834</v>
      </c>
      <c r="B3835" t="s">
        <v>5799</v>
      </c>
      <c r="C3835">
        <v>0</v>
      </c>
      <c r="J3835">
        <v>3834</v>
      </c>
      <c r="K3835" t="s">
        <v>5799</v>
      </c>
      <c r="L3835">
        <v>0</v>
      </c>
    </row>
    <row r="3836" spans="1:12" x14ac:dyDescent="0.25">
      <c r="A3836">
        <v>3835</v>
      </c>
      <c r="B3836" t="s">
        <v>5800</v>
      </c>
      <c r="C3836">
        <v>0</v>
      </c>
      <c r="J3836">
        <v>3835</v>
      </c>
      <c r="K3836" t="s">
        <v>5800</v>
      </c>
      <c r="L3836">
        <v>0</v>
      </c>
    </row>
    <row r="3837" spans="1:12" x14ac:dyDescent="0.25">
      <c r="A3837">
        <v>3836</v>
      </c>
      <c r="B3837" t="s">
        <v>5801</v>
      </c>
      <c r="C3837">
        <v>0</v>
      </c>
      <c r="J3837">
        <v>3836</v>
      </c>
      <c r="K3837" t="s">
        <v>5801</v>
      </c>
      <c r="L3837">
        <v>0</v>
      </c>
    </row>
    <row r="3838" spans="1:12" x14ac:dyDescent="0.25">
      <c r="A3838">
        <v>3837</v>
      </c>
      <c r="B3838" t="s">
        <v>5802</v>
      </c>
      <c r="C3838">
        <v>0</v>
      </c>
      <c r="J3838">
        <v>3837</v>
      </c>
      <c r="K3838" t="s">
        <v>5802</v>
      </c>
      <c r="L3838">
        <v>0</v>
      </c>
    </row>
    <row r="3839" spans="1:12" x14ac:dyDescent="0.25">
      <c r="A3839">
        <v>3838</v>
      </c>
      <c r="B3839" t="s">
        <v>5803</v>
      </c>
      <c r="C3839">
        <v>0</v>
      </c>
      <c r="J3839">
        <v>3838</v>
      </c>
      <c r="K3839" t="s">
        <v>5803</v>
      </c>
      <c r="L3839">
        <v>0</v>
      </c>
    </row>
    <row r="3840" spans="1:12" x14ac:dyDescent="0.25">
      <c r="A3840">
        <v>3839</v>
      </c>
      <c r="B3840" t="s">
        <v>5804</v>
      </c>
      <c r="C3840">
        <v>0</v>
      </c>
      <c r="J3840">
        <v>3839</v>
      </c>
      <c r="K3840" t="s">
        <v>5804</v>
      </c>
      <c r="L3840">
        <v>0</v>
      </c>
    </row>
    <row r="3841" spans="1:12" x14ac:dyDescent="0.25">
      <c r="A3841">
        <v>3840</v>
      </c>
      <c r="B3841" t="s">
        <v>5805</v>
      </c>
      <c r="C3841">
        <v>0</v>
      </c>
      <c r="J3841">
        <v>3840</v>
      </c>
      <c r="K3841" t="s">
        <v>5805</v>
      </c>
      <c r="L3841">
        <v>0</v>
      </c>
    </row>
    <row r="3842" spans="1:12" x14ac:dyDescent="0.25">
      <c r="A3842">
        <v>3841</v>
      </c>
      <c r="B3842" t="s">
        <v>5806</v>
      </c>
      <c r="C3842">
        <v>0</v>
      </c>
      <c r="J3842">
        <v>3841</v>
      </c>
      <c r="K3842" t="s">
        <v>5806</v>
      </c>
      <c r="L3842">
        <v>0</v>
      </c>
    </row>
    <row r="3843" spans="1:12" x14ac:dyDescent="0.25">
      <c r="A3843">
        <v>3842</v>
      </c>
      <c r="B3843" t="s">
        <v>5807</v>
      </c>
      <c r="C3843">
        <v>0</v>
      </c>
      <c r="J3843">
        <v>3842</v>
      </c>
      <c r="K3843" t="s">
        <v>5807</v>
      </c>
      <c r="L3843">
        <v>0</v>
      </c>
    </row>
    <row r="3844" spans="1:12" x14ac:dyDescent="0.25">
      <c r="A3844">
        <v>3843</v>
      </c>
      <c r="B3844" t="s">
        <v>5808</v>
      </c>
      <c r="C3844">
        <v>0</v>
      </c>
      <c r="J3844">
        <v>3843</v>
      </c>
      <c r="K3844" t="s">
        <v>5808</v>
      </c>
      <c r="L3844">
        <v>0</v>
      </c>
    </row>
    <row r="3845" spans="1:12" x14ac:dyDescent="0.25">
      <c r="A3845">
        <v>3844</v>
      </c>
      <c r="B3845" t="s">
        <v>5809</v>
      </c>
      <c r="C3845">
        <v>0</v>
      </c>
      <c r="J3845">
        <v>3844</v>
      </c>
      <c r="K3845" t="s">
        <v>5809</v>
      </c>
      <c r="L3845">
        <v>0</v>
      </c>
    </row>
    <row r="3846" spans="1:12" x14ac:dyDescent="0.25">
      <c r="A3846">
        <v>3845</v>
      </c>
      <c r="B3846" t="s">
        <v>5810</v>
      </c>
      <c r="C3846">
        <v>0</v>
      </c>
      <c r="J3846">
        <v>3845</v>
      </c>
      <c r="K3846" t="s">
        <v>5810</v>
      </c>
      <c r="L3846">
        <v>0</v>
      </c>
    </row>
    <row r="3847" spans="1:12" x14ac:dyDescent="0.25">
      <c r="A3847">
        <v>3846</v>
      </c>
      <c r="B3847" t="s">
        <v>5811</v>
      </c>
      <c r="C3847">
        <v>0</v>
      </c>
      <c r="J3847">
        <v>3846</v>
      </c>
      <c r="K3847" t="s">
        <v>5811</v>
      </c>
      <c r="L3847">
        <v>0</v>
      </c>
    </row>
    <row r="3848" spans="1:12" x14ac:dyDescent="0.25">
      <c r="A3848">
        <v>3847</v>
      </c>
      <c r="B3848" t="s">
        <v>5812</v>
      </c>
      <c r="C3848">
        <v>0</v>
      </c>
      <c r="J3848">
        <v>3847</v>
      </c>
      <c r="K3848" t="s">
        <v>5812</v>
      </c>
      <c r="L3848">
        <v>0</v>
      </c>
    </row>
    <row r="3849" spans="1:12" x14ac:dyDescent="0.25">
      <c r="A3849">
        <v>3848</v>
      </c>
      <c r="B3849" t="s">
        <v>5813</v>
      </c>
      <c r="C3849">
        <v>0</v>
      </c>
      <c r="J3849">
        <v>3848</v>
      </c>
      <c r="K3849" t="s">
        <v>5813</v>
      </c>
      <c r="L3849">
        <v>0</v>
      </c>
    </row>
    <row r="3850" spans="1:12" x14ac:dyDescent="0.25">
      <c r="A3850">
        <v>3849</v>
      </c>
      <c r="B3850" t="s">
        <v>5814</v>
      </c>
      <c r="C3850">
        <v>0</v>
      </c>
      <c r="J3850">
        <v>3849</v>
      </c>
      <c r="K3850" t="s">
        <v>5814</v>
      </c>
      <c r="L3850">
        <v>0</v>
      </c>
    </row>
    <row r="3851" spans="1:12" x14ac:dyDescent="0.25">
      <c r="A3851">
        <v>3850</v>
      </c>
      <c r="B3851" t="s">
        <v>5815</v>
      </c>
      <c r="C3851">
        <v>0</v>
      </c>
      <c r="J3851">
        <v>3850</v>
      </c>
      <c r="K3851" t="s">
        <v>5815</v>
      </c>
      <c r="L3851">
        <v>0</v>
      </c>
    </row>
    <row r="3852" spans="1:12" x14ac:dyDescent="0.25">
      <c r="A3852">
        <v>3851</v>
      </c>
      <c r="B3852" t="s">
        <v>5816</v>
      </c>
      <c r="C3852">
        <v>0</v>
      </c>
      <c r="J3852">
        <v>3851</v>
      </c>
      <c r="K3852" t="s">
        <v>5816</v>
      </c>
      <c r="L3852">
        <v>0</v>
      </c>
    </row>
    <row r="3853" spans="1:12" x14ac:dyDescent="0.25">
      <c r="A3853">
        <v>3852</v>
      </c>
      <c r="B3853" t="s">
        <v>5817</v>
      </c>
      <c r="C3853">
        <v>0</v>
      </c>
      <c r="J3853">
        <v>3852</v>
      </c>
      <c r="K3853" t="s">
        <v>5817</v>
      </c>
      <c r="L3853">
        <v>0</v>
      </c>
    </row>
    <row r="3854" spans="1:12" x14ac:dyDescent="0.25">
      <c r="A3854">
        <v>3853</v>
      </c>
      <c r="B3854" t="s">
        <v>5818</v>
      </c>
      <c r="C3854">
        <v>0</v>
      </c>
      <c r="J3854">
        <v>3853</v>
      </c>
      <c r="K3854" t="s">
        <v>5818</v>
      </c>
      <c r="L3854">
        <v>0</v>
      </c>
    </row>
    <row r="3855" spans="1:12" x14ac:dyDescent="0.25">
      <c r="A3855">
        <v>3854</v>
      </c>
      <c r="B3855" t="s">
        <v>5819</v>
      </c>
      <c r="C3855">
        <v>0</v>
      </c>
      <c r="J3855">
        <v>3854</v>
      </c>
      <c r="K3855" t="s">
        <v>5819</v>
      </c>
      <c r="L3855">
        <v>0</v>
      </c>
    </row>
    <row r="3856" spans="1:12" x14ac:dyDescent="0.25">
      <c r="A3856">
        <v>3855</v>
      </c>
      <c r="B3856" t="s">
        <v>5820</v>
      </c>
      <c r="C3856">
        <v>0</v>
      </c>
      <c r="J3856">
        <v>3855</v>
      </c>
      <c r="K3856" t="s">
        <v>5820</v>
      </c>
      <c r="L3856">
        <v>0</v>
      </c>
    </row>
    <row r="3857" spans="1:12" x14ac:dyDescent="0.25">
      <c r="A3857">
        <v>3856</v>
      </c>
      <c r="B3857" t="s">
        <v>5821</v>
      </c>
      <c r="C3857">
        <v>0</v>
      </c>
      <c r="J3857">
        <v>3856</v>
      </c>
      <c r="K3857" t="s">
        <v>5821</v>
      </c>
      <c r="L3857">
        <v>0</v>
      </c>
    </row>
    <row r="3858" spans="1:12" x14ac:dyDescent="0.25">
      <c r="A3858">
        <v>3857</v>
      </c>
      <c r="B3858" t="s">
        <v>5822</v>
      </c>
      <c r="C3858">
        <v>0</v>
      </c>
      <c r="J3858">
        <v>3857</v>
      </c>
      <c r="K3858" t="s">
        <v>5822</v>
      </c>
      <c r="L3858">
        <v>0</v>
      </c>
    </row>
    <row r="3859" spans="1:12" x14ac:dyDescent="0.25">
      <c r="A3859">
        <v>3858</v>
      </c>
      <c r="B3859" t="s">
        <v>5823</v>
      </c>
      <c r="C3859">
        <v>0</v>
      </c>
      <c r="J3859">
        <v>3858</v>
      </c>
      <c r="K3859" t="s">
        <v>5823</v>
      </c>
      <c r="L3859">
        <v>0</v>
      </c>
    </row>
    <row r="3860" spans="1:12" x14ac:dyDescent="0.25">
      <c r="A3860">
        <v>3859</v>
      </c>
      <c r="B3860" t="s">
        <v>5824</v>
      </c>
      <c r="C3860">
        <v>0</v>
      </c>
      <c r="J3860">
        <v>3859</v>
      </c>
      <c r="K3860" t="s">
        <v>5824</v>
      </c>
      <c r="L3860">
        <v>0</v>
      </c>
    </row>
    <row r="3861" spans="1:12" x14ac:dyDescent="0.25">
      <c r="A3861">
        <v>3860</v>
      </c>
      <c r="B3861" t="s">
        <v>5825</v>
      </c>
      <c r="C3861">
        <v>0</v>
      </c>
      <c r="J3861">
        <v>3860</v>
      </c>
      <c r="K3861" t="s">
        <v>5825</v>
      </c>
      <c r="L3861">
        <v>0</v>
      </c>
    </row>
    <row r="3862" spans="1:12" x14ac:dyDescent="0.25">
      <c r="A3862">
        <v>3861</v>
      </c>
      <c r="B3862" t="s">
        <v>5826</v>
      </c>
      <c r="C3862">
        <v>0</v>
      </c>
      <c r="J3862">
        <v>3861</v>
      </c>
      <c r="K3862" t="s">
        <v>5826</v>
      </c>
      <c r="L3862">
        <v>0</v>
      </c>
    </row>
    <row r="3863" spans="1:12" x14ac:dyDescent="0.25">
      <c r="A3863">
        <v>3862</v>
      </c>
      <c r="B3863" t="s">
        <v>5827</v>
      </c>
      <c r="C3863">
        <v>0</v>
      </c>
      <c r="J3863">
        <v>3862</v>
      </c>
      <c r="K3863" t="s">
        <v>5827</v>
      </c>
      <c r="L3863">
        <v>0</v>
      </c>
    </row>
    <row r="3864" spans="1:12" x14ac:dyDescent="0.25">
      <c r="A3864">
        <v>3863</v>
      </c>
      <c r="B3864" t="s">
        <v>5828</v>
      </c>
      <c r="C3864">
        <v>0</v>
      </c>
      <c r="J3864">
        <v>3863</v>
      </c>
      <c r="K3864" t="s">
        <v>5828</v>
      </c>
      <c r="L3864">
        <v>0</v>
      </c>
    </row>
    <row r="3865" spans="1:12" x14ac:dyDescent="0.25">
      <c r="A3865">
        <v>3864</v>
      </c>
      <c r="B3865" t="s">
        <v>5829</v>
      </c>
      <c r="C3865">
        <v>0</v>
      </c>
      <c r="J3865">
        <v>3864</v>
      </c>
      <c r="K3865" t="s">
        <v>5829</v>
      </c>
      <c r="L3865">
        <v>0</v>
      </c>
    </row>
    <row r="3866" spans="1:12" x14ac:dyDescent="0.25">
      <c r="A3866">
        <v>3865</v>
      </c>
      <c r="B3866" t="s">
        <v>5830</v>
      </c>
      <c r="C3866">
        <v>0</v>
      </c>
      <c r="J3866">
        <v>3865</v>
      </c>
      <c r="K3866" t="s">
        <v>5830</v>
      </c>
      <c r="L3866">
        <v>0</v>
      </c>
    </row>
    <row r="3867" spans="1:12" x14ac:dyDescent="0.25">
      <c r="A3867">
        <v>3866</v>
      </c>
      <c r="B3867" t="s">
        <v>5831</v>
      </c>
      <c r="C3867">
        <v>0</v>
      </c>
      <c r="J3867">
        <v>3866</v>
      </c>
      <c r="K3867" t="s">
        <v>5831</v>
      </c>
      <c r="L3867">
        <v>0</v>
      </c>
    </row>
    <row r="3868" spans="1:12" x14ac:dyDescent="0.25">
      <c r="A3868">
        <v>3867</v>
      </c>
      <c r="B3868" t="s">
        <v>5832</v>
      </c>
      <c r="C3868">
        <v>0</v>
      </c>
      <c r="J3868">
        <v>3867</v>
      </c>
      <c r="K3868" t="s">
        <v>5832</v>
      </c>
      <c r="L3868">
        <v>0</v>
      </c>
    </row>
    <row r="3869" spans="1:12" x14ac:dyDescent="0.25">
      <c r="A3869">
        <v>3868</v>
      </c>
      <c r="B3869" t="s">
        <v>5833</v>
      </c>
      <c r="C3869">
        <v>0</v>
      </c>
      <c r="J3869">
        <v>3868</v>
      </c>
      <c r="K3869" t="s">
        <v>5833</v>
      </c>
      <c r="L3869">
        <v>0</v>
      </c>
    </row>
    <row r="3870" spans="1:12" x14ac:dyDescent="0.25">
      <c r="A3870">
        <v>3869</v>
      </c>
      <c r="B3870" t="s">
        <v>5834</v>
      </c>
      <c r="C3870">
        <v>0</v>
      </c>
      <c r="J3870">
        <v>3869</v>
      </c>
      <c r="K3870" t="s">
        <v>5834</v>
      </c>
      <c r="L3870">
        <v>0</v>
      </c>
    </row>
    <row r="3871" spans="1:12" x14ac:dyDescent="0.25">
      <c r="A3871">
        <v>3870</v>
      </c>
      <c r="B3871" t="s">
        <v>5835</v>
      </c>
      <c r="C3871">
        <v>0</v>
      </c>
      <c r="J3871">
        <v>3870</v>
      </c>
      <c r="K3871" t="s">
        <v>5835</v>
      </c>
      <c r="L3871">
        <v>0</v>
      </c>
    </row>
    <row r="3872" spans="1:12" x14ac:dyDescent="0.25">
      <c r="A3872">
        <v>3871</v>
      </c>
      <c r="B3872" t="s">
        <v>5836</v>
      </c>
      <c r="C3872">
        <v>0</v>
      </c>
      <c r="J3872">
        <v>3871</v>
      </c>
      <c r="K3872" t="s">
        <v>5836</v>
      </c>
      <c r="L3872">
        <v>0</v>
      </c>
    </row>
    <row r="3873" spans="1:12" x14ac:dyDescent="0.25">
      <c r="A3873">
        <v>3872</v>
      </c>
      <c r="B3873" t="s">
        <v>5837</v>
      </c>
      <c r="C3873">
        <v>0</v>
      </c>
      <c r="J3873">
        <v>3872</v>
      </c>
      <c r="K3873" t="s">
        <v>5837</v>
      </c>
      <c r="L3873">
        <v>0</v>
      </c>
    </row>
    <row r="3874" spans="1:12" x14ac:dyDescent="0.25">
      <c r="A3874">
        <v>3873</v>
      </c>
      <c r="B3874" t="s">
        <v>5838</v>
      </c>
      <c r="C3874">
        <v>0</v>
      </c>
      <c r="J3874">
        <v>3873</v>
      </c>
      <c r="K3874" t="s">
        <v>5838</v>
      </c>
      <c r="L3874">
        <v>0</v>
      </c>
    </row>
    <row r="3875" spans="1:12" x14ac:dyDescent="0.25">
      <c r="A3875">
        <v>3874</v>
      </c>
      <c r="B3875" t="s">
        <v>5839</v>
      </c>
      <c r="C3875">
        <v>0</v>
      </c>
      <c r="J3875">
        <v>3874</v>
      </c>
      <c r="K3875" t="s">
        <v>5839</v>
      </c>
      <c r="L3875">
        <v>0</v>
      </c>
    </row>
    <row r="3876" spans="1:12" x14ac:dyDescent="0.25">
      <c r="A3876">
        <v>3875</v>
      </c>
      <c r="B3876" t="s">
        <v>5840</v>
      </c>
      <c r="C3876">
        <v>0</v>
      </c>
      <c r="J3876">
        <v>3875</v>
      </c>
      <c r="K3876" t="s">
        <v>5840</v>
      </c>
      <c r="L3876">
        <v>0</v>
      </c>
    </row>
    <row r="3877" spans="1:12" x14ac:dyDescent="0.25">
      <c r="A3877">
        <v>3876</v>
      </c>
      <c r="B3877" t="s">
        <v>5841</v>
      </c>
      <c r="C3877">
        <v>0</v>
      </c>
      <c r="J3877">
        <v>3876</v>
      </c>
      <c r="K3877" t="s">
        <v>5841</v>
      </c>
      <c r="L3877">
        <v>0</v>
      </c>
    </row>
    <row r="3878" spans="1:12" x14ac:dyDescent="0.25">
      <c r="A3878">
        <v>3877</v>
      </c>
      <c r="B3878" t="s">
        <v>5842</v>
      </c>
      <c r="C3878">
        <v>0</v>
      </c>
      <c r="J3878">
        <v>3877</v>
      </c>
      <c r="K3878" t="s">
        <v>5842</v>
      </c>
      <c r="L3878">
        <v>0</v>
      </c>
    </row>
    <row r="3879" spans="1:12" x14ac:dyDescent="0.25">
      <c r="A3879">
        <v>3878</v>
      </c>
      <c r="B3879" t="s">
        <v>5843</v>
      </c>
      <c r="C3879">
        <v>0</v>
      </c>
      <c r="J3879">
        <v>3878</v>
      </c>
      <c r="K3879" t="s">
        <v>5843</v>
      </c>
      <c r="L3879">
        <v>0</v>
      </c>
    </row>
    <row r="3880" spans="1:12" x14ac:dyDescent="0.25">
      <c r="A3880">
        <v>3879</v>
      </c>
      <c r="B3880" t="s">
        <v>5844</v>
      </c>
      <c r="C3880">
        <v>0</v>
      </c>
      <c r="J3880">
        <v>3879</v>
      </c>
      <c r="K3880" t="s">
        <v>5844</v>
      </c>
      <c r="L3880">
        <v>0</v>
      </c>
    </row>
    <row r="3881" spans="1:12" x14ac:dyDescent="0.25">
      <c r="A3881">
        <v>3880</v>
      </c>
      <c r="B3881" t="s">
        <v>5845</v>
      </c>
      <c r="C3881">
        <v>0</v>
      </c>
      <c r="J3881">
        <v>3880</v>
      </c>
      <c r="K3881" t="s">
        <v>5845</v>
      </c>
      <c r="L3881">
        <v>0</v>
      </c>
    </row>
    <row r="3882" spans="1:12" x14ac:dyDescent="0.25">
      <c r="A3882">
        <v>3881</v>
      </c>
      <c r="B3882" t="s">
        <v>5846</v>
      </c>
      <c r="C3882">
        <v>0</v>
      </c>
      <c r="J3882">
        <v>3881</v>
      </c>
      <c r="K3882" t="s">
        <v>5846</v>
      </c>
      <c r="L3882">
        <v>0</v>
      </c>
    </row>
    <row r="3883" spans="1:12" x14ac:dyDescent="0.25">
      <c r="A3883">
        <v>3882</v>
      </c>
      <c r="B3883" t="s">
        <v>5847</v>
      </c>
      <c r="C3883">
        <v>0</v>
      </c>
      <c r="J3883">
        <v>3882</v>
      </c>
      <c r="K3883" t="s">
        <v>5847</v>
      </c>
      <c r="L3883">
        <v>0</v>
      </c>
    </row>
    <row r="3884" spans="1:12" x14ac:dyDescent="0.25">
      <c r="A3884">
        <v>3883</v>
      </c>
      <c r="B3884" t="s">
        <v>5848</v>
      </c>
      <c r="C3884">
        <v>0</v>
      </c>
      <c r="J3884">
        <v>3883</v>
      </c>
      <c r="K3884" t="s">
        <v>5848</v>
      </c>
      <c r="L3884">
        <v>0</v>
      </c>
    </row>
    <row r="3885" spans="1:12" x14ac:dyDescent="0.25">
      <c r="A3885">
        <v>3884</v>
      </c>
      <c r="B3885" t="s">
        <v>5849</v>
      </c>
      <c r="C3885">
        <v>0</v>
      </c>
      <c r="J3885">
        <v>3884</v>
      </c>
      <c r="K3885" t="s">
        <v>5849</v>
      </c>
      <c r="L3885">
        <v>0</v>
      </c>
    </row>
    <row r="3886" spans="1:12" x14ac:dyDescent="0.25">
      <c r="A3886">
        <v>3885</v>
      </c>
      <c r="B3886" t="s">
        <v>5850</v>
      </c>
      <c r="C3886">
        <v>0</v>
      </c>
      <c r="J3886">
        <v>3885</v>
      </c>
      <c r="K3886" t="s">
        <v>5850</v>
      </c>
      <c r="L3886">
        <v>0</v>
      </c>
    </row>
    <row r="3887" spans="1:12" x14ac:dyDescent="0.25">
      <c r="A3887">
        <v>3886</v>
      </c>
      <c r="B3887" t="s">
        <v>5851</v>
      </c>
      <c r="C3887">
        <v>0</v>
      </c>
      <c r="J3887">
        <v>3886</v>
      </c>
      <c r="K3887" t="s">
        <v>5851</v>
      </c>
      <c r="L3887">
        <v>0</v>
      </c>
    </row>
    <row r="3888" spans="1:12" x14ac:dyDescent="0.25">
      <c r="A3888">
        <v>3887</v>
      </c>
      <c r="B3888" t="s">
        <v>5852</v>
      </c>
      <c r="C3888">
        <v>0</v>
      </c>
      <c r="J3888">
        <v>3887</v>
      </c>
      <c r="K3888" t="s">
        <v>5852</v>
      </c>
      <c r="L3888">
        <v>0</v>
      </c>
    </row>
    <row r="3889" spans="1:12" x14ac:dyDescent="0.25">
      <c r="A3889">
        <v>3888</v>
      </c>
      <c r="B3889" t="s">
        <v>5853</v>
      </c>
      <c r="C3889">
        <v>0</v>
      </c>
      <c r="J3889">
        <v>3888</v>
      </c>
      <c r="K3889" t="s">
        <v>5853</v>
      </c>
      <c r="L3889">
        <v>0</v>
      </c>
    </row>
    <row r="3890" spans="1:12" x14ac:dyDescent="0.25">
      <c r="A3890">
        <v>3889</v>
      </c>
      <c r="B3890" t="s">
        <v>5854</v>
      </c>
      <c r="C3890">
        <v>0</v>
      </c>
      <c r="J3890">
        <v>3889</v>
      </c>
      <c r="K3890" t="s">
        <v>5854</v>
      </c>
      <c r="L3890">
        <v>0</v>
      </c>
    </row>
    <row r="3891" spans="1:12" x14ac:dyDescent="0.25">
      <c r="A3891">
        <v>3890</v>
      </c>
      <c r="B3891" t="s">
        <v>5855</v>
      </c>
      <c r="C3891">
        <v>0</v>
      </c>
      <c r="J3891">
        <v>3890</v>
      </c>
      <c r="K3891" t="s">
        <v>5855</v>
      </c>
      <c r="L3891">
        <v>0</v>
      </c>
    </row>
    <row r="3892" spans="1:12" x14ac:dyDescent="0.25">
      <c r="A3892">
        <v>3891</v>
      </c>
      <c r="B3892" t="s">
        <v>5856</v>
      </c>
      <c r="C3892">
        <v>0</v>
      </c>
      <c r="J3892">
        <v>3891</v>
      </c>
      <c r="K3892" t="s">
        <v>5856</v>
      </c>
      <c r="L3892">
        <v>0</v>
      </c>
    </row>
    <row r="3893" spans="1:12" x14ac:dyDescent="0.25">
      <c r="A3893">
        <v>3892</v>
      </c>
      <c r="B3893" t="s">
        <v>5857</v>
      </c>
      <c r="C3893">
        <v>0</v>
      </c>
      <c r="J3893">
        <v>3892</v>
      </c>
      <c r="K3893" t="s">
        <v>5857</v>
      </c>
      <c r="L3893">
        <v>0</v>
      </c>
    </row>
    <row r="3894" spans="1:12" x14ac:dyDescent="0.25">
      <c r="A3894">
        <v>3893</v>
      </c>
      <c r="B3894" t="s">
        <v>5858</v>
      </c>
      <c r="C3894">
        <v>0</v>
      </c>
      <c r="J3894">
        <v>3893</v>
      </c>
      <c r="K3894" t="s">
        <v>5858</v>
      </c>
      <c r="L3894">
        <v>0</v>
      </c>
    </row>
    <row r="3895" spans="1:12" x14ac:dyDescent="0.25">
      <c r="A3895">
        <v>3894</v>
      </c>
      <c r="B3895" t="s">
        <v>5859</v>
      </c>
      <c r="C3895">
        <v>0</v>
      </c>
      <c r="J3895">
        <v>3894</v>
      </c>
      <c r="K3895" t="s">
        <v>5859</v>
      </c>
      <c r="L3895">
        <v>0</v>
      </c>
    </row>
    <row r="3896" spans="1:12" x14ac:dyDescent="0.25">
      <c r="A3896">
        <v>3895</v>
      </c>
      <c r="B3896" t="s">
        <v>5860</v>
      </c>
      <c r="C3896">
        <v>0</v>
      </c>
      <c r="J3896">
        <v>3895</v>
      </c>
      <c r="K3896" t="s">
        <v>5860</v>
      </c>
      <c r="L3896">
        <v>0</v>
      </c>
    </row>
    <row r="3897" spans="1:12" x14ac:dyDescent="0.25">
      <c r="A3897">
        <v>3896</v>
      </c>
      <c r="B3897" t="s">
        <v>5861</v>
      </c>
      <c r="C3897">
        <v>0</v>
      </c>
      <c r="J3897">
        <v>3896</v>
      </c>
      <c r="K3897" t="s">
        <v>5861</v>
      </c>
      <c r="L3897">
        <v>0</v>
      </c>
    </row>
    <row r="3898" spans="1:12" x14ac:dyDescent="0.25">
      <c r="A3898">
        <v>3897</v>
      </c>
      <c r="B3898" t="s">
        <v>5862</v>
      </c>
      <c r="C3898">
        <v>0</v>
      </c>
      <c r="J3898">
        <v>3897</v>
      </c>
      <c r="K3898" t="s">
        <v>5862</v>
      </c>
      <c r="L3898">
        <v>0</v>
      </c>
    </row>
    <row r="3899" spans="1:12" x14ac:dyDescent="0.25">
      <c r="A3899">
        <v>3898</v>
      </c>
      <c r="B3899" t="s">
        <v>5863</v>
      </c>
      <c r="C3899">
        <v>0</v>
      </c>
      <c r="J3899">
        <v>3898</v>
      </c>
      <c r="K3899" t="s">
        <v>5863</v>
      </c>
      <c r="L3899">
        <v>0</v>
      </c>
    </row>
    <row r="3900" spans="1:12" x14ac:dyDescent="0.25">
      <c r="A3900">
        <v>3899</v>
      </c>
      <c r="B3900" t="s">
        <v>5864</v>
      </c>
      <c r="C3900">
        <v>0</v>
      </c>
      <c r="J3900">
        <v>3899</v>
      </c>
      <c r="K3900" t="s">
        <v>5864</v>
      </c>
      <c r="L3900">
        <v>0</v>
      </c>
    </row>
    <row r="3901" spans="1:12" x14ac:dyDescent="0.25">
      <c r="A3901">
        <v>3900</v>
      </c>
      <c r="B3901" t="s">
        <v>5865</v>
      </c>
      <c r="C3901">
        <v>0</v>
      </c>
      <c r="J3901">
        <v>3900</v>
      </c>
      <c r="K3901" t="s">
        <v>5865</v>
      </c>
      <c r="L3901">
        <v>0</v>
      </c>
    </row>
    <row r="3902" spans="1:12" x14ac:dyDescent="0.25">
      <c r="A3902">
        <v>3901</v>
      </c>
      <c r="B3902" t="s">
        <v>5866</v>
      </c>
      <c r="C3902">
        <v>0</v>
      </c>
      <c r="J3902">
        <v>3901</v>
      </c>
      <c r="K3902" t="s">
        <v>5866</v>
      </c>
      <c r="L3902">
        <v>0</v>
      </c>
    </row>
    <row r="3903" spans="1:12" x14ac:dyDescent="0.25">
      <c r="A3903">
        <v>3902</v>
      </c>
      <c r="B3903" t="s">
        <v>5867</v>
      </c>
      <c r="C3903">
        <v>0</v>
      </c>
      <c r="J3903">
        <v>3902</v>
      </c>
      <c r="K3903" t="s">
        <v>5867</v>
      </c>
      <c r="L3903">
        <v>0</v>
      </c>
    </row>
    <row r="3904" spans="1:12" x14ac:dyDescent="0.25">
      <c r="A3904">
        <v>3903</v>
      </c>
      <c r="B3904" t="s">
        <v>5868</v>
      </c>
      <c r="C3904">
        <v>0</v>
      </c>
      <c r="J3904">
        <v>3903</v>
      </c>
      <c r="K3904" t="s">
        <v>5868</v>
      </c>
      <c r="L3904">
        <v>0</v>
      </c>
    </row>
    <row r="3905" spans="1:12" x14ac:dyDescent="0.25">
      <c r="A3905">
        <v>3904</v>
      </c>
      <c r="B3905" t="s">
        <v>5869</v>
      </c>
      <c r="C3905">
        <v>0</v>
      </c>
      <c r="J3905">
        <v>3904</v>
      </c>
      <c r="K3905" t="s">
        <v>5869</v>
      </c>
      <c r="L3905">
        <v>0</v>
      </c>
    </row>
    <row r="3906" spans="1:12" x14ac:dyDescent="0.25">
      <c r="A3906">
        <v>3905</v>
      </c>
      <c r="B3906" t="s">
        <v>5870</v>
      </c>
      <c r="C3906">
        <v>0</v>
      </c>
      <c r="J3906">
        <v>3905</v>
      </c>
      <c r="K3906" t="s">
        <v>5870</v>
      </c>
      <c r="L3906">
        <v>0</v>
      </c>
    </row>
    <row r="3907" spans="1:12" x14ac:dyDescent="0.25">
      <c r="A3907">
        <v>3906</v>
      </c>
      <c r="B3907" t="s">
        <v>5871</v>
      </c>
      <c r="C3907">
        <v>0</v>
      </c>
      <c r="J3907">
        <v>3906</v>
      </c>
      <c r="K3907" t="s">
        <v>5871</v>
      </c>
      <c r="L3907">
        <v>0</v>
      </c>
    </row>
    <row r="3908" spans="1:12" x14ac:dyDescent="0.25">
      <c r="A3908">
        <v>3907</v>
      </c>
      <c r="B3908" t="s">
        <v>5872</v>
      </c>
      <c r="C3908">
        <v>0</v>
      </c>
      <c r="J3908">
        <v>3907</v>
      </c>
      <c r="K3908" t="s">
        <v>5872</v>
      </c>
      <c r="L3908">
        <v>0</v>
      </c>
    </row>
    <row r="3909" spans="1:12" x14ac:dyDescent="0.25">
      <c r="A3909">
        <v>3908</v>
      </c>
      <c r="B3909" t="s">
        <v>5873</v>
      </c>
      <c r="C3909">
        <v>0</v>
      </c>
      <c r="J3909">
        <v>3908</v>
      </c>
      <c r="K3909" t="s">
        <v>5873</v>
      </c>
      <c r="L3909">
        <v>0</v>
      </c>
    </row>
    <row r="3910" spans="1:12" x14ac:dyDescent="0.25">
      <c r="A3910">
        <v>3909</v>
      </c>
      <c r="B3910" t="s">
        <v>5874</v>
      </c>
      <c r="C3910">
        <v>0</v>
      </c>
      <c r="J3910">
        <v>3909</v>
      </c>
      <c r="K3910" t="s">
        <v>5874</v>
      </c>
      <c r="L3910">
        <v>0</v>
      </c>
    </row>
    <row r="3911" spans="1:12" x14ac:dyDescent="0.25">
      <c r="A3911">
        <v>3910</v>
      </c>
      <c r="B3911" t="s">
        <v>5875</v>
      </c>
      <c r="C3911">
        <v>0</v>
      </c>
      <c r="J3911">
        <v>3910</v>
      </c>
      <c r="K3911" t="s">
        <v>5875</v>
      </c>
      <c r="L3911">
        <v>0</v>
      </c>
    </row>
    <row r="3912" spans="1:12" x14ac:dyDescent="0.25">
      <c r="A3912">
        <v>3911</v>
      </c>
      <c r="B3912" t="s">
        <v>5876</v>
      </c>
      <c r="C3912">
        <v>0</v>
      </c>
      <c r="J3912">
        <v>3911</v>
      </c>
      <c r="K3912" t="s">
        <v>5876</v>
      </c>
      <c r="L3912">
        <v>0</v>
      </c>
    </row>
    <row r="3913" spans="1:12" x14ac:dyDescent="0.25">
      <c r="A3913">
        <v>3912</v>
      </c>
      <c r="B3913" t="s">
        <v>5877</v>
      </c>
      <c r="C3913">
        <v>0</v>
      </c>
      <c r="J3913">
        <v>3912</v>
      </c>
      <c r="K3913" t="s">
        <v>5877</v>
      </c>
      <c r="L3913">
        <v>0</v>
      </c>
    </row>
    <row r="3914" spans="1:12" x14ac:dyDescent="0.25">
      <c r="A3914">
        <v>3913</v>
      </c>
      <c r="B3914" t="s">
        <v>5878</v>
      </c>
      <c r="C3914">
        <v>0</v>
      </c>
      <c r="J3914">
        <v>3913</v>
      </c>
      <c r="K3914" t="s">
        <v>5878</v>
      </c>
      <c r="L3914">
        <v>0</v>
      </c>
    </row>
    <row r="3915" spans="1:12" x14ac:dyDescent="0.25">
      <c r="A3915">
        <v>3914</v>
      </c>
      <c r="B3915" t="s">
        <v>5879</v>
      </c>
      <c r="C3915">
        <v>0</v>
      </c>
      <c r="J3915">
        <v>3914</v>
      </c>
      <c r="K3915" t="s">
        <v>5879</v>
      </c>
      <c r="L3915">
        <v>0</v>
      </c>
    </row>
    <row r="3916" spans="1:12" x14ac:dyDescent="0.25">
      <c r="A3916">
        <v>3915</v>
      </c>
      <c r="B3916" t="s">
        <v>5880</v>
      </c>
      <c r="C3916">
        <v>0</v>
      </c>
      <c r="J3916">
        <v>3915</v>
      </c>
      <c r="K3916" t="s">
        <v>5880</v>
      </c>
      <c r="L3916">
        <v>0</v>
      </c>
    </row>
    <row r="3917" spans="1:12" x14ac:dyDescent="0.25">
      <c r="A3917">
        <v>3916</v>
      </c>
      <c r="B3917" t="s">
        <v>5881</v>
      </c>
      <c r="C3917">
        <v>0</v>
      </c>
      <c r="J3917">
        <v>3916</v>
      </c>
      <c r="K3917" t="s">
        <v>5881</v>
      </c>
      <c r="L3917">
        <v>0</v>
      </c>
    </row>
    <row r="3918" spans="1:12" x14ac:dyDescent="0.25">
      <c r="A3918">
        <v>3917</v>
      </c>
      <c r="B3918" t="s">
        <v>5882</v>
      </c>
      <c r="C3918">
        <v>0</v>
      </c>
      <c r="J3918">
        <v>3917</v>
      </c>
      <c r="K3918" t="s">
        <v>5882</v>
      </c>
      <c r="L3918">
        <v>0</v>
      </c>
    </row>
    <row r="3919" spans="1:12" x14ac:dyDescent="0.25">
      <c r="A3919">
        <v>3918</v>
      </c>
      <c r="B3919" t="s">
        <v>5883</v>
      </c>
      <c r="C3919">
        <v>0</v>
      </c>
      <c r="J3919">
        <v>3918</v>
      </c>
      <c r="K3919" t="s">
        <v>5883</v>
      </c>
      <c r="L3919">
        <v>0</v>
      </c>
    </row>
    <row r="3920" spans="1:12" x14ac:dyDescent="0.25">
      <c r="A3920">
        <v>3919</v>
      </c>
      <c r="B3920" t="s">
        <v>5884</v>
      </c>
      <c r="C3920">
        <v>0</v>
      </c>
      <c r="J3920">
        <v>3919</v>
      </c>
      <c r="K3920" t="s">
        <v>5884</v>
      </c>
      <c r="L3920">
        <v>0</v>
      </c>
    </row>
    <row r="3921" spans="1:12" x14ac:dyDescent="0.25">
      <c r="A3921">
        <v>3920</v>
      </c>
      <c r="B3921" t="s">
        <v>5885</v>
      </c>
      <c r="C3921">
        <v>0</v>
      </c>
      <c r="J3921">
        <v>3920</v>
      </c>
      <c r="K3921" t="s">
        <v>5885</v>
      </c>
      <c r="L3921">
        <v>0</v>
      </c>
    </row>
    <row r="3922" spans="1:12" x14ac:dyDescent="0.25">
      <c r="A3922">
        <v>3921</v>
      </c>
      <c r="B3922" t="s">
        <v>5886</v>
      </c>
      <c r="C3922">
        <v>0</v>
      </c>
      <c r="J3922">
        <v>3921</v>
      </c>
      <c r="K3922" t="s">
        <v>5886</v>
      </c>
      <c r="L3922">
        <v>0</v>
      </c>
    </row>
    <row r="3923" spans="1:12" x14ac:dyDescent="0.25">
      <c r="A3923">
        <v>3922</v>
      </c>
      <c r="B3923" t="s">
        <v>5887</v>
      </c>
      <c r="C3923">
        <v>0</v>
      </c>
      <c r="J3923">
        <v>3922</v>
      </c>
      <c r="K3923" t="s">
        <v>5887</v>
      </c>
      <c r="L3923">
        <v>0</v>
      </c>
    </row>
    <row r="3924" spans="1:12" x14ac:dyDescent="0.25">
      <c r="A3924">
        <v>3923</v>
      </c>
      <c r="B3924" t="s">
        <v>5888</v>
      </c>
      <c r="C3924">
        <v>0</v>
      </c>
      <c r="J3924">
        <v>3923</v>
      </c>
      <c r="K3924" t="s">
        <v>5888</v>
      </c>
      <c r="L3924">
        <v>0</v>
      </c>
    </row>
    <row r="3925" spans="1:12" x14ac:dyDescent="0.25">
      <c r="A3925">
        <v>3924</v>
      </c>
      <c r="B3925" t="s">
        <v>5889</v>
      </c>
      <c r="C3925">
        <v>0</v>
      </c>
      <c r="J3925">
        <v>3924</v>
      </c>
      <c r="K3925" t="s">
        <v>5889</v>
      </c>
      <c r="L3925">
        <v>0</v>
      </c>
    </row>
    <row r="3926" spans="1:12" x14ac:dyDescent="0.25">
      <c r="A3926">
        <v>3925</v>
      </c>
      <c r="B3926" t="s">
        <v>5890</v>
      </c>
      <c r="C3926">
        <v>0</v>
      </c>
      <c r="J3926">
        <v>3925</v>
      </c>
      <c r="K3926" t="s">
        <v>5890</v>
      </c>
      <c r="L3926">
        <v>0</v>
      </c>
    </row>
    <row r="3927" spans="1:12" x14ac:dyDescent="0.25">
      <c r="A3927">
        <v>3926</v>
      </c>
      <c r="B3927" t="s">
        <v>5891</v>
      </c>
      <c r="C3927">
        <v>0</v>
      </c>
      <c r="J3927">
        <v>3926</v>
      </c>
      <c r="K3927" t="s">
        <v>5891</v>
      </c>
      <c r="L3927">
        <v>0</v>
      </c>
    </row>
    <row r="3928" spans="1:12" x14ac:dyDescent="0.25">
      <c r="A3928">
        <v>3927</v>
      </c>
      <c r="B3928" t="s">
        <v>5892</v>
      </c>
      <c r="C3928">
        <v>0</v>
      </c>
      <c r="J3928">
        <v>3927</v>
      </c>
      <c r="K3928" t="s">
        <v>5892</v>
      </c>
      <c r="L3928">
        <v>0</v>
      </c>
    </row>
    <row r="3929" spans="1:12" x14ac:dyDescent="0.25">
      <c r="A3929">
        <v>3928</v>
      </c>
      <c r="B3929" t="s">
        <v>5893</v>
      </c>
      <c r="C3929">
        <v>0</v>
      </c>
      <c r="J3929">
        <v>3928</v>
      </c>
      <c r="K3929" t="s">
        <v>5893</v>
      </c>
      <c r="L3929">
        <v>0</v>
      </c>
    </row>
    <row r="3930" spans="1:12" x14ac:dyDescent="0.25">
      <c r="A3930">
        <v>3929</v>
      </c>
      <c r="B3930" t="s">
        <v>5894</v>
      </c>
      <c r="C3930">
        <v>0</v>
      </c>
      <c r="J3930">
        <v>3929</v>
      </c>
      <c r="K3930" t="s">
        <v>5894</v>
      </c>
      <c r="L3930">
        <v>0</v>
      </c>
    </row>
    <row r="3931" spans="1:12" x14ac:dyDescent="0.25">
      <c r="A3931">
        <v>3930</v>
      </c>
      <c r="B3931" t="s">
        <v>5895</v>
      </c>
      <c r="C3931">
        <v>0</v>
      </c>
      <c r="J3931">
        <v>3930</v>
      </c>
      <c r="K3931" t="s">
        <v>5895</v>
      </c>
      <c r="L3931">
        <v>0</v>
      </c>
    </row>
    <row r="3932" spans="1:12" x14ac:dyDescent="0.25">
      <c r="A3932">
        <v>3931</v>
      </c>
      <c r="B3932" t="s">
        <v>5896</v>
      </c>
      <c r="C3932">
        <v>0</v>
      </c>
      <c r="J3932">
        <v>3931</v>
      </c>
      <c r="K3932" t="s">
        <v>5896</v>
      </c>
      <c r="L3932">
        <v>0</v>
      </c>
    </row>
    <row r="3933" spans="1:12" x14ac:dyDescent="0.25">
      <c r="A3933">
        <v>3932</v>
      </c>
      <c r="B3933" t="s">
        <v>5897</v>
      </c>
      <c r="C3933">
        <v>0</v>
      </c>
      <c r="J3933">
        <v>3932</v>
      </c>
      <c r="K3933" t="s">
        <v>5897</v>
      </c>
      <c r="L3933">
        <v>0</v>
      </c>
    </row>
    <row r="3934" spans="1:12" x14ac:dyDescent="0.25">
      <c r="A3934">
        <v>3933</v>
      </c>
      <c r="B3934" t="s">
        <v>5898</v>
      </c>
      <c r="C3934">
        <v>0</v>
      </c>
      <c r="J3934">
        <v>3933</v>
      </c>
      <c r="K3934" t="s">
        <v>5898</v>
      </c>
      <c r="L3934">
        <v>0</v>
      </c>
    </row>
    <row r="3935" spans="1:12" x14ac:dyDescent="0.25">
      <c r="A3935">
        <v>3934</v>
      </c>
      <c r="B3935" t="s">
        <v>5899</v>
      </c>
      <c r="C3935">
        <v>0</v>
      </c>
      <c r="J3935">
        <v>3934</v>
      </c>
      <c r="K3935" t="s">
        <v>5899</v>
      </c>
      <c r="L3935">
        <v>0</v>
      </c>
    </row>
    <row r="3936" spans="1:12" x14ac:dyDescent="0.25">
      <c r="A3936">
        <v>3935</v>
      </c>
      <c r="B3936" t="s">
        <v>5900</v>
      </c>
      <c r="C3936">
        <v>0</v>
      </c>
      <c r="J3936">
        <v>3935</v>
      </c>
      <c r="K3936" t="s">
        <v>5900</v>
      </c>
      <c r="L3936">
        <v>0</v>
      </c>
    </row>
    <row r="3937" spans="1:12" x14ac:dyDescent="0.25">
      <c r="A3937">
        <v>3936</v>
      </c>
      <c r="B3937" t="s">
        <v>5901</v>
      </c>
      <c r="C3937">
        <v>0</v>
      </c>
      <c r="J3937">
        <v>3936</v>
      </c>
      <c r="K3937" t="s">
        <v>5901</v>
      </c>
      <c r="L3937">
        <v>0</v>
      </c>
    </row>
    <row r="3938" spans="1:12" x14ac:dyDescent="0.25">
      <c r="A3938">
        <v>3937</v>
      </c>
      <c r="B3938" t="s">
        <v>5902</v>
      </c>
      <c r="C3938">
        <v>0</v>
      </c>
      <c r="J3938">
        <v>3937</v>
      </c>
      <c r="K3938" t="s">
        <v>5902</v>
      </c>
      <c r="L3938">
        <v>0</v>
      </c>
    </row>
    <row r="3939" spans="1:12" x14ac:dyDescent="0.25">
      <c r="A3939">
        <v>3938</v>
      </c>
      <c r="B3939" t="s">
        <v>5903</v>
      </c>
      <c r="C3939">
        <v>0</v>
      </c>
      <c r="J3939">
        <v>3938</v>
      </c>
      <c r="K3939" t="s">
        <v>5903</v>
      </c>
      <c r="L3939">
        <v>0</v>
      </c>
    </row>
    <row r="3940" spans="1:12" x14ac:dyDescent="0.25">
      <c r="A3940">
        <v>3939</v>
      </c>
      <c r="B3940" t="s">
        <v>5904</v>
      </c>
      <c r="C3940">
        <v>0</v>
      </c>
      <c r="J3940">
        <v>3939</v>
      </c>
      <c r="K3940" t="s">
        <v>5904</v>
      </c>
      <c r="L3940">
        <v>0</v>
      </c>
    </row>
    <row r="3941" spans="1:12" x14ac:dyDescent="0.25">
      <c r="A3941">
        <v>3940</v>
      </c>
      <c r="B3941" t="s">
        <v>5905</v>
      </c>
      <c r="C3941">
        <v>0</v>
      </c>
      <c r="J3941">
        <v>3940</v>
      </c>
      <c r="K3941" t="s">
        <v>5905</v>
      </c>
      <c r="L3941">
        <v>0</v>
      </c>
    </row>
    <row r="3942" spans="1:12" x14ac:dyDescent="0.25">
      <c r="A3942">
        <v>3941</v>
      </c>
      <c r="B3942" t="s">
        <v>5906</v>
      </c>
      <c r="C3942">
        <v>0</v>
      </c>
      <c r="J3942">
        <v>3941</v>
      </c>
      <c r="K3942" t="s">
        <v>5906</v>
      </c>
      <c r="L3942">
        <v>0</v>
      </c>
    </row>
    <row r="3943" spans="1:12" x14ac:dyDescent="0.25">
      <c r="A3943">
        <v>3942</v>
      </c>
      <c r="B3943" t="s">
        <v>5907</v>
      </c>
      <c r="C3943">
        <v>0</v>
      </c>
      <c r="J3943">
        <v>3942</v>
      </c>
      <c r="K3943" t="s">
        <v>5907</v>
      </c>
      <c r="L3943">
        <v>0</v>
      </c>
    </row>
    <row r="3944" spans="1:12" x14ac:dyDescent="0.25">
      <c r="A3944">
        <v>3943</v>
      </c>
      <c r="B3944" t="s">
        <v>5908</v>
      </c>
      <c r="C3944">
        <v>0</v>
      </c>
      <c r="J3944">
        <v>3943</v>
      </c>
      <c r="K3944" t="s">
        <v>5908</v>
      </c>
      <c r="L3944">
        <v>0</v>
      </c>
    </row>
    <row r="3945" spans="1:12" x14ac:dyDescent="0.25">
      <c r="A3945">
        <v>3944</v>
      </c>
      <c r="B3945" t="s">
        <v>5909</v>
      </c>
      <c r="C3945">
        <v>0</v>
      </c>
      <c r="J3945">
        <v>3944</v>
      </c>
      <c r="K3945" t="s">
        <v>5909</v>
      </c>
      <c r="L3945">
        <v>0</v>
      </c>
    </row>
    <row r="3946" spans="1:12" x14ac:dyDescent="0.25">
      <c r="A3946">
        <v>3945</v>
      </c>
      <c r="B3946" t="s">
        <v>5910</v>
      </c>
      <c r="C3946">
        <v>0</v>
      </c>
      <c r="J3946">
        <v>3945</v>
      </c>
      <c r="K3946" t="s">
        <v>5910</v>
      </c>
      <c r="L3946">
        <v>0</v>
      </c>
    </row>
    <row r="3947" spans="1:12" x14ac:dyDescent="0.25">
      <c r="A3947">
        <v>3946</v>
      </c>
      <c r="B3947" t="s">
        <v>5911</v>
      </c>
      <c r="C3947">
        <v>0</v>
      </c>
      <c r="J3947">
        <v>3946</v>
      </c>
      <c r="K3947" t="s">
        <v>5911</v>
      </c>
      <c r="L3947">
        <v>0</v>
      </c>
    </row>
    <row r="3948" spans="1:12" x14ac:dyDescent="0.25">
      <c r="A3948">
        <v>3947</v>
      </c>
      <c r="B3948" t="s">
        <v>5912</v>
      </c>
      <c r="C3948">
        <v>0</v>
      </c>
      <c r="J3948">
        <v>3947</v>
      </c>
      <c r="K3948" t="s">
        <v>5912</v>
      </c>
      <c r="L3948">
        <v>0</v>
      </c>
    </row>
    <row r="3949" spans="1:12" x14ac:dyDescent="0.25">
      <c r="A3949">
        <v>3948</v>
      </c>
      <c r="B3949" t="s">
        <v>5913</v>
      </c>
      <c r="C3949">
        <v>0</v>
      </c>
      <c r="J3949">
        <v>3948</v>
      </c>
      <c r="K3949" t="s">
        <v>5913</v>
      </c>
      <c r="L3949">
        <v>0</v>
      </c>
    </row>
    <row r="3950" spans="1:12" x14ac:dyDescent="0.25">
      <c r="A3950">
        <v>3949</v>
      </c>
      <c r="B3950" t="s">
        <v>5914</v>
      </c>
      <c r="C3950">
        <v>0</v>
      </c>
      <c r="J3950">
        <v>3949</v>
      </c>
      <c r="K3950" t="s">
        <v>5914</v>
      </c>
      <c r="L3950">
        <v>0</v>
      </c>
    </row>
    <row r="3951" spans="1:12" x14ac:dyDescent="0.25">
      <c r="A3951">
        <v>3950</v>
      </c>
      <c r="B3951" t="s">
        <v>5915</v>
      </c>
      <c r="C3951">
        <v>0</v>
      </c>
      <c r="J3951">
        <v>3950</v>
      </c>
      <c r="K3951" t="s">
        <v>5915</v>
      </c>
      <c r="L3951">
        <v>0</v>
      </c>
    </row>
    <row r="3952" spans="1:12" x14ac:dyDescent="0.25">
      <c r="A3952">
        <v>3951</v>
      </c>
      <c r="B3952" t="s">
        <v>5916</v>
      </c>
      <c r="C3952">
        <v>0</v>
      </c>
      <c r="J3952">
        <v>3951</v>
      </c>
      <c r="K3952" t="s">
        <v>5916</v>
      </c>
      <c r="L3952">
        <v>0</v>
      </c>
    </row>
    <row r="3953" spans="1:12" x14ac:dyDescent="0.25">
      <c r="A3953">
        <v>3952</v>
      </c>
      <c r="B3953" t="s">
        <v>5917</v>
      </c>
      <c r="C3953">
        <v>0</v>
      </c>
      <c r="J3953">
        <v>3952</v>
      </c>
      <c r="K3953" t="s">
        <v>5917</v>
      </c>
      <c r="L3953">
        <v>0</v>
      </c>
    </row>
    <row r="3954" spans="1:12" x14ac:dyDescent="0.25">
      <c r="A3954">
        <v>3953</v>
      </c>
      <c r="B3954" t="s">
        <v>5918</v>
      </c>
      <c r="C3954">
        <v>0</v>
      </c>
      <c r="J3954">
        <v>3953</v>
      </c>
      <c r="K3954" t="s">
        <v>5918</v>
      </c>
      <c r="L3954">
        <v>0</v>
      </c>
    </row>
    <row r="3955" spans="1:12" x14ac:dyDescent="0.25">
      <c r="A3955">
        <v>3954</v>
      </c>
      <c r="B3955" t="s">
        <v>5919</v>
      </c>
      <c r="C3955">
        <v>0</v>
      </c>
      <c r="J3955">
        <v>3954</v>
      </c>
      <c r="K3955" t="s">
        <v>5919</v>
      </c>
      <c r="L3955">
        <v>0</v>
      </c>
    </row>
    <row r="3956" spans="1:12" x14ac:dyDescent="0.25">
      <c r="A3956">
        <v>3955</v>
      </c>
      <c r="B3956" t="s">
        <v>5920</v>
      </c>
      <c r="C3956">
        <v>0</v>
      </c>
      <c r="J3956">
        <v>3955</v>
      </c>
      <c r="K3956" t="s">
        <v>5920</v>
      </c>
      <c r="L3956">
        <v>0</v>
      </c>
    </row>
    <row r="3957" spans="1:12" x14ac:dyDescent="0.25">
      <c r="A3957">
        <v>3956</v>
      </c>
      <c r="B3957" t="s">
        <v>5921</v>
      </c>
      <c r="C3957">
        <v>0</v>
      </c>
      <c r="J3957">
        <v>3956</v>
      </c>
      <c r="K3957" t="s">
        <v>5921</v>
      </c>
      <c r="L3957">
        <v>0</v>
      </c>
    </row>
    <row r="3958" spans="1:12" x14ac:dyDescent="0.25">
      <c r="A3958">
        <v>3957</v>
      </c>
      <c r="B3958" t="s">
        <v>5922</v>
      </c>
      <c r="C3958">
        <v>0</v>
      </c>
      <c r="J3958">
        <v>3957</v>
      </c>
      <c r="K3958" t="s">
        <v>5922</v>
      </c>
      <c r="L3958">
        <v>0</v>
      </c>
    </row>
    <row r="3959" spans="1:12" x14ac:dyDescent="0.25">
      <c r="A3959">
        <v>3958</v>
      </c>
      <c r="B3959" t="s">
        <v>5923</v>
      </c>
      <c r="C3959">
        <v>0</v>
      </c>
      <c r="J3959">
        <v>3958</v>
      </c>
      <c r="K3959" t="s">
        <v>5923</v>
      </c>
      <c r="L3959">
        <v>0</v>
      </c>
    </row>
    <row r="3960" spans="1:12" x14ac:dyDescent="0.25">
      <c r="A3960">
        <v>3959</v>
      </c>
      <c r="B3960" t="s">
        <v>5924</v>
      </c>
      <c r="C3960">
        <v>0</v>
      </c>
      <c r="J3960">
        <v>3959</v>
      </c>
      <c r="K3960" t="s">
        <v>5924</v>
      </c>
      <c r="L3960">
        <v>0</v>
      </c>
    </row>
    <row r="3961" spans="1:12" x14ac:dyDescent="0.25">
      <c r="A3961">
        <v>3960</v>
      </c>
      <c r="B3961" t="s">
        <v>5925</v>
      </c>
      <c r="C3961">
        <v>0</v>
      </c>
      <c r="J3961">
        <v>3960</v>
      </c>
      <c r="K3961" t="s">
        <v>5925</v>
      </c>
      <c r="L3961">
        <v>0</v>
      </c>
    </row>
    <row r="3962" spans="1:12" x14ac:dyDescent="0.25">
      <c r="A3962">
        <v>3961</v>
      </c>
      <c r="B3962" t="s">
        <v>5926</v>
      </c>
      <c r="C3962">
        <v>0</v>
      </c>
      <c r="J3962">
        <v>3961</v>
      </c>
      <c r="K3962" t="s">
        <v>5926</v>
      </c>
      <c r="L3962">
        <v>0</v>
      </c>
    </row>
    <row r="3963" spans="1:12" x14ac:dyDescent="0.25">
      <c r="A3963">
        <v>3962</v>
      </c>
      <c r="B3963" t="s">
        <v>5927</v>
      </c>
      <c r="C3963">
        <v>0</v>
      </c>
      <c r="J3963">
        <v>3962</v>
      </c>
      <c r="K3963" t="s">
        <v>5927</v>
      </c>
      <c r="L3963">
        <v>0</v>
      </c>
    </row>
    <row r="3964" spans="1:12" x14ac:dyDescent="0.25">
      <c r="A3964">
        <v>3963</v>
      </c>
      <c r="B3964" t="s">
        <v>5928</v>
      </c>
      <c r="C3964">
        <v>0</v>
      </c>
      <c r="J3964">
        <v>3963</v>
      </c>
      <c r="K3964" t="s">
        <v>5928</v>
      </c>
      <c r="L3964">
        <v>0</v>
      </c>
    </row>
    <row r="3965" spans="1:12" x14ac:dyDescent="0.25">
      <c r="A3965">
        <v>3964</v>
      </c>
      <c r="B3965" t="s">
        <v>5929</v>
      </c>
      <c r="C3965">
        <v>0</v>
      </c>
      <c r="J3965">
        <v>3964</v>
      </c>
      <c r="K3965" t="s">
        <v>5929</v>
      </c>
      <c r="L3965">
        <v>0</v>
      </c>
    </row>
    <row r="3966" spans="1:12" x14ac:dyDescent="0.25">
      <c r="A3966">
        <v>3965</v>
      </c>
      <c r="B3966" t="s">
        <v>5930</v>
      </c>
      <c r="C3966">
        <v>0</v>
      </c>
      <c r="J3966">
        <v>3965</v>
      </c>
      <c r="K3966" t="s">
        <v>5930</v>
      </c>
      <c r="L3966">
        <v>0</v>
      </c>
    </row>
    <row r="3967" spans="1:12" x14ac:dyDescent="0.25">
      <c r="A3967">
        <v>3966</v>
      </c>
      <c r="B3967" t="s">
        <v>5931</v>
      </c>
      <c r="C3967">
        <v>0</v>
      </c>
      <c r="J3967">
        <v>3966</v>
      </c>
      <c r="K3967" t="s">
        <v>5931</v>
      </c>
      <c r="L3967">
        <v>0</v>
      </c>
    </row>
    <row r="3968" spans="1:12" x14ac:dyDescent="0.25">
      <c r="A3968">
        <v>3967</v>
      </c>
      <c r="B3968" t="s">
        <v>5932</v>
      </c>
      <c r="C3968">
        <v>0</v>
      </c>
      <c r="J3968">
        <v>3967</v>
      </c>
      <c r="K3968" t="s">
        <v>5932</v>
      </c>
      <c r="L3968">
        <v>0</v>
      </c>
    </row>
    <row r="3969" spans="1:12" x14ac:dyDescent="0.25">
      <c r="A3969">
        <v>3968</v>
      </c>
      <c r="B3969" t="s">
        <v>5933</v>
      </c>
      <c r="C3969">
        <v>0</v>
      </c>
      <c r="J3969">
        <v>3968</v>
      </c>
      <c r="K3969" t="s">
        <v>5933</v>
      </c>
      <c r="L3969">
        <v>0</v>
      </c>
    </row>
    <row r="3970" spans="1:12" x14ac:dyDescent="0.25">
      <c r="A3970">
        <v>3969</v>
      </c>
      <c r="B3970" t="s">
        <v>5934</v>
      </c>
      <c r="C3970">
        <v>0</v>
      </c>
      <c r="J3970">
        <v>3969</v>
      </c>
      <c r="K3970" t="s">
        <v>5934</v>
      </c>
      <c r="L3970">
        <v>0</v>
      </c>
    </row>
    <row r="3971" spans="1:12" x14ac:dyDescent="0.25">
      <c r="A3971">
        <v>3970</v>
      </c>
      <c r="B3971" t="s">
        <v>5935</v>
      </c>
      <c r="C3971">
        <v>0</v>
      </c>
      <c r="J3971">
        <v>3970</v>
      </c>
      <c r="K3971" t="s">
        <v>5935</v>
      </c>
      <c r="L3971">
        <v>0</v>
      </c>
    </row>
    <row r="3972" spans="1:12" x14ac:dyDescent="0.25">
      <c r="A3972">
        <v>3971</v>
      </c>
      <c r="B3972" t="s">
        <v>5936</v>
      </c>
      <c r="C3972">
        <v>0</v>
      </c>
      <c r="J3972">
        <v>3971</v>
      </c>
      <c r="K3972" t="s">
        <v>5936</v>
      </c>
      <c r="L3972">
        <v>0</v>
      </c>
    </row>
    <row r="3973" spans="1:12" x14ac:dyDescent="0.25">
      <c r="A3973">
        <v>3972</v>
      </c>
      <c r="B3973" t="s">
        <v>5937</v>
      </c>
      <c r="C3973">
        <v>0</v>
      </c>
      <c r="J3973">
        <v>3972</v>
      </c>
      <c r="K3973" t="s">
        <v>5937</v>
      </c>
      <c r="L3973">
        <v>0</v>
      </c>
    </row>
    <row r="3974" spans="1:12" x14ac:dyDescent="0.25">
      <c r="A3974">
        <v>3973</v>
      </c>
      <c r="B3974" t="s">
        <v>5938</v>
      </c>
      <c r="C3974">
        <v>0</v>
      </c>
      <c r="J3974">
        <v>3973</v>
      </c>
      <c r="K3974" t="s">
        <v>5938</v>
      </c>
      <c r="L3974">
        <v>0</v>
      </c>
    </row>
    <row r="3975" spans="1:12" x14ac:dyDescent="0.25">
      <c r="A3975">
        <v>3974</v>
      </c>
      <c r="B3975" t="s">
        <v>5939</v>
      </c>
      <c r="C3975">
        <v>0</v>
      </c>
      <c r="J3975">
        <v>3974</v>
      </c>
      <c r="K3975" t="s">
        <v>5939</v>
      </c>
      <c r="L3975">
        <v>0</v>
      </c>
    </row>
    <row r="3976" spans="1:12" x14ac:dyDescent="0.25">
      <c r="A3976">
        <v>3975</v>
      </c>
      <c r="B3976" t="s">
        <v>5940</v>
      </c>
      <c r="C3976">
        <v>0</v>
      </c>
      <c r="J3976">
        <v>3975</v>
      </c>
      <c r="K3976" t="s">
        <v>5940</v>
      </c>
      <c r="L3976">
        <v>0</v>
      </c>
    </row>
    <row r="3977" spans="1:12" x14ac:dyDescent="0.25">
      <c r="A3977">
        <v>3976</v>
      </c>
      <c r="B3977" t="s">
        <v>5941</v>
      </c>
      <c r="C3977">
        <v>0</v>
      </c>
      <c r="J3977">
        <v>3976</v>
      </c>
      <c r="K3977" t="s">
        <v>5941</v>
      </c>
      <c r="L3977">
        <v>0</v>
      </c>
    </row>
    <row r="3978" spans="1:12" x14ac:dyDescent="0.25">
      <c r="A3978">
        <v>3977</v>
      </c>
      <c r="B3978" t="s">
        <v>5942</v>
      </c>
      <c r="C3978">
        <v>0</v>
      </c>
      <c r="J3978">
        <v>3977</v>
      </c>
      <c r="K3978" t="s">
        <v>5942</v>
      </c>
      <c r="L3978">
        <v>0</v>
      </c>
    </row>
    <row r="3979" spans="1:12" x14ac:dyDescent="0.25">
      <c r="A3979">
        <v>3978</v>
      </c>
      <c r="B3979" t="s">
        <v>5943</v>
      </c>
      <c r="C3979">
        <v>0</v>
      </c>
      <c r="J3979">
        <v>3978</v>
      </c>
      <c r="K3979" t="s">
        <v>5943</v>
      </c>
      <c r="L3979">
        <v>0</v>
      </c>
    </row>
    <row r="3980" spans="1:12" x14ac:dyDescent="0.25">
      <c r="A3980">
        <v>3979</v>
      </c>
      <c r="B3980" t="s">
        <v>5944</v>
      </c>
      <c r="C3980">
        <v>0</v>
      </c>
      <c r="J3980">
        <v>3979</v>
      </c>
      <c r="K3980" t="s">
        <v>5944</v>
      </c>
      <c r="L3980">
        <v>0</v>
      </c>
    </row>
    <row r="3981" spans="1:12" x14ac:dyDescent="0.25">
      <c r="A3981">
        <v>3980</v>
      </c>
      <c r="B3981" t="s">
        <v>5945</v>
      </c>
      <c r="C3981">
        <v>0</v>
      </c>
      <c r="J3981">
        <v>3980</v>
      </c>
      <c r="K3981" t="s">
        <v>5945</v>
      </c>
      <c r="L3981">
        <v>0</v>
      </c>
    </row>
    <row r="3982" spans="1:12" x14ac:dyDescent="0.25">
      <c r="A3982">
        <v>3981</v>
      </c>
      <c r="B3982" t="s">
        <v>5946</v>
      </c>
      <c r="C3982">
        <v>0</v>
      </c>
      <c r="J3982">
        <v>3981</v>
      </c>
      <c r="K3982" t="s">
        <v>5946</v>
      </c>
      <c r="L3982">
        <v>0</v>
      </c>
    </row>
    <row r="3983" spans="1:12" x14ac:dyDescent="0.25">
      <c r="A3983">
        <v>3982</v>
      </c>
      <c r="B3983" t="s">
        <v>5947</v>
      </c>
      <c r="C3983">
        <v>0</v>
      </c>
      <c r="J3983">
        <v>3982</v>
      </c>
      <c r="K3983" t="s">
        <v>5947</v>
      </c>
      <c r="L3983">
        <v>0</v>
      </c>
    </row>
    <row r="3984" spans="1:12" x14ac:dyDescent="0.25">
      <c r="A3984">
        <v>3983</v>
      </c>
      <c r="B3984" t="s">
        <v>5948</v>
      </c>
      <c r="C3984">
        <v>0</v>
      </c>
      <c r="J3984">
        <v>3983</v>
      </c>
      <c r="K3984" t="s">
        <v>5948</v>
      </c>
      <c r="L3984">
        <v>0</v>
      </c>
    </row>
    <row r="3985" spans="1:12" x14ac:dyDescent="0.25">
      <c r="A3985">
        <v>3984</v>
      </c>
      <c r="B3985" t="s">
        <v>5949</v>
      </c>
      <c r="C3985">
        <v>0</v>
      </c>
      <c r="J3985">
        <v>3984</v>
      </c>
      <c r="K3985" t="s">
        <v>5949</v>
      </c>
      <c r="L3985">
        <v>0</v>
      </c>
    </row>
    <row r="3986" spans="1:12" x14ac:dyDescent="0.25">
      <c r="A3986">
        <v>3985</v>
      </c>
      <c r="B3986" t="s">
        <v>5950</v>
      </c>
      <c r="C3986">
        <v>0</v>
      </c>
      <c r="J3986">
        <v>3985</v>
      </c>
      <c r="K3986" t="s">
        <v>5950</v>
      </c>
      <c r="L3986">
        <v>0</v>
      </c>
    </row>
    <row r="3987" spans="1:12" x14ac:dyDescent="0.25">
      <c r="A3987">
        <v>3986</v>
      </c>
      <c r="B3987" t="s">
        <v>5951</v>
      </c>
      <c r="C3987">
        <v>0</v>
      </c>
      <c r="J3987">
        <v>3986</v>
      </c>
      <c r="K3987" t="s">
        <v>5951</v>
      </c>
      <c r="L3987">
        <v>0</v>
      </c>
    </row>
    <row r="3988" spans="1:12" x14ac:dyDescent="0.25">
      <c r="A3988">
        <v>3987</v>
      </c>
      <c r="B3988" t="s">
        <v>5952</v>
      </c>
      <c r="C3988">
        <v>0</v>
      </c>
      <c r="J3988">
        <v>3987</v>
      </c>
      <c r="K3988" t="s">
        <v>5952</v>
      </c>
      <c r="L3988">
        <v>0</v>
      </c>
    </row>
    <row r="3989" spans="1:12" x14ac:dyDescent="0.25">
      <c r="A3989">
        <v>3988</v>
      </c>
      <c r="B3989" t="s">
        <v>5953</v>
      </c>
      <c r="C3989">
        <v>0</v>
      </c>
      <c r="J3989">
        <v>3988</v>
      </c>
      <c r="K3989" t="s">
        <v>5953</v>
      </c>
      <c r="L3989">
        <v>0</v>
      </c>
    </row>
    <row r="3990" spans="1:12" x14ac:dyDescent="0.25">
      <c r="A3990">
        <v>3989</v>
      </c>
      <c r="B3990" t="s">
        <v>5954</v>
      </c>
      <c r="C3990">
        <v>0</v>
      </c>
      <c r="J3990">
        <v>3989</v>
      </c>
      <c r="K3990" t="s">
        <v>5954</v>
      </c>
      <c r="L3990">
        <v>0</v>
      </c>
    </row>
    <row r="3991" spans="1:12" x14ac:dyDescent="0.25">
      <c r="A3991">
        <v>3990</v>
      </c>
      <c r="B3991" t="s">
        <v>5955</v>
      </c>
      <c r="C3991">
        <v>0</v>
      </c>
      <c r="J3991">
        <v>3990</v>
      </c>
      <c r="K3991" t="s">
        <v>5955</v>
      </c>
      <c r="L3991">
        <v>0</v>
      </c>
    </row>
    <row r="3992" spans="1:12" x14ac:dyDescent="0.25">
      <c r="A3992">
        <v>3991</v>
      </c>
      <c r="B3992" t="s">
        <v>5956</v>
      </c>
      <c r="C3992">
        <v>0</v>
      </c>
      <c r="J3992">
        <v>3991</v>
      </c>
      <c r="K3992" t="s">
        <v>5956</v>
      </c>
      <c r="L3992">
        <v>0</v>
      </c>
    </row>
    <row r="3993" spans="1:12" x14ac:dyDescent="0.25">
      <c r="A3993">
        <v>3992</v>
      </c>
      <c r="B3993" t="s">
        <v>5957</v>
      </c>
      <c r="C3993">
        <v>0</v>
      </c>
      <c r="J3993">
        <v>3992</v>
      </c>
      <c r="K3993" t="s">
        <v>5957</v>
      </c>
      <c r="L3993">
        <v>0</v>
      </c>
    </row>
    <row r="3994" spans="1:12" x14ac:dyDescent="0.25">
      <c r="A3994">
        <v>3993</v>
      </c>
      <c r="B3994" t="s">
        <v>5958</v>
      </c>
      <c r="C3994">
        <v>0</v>
      </c>
      <c r="J3994">
        <v>3993</v>
      </c>
      <c r="K3994" t="s">
        <v>5958</v>
      </c>
      <c r="L3994">
        <v>0</v>
      </c>
    </row>
    <row r="3995" spans="1:12" x14ac:dyDescent="0.25">
      <c r="A3995">
        <v>3994</v>
      </c>
      <c r="B3995" t="s">
        <v>5959</v>
      </c>
      <c r="C3995">
        <v>0</v>
      </c>
      <c r="J3995">
        <v>3994</v>
      </c>
      <c r="K3995" t="s">
        <v>5959</v>
      </c>
      <c r="L3995">
        <v>0</v>
      </c>
    </row>
    <row r="3996" spans="1:12" x14ac:dyDescent="0.25">
      <c r="A3996">
        <v>3995</v>
      </c>
      <c r="B3996" t="s">
        <v>5960</v>
      </c>
      <c r="C3996">
        <v>0</v>
      </c>
      <c r="J3996">
        <v>3995</v>
      </c>
      <c r="K3996" t="s">
        <v>5960</v>
      </c>
      <c r="L3996">
        <v>0</v>
      </c>
    </row>
    <row r="3997" spans="1:12" x14ac:dyDescent="0.25">
      <c r="A3997">
        <v>3996</v>
      </c>
      <c r="B3997" t="s">
        <v>5961</v>
      </c>
      <c r="C3997">
        <v>0</v>
      </c>
      <c r="J3997">
        <v>3996</v>
      </c>
      <c r="K3997" t="s">
        <v>5961</v>
      </c>
      <c r="L3997">
        <v>0</v>
      </c>
    </row>
    <row r="3998" spans="1:12" x14ac:dyDescent="0.25">
      <c r="A3998">
        <v>3997</v>
      </c>
      <c r="B3998" t="s">
        <v>5962</v>
      </c>
      <c r="C3998">
        <v>0</v>
      </c>
      <c r="J3998">
        <v>3997</v>
      </c>
      <c r="K3998" t="s">
        <v>5962</v>
      </c>
      <c r="L3998">
        <v>0</v>
      </c>
    </row>
    <row r="3999" spans="1:12" x14ac:dyDescent="0.25">
      <c r="A3999">
        <v>3998</v>
      </c>
      <c r="B3999" t="s">
        <v>5963</v>
      </c>
      <c r="C3999">
        <v>0</v>
      </c>
      <c r="J3999">
        <v>3998</v>
      </c>
      <c r="K3999" t="s">
        <v>5963</v>
      </c>
      <c r="L3999">
        <v>0</v>
      </c>
    </row>
    <row r="4000" spans="1:12" x14ac:dyDescent="0.25">
      <c r="A4000">
        <v>3999</v>
      </c>
      <c r="B4000" t="s">
        <v>5964</v>
      </c>
      <c r="C4000">
        <v>0</v>
      </c>
      <c r="J4000">
        <v>3999</v>
      </c>
      <c r="K4000" t="s">
        <v>5964</v>
      </c>
      <c r="L40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3458-3273-4FE9-8C22-6315EAF38846}">
  <dimension ref="A1:X1616"/>
  <sheetViews>
    <sheetView topLeftCell="A1575" workbookViewId="0">
      <selection activeCell="E1603" sqref="E1603"/>
    </sheetView>
  </sheetViews>
  <sheetFormatPr defaultRowHeight="15" x14ac:dyDescent="0.25"/>
  <cols>
    <col min="1" max="1" width="5.5703125" bestFit="1" customWidth="1"/>
    <col min="2" max="2" width="11.85546875" customWidth="1"/>
    <col min="3" max="3" width="15.5703125" bestFit="1" customWidth="1"/>
    <col min="4" max="4" width="15.42578125" bestFit="1" customWidth="1"/>
    <col min="5" max="5" width="14.42578125" bestFit="1" customWidth="1"/>
    <col min="6" max="6" width="10.7109375" bestFit="1" customWidth="1"/>
    <col min="7" max="7" width="12.140625" bestFit="1" customWidth="1"/>
    <col min="8" max="9" width="14.42578125" bestFit="1" customWidth="1"/>
    <col min="10" max="10" width="27.85546875" bestFit="1" customWidth="1"/>
    <col min="11" max="11" width="23.140625" customWidth="1"/>
    <col min="12" max="12" width="9.85546875" customWidth="1"/>
    <col min="13" max="13" width="12.5703125" customWidth="1"/>
    <col min="14" max="14" width="15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1607</v>
      </c>
      <c r="L1" t="s">
        <v>1608</v>
      </c>
      <c r="M1" t="s">
        <v>1609</v>
      </c>
      <c r="N1" t="s">
        <v>1610</v>
      </c>
    </row>
    <row r="2" spans="1:24" x14ac:dyDescent="0.25">
      <c r="A2">
        <v>0</v>
      </c>
      <c r="E2" t="s">
        <v>1611</v>
      </c>
      <c r="J2" t="s">
        <v>1730</v>
      </c>
      <c r="Q2" cm="1">
        <f t="array" ref="Q2:Q7">_xlfn.UNIQUE(AGCEEP[continent])</f>
        <v>0</v>
      </c>
      <c r="R2" cm="1">
        <f t="array" ref="R2:R63">_xlfn.UNIQUE(AGCEEP[region])</f>
        <v>0</v>
      </c>
      <c r="S2" cm="1">
        <f t="array" ref="S2:S165">_xlfn.UNIQUE(AGCEEP[area])</f>
        <v>0</v>
      </c>
      <c r="T2" t="str" cm="1">
        <f t="array" ref="T2:T9">_xlfn.UNIQUE(AGCEEP[terrain])</f>
        <v>terra_incognita</v>
      </c>
      <c r="U2" cm="1">
        <f t="array" ref="U2:U12">_xlfn.UNIQUE(AGCEEP[religion])</f>
        <v>0</v>
      </c>
      <c r="V2" cm="1">
        <f t="array" ref="V2:V9">_xlfn.UNIQUE(AGCEEP[climate])</f>
        <v>0</v>
      </c>
      <c r="W2" cm="1">
        <f t="array" ref="W2:W109">_xlfn.UNIQUE(AGCEEP[culture])</f>
        <v>0</v>
      </c>
      <c r="X2" cm="1">
        <f t="array" ref="X2:X23">_xlfn.UNIQUE(AGCEEP[goods])</f>
        <v>0</v>
      </c>
    </row>
    <row r="3" spans="1:24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19</v>
      </c>
      <c r="K3">
        <v>9</v>
      </c>
      <c r="L3">
        <v>1</v>
      </c>
      <c r="M3">
        <v>1</v>
      </c>
      <c r="N3">
        <v>0</v>
      </c>
      <c r="Q3" t="str">
        <v>America</v>
      </c>
      <c r="R3" t="str">
        <v>North America</v>
      </c>
      <c r="S3" t="str">
        <v>Alaska</v>
      </c>
      <c r="T3" t="str">
        <v>mountain</v>
      </c>
      <c r="U3" t="str">
        <v>pagan</v>
      </c>
      <c r="V3" t="str">
        <v>arctic</v>
      </c>
      <c r="W3" t="str">
        <v>inuit</v>
      </c>
      <c r="X3" t="str">
        <v>fur</v>
      </c>
    </row>
    <row r="4" spans="1:24" x14ac:dyDescent="0.25">
      <c r="A4">
        <v>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20</v>
      </c>
      <c r="J4" t="s">
        <v>21</v>
      </c>
      <c r="K4">
        <v>8</v>
      </c>
      <c r="L4">
        <v>1</v>
      </c>
      <c r="M4">
        <v>1</v>
      </c>
      <c r="N4">
        <v>0</v>
      </c>
      <c r="Q4" t="str">
        <v>Europe</v>
      </c>
      <c r="R4" t="str">
        <v>Central America</v>
      </c>
      <c r="S4" t="str">
        <v>Oregon</v>
      </c>
      <c r="T4" t="str">
        <v>forest</v>
      </c>
      <c r="U4" t="str">
        <v>catholic</v>
      </c>
      <c r="V4" t="str">
        <v>ncontinental</v>
      </c>
      <c r="W4" t="str">
        <v>navajo</v>
      </c>
      <c r="X4" t="str">
        <v>wine</v>
      </c>
    </row>
    <row r="5" spans="1:24" x14ac:dyDescent="0.25">
      <c r="A5">
        <v>3</v>
      </c>
      <c r="B5" t="s">
        <v>11</v>
      </c>
      <c r="C5" t="s">
        <v>12</v>
      </c>
      <c r="D5" t="s">
        <v>13</v>
      </c>
      <c r="E5" t="s">
        <v>22</v>
      </c>
      <c r="F5" t="s">
        <v>15</v>
      </c>
      <c r="G5" t="s">
        <v>16</v>
      </c>
      <c r="H5" t="s">
        <v>17</v>
      </c>
      <c r="I5" t="s">
        <v>20</v>
      </c>
      <c r="J5" t="s">
        <v>24</v>
      </c>
      <c r="K5">
        <v>7</v>
      </c>
      <c r="L5">
        <v>1</v>
      </c>
      <c r="M5">
        <v>1</v>
      </c>
      <c r="N5">
        <v>0</v>
      </c>
      <c r="Q5" t="str">
        <v>Asia</v>
      </c>
      <c r="R5" t="str">
        <v>Caribbean</v>
      </c>
      <c r="S5" t="str">
        <v>California</v>
      </c>
      <c r="T5" t="str">
        <v>plains</v>
      </c>
      <c r="U5" t="str">
        <v>orthodox</v>
      </c>
      <c r="V5" t="str">
        <v>temperate</v>
      </c>
      <c r="W5" t="str">
        <v>aztec</v>
      </c>
      <c r="X5" t="str">
        <v>wool</v>
      </c>
    </row>
    <row r="6" spans="1:24" x14ac:dyDescent="0.25">
      <c r="A6">
        <v>4</v>
      </c>
      <c r="B6" t="s">
        <v>11</v>
      </c>
      <c r="C6" t="s">
        <v>12</v>
      </c>
      <c r="D6" t="s">
        <v>25</v>
      </c>
      <c r="E6" t="s">
        <v>14</v>
      </c>
      <c r="F6" t="s">
        <v>15</v>
      </c>
      <c r="G6" t="s">
        <v>26</v>
      </c>
      <c r="H6" t="s">
        <v>1682</v>
      </c>
      <c r="I6" t="s">
        <v>20</v>
      </c>
      <c r="J6" t="s">
        <v>28</v>
      </c>
      <c r="K6">
        <v>7</v>
      </c>
      <c r="L6">
        <v>2</v>
      </c>
      <c r="M6">
        <v>1</v>
      </c>
      <c r="N6">
        <v>0</v>
      </c>
      <c r="Q6" t="str">
        <v>Oceania</v>
      </c>
      <c r="R6" t="str">
        <v>South America</v>
      </c>
      <c r="S6" t="str">
        <v>Sonora</v>
      </c>
      <c r="T6" t="str">
        <v>desert</v>
      </c>
      <c r="U6" t="str">
        <v>sunni</v>
      </c>
      <c r="V6" t="str">
        <v>desertic</v>
      </c>
      <c r="W6" t="str">
        <v>zapotec</v>
      </c>
      <c r="X6" t="str">
        <v>salt</v>
      </c>
    </row>
    <row r="7" spans="1:24" x14ac:dyDescent="0.25">
      <c r="A7">
        <v>5</v>
      </c>
      <c r="B7" t="s">
        <v>11</v>
      </c>
      <c r="C7" t="s">
        <v>12</v>
      </c>
      <c r="D7" t="s">
        <v>25</v>
      </c>
      <c r="E7" t="s">
        <v>14</v>
      </c>
      <c r="F7" t="s">
        <v>15</v>
      </c>
      <c r="G7" t="s">
        <v>26</v>
      </c>
      <c r="H7" t="s">
        <v>1682</v>
      </c>
      <c r="I7" t="s">
        <v>20</v>
      </c>
      <c r="J7" t="s">
        <v>30</v>
      </c>
      <c r="K7">
        <v>6</v>
      </c>
      <c r="L7">
        <v>3</v>
      </c>
      <c r="M7">
        <v>1</v>
      </c>
      <c r="N7">
        <v>0</v>
      </c>
      <c r="Q7" t="str">
        <v>Africa</v>
      </c>
      <c r="R7" t="str">
        <v>British Isles</v>
      </c>
      <c r="S7" t="str">
        <v>Nevada</v>
      </c>
      <c r="T7" t="str">
        <v>marsh</v>
      </c>
      <c r="U7" t="str">
        <v>miaphysite</v>
      </c>
      <c r="V7" t="str">
        <v>tropical</v>
      </c>
      <c r="W7" t="str">
        <v>mayan</v>
      </c>
      <c r="X7" t="str">
        <v>gold</v>
      </c>
    </row>
    <row r="8" spans="1:24" x14ac:dyDescent="0.25">
      <c r="A8">
        <v>6</v>
      </c>
      <c r="B8" t="s">
        <v>11</v>
      </c>
      <c r="C8" t="s">
        <v>12</v>
      </c>
      <c r="D8" t="s">
        <v>25</v>
      </c>
      <c r="E8" t="s">
        <v>22</v>
      </c>
      <c r="F8" t="s">
        <v>15</v>
      </c>
      <c r="G8" t="s">
        <v>26</v>
      </c>
      <c r="H8" t="s">
        <v>1682</v>
      </c>
      <c r="I8" t="s">
        <v>20</v>
      </c>
      <c r="J8" t="s">
        <v>31</v>
      </c>
      <c r="K8">
        <v>4</v>
      </c>
      <c r="L8">
        <v>5</v>
      </c>
      <c r="M8">
        <v>1</v>
      </c>
      <c r="N8">
        <v>0</v>
      </c>
      <c r="R8" t="str">
        <v>Scandinavia</v>
      </c>
      <c r="S8" t="str">
        <v>Azteca</v>
      </c>
      <c r="T8" t="str">
        <v>sea</v>
      </c>
      <c r="U8" t="str">
        <v>shia</v>
      </c>
      <c r="V8" t="str">
        <v>tundra</v>
      </c>
      <c r="W8" t="str">
        <v>mesoamerican</v>
      </c>
      <c r="X8" t="str">
        <v>grain</v>
      </c>
    </row>
    <row r="9" spans="1:24" x14ac:dyDescent="0.25">
      <c r="A9">
        <v>7</v>
      </c>
      <c r="B9" t="s">
        <v>11</v>
      </c>
      <c r="C9" t="s">
        <v>12</v>
      </c>
      <c r="D9" t="s">
        <v>25</v>
      </c>
      <c r="E9" t="s">
        <v>22</v>
      </c>
      <c r="F9" t="s">
        <v>15</v>
      </c>
      <c r="G9" t="s">
        <v>26</v>
      </c>
      <c r="H9" t="s">
        <v>1682</v>
      </c>
      <c r="I9" t="s">
        <v>20</v>
      </c>
      <c r="J9" t="s">
        <v>32</v>
      </c>
      <c r="K9">
        <v>5</v>
      </c>
      <c r="L9">
        <v>3</v>
      </c>
      <c r="M9">
        <v>1</v>
      </c>
      <c r="N9">
        <v>0</v>
      </c>
      <c r="R9" t="str">
        <v>Eastern Europe</v>
      </c>
      <c r="S9" t="str">
        <v>Costa Rica</v>
      </c>
      <c r="T9" t="str">
        <v>river</v>
      </c>
      <c r="U9" t="str">
        <v>hindu</v>
      </c>
      <c r="V9" t="str">
        <v>scontinental</v>
      </c>
      <c r="W9" t="str">
        <v>creek</v>
      </c>
      <c r="X9" t="str">
        <v>sugar</v>
      </c>
    </row>
    <row r="10" spans="1:24" x14ac:dyDescent="0.25">
      <c r="A10">
        <v>8</v>
      </c>
      <c r="B10" t="s">
        <v>11</v>
      </c>
      <c r="C10" t="s">
        <v>12</v>
      </c>
      <c r="D10" t="s">
        <v>33</v>
      </c>
      <c r="E10" t="s">
        <v>34</v>
      </c>
      <c r="F10" t="s">
        <v>15</v>
      </c>
      <c r="G10" t="s">
        <v>35</v>
      </c>
      <c r="H10" t="s">
        <v>1682</v>
      </c>
      <c r="I10" t="s">
        <v>37</v>
      </c>
      <c r="J10" t="s">
        <v>38</v>
      </c>
      <c r="K10">
        <v>2</v>
      </c>
      <c r="L10">
        <v>7</v>
      </c>
      <c r="M10">
        <v>2</v>
      </c>
      <c r="N10">
        <v>0</v>
      </c>
      <c r="R10" t="str">
        <v>HRE</v>
      </c>
      <c r="S10" t="str">
        <v>Panama</v>
      </c>
      <c r="U10" t="str">
        <v>buddhist</v>
      </c>
      <c r="W10" t="str">
        <v>cherokee</v>
      </c>
      <c r="X10" t="str">
        <v>fish</v>
      </c>
    </row>
    <row r="11" spans="1:24" x14ac:dyDescent="0.25">
      <c r="A11">
        <v>9</v>
      </c>
      <c r="B11" t="s">
        <v>11</v>
      </c>
      <c r="C11" t="s">
        <v>12</v>
      </c>
      <c r="D11" t="s">
        <v>33</v>
      </c>
      <c r="E11" t="s">
        <v>14</v>
      </c>
      <c r="F11" t="s">
        <v>15</v>
      </c>
      <c r="G11" t="s">
        <v>35</v>
      </c>
      <c r="H11" t="s">
        <v>1682</v>
      </c>
      <c r="I11" t="s">
        <v>37</v>
      </c>
      <c r="J11" t="s">
        <v>39</v>
      </c>
      <c r="K11">
        <v>4</v>
      </c>
      <c r="L11">
        <v>5</v>
      </c>
      <c r="M11">
        <v>1</v>
      </c>
      <c r="N11">
        <v>0</v>
      </c>
      <c r="R11" t="str">
        <v>Central Europe</v>
      </c>
      <c r="S11" t="str">
        <v>Texas</v>
      </c>
      <c r="U11" t="str">
        <v>confucian</v>
      </c>
      <c r="W11" t="str">
        <v>native</v>
      </c>
      <c r="X11" t="str">
        <v>chinaware</v>
      </c>
    </row>
    <row r="12" spans="1:24" x14ac:dyDescent="0.25">
      <c r="A12">
        <v>10</v>
      </c>
      <c r="B12" t="s">
        <v>11</v>
      </c>
      <c r="C12" t="s">
        <v>12</v>
      </c>
      <c r="D12" t="s">
        <v>33</v>
      </c>
      <c r="E12" t="s">
        <v>14</v>
      </c>
      <c r="F12" t="s">
        <v>15</v>
      </c>
      <c r="G12" t="s">
        <v>35</v>
      </c>
      <c r="H12" t="s">
        <v>1682</v>
      </c>
      <c r="I12" t="s">
        <v>41</v>
      </c>
      <c r="J12" t="s">
        <v>42</v>
      </c>
      <c r="K12">
        <v>4</v>
      </c>
      <c r="L12">
        <v>4</v>
      </c>
      <c r="M12">
        <v>1</v>
      </c>
      <c r="N12">
        <v>0</v>
      </c>
      <c r="R12" t="str">
        <v>Western Europe</v>
      </c>
      <c r="S12" t="str">
        <v>Louisiane</v>
      </c>
      <c r="U12" t="str">
        <v>shinto</v>
      </c>
      <c r="W12" t="str">
        <v>shawnee</v>
      </c>
      <c r="X12" t="str">
        <v>naval_supplies</v>
      </c>
    </row>
    <row r="13" spans="1:24" x14ac:dyDescent="0.25">
      <c r="A13">
        <v>11</v>
      </c>
      <c r="B13" t="s">
        <v>11</v>
      </c>
      <c r="C13" t="s">
        <v>12</v>
      </c>
      <c r="D13" t="s">
        <v>33</v>
      </c>
      <c r="E13" t="s">
        <v>52</v>
      </c>
      <c r="F13" t="s">
        <v>15</v>
      </c>
      <c r="G13" t="s">
        <v>35</v>
      </c>
      <c r="H13" t="s">
        <v>1682</v>
      </c>
      <c r="I13" t="s">
        <v>41</v>
      </c>
      <c r="J13" t="s">
        <v>44</v>
      </c>
      <c r="K13">
        <v>3</v>
      </c>
      <c r="L13">
        <v>5</v>
      </c>
      <c r="M13">
        <v>2</v>
      </c>
      <c r="N13">
        <v>0</v>
      </c>
      <c r="R13" t="str">
        <v>Southern Europe</v>
      </c>
      <c r="S13" t="str">
        <v>Florida</v>
      </c>
      <c r="W13" t="str">
        <v>iroquis</v>
      </c>
      <c r="X13" t="str">
        <v>cotton</v>
      </c>
    </row>
    <row r="14" spans="1:24" x14ac:dyDescent="0.25">
      <c r="A14">
        <v>12</v>
      </c>
      <c r="B14" t="s">
        <v>11</v>
      </c>
      <c r="C14" t="s">
        <v>45</v>
      </c>
      <c r="D14" t="s">
        <v>46</v>
      </c>
      <c r="E14" t="s">
        <v>14</v>
      </c>
      <c r="F14" t="s">
        <v>15</v>
      </c>
      <c r="G14" t="s">
        <v>47</v>
      </c>
      <c r="H14" t="s">
        <v>1682</v>
      </c>
      <c r="I14" t="s">
        <v>41</v>
      </c>
      <c r="J14" t="s">
        <v>49</v>
      </c>
      <c r="K14">
        <v>8</v>
      </c>
      <c r="L14">
        <v>1</v>
      </c>
      <c r="M14">
        <v>1</v>
      </c>
      <c r="N14">
        <v>0</v>
      </c>
      <c r="R14" t="str">
        <v>Middle East</v>
      </c>
      <c r="S14" t="str">
        <v>Georgia</v>
      </c>
      <c r="W14" t="str">
        <v>dakota</v>
      </c>
      <c r="X14" t="str">
        <v>tobacco</v>
      </c>
    </row>
    <row r="15" spans="1:24" x14ac:dyDescent="0.25">
      <c r="A15">
        <v>13</v>
      </c>
      <c r="B15" t="s">
        <v>11</v>
      </c>
      <c r="C15" t="s">
        <v>45</v>
      </c>
      <c r="D15" t="s">
        <v>46</v>
      </c>
      <c r="E15" t="s">
        <v>14</v>
      </c>
      <c r="F15" t="s">
        <v>15</v>
      </c>
      <c r="G15" t="s">
        <v>47</v>
      </c>
      <c r="H15" t="s">
        <v>1682</v>
      </c>
      <c r="I15" t="s">
        <v>41</v>
      </c>
      <c r="J15" t="s">
        <v>50</v>
      </c>
      <c r="K15">
        <v>8</v>
      </c>
      <c r="L15">
        <v>1</v>
      </c>
      <c r="M15">
        <v>1</v>
      </c>
      <c r="N15">
        <v>0</v>
      </c>
      <c r="R15" t="str">
        <v>Central Asia</v>
      </c>
      <c r="S15" t="str">
        <v>Kansas</v>
      </c>
      <c r="W15" t="str">
        <v>huron</v>
      </c>
      <c r="X15" t="str">
        <v>iron</v>
      </c>
    </row>
    <row r="16" spans="1:24" x14ac:dyDescent="0.25">
      <c r="A16">
        <v>14</v>
      </c>
      <c r="B16" t="s">
        <v>11</v>
      </c>
      <c r="C16" t="s">
        <v>12</v>
      </c>
      <c r="D16" t="s">
        <v>51</v>
      </c>
      <c r="E16" t="s">
        <v>52</v>
      </c>
      <c r="F16" t="s">
        <v>15</v>
      </c>
      <c r="G16" t="s">
        <v>47</v>
      </c>
      <c r="H16" t="s">
        <v>1682</v>
      </c>
      <c r="I16" t="s">
        <v>53</v>
      </c>
      <c r="J16" t="s">
        <v>54</v>
      </c>
      <c r="K16">
        <v>9</v>
      </c>
      <c r="L16">
        <v>1</v>
      </c>
      <c r="M16">
        <v>1</v>
      </c>
      <c r="N16">
        <v>0</v>
      </c>
      <c r="R16" t="str">
        <v>Siberia</v>
      </c>
      <c r="S16" t="str">
        <v>Illinois</v>
      </c>
      <c r="W16" t="str">
        <v>abenaki</v>
      </c>
      <c r="X16" t="str">
        <v>copper</v>
      </c>
    </row>
    <row r="17" spans="1:24" x14ac:dyDescent="0.25">
      <c r="A17">
        <v>15</v>
      </c>
      <c r="B17" t="s">
        <v>11</v>
      </c>
      <c r="C17" t="s">
        <v>45</v>
      </c>
      <c r="D17" t="s">
        <v>46</v>
      </c>
      <c r="E17" t="s">
        <v>52</v>
      </c>
      <c r="F17" t="s">
        <v>15</v>
      </c>
      <c r="G17" t="s">
        <v>47</v>
      </c>
      <c r="H17" t="s">
        <v>1682</v>
      </c>
      <c r="I17" t="s">
        <v>18</v>
      </c>
      <c r="J17" t="s">
        <v>55</v>
      </c>
      <c r="K17">
        <v>6</v>
      </c>
      <c r="L17">
        <v>1</v>
      </c>
      <c r="M17">
        <v>1</v>
      </c>
      <c r="N17">
        <v>0</v>
      </c>
      <c r="R17" t="str">
        <v>India</v>
      </c>
      <c r="S17" t="str">
        <v>Appalachia</v>
      </c>
      <c r="W17" t="str">
        <v>cree</v>
      </c>
      <c r="X17" t="str">
        <v>coffee</v>
      </c>
    </row>
    <row r="18" spans="1:24" x14ac:dyDescent="0.25">
      <c r="A18">
        <v>16</v>
      </c>
      <c r="B18" t="s">
        <v>11</v>
      </c>
      <c r="C18" t="s">
        <v>12</v>
      </c>
      <c r="D18" t="s">
        <v>51</v>
      </c>
      <c r="E18" t="s">
        <v>52</v>
      </c>
      <c r="F18" t="s">
        <v>15</v>
      </c>
      <c r="G18" t="s">
        <v>47</v>
      </c>
      <c r="H18" t="s">
        <v>1682</v>
      </c>
      <c r="I18" t="s">
        <v>41</v>
      </c>
      <c r="J18" t="s">
        <v>56</v>
      </c>
      <c r="K18">
        <v>9</v>
      </c>
      <c r="L18">
        <v>1</v>
      </c>
      <c r="M18">
        <v>1</v>
      </c>
      <c r="N18">
        <v>0</v>
      </c>
      <c r="R18" t="str">
        <v>China</v>
      </c>
      <c r="S18" t="str">
        <v>Ohio</v>
      </c>
      <c r="W18" t="str">
        <v>caribbean</v>
      </c>
      <c r="X18" t="str">
        <v>spices</v>
      </c>
    </row>
    <row r="19" spans="1:24" x14ac:dyDescent="0.25">
      <c r="A19">
        <v>17</v>
      </c>
      <c r="B19" t="s">
        <v>11</v>
      </c>
      <c r="C19" t="s">
        <v>45</v>
      </c>
      <c r="D19" t="s">
        <v>46</v>
      </c>
      <c r="E19" t="s">
        <v>52</v>
      </c>
      <c r="F19" t="s">
        <v>15</v>
      </c>
      <c r="G19" t="s">
        <v>47</v>
      </c>
      <c r="H19" t="s">
        <v>1682</v>
      </c>
      <c r="I19" t="s">
        <v>41</v>
      </c>
      <c r="J19" t="s">
        <v>58</v>
      </c>
      <c r="K19">
        <v>7</v>
      </c>
      <c r="L19">
        <v>1</v>
      </c>
      <c r="M19">
        <v>1</v>
      </c>
      <c r="N19">
        <v>0</v>
      </c>
      <c r="R19" t="str">
        <v>Korea</v>
      </c>
      <c r="S19" t="str">
        <v>Grand Lacs</v>
      </c>
      <c r="W19" t="str">
        <v>guajiro</v>
      </c>
      <c r="X19" t="str">
        <v>nothing</v>
      </c>
    </row>
    <row r="20" spans="1:24" x14ac:dyDescent="0.25">
      <c r="A20">
        <v>18</v>
      </c>
      <c r="B20" t="s">
        <v>11</v>
      </c>
      <c r="C20" t="s">
        <v>12</v>
      </c>
      <c r="D20" t="s">
        <v>51</v>
      </c>
      <c r="E20" t="s">
        <v>14</v>
      </c>
      <c r="F20" t="s">
        <v>15</v>
      </c>
      <c r="G20" t="s">
        <v>47</v>
      </c>
      <c r="H20" t="s">
        <v>1682</v>
      </c>
      <c r="I20" t="s">
        <v>41</v>
      </c>
      <c r="J20" t="s">
        <v>60</v>
      </c>
      <c r="K20">
        <v>9</v>
      </c>
      <c r="L20">
        <v>1</v>
      </c>
      <c r="M20">
        <v>1</v>
      </c>
      <c r="N20">
        <v>0</v>
      </c>
      <c r="R20" t="str">
        <v>Indochina</v>
      </c>
      <c r="S20" t="str">
        <v>Plaines</v>
      </c>
      <c r="W20" t="str">
        <v>andean</v>
      </c>
      <c r="X20" t="str">
        <v>slaves</v>
      </c>
    </row>
    <row r="21" spans="1:24" x14ac:dyDescent="0.25">
      <c r="A21">
        <v>19</v>
      </c>
      <c r="B21" t="s">
        <v>11</v>
      </c>
      <c r="C21" t="s">
        <v>12</v>
      </c>
      <c r="D21" t="s">
        <v>51</v>
      </c>
      <c r="E21" t="s">
        <v>14</v>
      </c>
      <c r="F21" t="s">
        <v>15</v>
      </c>
      <c r="G21" t="s">
        <v>35</v>
      </c>
      <c r="H21" t="s">
        <v>1682</v>
      </c>
      <c r="I21" t="s">
        <v>41</v>
      </c>
      <c r="J21" t="s">
        <v>61</v>
      </c>
      <c r="K21">
        <v>8</v>
      </c>
      <c r="L21">
        <v>1</v>
      </c>
      <c r="M21">
        <v>1</v>
      </c>
      <c r="N21">
        <v>0</v>
      </c>
      <c r="R21" t="str">
        <v>Indonesia</v>
      </c>
      <c r="S21" t="str">
        <v>Maine</v>
      </c>
      <c r="W21" t="str">
        <v>teremembe</v>
      </c>
      <c r="X21" t="str">
        <v>cloth</v>
      </c>
    </row>
    <row r="22" spans="1:24" x14ac:dyDescent="0.25">
      <c r="A22">
        <v>20</v>
      </c>
      <c r="B22" t="s">
        <v>11</v>
      </c>
      <c r="C22" t="s">
        <v>45</v>
      </c>
      <c r="D22" t="s">
        <v>46</v>
      </c>
      <c r="E22" t="s">
        <v>52</v>
      </c>
      <c r="F22" t="s">
        <v>15</v>
      </c>
      <c r="G22" t="s">
        <v>47</v>
      </c>
      <c r="H22" t="s">
        <v>1682</v>
      </c>
      <c r="I22" t="s">
        <v>41</v>
      </c>
      <c r="J22" t="s">
        <v>62</v>
      </c>
      <c r="K22">
        <v>7</v>
      </c>
      <c r="L22">
        <v>1</v>
      </c>
      <c r="M22">
        <v>1</v>
      </c>
      <c r="N22">
        <v>0</v>
      </c>
      <c r="R22" t="str">
        <v>Japan</v>
      </c>
      <c r="S22" t="str">
        <v>Quebec</v>
      </c>
      <c r="W22" t="str">
        <v>tupinamba</v>
      </c>
      <c r="X22" t="str">
        <v>tea</v>
      </c>
    </row>
    <row r="23" spans="1:24" x14ac:dyDescent="0.25">
      <c r="A23">
        <v>21</v>
      </c>
      <c r="B23" t="s">
        <v>11</v>
      </c>
      <c r="C23" t="s">
        <v>45</v>
      </c>
      <c r="D23" t="s">
        <v>46</v>
      </c>
      <c r="E23" t="s">
        <v>14</v>
      </c>
      <c r="F23" t="s">
        <v>15</v>
      </c>
      <c r="G23" t="s">
        <v>47</v>
      </c>
      <c r="H23" t="s">
        <v>1682</v>
      </c>
      <c r="I23" t="s">
        <v>43</v>
      </c>
      <c r="J23" t="s">
        <v>63</v>
      </c>
      <c r="K23">
        <v>7</v>
      </c>
      <c r="L23">
        <v>1</v>
      </c>
      <c r="M23">
        <v>1</v>
      </c>
      <c r="N23">
        <v>0</v>
      </c>
      <c r="R23" t="str">
        <v>Australia</v>
      </c>
      <c r="S23" t="str">
        <v>Acadie</v>
      </c>
      <c r="W23" t="str">
        <v>mataco</v>
      </c>
      <c r="X23" t="str">
        <v>ivory</v>
      </c>
    </row>
    <row r="24" spans="1:24" x14ac:dyDescent="0.25">
      <c r="A24">
        <v>22</v>
      </c>
      <c r="B24" t="s">
        <v>11</v>
      </c>
      <c r="C24" t="s">
        <v>12</v>
      </c>
      <c r="D24" t="s">
        <v>51</v>
      </c>
      <c r="E24" t="s">
        <v>34</v>
      </c>
      <c r="F24" t="s">
        <v>15</v>
      </c>
      <c r="G24" t="s">
        <v>35</v>
      </c>
      <c r="H24" t="s">
        <v>1682</v>
      </c>
      <c r="I24" t="s">
        <v>41</v>
      </c>
      <c r="J24" t="s">
        <v>65</v>
      </c>
      <c r="K24">
        <v>7</v>
      </c>
      <c r="L24">
        <v>2</v>
      </c>
      <c r="M24">
        <v>1</v>
      </c>
      <c r="N24">
        <v>0</v>
      </c>
      <c r="R24" t="str">
        <v>North Africa</v>
      </c>
      <c r="S24" t="str">
        <v>Newfoundland</v>
      </c>
      <c r="W24" t="str">
        <v>celtic</v>
      </c>
    </row>
    <row r="25" spans="1:24" x14ac:dyDescent="0.25">
      <c r="A25">
        <v>23</v>
      </c>
      <c r="B25" t="s">
        <v>11</v>
      </c>
      <c r="C25" t="s">
        <v>45</v>
      </c>
      <c r="D25" t="s">
        <v>46</v>
      </c>
      <c r="E25" t="s">
        <v>52</v>
      </c>
      <c r="F25" t="s">
        <v>15</v>
      </c>
      <c r="G25" t="s">
        <v>47</v>
      </c>
      <c r="H25" t="s">
        <v>1682</v>
      </c>
      <c r="I25" t="s">
        <v>41</v>
      </c>
      <c r="J25" t="s">
        <v>66</v>
      </c>
      <c r="K25">
        <v>7</v>
      </c>
      <c r="L25">
        <v>1</v>
      </c>
      <c r="M25">
        <v>1</v>
      </c>
      <c r="N25">
        <v>0</v>
      </c>
      <c r="R25" t="str">
        <v>East Africa</v>
      </c>
      <c r="S25" t="str">
        <v>Labrador</v>
      </c>
      <c r="W25" t="str">
        <v>english</v>
      </c>
    </row>
    <row r="26" spans="1:24" x14ac:dyDescent="0.25">
      <c r="A26">
        <v>24</v>
      </c>
      <c r="B26" t="s">
        <v>11</v>
      </c>
      <c r="C26" t="s">
        <v>45</v>
      </c>
      <c r="D26" t="s">
        <v>67</v>
      </c>
      <c r="E26" t="s">
        <v>14</v>
      </c>
      <c r="F26" t="s">
        <v>15</v>
      </c>
      <c r="G26" t="s">
        <v>35</v>
      </c>
      <c r="H26" t="s">
        <v>68</v>
      </c>
      <c r="I26" t="s">
        <v>18</v>
      </c>
      <c r="J26" t="s">
        <v>69</v>
      </c>
      <c r="K26">
        <v>3</v>
      </c>
      <c r="L26">
        <v>5</v>
      </c>
      <c r="M26">
        <v>1</v>
      </c>
      <c r="N26">
        <v>0</v>
      </c>
      <c r="R26" t="str">
        <v>South Africa</v>
      </c>
      <c r="S26" t="str">
        <v>Hudson Bay</v>
      </c>
      <c r="W26" t="str">
        <v>scandinavian</v>
      </c>
    </row>
    <row r="27" spans="1:24" x14ac:dyDescent="0.25">
      <c r="A27">
        <v>25</v>
      </c>
      <c r="B27" t="s">
        <v>11</v>
      </c>
      <c r="C27" t="s">
        <v>45</v>
      </c>
      <c r="D27" t="s">
        <v>46</v>
      </c>
      <c r="E27" t="s">
        <v>34</v>
      </c>
      <c r="F27" t="s">
        <v>15</v>
      </c>
      <c r="G27" t="s">
        <v>35</v>
      </c>
      <c r="H27" t="s">
        <v>68</v>
      </c>
      <c r="I27" t="s">
        <v>18</v>
      </c>
      <c r="J27" t="s">
        <v>70</v>
      </c>
      <c r="K27">
        <v>6</v>
      </c>
      <c r="L27">
        <v>2</v>
      </c>
      <c r="M27">
        <v>1</v>
      </c>
      <c r="N27">
        <v>0</v>
      </c>
      <c r="R27" t="str">
        <v>West Africa</v>
      </c>
      <c r="S27" t="str">
        <v>Cuba</v>
      </c>
      <c r="W27" t="str">
        <v>ugric</v>
      </c>
    </row>
    <row r="28" spans="1:24" x14ac:dyDescent="0.25">
      <c r="A28">
        <v>26</v>
      </c>
      <c r="B28" t="s">
        <v>11</v>
      </c>
      <c r="C28" t="s">
        <v>45</v>
      </c>
      <c r="D28" t="s">
        <v>67</v>
      </c>
      <c r="E28" t="s">
        <v>14</v>
      </c>
      <c r="F28" t="s">
        <v>15</v>
      </c>
      <c r="G28" t="s">
        <v>35</v>
      </c>
      <c r="H28" t="s">
        <v>68</v>
      </c>
      <c r="I28" t="s">
        <v>18</v>
      </c>
      <c r="J28" t="s">
        <v>1683</v>
      </c>
      <c r="K28">
        <v>3</v>
      </c>
      <c r="L28">
        <v>7</v>
      </c>
      <c r="M28">
        <v>3</v>
      </c>
      <c r="N28">
        <v>0</v>
      </c>
      <c r="R28" t="str">
        <v>Pacific</v>
      </c>
      <c r="S28" t="str">
        <v>Haiti</v>
      </c>
      <c r="W28" t="str">
        <v>russian</v>
      </c>
    </row>
    <row r="29" spans="1:24" x14ac:dyDescent="0.25">
      <c r="A29">
        <v>27</v>
      </c>
      <c r="B29" t="s">
        <v>11</v>
      </c>
      <c r="C29" t="s">
        <v>45</v>
      </c>
      <c r="D29" t="s">
        <v>67</v>
      </c>
      <c r="E29" t="s">
        <v>14</v>
      </c>
      <c r="F29" t="s">
        <v>15</v>
      </c>
      <c r="G29" t="s">
        <v>35</v>
      </c>
      <c r="H29" t="s">
        <v>68</v>
      </c>
      <c r="I29" t="s">
        <v>18</v>
      </c>
      <c r="J29" t="s">
        <v>1684</v>
      </c>
      <c r="K29">
        <v>3</v>
      </c>
      <c r="L29">
        <v>8</v>
      </c>
      <c r="M29">
        <v>3</v>
      </c>
      <c r="N29">
        <v>0</v>
      </c>
      <c r="R29" t="str">
        <v>NWPacificSea</v>
      </c>
      <c r="S29" t="str">
        <v>Antilles</v>
      </c>
      <c r="W29" t="str">
        <v>ruthenian</v>
      </c>
    </row>
    <row r="30" spans="1:24" x14ac:dyDescent="0.25">
      <c r="A30">
        <v>28</v>
      </c>
      <c r="B30" t="s">
        <v>11</v>
      </c>
      <c r="C30" t="s">
        <v>45</v>
      </c>
      <c r="D30" t="s">
        <v>46</v>
      </c>
      <c r="E30" t="s">
        <v>34</v>
      </c>
      <c r="F30" t="s">
        <v>15</v>
      </c>
      <c r="G30" t="s">
        <v>35</v>
      </c>
      <c r="H30" t="s">
        <v>68</v>
      </c>
      <c r="I30" t="s">
        <v>73</v>
      </c>
      <c r="J30" t="s">
        <v>74</v>
      </c>
      <c r="K30">
        <v>6</v>
      </c>
      <c r="L30">
        <v>3</v>
      </c>
      <c r="M30">
        <v>2</v>
      </c>
      <c r="N30">
        <v>0</v>
      </c>
      <c r="R30" t="str">
        <v>AlaskaSea</v>
      </c>
      <c r="S30" t="str">
        <v>Guiana</v>
      </c>
      <c r="W30" t="str">
        <v>baltic</v>
      </c>
    </row>
    <row r="31" spans="1:24" x14ac:dyDescent="0.25">
      <c r="A31">
        <v>29</v>
      </c>
      <c r="B31" t="s">
        <v>11</v>
      </c>
      <c r="C31" t="s">
        <v>45</v>
      </c>
      <c r="D31" t="s">
        <v>67</v>
      </c>
      <c r="E31" t="s">
        <v>34</v>
      </c>
      <c r="F31" t="s">
        <v>15</v>
      </c>
      <c r="G31" t="s">
        <v>75</v>
      </c>
      <c r="H31" t="s">
        <v>76</v>
      </c>
      <c r="I31" t="s">
        <v>43</v>
      </c>
      <c r="J31" t="s">
        <v>77</v>
      </c>
      <c r="K31">
        <v>4</v>
      </c>
      <c r="L31">
        <v>5</v>
      </c>
      <c r="M31">
        <v>2</v>
      </c>
      <c r="N31">
        <v>0</v>
      </c>
      <c r="R31" t="str">
        <v>HudsonBaySea</v>
      </c>
      <c r="S31" t="str">
        <v>Orenoque</v>
      </c>
      <c r="W31" t="str">
        <v>polish</v>
      </c>
    </row>
    <row r="32" spans="1:24" x14ac:dyDescent="0.25">
      <c r="A32">
        <v>30</v>
      </c>
      <c r="B32" t="s">
        <v>11</v>
      </c>
      <c r="C32" t="s">
        <v>45</v>
      </c>
      <c r="D32" t="s">
        <v>67</v>
      </c>
      <c r="E32" t="s">
        <v>34</v>
      </c>
      <c r="F32" t="s">
        <v>15</v>
      </c>
      <c r="G32" t="s">
        <v>75</v>
      </c>
      <c r="H32" t="s">
        <v>76</v>
      </c>
      <c r="I32" t="s">
        <v>27</v>
      </c>
      <c r="J32" t="s">
        <v>78</v>
      </c>
      <c r="K32">
        <v>4</v>
      </c>
      <c r="L32">
        <v>5</v>
      </c>
      <c r="M32">
        <v>1</v>
      </c>
      <c r="N32">
        <v>0</v>
      </c>
      <c r="R32" t="str">
        <v>ArcticSeaSea</v>
      </c>
      <c r="S32" t="str">
        <v>Ecuador</v>
      </c>
      <c r="W32" t="str">
        <v>tatar</v>
      </c>
    </row>
    <row r="33" spans="1:23" x14ac:dyDescent="0.25">
      <c r="A33">
        <v>31</v>
      </c>
      <c r="B33" t="s">
        <v>11</v>
      </c>
      <c r="C33" t="s">
        <v>45</v>
      </c>
      <c r="D33" t="s">
        <v>67</v>
      </c>
      <c r="E33" t="s">
        <v>14</v>
      </c>
      <c r="F33" t="s">
        <v>15</v>
      </c>
      <c r="G33" t="s">
        <v>75</v>
      </c>
      <c r="H33" t="s">
        <v>76</v>
      </c>
      <c r="I33" t="s">
        <v>685</v>
      </c>
      <c r="J33" t="s">
        <v>79</v>
      </c>
      <c r="K33">
        <v>3</v>
      </c>
      <c r="L33">
        <v>3</v>
      </c>
      <c r="M33">
        <v>1</v>
      </c>
      <c r="N33">
        <v>0</v>
      </c>
      <c r="R33" t="str">
        <v>KamtchatkaSea</v>
      </c>
      <c r="S33" t="str">
        <v>Inca</v>
      </c>
      <c r="W33" t="str">
        <v>german</v>
      </c>
    </row>
    <row r="34" spans="1:23" x14ac:dyDescent="0.25">
      <c r="A34">
        <v>32</v>
      </c>
      <c r="B34" t="s">
        <v>11</v>
      </c>
      <c r="C34" t="s">
        <v>45</v>
      </c>
      <c r="D34" t="s">
        <v>67</v>
      </c>
      <c r="E34" t="s">
        <v>80</v>
      </c>
      <c r="F34" t="s">
        <v>15</v>
      </c>
      <c r="G34" t="s">
        <v>75</v>
      </c>
      <c r="H34" t="s">
        <v>81</v>
      </c>
      <c r="I34" t="s">
        <v>41</v>
      </c>
      <c r="J34" t="s">
        <v>82</v>
      </c>
      <c r="K34">
        <v>5</v>
      </c>
      <c r="L34">
        <v>5</v>
      </c>
      <c r="M34">
        <v>1</v>
      </c>
      <c r="N34">
        <v>0</v>
      </c>
      <c r="R34" t="str">
        <v>ENACoastSea</v>
      </c>
      <c r="S34" t="str">
        <v>Chili</v>
      </c>
      <c r="W34" t="str">
        <v>czech</v>
      </c>
    </row>
    <row r="35" spans="1:23" x14ac:dyDescent="0.25">
      <c r="A35">
        <v>33</v>
      </c>
      <c r="B35" t="s">
        <v>11</v>
      </c>
      <c r="C35" t="s">
        <v>45</v>
      </c>
      <c r="D35" t="s">
        <v>83</v>
      </c>
      <c r="E35" t="s">
        <v>14</v>
      </c>
      <c r="F35" t="s">
        <v>15</v>
      </c>
      <c r="G35" t="s">
        <v>75</v>
      </c>
      <c r="H35" t="s">
        <v>81</v>
      </c>
      <c r="I35" t="s">
        <v>685</v>
      </c>
      <c r="J35" t="s">
        <v>85</v>
      </c>
      <c r="K35">
        <v>4</v>
      </c>
      <c r="L35">
        <v>3</v>
      </c>
      <c r="M35">
        <v>1</v>
      </c>
      <c r="N35">
        <v>0</v>
      </c>
      <c r="R35" t="str">
        <v>NAtlanticSea</v>
      </c>
      <c r="S35" t="str">
        <v>Amazonia</v>
      </c>
      <c r="W35" t="str">
        <v>slovak</v>
      </c>
    </row>
    <row r="36" spans="1:23" x14ac:dyDescent="0.25">
      <c r="A36">
        <v>34</v>
      </c>
      <c r="B36" t="s">
        <v>11</v>
      </c>
      <c r="C36" t="s">
        <v>45</v>
      </c>
      <c r="D36" t="s">
        <v>83</v>
      </c>
      <c r="E36" t="s">
        <v>80</v>
      </c>
      <c r="F36" t="s">
        <v>15</v>
      </c>
      <c r="G36" t="s">
        <v>75</v>
      </c>
      <c r="H36" t="s">
        <v>81</v>
      </c>
      <c r="I36" t="s">
        <v>685</v>
      </c>
      <c r="J36" t="s">
        <v>86</v>
      </c>
      <c r="K36">
        <v>6</v>
      </c>
      <c r="L36">
        <v>4</v>
      </c>
      <c r="M36">
        <v>1</v>
      </c>
      <c r="N36">
        <v>0</v>
      </c>
      <c r="R36" t="str">
        <v>NorthSeaSea</v>
      </c>
      <c r="S36" t="str">
        <v>Belem</v>
      </c>
      <c r="W36" t="str">
        <v>magyar</v>
      </c>
    </row>
    <row r="37" spans="1:23" x14ac:dyDescent="0.25">
      <c r="A37">
        <v>35</v>
      </c>
      <c r="B37" t="s">
        <v>11</v>
      </c>
      <c r="C37" t="s">
        <v>45</v>
      </c>
      <c r="D37" t="s">
        <v>83</v>
      </c>
      <c r="E37" t="s">
        <v>22</v>
      </c>
      <c r="F37" t="s">
        <v>15</v>
      </c>
      <c r="G37" t="s">
        <v>75</v>
      </c>
      <c r="H37" t="s">
        <v>81</v>
      </c>
      <c r="I37" t="s">
        <v>685</v>
      </c>
      <c r="J37" t="s">
        <v>87</v>
      </c>
      <c r="K37">
        <v>7</v>
      </c>
      <c r="L37">
        <v>2</v>
      </c>
      <c r="M37">
        <v>1</v>
      </c>
      <c r="N37">
        <v>0</v>
      </c>
      <c r="R37" t="str">
        <v>ScandinaviaSea</v>
      </c>
      <c r="S37" t="str">
        <v>Recife</v>
      </c>
      <c r="W37" t="str">
        <v>romanian</v>
      </c>
    </row>
    <row r="38" spans="1:23" x14ac:dyDescent="0.25">
      <c r="A38">
        <v>36</v>
      </c>
      <c r="B38" t="s">
        <v>11</v>
      </c>
      <c r="C38" t="s">
        <v>45</v>
      </c>
      <c r="D38" t="s">
        <v>83</v>
      </c>
      <c r="E38" t="s">
        <v>22</v>
      </c>
      <c r="F38" t="s">
        <v>15</v>
      </c>
      <c r="G38" t="s">
        <v>75</v>
      </c>
      <c r="H38" t="s">
        <v>88</v>
      </c>
      <c r="I38" t="s">
        <v>41</v>
      </c>
      <c r="J38" t="s">
        <v>89</v>
      </c>
      <c r="K38">
        <v>5</v>
      </c>
      <c r="L38">
        <v>3</v>
      </c>
      <c r="M38">
        <v>1</v>
      </c>
      <c r="N38">
        <v>0</v>
      </c>
      <c r="R38" t="str">
        <v>JapanSea</v>
      </c>
      <c r="S38" t="str">
        <v>Bahia</v>
      </c>
      <c r="W38" t="str">
        <v>slavonic</v>
      </c>
    </row>
    <row r="39" spans="1:23" x14ac:dyDescent="0.25">
      <c r="A39">
        <v>37</v>
      </c>
      <c r="B39" t="s">
        <v>11</v>
      </c>
      <c r="C39" t="s">
        <v>45</v>
      </c>
      <c r="D39" t="s">
        <v>83</v>
      </c>
      <c r="E39" t="s">
        <v>80</v>
      </c>
      <c r="F39" t="s">
        <v>15</v>
      </c>
      <c r="G39" t="s">
        <v>75</v>
      </c>
      <c r="H39" t="s">
        <v>88</v>
      </c>
      <c r="I39" t="s">
        <v>41</v>
      </c>
      <c r="J39" t="s">
        <v>90</v>
      </c>
      <c r="K39">
        <v>6</v>
      </c>
      <c r="L39">
        <v>1</v>
      </c>
      <c r="M39">
        <v>1</v>
      </c>
      <c r="N39">
        <v>0</v>
      </c>
      <c r="R39" t="str">
        <v>EPacificSea</v>
      </c>
      <c r="S39" t="str">
        <v>Rio</v>
      </c>
      <c r="W39" t="str">
        <v>dutch</v>
      </c>
    </row>
    <row r="40" spans="1:23" x14ac:dyDescent="0.25">
      <c r="A40">
        <v>38</v>
      </c>
      <c r="B40" t="s">
        <v>11</v>
      </c>
      <c r="C40" t="s">
        <v>45</v>
      </c>
      <c r="D40" t="s">
        <v>93</v>
      </c>
      <c r="E40" t="s">
        <v>80</v>
      </c>
      <c r="F40" t="s">
        <v>15</v>
      </c>
      <c r="G40" t="s">
        <v>75</v>
      </c>
      <c r="H40" t="s">
        <v>88</v>
      </c>
      <c r="I40" t="s">
        <v>43</v>
      </c>
      <c r="J40" t="s">
        <v>92</v>
      </c>
      <c r="K40">
        <v>7</v>
      </c>
      <c r="L40">
        <v>3</v>
      </c>
      <c r="M40">
        <v>1</v>
      </c>
      <c r="N40">
        <v>0</v>
      </c>
      <c r="R40" t="str">
        <v>CaribbeanSea</v>
      </c>
      <c r="S40" t="str">
        <v>La Plata</v>
      </c>
      <c r="W40" t="str">
        <v>greek</v>
      </c>
    </row>
    <row r="41" spans="1:23" x14ac:dyDescent="0.25">
      <c r="A41">
        <v>39</v>
      </c>
      <c r="B41" t="s">
        <v>11</v>
      </c>
      <c r="C41" t="s">
        <v>45</v>
      </c>
      <c r="D41" t="s">
        <v>93</v>
      </c>
      <c r="E41" t="s">
        <v>80</v>
      </c>
      <c r="F41" t="s">
        <v>15</v>
      </c>
      <c r="G41" t="s">
        <v>75</v>
      </c>
      <c r="H41" t="s">
        <v>88</v>
      </c>
      <c r="I41" t="s">
        <v>1612</v>
      </c>
      <c r="J41" t="s">
        <v>94</v>
      </c>
      <c r="K41">
        <v>6</v>
      </c>
      <c r="L41">
        <v>2</v>
      </c>
      <c r="M41">
        <v>1</v>
      </c>
      <c r="N41">
        <v>0</v>
      </c>
      <c r="R41" t="str">
        <v>BiscaySea</v>
      </c>
      <c r="S41" t="str">
        <v>Paraguay</v>
      </c>
      <c r="W41" t="str">
        <v>albanian</v>
      </c>
    </row>
    <row r="42" spans="1:23" x14ac:dyDescent="0.25">
      <c r="A42">
        <v>40</v>
      </c>
      <c r="B42" t="s">
        <v>11</v>
      </c>
      <c r="C42" t="s">
        <v>12</v>
      </c>
      <c r="D42" t="s">
        <v>64</v>
      </c>
      <c r="E42" t="s">
        <v>34</v>
      </c>
      <c r="F42" t="s">
        <v>15</v>
      </c>
      <c r="G42" t="s">
        <v>35</v>
      </c>
      <c r="H42" t="s">
        <v>1682</v>
      </c>
      <c r="I42" t="s">
        <v>41</v>
      </c>
      <c r="J42" t="s">
        <v>95</v>
      </c>
      <c r="K42">
        <v>6</v>
      </c>
      <c r="L42">
        <v>2</v>
      </c>
      <c r="M42">
        <v>1</v>
      </c>
      <c r="N42">
        <v>0</v>
      </c>
      <c r="R42" t="str">
        <v>ChinaSea</v>
      </c>
      <c r="S42" t="str">
        <v>Patagonia</v>
      </c>
      <c r="W42" t="str">
        <v>dalmatian</v>
      </c>
    </row>
    <row r="43" spans="1:23" x14ac:dyDescent="0.25">
      <c r="A43">
        <v>41</v>
      </c>
      <c r="B43" t="s">
        <v>11</v>
      </c>
      <c r="C43" t="s">
        <v>12</v>
      </c>
      <c r="D43" t="s">
        <v>64</v>
      </c>
      <c r="E43" t="s">
        <v>34</v>
      </c>
      <c r="F43" t="s">
        <v>15</v>
      </c>
      <c r="G43" t="s">
        <v>35</v>
      </c>
      <c r="H43" t="s">
        <v>1682</v>
      </c>
      <c r="I43" t="s">
        <v>41</v>
      </c>
      <c r="J43" t="s">
        <v>97</v>
      </c>
      <c r="K43">
        <v>4</v>
      </c>
      <c r="L43">
        <v>3</v>
      </c>
      <c r="M43">
        <v>1</v>
      </c>
      <c r="N43">
        <v>0</v>
      </c>
      <c r="R43" t="str">
        <v>WPacificSea</v>
      </c>
      <c r="S43" t="str">
        <v>Falklands</v>
      </c>
      <c r="W43" t="str">
        <v>lombard</v>
      </c>
    </row>
    <row r="44" spans="1:23" x14ac:dyDescent="0.25">
      <c r="A44">
        <v>42</v>
      </c>
      <c r="B44" t="s">
        <v>11</v>
      </c>
      <c r="C44" t="s">
        <v>12</v>
      </c>
      <c r="D44" t="s">
        <v>64</v>
      </c>
      <c r="E44" t="s">
        <v>34</v>
      </c>
      <c r="F44" t="s">
        <v>15</v>
      </c>
      <c r="G44" t="s">
        <v>35</v>
      </c>
      <c r="H44" t="s">
        <v>1682</v>
      </c>
      <c r="I44" t="s">
        <v>43</v>
      </c>
      <c r="J44" t="s">
        <v>98</v>
      </c>
      <c r="K44">
        <v>5</v>
      </c>
      <c r="L44">
        <v>2</v>
      </c>
      <c r="M44">
        <v>1</v>
      </c>
      <c r="N44">
        <v>0</v>
      </c>
      <c r="R44" t="str">
        <v>NCAtlanticSea</v>
      </c>
      <c r="S44" t="str">
        <v>Ireland</v>
      </c>
      <c r="W44" t="str">
        <v>french</v>
      </c>
    </row>
    <row r="45" spans="1:23" x14ac:dyDescent="0.25">
      <c r="A45">
        <v>43</v>
      </c>
      <c r="B45" t="s">
        <v>11</v>
      </c>
      <c r="C45" t="s">
        <v>12</v>
      </c>
      <c r="D45" t="s">
        <v>64</v>
      </c>
      <c r="E45" t="s">
        <v>80</v>
      </c>
      <c r="F45" t="s">
        <v>15</v>
      </c>
      <c r="G45" t="s">
        <v>35</v>
      </c>
      <c r="H45" t="s">
        <v>1682</v>
      </c>
      <c r="I45" t="s">
        <v>43</v>
      </c>
      <c r="J45" t="s">
        <v>99</v>
      </c>
      <c r="K45">
        <v>5</v>
      </c>
      <c r="L45">
        <v>3</v>
      </c>
      <c r="M45">
        <v>1</v>
      </c>
      <c r="N45">
        <v>0</v>
      </c>
      <c r="R45" t="str">
        <v>TagoSea</v>
      </c>
      <c r="S45" t="str">
        <v>Scotland</v>
      </c>
      <c r="W45" t="str">
        <v>swiss</v>
      </c>
    </row>
    <row r="46" spans="1:23" x14ac:dyDescent="0.25">
      <c r="A46">
        <v>44</v>
      </c>
      <c r="B46" t="s">
        <v>11</v>
      </c>
      <c r="C46" t="s">
        <v>12</v>
      </c>
      <c r="D46" t="s">
        <v>64</v>
      </c>
      <c r="E46" t="s">
        <v>34</v>
      </c>
      <c r="F46" t="s">
        <v>15</v>
      </c>
      <c r="G46" t="s">
        <v>35</v>
      </c>
      <c r="H46" t="s">
        <v>1682</v>
      </c>
      <c r="I46" t="s">
        <v>43</v>
      </c>
      <c r="J46" t="s">
        <v>101</v>
      </c>
      <c r="K46">
        <v>5</v>
      </c>
      <c r="L46">
        <v>3</v>
      </c>
      <c r="M46">
        <v>1</v>
      </c>
      <c r="N46">
        <v>0</v>
      </c>
      <c r="R46" t="str">
        <v>WMedSea</v>
      </c>
      <c r="S46" t="str">
        <v>England</v>
      </c>
      <c r="W46" t="str">
        <v>italian</v>
      </c>
    </row>
    <row r="47" spans="1:23" x14ac:dyDescent="0.25">
      <c r="A47">
        <v>45</v>
      </c>
      <c r="B47" t="s">
        <v>11</v>
      </c>
      <c r="C47" t="s">
        <v>12</v>
      </c>
      <c r="D47" t="s">
        <v>100</v>
      </c>
      <c r="E47" t="s">
        <v>80</v>
      </c>
      <c r="F47" t="s">
        <v>15</v>
      </c>
      <c r="G47" t="s">
        <v>35</v>
      </c>
      <c r="H47" t="s">
        <v>1682</v>
      </c>
      <c r="I47" t="s">
        <v>103</v>
      </c>
      <c r="J47" t="s">
        <v>104</v>
      </c>
      <c r="K47">
        <v>6</v>
      </c>
      <c r="L47">
        <v>5</v>
      </c>
      <c r="M47">
        <v>1</v>
      </c>
      <c r="N47">
        <v>0</v>
      </c>
      <c r="R47" t="str">
        <v>EMedSea</v>
      </c>
      <c r="S47" t="str">
        <v>Denmark</v>
      </c>
      <c r="W47" t="str">
        <v>basque</v>
      </c>
    </row>
    <row r="48" spans="1:23" x14ac:dyDescent="0.25">
      <c r="A48">
        <v>46</v>
      </c>
      <c r="B48" t="s">
        <v>11</v>
      </c>
      <c r="C48" t="s">
        <v>12</v>
      </c>
      <c r="D48" t="s">
        <v>100</v>
      </c>
      <c r="E48" t="s">
        <v>80</v>
      </c>
      <c r="F48" t="s">
        <v>15</v>
      </c>
      <c r="G48" t="s">
        <v>35</v>
      </c>
      <c r="H48" t="s">
        <v>102</v>
      </c>
      <c r="I48" t="s">
        <v>103</v>
      </c>
      <c r="J48" t="s">
        <v>105</v>
      </c>
      <c r="K48">
        <v>6</v>
      </c>
      <c r="L48">
        <v>5</v>
      </c>
      <c r="M48">
        <v>1</v>
      </c>
      <c r="N48">
        <v>0</v>
      </c>
      <c r="R48" t="str">
        <v>SEPacificSea</v>
      </c>
      <c r="S48" t="str">
        <v>Sweden</v>
      </c>
      <c r="W48" t="str">
        <v>catalan</v>
      </c>
    </row>
    <row r="49" spans="1:23" x14ac:dyDescent="0.25">
      <c r="A49">
        <v>47</v>
      </c>
      <c r="B49" t="s">
        <v>11</v>
      </c>
      <c r="C49" t="s">
        <v>12</v>
      </c>
      <c r="D49" t="s">
        <v>100</v>
      </c>
      <c r="E49" t="s">
        <v>80</v>
      </c>
      <c r="F49" t="s">
        <v>15</v>
      </c>
      <c r="G49" t="s">
        <v>35</v>
      </c>
      <c r="H49" t="s">
        <v>102</v>
      </c>
      <c r="I49" t="s">
        <v>103</v>
      </c>
      <c r="J49" t="s">
        <v>106</v>
      </c>
      <c r="K49">
        <v>4</v>
      </c>
      <c r="L49">
        <v>5</v>
      </c>
      <c r="M49">
        <v>1</v>
      </c>
      <c r="N49">
        <v>0</v>
      </c>
      <c r="R49" t="str">
        <v>ECAtlanticSea</v>
      </c>
      <c r="S49" t="str">
        <v>Norway</v>
      </c>
      <c r="W49" t="str">
        <v>castilian</v>
      </c>
    </row>
    <row r="50" spans="1:23" x14ac:dyDescent="0.25">
      <c r="A50">
        <v>48</v>
      </c>
      <c r="B50" t="s">
        <v>11</v>
      </c>
      <c r="C50" t="s">
        <v>12</v>
      </c>
      <c r="D50" t="s">
        <v>107</v>
      </c>
      <c r="E50" t="s">
        <v>80</v>
      </c>
      <c r="F50" t="s">
        <v>15</v>
      </c>
      <c r="G50" t="s">
        <v>35</v>
      </c>
      <c r="H50" t="s">
        <v>102</v>
      </c>
      <c r="I50" t="s">
        <v>103</v>
      </c>
      <c r="J50" t="s">
        <v>108</v>
      </c>
      <c r="K50">
        <v>5</v>
      </c>
      <c r="L50">
        <v>4</v>
      </c>
      <c r="M50">
        <v>1</v>
      </c>
      <c r="N50">
        <v>0</v>
      </c>
      <c r="R50" t="str">
        <v>RedSeaSea</v>
      </c>
      <c r="S50" t="str">
        <v>Russian North</v>
      </c>
      <c r="W50" t="str">
        <v>portuguese</v>
      </c>
    </row>
    <row r="51" spans="1:23" x14ac:dyDescent="0.25">
      <c r="A51">
        <v>49</v>
      </c>
      <c r="B51" t="s">
        <v>11</v>
      </c>
      <c r="C51" t="s">
        <v>12</v>
      </c>
      <c r="D51" t="s">
        <v>107</v>
      </c>
      <c r="E51" t="s">
        <v>80</v>
      </c>
      <c r="F51" t="s">
        <v>15</v>
      </c>
      <c r="G51" t="s">
        <v>35</v>
      </c>
      <c r="H51" t="s">
        <v>102</v>
      </c>
      <c r="I51" t="s">
        <v>1612</v>
      </c>
      <c r="J51" t="s">
        <v>109</v>
      </c>
      <c r="K51">
        <v>7</v>
      </c>
      <c r="L51">
        <v>2</v>
      </c>
      <c r="M51">
        <v>1</v>
      </c>
      <c r="N51">
        <v>0</v>
      </c>
      <c r="R51" t="str">
        <v>GulfSea</v>
      </c>
      <c r="S51" t="str">
        <v>Finland</v>
      </c>
      <c r="W51" t="str">
        <v>berber</v>
      </c>
    </row>
    <row r="52" spans="1:23" x14ac:dyDescent="0.25">
      <c r="A52">
        <v>50</v>
      </c>
      <c r="B52" t="s">
        <v>11</v>
      </c>
      <c r="C52" t="s">
        <v>12</v>
      </c>
      <c r="D52" t="s">
        <v>107</v>
      </c>
      <c r="E52" t="s">
        <v>80</v>
      </c>
      <c r="F52" t="s">
        <v>15</v>
      </c>
      <c r="G52" t="s">
        <v>75</v>
      </c>
      <c r="H52" t="s">
        <v>102</v>
      </c>
      <c r="I52" t="s">
        <v>27</v>
      </c>
      <c r="J52" t="s">
        <v>110</v>
      </c>
      <c r="K52">
        <v>8</v>
      </c>
      <c r="L52">
        <v>1</v>
      </c>
      <c r="M52">
        <v>1</v>
      </c>
      <c r="N52">
        <v>0</v>
      </c>
      <c r="R52" t="str">
        <v>NWIndianSea</v>
      </c>
      <c r="S52" t="str">
        <v>Russia</v>
      </c>
      <c r="W52" t="str">
        <v>caucasian</v>
      </c>
    </row>
    <row r="53" spans="1:23" x14ac:dyDescent="0.25">
      <c r="A53">
        <v>51</v>
      </c>
      <c r="B53" t="s">
        <v>11</v>
      </c>
      <c r="C53" t="s">
        <v>12</v>
      </c>
      <c r="D53" t="s">
        <v>100</v>
      </c>
      <c r="E53" t="s">
        <v>34</v>
      </c>
      <c r="F53" t="s">
        <v>15</v>
      </c>
      <c r="G53" t="s">
        <v>35</v>
      </c>
      <c r="H53" t="s">
        <v>1682</v>
      </c>
      <c r="I53" t="s">
        <v>103</v>
      </c>
      <c r="J53" t="s">
        <v>112</v>
      </c>
      <c r="K53">
        <v>5</v>
      </c>
      <c r="L53">
        <v>3</v>
      </c>
      <c r="M53">
        <v>1</v>
      </c>
      <c r="N53">
        <v>0</v>
      </c>
      <c r="R53" t="str">
        <v>NEIndianSea</v>
      </c>
      <c r="S53" t="str">
        <v>Baltic</v>
      </c>
      <c r="W53" t="str">
        <v>georgian</v>
      </c>
    </row>
    <row r="54" spans="1:23" x14ac:dyDescent="0.25">
      <c r="A54">
        <v>52</v>
      </c>
      <c r="B54" t="s">
        <v>11</v>
      </c>
      <c r="C54" t="s">
        <v>12</v>
      </c>
      <c r="D54" t="s">
        <v>100</v>
      </c>
      <c r="E54" t="s">
        <v>22</v>
      </c>
      <c r="F54" t="s">
        <v>15</v>
      </c>
      <c r="G54" t="s">
        <v>26</v>
      </c>
      <c r="H54" t="s">
        <v>113</v>
      </c>
      <c r="I54" t="s">
        <v>103</v>
      </c>
      <c r="J54" t="s">
        <v>114</v>
      </c>
      <c r="K54">
        <v>5</v>
      </c>
      <c r="L54">
        <v>4</v>
      </c>
      <c r="M54">
        <v>1</v>
      </c>
      <c r="N54">
        <v>0</v>
      </c>
      <c r="R54" t="str">
        <v>ThaiSea</v>
      </c>
      <c r="S54" t="str">
        <v>Poland</v>
      </c>
      <c r="W54" t="str">
        <v>turkish</v>
      </c>
    </row>
    <row r="55" spans="1:23" x14ac:dyDescent="0.25">
      <c r="A55">
        <v>53</v>
      </c>
      <c r="B55" t="s">
        <v>11</v>
      </c>
      <c r="C55" t="s">
        <v>12</v>
      </c>
      <c r="D55" t="s">
        <v>100</v>
      </c>
      <c r="E55" t="s">
        <v>22</v>
      </c>
      <c r="F55" t="s">
        <v>15</v>
      </c>
      <c r="G55" t="s">
        <v>35</v>
      </c>
      <c r="H55" t="s">
        <v>113</v>
      </c>
      <c r="I55" t="s">
        <v>103</v>
      </c>
      <c r="J55" t="s">
        <v>115</v>
      </c>
      <c r="K55">
        <v>5</v>
      </c>
      <c r="L55">
        <v>4</v>
      </c>
      <c r="M55">
        <v>2</v>
      </c>
      <c r="N55">
        <v>0</v>
      </c>
      <c r="R55" t="str">
        <v>SWPacificSea</v>
      </c>
      <c r="S55" t="str">
        <v>Hansa</v>
      </c>
      <c r="W55" t="str">
        <v>armenian</v>
      </c>
    </row>
    <row r="56" spans="1:23" x14ac:dyDescent="0.25">
      <c r="A56">
        <v>54</v>
      </c>
      <c r="B56" t="s">
        <v>11</v>
      </c>
      <c r="C56" t="s">
        <v>12</v>
      </c>
      <c r="D56" t="s">
        <v>116</v>
      </c>
      <c r="E56" t="s">
        <v>80</v>
      </c>
      <c r="F56" t="s">
        <v>15</v>
      </c>
      <c r="G56" t="s">
        <v>35</v>
      </c>
      <c r="H56" t="s">
        <v>102</v>
      </c>
      <c r="I56" t="s">
        <v>103</v>
      </c>
      <c r="J56" t="s">
        <v>117</v>
      </c>
      <c r="K56">
        <v>5</v>
      </c>
      <c r="L56">
        <v>5</v>
      </c>
      <c r="M56">
        <v>2</v>
      </c>
      <c r="N56">
        <v>0</v>
      </c>
      <c r="R56" t="str">
        <v>WCAtlanticSea</v>
      </c>
      <c r="S56" t="str">
        <v>Ukraine</v>
      </c>
      <c r="W56" t="str">
        <v>arabic</v>
      </c>
    </row>
    <row r="57" spans="1:23" x14ac:dyDescent="0.25">
      <c r="A57">
        <v>55</v>
      </c>
      <c r="B57" t="s">
        <v>11</v>
      </c>
      <c r="C57" t="s">
        <v>12</v>
      </c>
      <c r="D57" t="s">
        <v>116</v>
      </c>
      <c r="E57" t="s">
        <v>14</v>
      </c>
      <c r="F57" t="s">
        <v>15</v>
      </c>
      <c r="G57" t="s">
        <v>26</v>
      </c>
      <c r="H57" t="s">
        <v>113</v>
      </c>
      <c r="I57" t="s">
        <v>103</v>
      </c>
      <c r="J57" t="s">
        <v>118</v>
      </c>
      <c r="K57">
        <v>5</v>
      </c>
      <c r="L57">
        <v>4</v>
      </c>
      <c r="M57">
        <v>2</v>
      </c>
      <c r="N57">
        <v>0</v>
      </c>
      <c r="R57" t="str">
        <v>SEAtlanticSea</v>
      </c>
      <c r="S57" t="str">
        <v>Germany</v>
      </c>
      <c r="W57" t="str">
        <v>kurdish</v>
      </c>
    </row>
    <row r="58" spans="1:23" x14ac:dyDescent="0.25">
      <c r="A58">
        <v>56</v>
      </c>
      <c r="B58" t="s">
        <v>11</v>
      </c>
      <c r="C58" t="s">
        <v>12</v>
      </c>
      <c r="D58" t="s">
        <v>116</v>
      </c>
      <c r="E58" t="s">
        <v>22</v>
      </c>
      <c r="F58" t="s">
        <v>15</v>
      </c>
      <c r="G58" t="s">
        <v>26</v>
      </c>
      <c r="H58" t="s">
        <v>113</v>
      </c>
      <c r="I58" t="s">
        <v>43</v>
      </c>
      <c r="J58" t="s">
        <v>119</v>
      </c>
      <c r="K58">
        <v>6</v>
      </c>
      <c r="L58">
        <v>3</v>
      </c>
      <c r="M58">
        <v>2</v>
      </c>
      <c r="N58">
        <v>0</v>
      </c>
      <c r="R58" t="str">
        <v>SWIndianSea</v>
      </c>
      <c r="S58" t="str">
        <v>Danube</v>
      </c>
      <c r="W58" t="str">
        <v>turkoman</v>
      </c>
    </row>
    <row r="59" spans="1:23" x14ac:dyDescent="0.25">
      <c r="A59">
        <v>57</v>
      </c>
      <c r="B59" t="s">
        <v>11</v>
      </c>
      <c r="C59" t="s">
        <v>12</v>
      </c>
      <c r="D59" t="s">
        <v>100</v>
      </c>
      <c r="E59" t="s">
        <v>34</v>
      </c>
      <c r="F59" t="s">
        <v>15</v>
      </c>
      <c r="G59" t="s">
        <v>26</v>
      </c>
      <c r="H59" t="s">
        <v>1685</v>
      </c>
      <c r="I59" t="s">
        <v>43</v>
      </c>
      <c r="J59" t="s">
        <v>120</v>
      </c>
      <c r="K59">
        <v>4</v>
      </c>
      <c r="L59">
        <v>3</v>
      </c>
      <c r="M59">
        <v>2</v>
      </c>
      <c r="N59">
        <v>0</v>
      </c>
      <c r="R59" t="str">
        <v>OceaniaSea</v>
      </c>
      <c r="S59" t="str">
        <v>Balkans</v>
      </c>
      <c r="W59" t="str">
        <v>persian</v>
      </c>
    </row>
    <row r="60" spans="1:23" x14ac:dyDescent="0.25">
      <c r="A60">
        <v>58</v>
      </c>
      <c r="B60" t="s">
        <v>11</v>
      </c>
      <c r="C60" t="s">
        <v>12</v>
      </c>
      <c r="D60" t="s">
        <v>121</v>
      </c>
      <c r="E60" t="s">
        <v>34</v>
      </c>
      <c r="F60" t="s">
        <v>15</v>
      </c>
      <c r="G60" t="s">
        <v>122</v>
      </c>
      <c r="H60" t="s">
        <v>1685</v>
      </c>
      <c r="I60" t="s">
        <v>43</v>
      </c>
      <c r="J60" t="s">
        <v>123</v>
      </c>
      <c r="K60">
        <v>6</v>
      </c>
      <c r="L60">
        <v>3</v>
      </c>
      <c r="M60">
        <v>2</v>
      </c>
      <c r="N60">
        <v>0</v>
      </c>
      <c r="R60" t="str">
        <v>SWAtlanticSea</v>
      </c>
      <c r="S60" t="str">
        <v>Low Countries</v>
      </c>
      <c r="W60" t="str">
        <v>baluchi</v>
      </c>
    </row>
    <row r="61" spans="1:23" x14ac:dyDescent="0.25">
      <c r="A61">
        <v>59</v>
      </c>
      <c r="B61" t="s">
        <v>11</v>
      </c>
      <c r="C61" t="s">
        <v>12</v>
      </c>
      <c r="D61" t="s">
        <v>124</v>
      </c>
      <c r="E61" t="s">
        <v>22</v>
      </c>
      <c r="F61" t="s">
        <v>15</v>
      </c>
      <c r="G61" t="s">
        <v>122</v>
      </c>
      <c r="H61" t="s">
        <v>1685</v>
      </c>
      <c r="I61" t="s">
        <v>43</v>
      </c>
      <c r="J61" t="s">
        <v>124</v>
      </c>
      <c r="K61">
        <v>5</v>
      </c>
      <c r="L61">
        <v>4</v>
      </c>
      <c r="M61">
        <v>2</v>
      </c>
      <c r="N61">
        <v>0</v>
      </c>
      <c r="R61" t="str">
        <v>SEIndianSea</v>
      </c>
      <c r="S61" t="str">
        <v>Mediterranean</v>
      </c>
      <c r="W61" t="str">
        <v>gujarati</v>
      </c>
    </row>
    <row r="62" spans="1:23" x14ac:dyDescent="0.25">
      <c r="A62">
        <v>60</v>
      </c>
      <c r="B62" t="s">
        <v>11</v>
      </c>
      <c r="C62" t="s">
        <v>12</v>
      </c>
      <c r="D62" t="s">
        <v>124</v>
      </c>
      <c r="E62" t="s">
        <v>22</v>
      </c>
      <c r="F62" t="s">
        <v>15</v>
      </c>
      <c r="G62" t="s">
        <v>122</v>
      </c>
      <c r="H62" t="s">
        <v>125</v>
      </c>
      <c r="I62" t="s">
        <v>43</v>
      </c>
      <c r="J62" t="s">
        <v>126</v>
      </c>
      <c r="K62">
        <v>5</v>
      </c>
      <c r="L62">
        <v>3</v>
      </c>
      <c r="M62">
        <v>1</v>
      </c>
      <c r="N62">
        <v>0</v>
      </c>
      <c r="R62" t="str">
        <v>BarrierreefSea</v>
      </c>
      <c r="S62" t="str">
        <v>Italy</v>
      </c>
      <c r="W62" t="str">
        <v>rajput</v>
      </c>
    </row>
    <row r="63" spans="1:23" x14ac:dyDescent="0.25">
      <c r="A63">
        <v>61</v>
      </c>
      <c r="B63" t="s">
        <v>11</v>
      </c>
      <c r="C63" t="s">
        <v>12</v>
      </c>
      <c r="D63" t="s">
        <v>127</v>
      </c>
      <c r="E63" t="s">
        <v>14</v>
      </c>
      <c r="F63" t="s">
        <v>15</v>
      </c>
      <c r="G63" t="s">
        <v>26</v>
      </c>
      <c r="H63" t="s">
        <v>113</v>
      </c>
      <c r="I63" t="s">
        <v>20</v>
      </c>
      <c r="J63" t="s">
        <v>128</v>
      </c>
      <c r="K63">
        <v>6</v>
      </c>
      <c r="L63">
        <v>3</v>
      </c>
      <c r="M63">
        <v>1</v>
      </c>
      <c r="N63">
        <v>0</v>
      </c>
      <c r="R63" t="str">
        <v>Lake</v>
      </c>
      <c r="S63" t="str">
        <v>Lotharingia</v>
      </c>
      <c r="W63" t="str">
        <v>hindi</v>
      </c>
    </row>
    <row r="64" spans="1:23" x14ac:dyDescent="0.25">
      <c r="A64">
        <v>62</v>
      </c>
      <c r="B64" t="s">
        <v>11</v>
      </c>
      <c r="C64" t="s">
        <v>12</v>
      </c>
      <c r="D64" t="s">
        <v>127</v>
      </c>
      <c r="E64" t="s">
        <v>22</v>
      </c>
      <c r="F64" t="s">
        <v>15</v>
      </c>
      <c r="G64" t="s">
        <v>35</v>
      </c>
      <c r="H64" t="s">
        <v>102</v>
      </c>
      <c r="I64" t="s">
        <v>103</v>
      </c>
      <c r="J64" t="s">
        <v>129</v>
      </c>
      <c r="K64">
        <v>5</v>
      </c>
      <c r="L64">
        <v>5</v>
      </c>
      <c r="M64">
        <v>2</v>
      </c>
      <c r="N64">
        <v>0</v>
      </c>
      <c r="S64" t="str">
        <v>France</v>
      </c>
      <c r="W64" t="str">
        <v>marathi</v>
      </c>
    </row>
    <row r="65" spans="1:23" x14ac:dyDescent="0.25">
      <c r="A65">
        <v>63</v>
      </c>
      <c r="B65" t="s">
        <v>11</v>
      </c>
      <c r="C65" t="s">
        <v>12</v>
      </c>
      <c r="D65" t="s">
        <v>127</v>
      </c>
      <c r="E65" t="s">
        <v>22</v>
      </c>
      <c r="F65" t="s">
        <v>15</v>
      </c>
      <c r="G65" t="s">
        <v>35</v>
      </c>
      <c r="H65" t="s">
        <v>102</v>
      </c>
      <c r="I65" t="s">
        <v>103</v>
      </c>
      <c r="J65" t="s">
        <v>130</v>
      </c>
      <c r="K65">
        <v>5</v>
      </c>
      <c r="L65">
        <v>4</v>
      </c>
      <c r="M65">
        <v>2</v>
      </c>
      <c r="N65">
        <v>0</v>
      </c>
      <c r="S65" t="str">
        <v>Switzerland</v>
      </c>
      <c r="W65" t="str">
        <v>bengali</v>
      </c>
    </row>
    <row r="66" spans="1:23" x14ac:dyDescent="0.25">
      <c r="A66">
        <v>64</v>
      </c>
      <c r="B66" t="s">
        <v>11</v>
      </c>
      <c r="C66" t="s">
        <v>12</v>
      </c>
      <c r="D66" t="s">
        <v>127</v>
      </c>
      <c r="E66" t="s">
        <v>80</v>
      </c>
      <c r="F66" t="s">
        <v>15</v>
      </c>
      <c r="G66" t="s">
        <v>35</v>
      </c>
      <c r="H66" t="s">
        <v>102</v>
      </c>
      <c r="I66" t="s">
        <v>131</v>
      </c>
      <c r="J66" t="s">
        <v>132</v>
      </c>
      <c r="K66">
        <v>6</v>
      </c>
      <c r="L66">
        <v>6</v>
      </c>
      <c r="M66">
        <v>2</v>
      </c>
      <c r="N66">
        <v>0</v>
      </c>
      <c r="S66" t="str">
        <v>Iberia</v>
      </c>
      <c r="W66" t="str">
        <v>telugu</v>
      </c>
    </row>
    <row r="67" spans="1:23" x14ac:dyDescent="0.25">
      <c r="A67">
        <v>65</v>
      </c>
      <c r="B67" t="s">
        <v>11</v>
      </c>
      <c r="C67" t="s">
        <v>12</v>
      </c>
      <c r="D67" t="s">
        <v>127</v>
      </c>
      <c r="E67" t="s">
        <v>22</v>
      </c>
      <c r="F67" t="s">
        <v>15</v>
      </c>
      <c r="G67" t="s">
        <v>26</v>
      </c>
      <c r="H67" t="s">
        <v>113</v>
      </c>
      <c r="I67" t="s">
        <v>131</v>
      </c>
      <c r="J67" t="s">
        <v>133</v>
      </c>
      <c r="K67">
        <v>5</v>
      </c>
      <c r="L67">
        <v>4</v>
      </c>
      <c r="M67">
        <v>1</v>
      </c>
      <c r="N67">
        <v>0</v>
      </c>
      <c r="S67" t="str">
        <v>Steppe</v>
      </c>
      <c r="W67" t="str">
        <v>kannada</v>
      </c>
    </row>
    <row r="68" spans="1:23" x14ac:dyDescent="0.25">
      <c r="A68">
        <v>66</v>
      </c>
      <c r="B68" t="s">
        <v>11</v>
      </c>
      <c r="C68" t="s">
        <v>12</v>
      </c>
      <c r="D68" t="s">
        <v>127</v>
      </c>
      <c r="E68" t="s">
        <v>14</v>
      </c>
      <c r="F68" t="s">
        <v>15</v>
      </c>
      <c r="G68" t="s">
        <v>26</v>
      </c>
      <c r="H68" t="s">
        <v>113</v>
      </c>
      <c r="I68" t="s">
        <v>1612</v>
      </c>
      <c r="J68" t="s">
        <v>134</v>
      </c>
      <c r="K68">
        <v>7</v>
      </c>
      <c r="L68">
        <v>3</v>
      </c>
      <c r="M68">
        <v>1</v>
      </c>
      <c r="N68">
        <v>0</v>
      </c>
      <c r="S68" t="str">
        <v>Caucasus</v>
      </c>
      <c r="W68" t="str">
        <v>tamil</v>
      </c>
    </row>
    <row r="69" spans="1:23" x14ac:dyDescent="0.25">
      <c r="A69">
        <v>67</v>
      </c>
      <c r="B69" t="s">
        <v>11</v>
      </c>
      <c r="C69" t="s">
        <v>12</v>
      </c>
      <c r="D69" t="s">
        <v>135</v>
      </c>
      <c r="E69" t="s">
        <v>22</v>
      </c>
      <c r="F69" t="s">
        <v>15</v>
      </c>
      <c r="G69" t="s">
        <v>122</v>
      </c>
      <c r="H69" t="s">
        <v>113</v>
      </c>
      <c r="I69" t="s">
        <v>20</v>
      </c>
      <c r="J69" t="s">
        <v>136</v>
      </c>
      <c r="K69">
        <v>5</v>
      </c>
      <c r="L69">
        <v>3</v>
      </c>
      <c r="M69">
        <v>2</v>
      </c>
      <c r="N69">
        <v>0</v>
      </c>
      <c r="S69" t="str">
        <v>Anatolia</v>
      </c>
      <c r="W69" t="str">
        <v>altai</v>
      </c>
    </row>
    <row r="70" spans="1:23" x14ac:dyDescent="0.25">
      <c r="A70">
        <v>68</v>
      </c>
      <c r="B70" t="s">
        <v>11</v>
      </c>
      <c r="C70" t="s">
        <v>12</v>
      </c>
      <c r="D70" t="s">
        <v>127</v>
      </c>
      <c r="E70" t="s">
        <v>80</v>
      </c>
      <c r="F70" t="s">
        <v>15</v>
      </c>
      <c r="G70" t="s">
        <v>26</v>
      </c>
      <c r="H70" t="s">
        <v>1686</v>
      </c>
      <c r="I70" t="s">
        <v>131</v>
      </c>
      <c r="J70" t="s">
        <v>138</v>
      </c>
      <c r="K70">
        <v>4</v>
      </c>
      <c r="L70">
        <v>6</v>
      </c>
      <c r="M70">
        <v>2</v>
      </c>
      <c r="N70">
        <v>0</v>
      </c>
      <c r="S70" t="str">
        <v>Levant</v>
      </c>
      <c r="W70" t="str">
        <v>mongol</v>
      </c>
    </row>
    <row r="71" spans="1:23" x14ac:dyDescent="0.25">
      <c r="A71">
        <v>69</v>
      </c>
      <c r="B71" t="s">
        <v>11</v>
      </c>
      <c r="C71" t="s">
        <v>12</v>
      </c>
      <c r="D71" t="s">
        <v>127</v>
      </c>
      <c r="E71" t="s">
        <v>22</v>
      </c>
      <c r="F71" t="s">
        <v>15</v>
      </c>
      <c r="G71" t="s">
        <v>122</v>
      </c>
      <c r="H71" t="s">
        <v>1686</v>
      </c>
      <c r="I71" t="s">
        <v>131</v>
      </c>
      <c r="J71" t="s">
        <v>140</v>
      </c>
      <c r="K71">
        <v>4</v>
      </c>
      <c r="L71">
        <v>7</v>
      </c>
      <c r="M71">
        <v>2</v>
      </c>
      <c r="N71">
        <v>0</v>
      </c>
      <c r="S71" t="str">
        <v>Persia</v>
      </c>
      <c r="W71" t="str">
        <v>manchu</v>
      </c>
    </row>
    <row r="72" spans="1:23" x14ac:dyDescent="0.25">
      <c r="A72">
        <v>70</v>
      </c>
      <c r="B72" t="s">
        <v>11</v>
      </c>
      <c r="C72" t="s">
        <v>12</v>
      </c>
      <c r="D72" t="s">
        <v>127</v>
      </c>
      <c r="E72" t="s">
        <v>14</v>
      </c>
      <c r="F72" t="s">
        <v>15</v>
      </c>
      <c r="G72" t="s">
        <v>122</v>
      </c>
      <c r="H72" t="s">
        <v>1686</v>
      </c>
      <c r="I72" t="s">
        <v>141</v>
      </c>
      <c r="J72" t="s">
        <v>142</v>
      </c>
      <c r="K72">
        <v>5</v>
      </c>
      <c r="L72">
        <v>5</v>
      </c>
      <c r="M72">
        <v>2</v>
      </c>
      <c r="N72">
        <v>0</v>
      </c>
      <c r="S72" t="str">
        <v>Nefud</v>
      </c>
      <c r="W72" t="str">
        <v>korean</v>
      </c>
    </row>
    <row r="73" spans="1:23" x14ac:dyDescent="0.25">
      <c r="A73">
        <v>71</v>
      </c>
      <c r="B73" t="s">
        <v>11</v>
      </c>
      <c r="C73" t="s">
        <v>12</v>
      </c>
      <c r="D73" t="s">
        <v>135</v>
      </c>
      <c r="E73" t="s">
        <v>22</v>
      </c>
      <c r="F73" t="s">
        <v>15</v>
      </c>
      <c r="G73" t="s">
        <v>122</v>
      </c>
      <c r="H73" t="s">
        <v>125</v>
      </c>
      <c r="I73" t="s">
        <v>20</v>
      </c>
      <c r="J73" t="s">
        <v>143</v>
      </c>
      <c r="K73">
        <v>6</v>
      </c>
      <c r="L73">
        <v>3</v>
      </c>
      <c r="M73">
        <v>3</v>
      </c>
      <c r="N73">
        <v>0</v>
      </c>
      <c r="S73" t="str">
        <v>Aden</v>
      </c>
      <c r="W73" t="str">
        <v>han</v>
      </c>
    </row>
    <row r="74" spans="1:23" x14ac:dyDescent="0.25">
      <c r="A74">
        <v>72</v>
      </c>
      <c r="B74" t="s">
        <v>11</v>
      </c>
      <c r="C74" t="s">
        <v>12</v>
      </c>
      <c r="D74" t="s">
        <v>144</v>
      </c>
      <c r="E74" t="s">
        <v>22</v>
      </c>
      <c r="F74" t="s">
        <v>15</v>
      </c>
      <c r="G74" t="s">
        <v>122</v>
      </c>
      <c r="H74" t="s">
        <v>125</v>
      </c>
      <c r="I74" t="s">
        <v>20</v>
      </c>
      <c r="J74" t="s">
        <v>145</v>
      </c>
      <c r="K74">
        <v>6</v>
      </c>
      <c r="L74">
        <v>3</v>
      </c>
      <c r="M74">
        <v>2</v>
      </c>
      <c r="N74">
        <v>0</v>
      </c>
      <c r="S74" t="str">
        <v>Oman</v>
      </c>
      <c r="W74" t="str">
        <v>zhuang</v>
      </c>
    </row>
    <row r="75" spans="1:23" x14ac:dyDescent="0.25">
      <c r="A75">
        <v>73</v>
      </c>
      <c r="B75" t="s">
        <v>11</v>
      </c>
      <c r="C75" t="s">
        <v>12</v>
      </c>
      <c r="D75" t="s">
        <v>124</v>
      </c>
      <c r="E75" t="s">
        <v>22</v>
      </c>
      <c r="F75" t="s">
        <v>15</v>
      </c>
      <c r="G75" t="s">
        <v>122</v>
      </c>
      <c r="H75" t="s">
        <v>125</v>
      </c>
      <c r="I75" t="s">
        <v>20</v>
      </c>
      <c r="J75" t="s">
        <v>146</v>
      </c>
      <c r="K75">
        <v>5</v>
      </c>
      <c r="L75">
        <v>3</v>
      </c>
      <c r="M75">
        <v>2</v>
      </c>
      <c r="N75">
        <v>0</v>
      </c>
      <c r="S75" t="str">
        <v>Sibir</v>
      </c>
      <c r="W75" t="str">
        <v>vietnamese</v>
      </c>
    </row>
    <row r="76" spans="1:23" x14ac:dyDescent="0.25">
      <c r="A76">
        <v>74</v>
      </c>
      <c r="B76" t="s">
        <v>11</v>
      </c>
      <c r="C76" t="s">
        <v>12</v>
      </c>
      <c r="D76" t="s">
        <v>124</v>
      </c>
      <c r="E76" t="s">
        <v>22</v>
      </c>
      <c r="F76" t="s">
        <v>15</v>
      </c>
      <c r="G76" t="s">
        <v>122</v>
      </c>
      <c r="H76" t="s">
        <v>1687</v>
      </c>
      <c r="I76" t="s">
        <v>20</v>
      </c>
      <c r="J76" t="s">
        <v>148</v>
      </c>
      <c r="K76">
        <v>5</v>
      </c>
      <c r="L76">
        <v>3</v>
      </c>
      <c r="M76">
        <v>2</v>
      </c>
      <c r="N76">
        <v>0</v>
      </c>
      <c r="S76" t="str">
        <v>Kazakhstan</v>
      </c>
      <c r="W76" t="str">
        <v>cham</v>
      </c>
    </row>
    <row r="77" spans="1:23" x14ac:dyDescent="0.25">
      <c r="A77">
        <v>75</v>
      </c>
      <c r="B77" t="s">
        <v>11</v>
      </c>
      <c r="C77" t="s">
        <v>12</v>
      </c>
      <c r="D77" t="s">
        <v>121</v>
      </c>
      <c r="E77" t="s">
        <v>34</v>
      </c>
      <c r="F77" t="s">
        <v>15</v>
      </c>
      <c r="G77" t="s">
        <v>122</v>
      </c>
      <c r="H77" t="s">
        <v>1687</v>
      </c>
      <c r="I77" t="s">
        <v>43</v>
      </c>
      <c r="J77" t="s">
        <v>149</v>
      </c>
      <c r="K77">
        <v>6</v>
      </c>
      <c r="L77">
        <v>3</v>
      </c>
      <c r="M77">
        <v>1</v>
      </c>
      <c r="N77">
        <v>0</v>
      </c>
      <c r="S77" t="str">
        <v>Bahk</v>
      </c>
      <c r="W77" t="str">
        <v>khmer</v>
      </c>
    </row>
    <row r="78" spans="1:23" x14ac:dyDescent="0.25">
      <c r="A78">
        <v>76</v>
      </c>
      <c r="B78" t="s">
        <v>11</v>
      </c>
      <c r="C78" t="s">
        <v>12</v>
      </c>
      <c r="D78" t="s">
        <v>121</v>
      </c>
      <c r="E78" t="s">
        <v>34</v>
      </c>
      <c r="F78" t="s">
        <v>15</v>
      </c>
      <c r="G78" t="s">
        <v>16</v>
      </c>
      <c r="H78" t="s">
        <v>1687</v>
      </c>
      <c r="I78" t="s">
        <v>43</v>
      </c>
      <c r="J78" t="s">
        <v>150</v>
      </c>
      <c r="K78">
        <v>7</v>
      </c>
      <c r="L78">
        <v>3</v>
      </c>
      <c r="M78">
        <v>1</v>
      </c>
      <c r="N78">
        <v>0</v>
      </c>
      <c r="S78" t="str">
        <v>Lahore</v>
      </c>
      <c r="W78" t="str">
        <v>thai</v>
      </c>
    </row>
    <row r="79" spans="1:23" x14ac:dyDescent="0.25">
      <c r="A79">
        <v>77</v>
      </c>
      <c r="B79" t="s">
        <v>11</v>
      </c>
      <c r="C79" t="s">
        <v>12</v>
      </c>
      <c r="D79" t="s">
        <v>151</v>
      </c>
      <c r="E79" t="s">
        <v>22</v>
      </c>
      <c r="F79" t="s">
        <v>15</v>
      </c>
      <c r="G79" t="s">
        <v>16</v>
      </c>
      <c r="H79" t="s">
        <v>1687</v>
      </c>
      <c r="I79" t="s">
        <v>20</v>
      </c>
      <c r="J79" t="s">
        <v>152</v>
      </c>
      <c r="K79">
        <v>7</v>
      </c>
      <c r="L79">
        <v>2</v>
      </c>
      <c r="M79">
        <v>1</v>
      </c>
      <c r="N79">
        <v>0</v>
      </c>
      <c r="S79" t="str">
        <v>Gujarat</v>
      </c>
      <c r="W79" t="str">
        <v>mon</v>
      </c>
    </row>
    <row r="80" spans="1:23" x14ac:dyDescent="0.25">
      <c r="A80">
        <v>78</v>
      </c>
      <c r="B80" t="s">
        <v>11</v>
      </c>
      <c r="C80" t="s">
        <v>12</v>
      </c>
      <c r="D80" t="s">
        <v>124</v>
      </c>
      <c r="E80" t="s">
        <v>22</v>
      </c>
      <c r="F80" t="s">
        <v>15</v>
      </c>
      <c r="G80" t="s">
        <v>16</v>
      </c>
      <c r="H80" t="s">
        <v>1687</v>
      </c>
      <c r="I80" t="s">
        <v>20</v>
      </c>
      <c r="J80" t="s">
        <v>153</v>
      </c>
      <c r="K80">
        <v>6</v>
      </c>
      <c r="L80">
        <v>3</v>
      </c>
      <c r="M80">
        <v>2</v>
      </c>
      <c r="N80">
        <v>0</v>
      </c>
      <c r="S80" t="str">
        <v>Punjab</v>
      </c>
      <c r="W80" t="str">
        <v>malay</v>
      </c>
    </row>
    <row r="81" spans="1:23" x14ac:dyDescent="0.25">
      <c r="A81">
        <v>79</v>
      </c>
      <c r="B81" t="s">
        <v>11</v>
      </c>
      <c r="C81" t="s">
        <v>12</v>
      </c>
      <c r="D81" t="s">
        <v>151</v>
      </c>
      <c r="E81" t="s">
        <v>22</v>
      </c>
      <c r="F81" t="s">
        <v>15</v>
      </c>
      <c r="G81" t="s">
        <v>122</v>
      </c>
      <c r="H81" t="s">
        <v>1687</v>
      </c>
      <c r="I81" t="s">
        <v>20</v>
      </c>
      <c r="J81" t="s">
        <v>154</v>
      </c>
      <c r="K81">
        <v>7</v>
      </c>
      <c r="L81">
        <v>2</v>
      </c>
      <c r="M81">
        <v>2</v>
      </c>
      <c r="N81">
        <v>0</v>
      </c>
      <c r="S81" t="str">
        <v>Delhi</v>
      </c>
      <c r="W81" t="str">
        <v>japanese</v>
      </c>
    </row>
    <row r="82" spans="1:23" x14ac:dyDescent="0.25">
      <c r="A82">
        <v>80</v>
      </c>
      <c r="B82" t="s">
        <v>11</v>
      </c>
      <c r="C82" t="s">
        <v>12</v>
      </c>
      <c r="D82" t="s">
        <v>124</v>
      </c>
      <c r="E82" t="s">
        <v>22</v>
      </c>
      <c r="F82" t="s">
        <v>15</v>
      </c>
      <c r="G82" t="s">
        <v>122</v>
      </c>
      <c r="H82" t="s">
        <v>1687</v>
      </c>
      <c r="I82" t="s">
        <v>20</v>
      </c>
      <c r="J82" t="s">
        <v>155</v>
      </c>
      <c r="K82">
        <v>6</v>
      </c>
      <c r="L82">
        <v>2</v>
      </c>
      <c r="M82">
        <v>2</v>
      </c>
      <c r="N82">
        <v>0</v>
      </c>
      <c r="S82" t="str">
        <v>Malabar</v>
      </c>
      <c r="W82" t="str">
        <v>javan</v>
      </c>
    </row>
    <row r="83" spans="1:23" x14ac:dyDescent="0.25">
      <c r="A83">
        <v>81</v>
      </c>
      <c r="B83" t="s">
        <v>11</v>
      </c>
      <c r="C83" t="s">
        <v>12</v>
      </c>
      <c r="D83" t="s">
        <v>144</v>
      </c>
      <c r="E83" t="s">
        <v>22</v>
      </c>
      <c r="F83" t="s">
        <v>15</v>
      </c>
      <c r="G83" t="s">
        <v>122</v>
      </c>
      <c r="H83" t="s">
        <v>125</v>
      </c>
      <c r="I83" t="s">
        <v>20</v>
      </c>
      <c r="J83" t="s">
        <v>156</v>
      </c>
      <c r="K83">
        <v>6</v>
      </c>
      <c r="L83">
        <v>3</v>
      </c>
      <c r="M83">
        <v>1</v>
      </c>
      <c r="N83">
        <v>0</v>
      </c>
      <c r="S83" t="str">
        <v>Hyderabad</v>
      </c>
      <c r="W83" t="str">
        <v>indonesian</v>
      </c>
    </row>
    <row r="84" spans="1:23" x14ac:dyDescent="0.25">
      <c r="A84">
        <v>82</v>
      </c>
      <c r="B84" t="s">
        <v>11</v>
      </c>
      <c r="C84" t="s">
        <v>12</v>
      </c>
      <c r="D84" t="s">
        <v>144</v>
      </c>
      <c r="E84" t="s">
        <v>22</v>
      </c>
      <c r="F84" t="s">
        <v>15</v>
      </c>
      <c r="G84" t="s">
        <v>122</v>
      </c>
      <c r="H84" t="s">
        <v>125</v>
      </c>
      <c r="I84" t="s">
        <v>20</v>
      </c>
      <c r="J84" t="s">
        <v>157</v>
      </c>
      <c r="K84">
        <v>5</v>
      </c>
      <c r="L84">
        <v>3</v>
      </c>
      <c r="M84">
        <v>1</v>
      </c>
      <c r="N84">
        <v>0</v>
      </c>
      <c r="S84" t="str">
        <v>Mahratti</v>
      </c>
      <c r="W84" t="str">
        <v>aboriginal</v>
      </c>
    </row>
    <row r="85" spans="1:23" x14ac:dyDescent="0.25">
      <c r="A85">
        <v>83</v>
      </c>
      <c r="B85" t="s">
        <v>11</v>
      </c>
      <c r="C85" t="s">
        <v>12</v>
      </c>
      <c r="D85" t="s">
        <v>135</v>
      </c>
      <c r="E85" t="s">
        <v>14</v>
      </c>
      <c r="F85" t="s">
        <v>15</v>
      </c>
      <c r="G85" t="s">
        <v>122</v>
      </c>
      <c r="H85" t="s">
        <v>1686</v>
      </c>
      <c r="I85" t="s">
        <v>20</v>
      </c>
      <c r="J85" t="s">
        <v>158</v>
      </c>
      <c r="K85">
        <v>7</v>
      </c>
      <c r="L85">
        <v>2</v>
      </c>
      <c r="M85">
        <v>2</v>
      </c>
      <c r="N85">
        <v>0</v>
      </c>
      <c r="S85" t="str">
        <v>Oudh</v>
      </c>
      <c r="W85" t="str">
        <v>polynese</v>
      </c>
    </row>
    <row r="86" spans="1:23" x14ac:dyDescent="0.25">
      <c r="A86">
        <v>84</v>
      </c>
      <c r="B86" t="s">
        <v>11</v>
      </c>
      <c r="C86" t="s">
        <v>12</v>
      </c>
      <c r="D86" t="s">
        <v>127</v>
      </c>
      <c r="E86" t="s">
        <v>22</v>
      </c>
      <c r="F86" t="s">
        <v>15</v>
      </c>
      <c r="G86" t="s">
        <v>122</v>
      </c>
      <c r="H86" t="s">
        <v>1686</v>
      </c>
      <c r="I86" t="s">
        <v>20</v>
      </c>
      <c r="J86" t="s">
        <v>159</v>
      </c>
      <c r="K86">
        <v>5</v>
      </c>
      <c r="L86">
        <v>4</v>
      </c>
      <c r="M86">
        <v>2</v>
      </c>
      <c r="N86">
        <v>0</v>
      </c>
      <c r="S86" t="str">
        <v>Bengal</v>
      </c>
      <c r="W86" t="str">
        <v>maghrebi</v>
      </c>
    </row>
    <row r="87" spans="1:23" x14ac:dyDescent="0.25">
      <c r="A87">
        <v>85</v>
      </c>
      <c r="B87" t="s">
        <v>11</v>
      </c>
      <c r="C87" t="s">
        <v>12</v>
      </c>
      <c r="D87" t="s">
        <v>127</v>
      </c>
      <c r="E87" t="s">
        <v>22</v>
      </c>
      <c r="F87" t="s">
        <v>15</v>
      </c>
      <c r="G87" t="s">
        <v>122</v>
      </c>
      <c r="H87" t="s">
        <v>1686</v>
      </c>
      <c r="I87" t="s">
        <v>43</v>
      </c>
      <c r="J87" t="s">
        <v>160</v>
      </c>
      <c r="K87">
        <v>5</v>
      </c>
      <c r="L87">
        <v>6</v>
      </c>
      <c r="M87">
        <v>2</v>
      </c>
      <c r="N87">
        <v>0</v>
      </c>
      <c r="S87" t="str">
        <v>Orissa</v>
      </c>
      <c r="W87" t="str">
        <v>nubian</v>
      </c>
    </row>
    <row r="88" spans="1:23" x14ac:dyDescent="0.25">
      <c r="A88">
        <v>86</v>
      </c>
      <c r="B88" t="s">
        <v>11</v>
      </c>
      <c r="C88" t="s">
        <v>12</v>
      </c>
      <c r="D88" t="s">
        <v>127</v>
      </c>
      <c r="E88" t="s">
        <v>22</v>
      </c>
      <c r="F88" t="s">
        <v>15</v>
      </c>
      <c r="G88" t="s">
        <v>26</v>
      </c>
      <c r="H88" t="s">
        <v>1686</v>
      </c>
      <c r="I88" t="s">
        <v>131</v>
      </c>
      <c r="J88" t="s">
        <v>161</v>
      </c>
      <c r="K88">
        <v>4</v>
      </c>
      <c r="L88">
        <v>6</v>
      </c>
      <c r="M88">
        <v>3</v>
      </c>
      <c r="N88">
        <v>0</v>
      </c>
      <c r="S88" t="str">
        <v>Mysore</v>
      </c>
      <c r="W88" t="str">
        <v>ethiopian</v>
      </c>
    </row>
    <row r="89" spans="1:23" x14ac:dyDescent="0.25">
      <c r="A89">
        <v>87</v>
      </c>
      <c r="B89" t="s">
        <v>11</v>
      </c>
      <c r="C89" t="s">
        <v>12</v>
      </c>
      <c r="D89" t="s">
        <v>127</v>
      </c>
      <c r="E89" t="s">
        <v>22</v>
      </c>
      <c r="F89" t="s">
        <v>15</v>
      </c>
      <c r="G89" t="s">
        <v>26</v>
      </c>
      <c r="H89" t="s">
        <v>1686</v>
      </c>
      <c r="I89" t="s">
        <v>20</v>
      </c>
      <c r="J89" t="s">
        <v>162</v>
      </c>
      <c r="K89">
        <v>4</v>
      </c>
      <c r="L89">
        <v>7</v>
      </c>
      <c r="M89">
        <v>2</v>
      </c>
      <c r="N89">
        <v>0</v>
      </c>
      <c r="S89" t="str">
        <v>Carnatic</v>
      </c>
      <c r="W89" t="str">
        <v>somali</v>
      </c>
    </row>
    <row r="90" spans="1:23" x14ac:dyDescent="0.25">
      <c r="A90">
        <v>88</v>
      </c>
      <c r="B90" t="s">
        <v>11</v>
      </c>
      <c r="C90" t="s">
        <v>12</v>
      </c>
      <c r="D90" t="s">
        <v>127</v>
      </c>
      <c r="E90" t="s">
        <v>14</v>
      </c>
      <c r="F90" t="s">
        <v>15</v>
      </c>
      <c r="G90" t="s">
        <v>122</v>
      </c>
      <c r="H90" t="s">
        <v>1686</v>
      </c>
      <c r="I90" t="s">
        <v>20</v>
      </c>
      <c r="J90" t="s">
        <v>163</v>
      </c>
      <c r="K90">
        <v>5</v>
      </c>
      <c r="L90">
        <v>4</v>
      </c>
      <c r="M90">
        <v>1</v>
      </c>
      <c r="N90">
        <v>0</v>
      </c>
      <c r="S90" t="str">
        <v>Ceylon</v>
      </c>
      <c r="W90" t="str">
        <v>swahili</v>
      </c>
    </row>
    <row r="91" spans="1:23" x14ac:dyDescent="0.25">
      <c r="A91">
        <v>89</v>
      </c>
      <c r="B91" t="s">
        <v>11</v>
      </c>
      <c r="C91" t="s">
        <v>12</v>
      </c>
      <c r="D91" t="s">
        <v>135</v>
      </c>
      <c r="E91" t="s">
        <v>14</v>
      </c>
      <c r="F91" t="s">
        <v>15</v>
      </c>
      <c r="G91" t="s">
        <v>122</v>
      </c>
      <c r="H91" t="s">
        <v>1686</v>
      </c>
      <c r="I91" t="s">
        <v>20</v>
      </c>
      <c r="J91" t="s">
        <v>164</v>
      </c>
      <c r="K91">
        <v>6</v>
      </c>
      <c r="L91">
        <v>2</v>
      </c>
      <c r="M91">
        <v>1</v>
      </c>
      <c r="N91">
        <v>0</v>
      </c>
      <c r="S91" t="str">
        <v>Omsk</v>
      </c>
      <c r="W91" t="str">
        <v>shona</v>
      </c>
    </row>
    <row r="92" spans="1:23" x14ac:dyDescent="0.25">
      <c r="A92">
        <v>90</v>
      </c>
      <c r="B92" t="s">
        <v>11</v>
      </c>
      <c r="C92" t="s">
        <v>12</v>
      </c>
      <c r="D92" t="s">
        <v>135</v>
      </c>
      <c r="E92" t="s">
        <v>14</v>
      </c>
      <c r="F92" t="s">
        <v>15</v>
      </c>
      <c r="G92" t="s">
        <v>122</v>
      </c>
      <c r="H92" t="s">
        <v>1686</v>
      </c>
      <c r="I92" t="s">
        <v>20</v>
      </c>
      <c r="J92" t="s">
        <v>165</v>
      </c>
      <c r="K92">
        <v>7</v>
      </c>
      <c r="L92">
        <v>3</v>
      </c>
      <c r="M92">
        <v>2</v>
      </c>
      <c r="N92">
        <v>0</v>
      </c>
      <c r="S92" t="str">
        <v>Jenisej</v>
      </c>
      <c r="W92" t="str">
        <v>bantu</v>
      </c>
    </row>
    <row r="93" spans="1:23" x14ac:dyDescent="0.25">
      <c r="A93">
        <v>91</v>
      </c>
      <c r="B93" t="s">
        <v>11</v>
      </c>
      <c r="C93" t="s">
        <v>12</v>
      </c>
      <c r="D93" t="s">
        <v>135</v>
      </c>
      <c r="E93" t="s">
        <v>22</v>
      </c>
      <c r="F93" t="s">
        <v>15</v>
      </c>
      <c r="G93" t="s">
        <v>122</v>
      </c>
      <c r="H93" t="s">
        <v>1686</v>
      </c>
      <c r="I93" t="s">
        <v>20</v>
      </c>
      <c r="J93" t="s">
        <v>166</v>
      </c>
      <c r="K93">
        <v>7</v>
      </c>
      <c r="L93">
        <v>3</v>
      </c>
      <c r="M93">
        <v>2</v>
      </c>
      <c r="N93">
        <v>0</v>
      </c>
      <c r="S93" t="str">
        <v>Lena</v>
      </c>
      <c r="W93" t="str">
        <v>kongolese</v>
      </c>
    </row>
    <row r="94" spans="1:23" x14ac:dyDescent="0.25">
      <c r="A94">
        <v>92</v>
      </c>
      <c r="B94" t="s">
        <v>11</v>
      </c>
      <c r="C94" t="s">
        <v>12</v>
      </c>
      <c r="D94" t="s">
        <v>144</v>
      </c>
      <c r="E94" t="s">
        <v>22</v>
      </c>
      <c r="F94" t="s">
        <v>15</v>
      </c>
      <c r="G94" t="s">
        <v>122</v>
      </c>
      <c r="H94" t="s">
        <v>1686</v>
      </c>
      <c r="I94" t="s">
        <v>20</v>
      </c>
      <c r="J94" t="s">
        <v>168</v>
      </c>
      <c r="K94">
        <v>4</v>
      </c>
      <c r="L94">
        <v>4</v>
      </c>
      <c r="M94">
        <v>2</v>
      </c>
      <c r="N94">
        <v>0</v>
      </c>
      <c r="S94" t="str">
        <v>Baikal</v>
      </c>
      <c r="W94" t="str">
        <v>yoruba</v>
      </c>
    </row>
    <row r="95" spans="1:23" x14ac:dyDescent="0.25">
      <c r="A95">
        <v>93</v>
      </c>
      <c r="B95" t="s">
        <v>11</v>
      </c>
      <c r="C95" t="s">
        <v>12</v>
      </c>
      <c r="D95" t="s">
        <v>144</v>
      </c>
      <c r="E95" t="s">
        <v>22</v>
      </c>
      <c r="F95" t="s">
        <v>15</v>
      </c>
      <c r="G95" t="s">
        <v>122</v>
      </c>
      <c r="H95" t="s">
        <v>1687</v>
      </c>
      <c r="I95" t="s">
        <v>20</v>
      </c>
      <c r="J95" t="s">
        <v>169</v>
      </c>
      <c r="K95">
        <v>7</v>
      </c>
      <c r="L95">
        <v>3</v>
      </c>
      <c r="M95">
        <v>1</v>
      </c>
      <c r="N95">
        <v>0</v>
      </c>
      <c r="S95" t="str">
        <v>Amur</v>
      </c>
      <c r="W95" t="str">
        <v>aka</v>
      </c>
    </row>
    <row r="96" spans="1:23" x14ac:dyDescent="0.25">
      <c r="A96">
        <v>94</v>
      </c>
      <c r="B96" t="s">
        <v>11</v>
      </c>
      <c r="C96" t="s">
        <v>12</v>
      </c>
      <c r="D96" t="s">
        <v>151</v>
      </c>
      <c r="E96" t="s">
        <v>22</v>
      </c>
      <c r="F96" t="s">
        <v>15</v>
      </c>
      <c r="G96" t="s">
        <v>16</v>
      </c>
      <c r="H96" t="s">
        <v>167</v>
      </c>
      <c r="I96" t="s">
        <v>20</v>
      </c>
      <c r="J96" t="s">
        <v>170</v>
      </c>
      <c r="K96">
        <v>8</v>
      </c>
      <c r="L96">
        <v>2</v>
      </c>
      <c r="M96">
        <v>2</v>
      </c>
      <c r="N96">
        <v>0</v>
      </c>
      <c r="S96" t="str">
        <v>Kamchatka</v>
      </c>
      <c r="W96" t="str">
        <v>ashanti</v>
      </c>
    </row>
    <row r="97" spans="1:23" x14ac:dyDescent="0.25">
      <c r="A97">
        <v>95</v>
      </c>
      <c r="B97" t="s">
        <v>11</v>
      </c>
      <c r="C97" t="s">
        <v>12</v>
      </c>
      <c r="D97" t="s">
        <v>144</v>
      </c>
      <c r="E97" t="s">
        <v>22</v>
      </c>
      <c r="F97" t="s">
        <v>15</v>
      </c>
      <c r="G97" t="s">
        <v>16</v>
      </c>
      <c r="H97" t="s">
        <v>167</v>
      </c>
      <c r="I97" t="s">
        <v>20</v>
      </c>
      <c r="J97" t="s">
        <v>171</v>
      </c>
      <c r="K97">
        <v>7</v>
      </c>
      <c r="L97">
        <v>2</v>
      </c>
      <c r="M97">
        <v>1</v>
      </c>
      <c r="N97">
        <v>0</v>
      </c>
      <c r="S97" t="str">
        <v>Manchuria</v>
      </c>
      <c r="W97" t="str">
        <v>dyola</v>
      </c>
    </row>
    <row r="98" spans="1:23" x14ac:dyDescent="0.25">
      <c r="A98">
        <v>96</v>
      </c>
      <c r="B98" t="s">
        <v>11</v>
      </c>
      <c r="C98" t="s">
        <v>12</v>
      </c>
      <c r="D98" t="s">
        <v>144</v>
      </c>
      <c r="E98" t="s">
        <v>22</v>
      </c>
      <c r="F98" t="s">
        <v>15</v>
      </c>
      <c r="G98" t="s">
        <v>16</v>
      </c>
      <c r="H98" t="s">
        <v>167</v>
      </c>
      <c r="I98" t="s">
        <v>20</v>
      </c>
      <c r="J98" t="s">
        <v>172</v>
      </c>
      <c r="K98">
        <v>7</v>
      </c>
      <c r="L98">
        <v>2</v>
      </c>
      <c r="M98">
        <v>1</v>
      </c>
      <c r="N98">
        <v>0</v>
      </c>
      <c r="S98" t="str">
        <v>Joseon</v>
      </c>
      <c r="W98" t="str">
        <v>senegambian</v>
      </c>
    </row>
    <row r="99" spans="1:23" x14ac:dyDescent="0.25">
      <c r="A99">
        <v>97</v>
      </c>
      <c r="B99" t="s">
        <v>11</v>
      </c>
      <c r="C99" t="s">
        <v>12</v>
      </c>
      <c r="D99" t="s">
        <v>144</v>
      </c>
      <c r="E99" t="s">
        <v>22</v>
      </c>
      <c r="F99" t="s">
        <v>15</v>
      </c>
      <c r="G99" t="s">
        <v>122</v>
      </c>
      <c r="H99" t="s">
        <v>1686</v>
      </c>
      <c r="I99" t="s">
        <v>43</v>
      </c>
      <c r="J99" t="s">
        <v>173</v>
      </c>
      <c r="K99">
        <v>4</v>
      </c>
      <c r="L99">
        <v>3</v>
      </c>
      <c r="M99">
        <v>2</v>
      </c>
      <c r="N99">
        <v>0</v>
      </c>
      <c r="S99" t="str">
        <v>Peking</v>
      </c>
      <c r="W99" t="str">
        <v>tuareg</v>
      </c>
    </row>
    <row r="100" spans="1:23" x14ac:dyDescent="0.25">
      <c r="A100">
        <v>98</v>
      </c>
      <c r="B100" t="s">
        <v>11</v>
      </c>
      <c r="C100" t="s">
        <v>12</v>
      </c>
      <c r="D100" t="s">
        <v>144</v>
      </c>
      <c r="E100" t="s">
        <v>22</v>
      </c>
      <c r="F100" t="s">
        <v>15</v>
      </c>
      <c r="G100" t="s">
        <v>122</v>
      </c>
      <c r="H100" t="s">
        <v>167</v>
      </c>
      <c r="I100" t="s">
        <v>20</v>
      </c>
      <c r="J100" t="s">
        <v>174</v>
      </c>
      <c r="K100">
        <v>5</v>
      </c>
      <c r="L100">
        <v>5</v>
      </c>
      <c r="M100">
        <v>4</v>
      </c>
      <c r="N100">
        <v>0</v>
      </c>
      <c r="S100" t="str">
        <v>Shanghai</v>
      </c>
      <c r="W100" t="str">
        <v>madagasque</v>
      </c>
    </row>
    <row r="101" spans="1:23" x14ac:dyDescent="0.25">
      <c r="A101">
        <v>99</v>
      </c>
      <c r="B101" t="s">
        <v>11</v>
      </c>
      <c r="C101" t="s">
        <v>12</v>
      </c>
      <c r="D101" t="s">
        <v>127</v>
      </c>
      <c r="E101" t="s">
        <v>14</v>
      </c>
      <c r="F101" t="s">
        <v>15</v>
      </c>
      <c r="G101" t="s">
        <v>122</v>
      </c>
      <c r="H101" t="s">
        <v>167</v>
      </c>
      <c r="I101" t="s">
        <v>20</v>
      </c>
      <c r="J101" t="s">
        <v>175</v>
      </c>
      <c r="K101">
        <v>5</v>
      </c>
      <c r="L101">
        <v>5</v>
      </c>
      <c r="M101">
        <v>2</v>
      </c>
      <c r="N101">
        <v>0</v>
      </c>
      <c r="S101" t="str">
        <v>Canton</v>
      </c>
      <c r="W101" t="str">
        <v>maltese</v>
      </c>
    </row>
    <row r="102" spans="1:23" x14ac:dyDescent="0.25">
      <c r="A102">
        <v>100</v>
      </c>
      <c r="B102" t="s">
        <v>11</v>
      </c>
      <c r="C102" t="s">
        <v>12</v>
      </c>
      <c r="D102" t="s">
        <v>127</v>
      </c>
      <c r="E102" t="s">
        <v>14</v>
      </c>
      <c r="F102" t="s">
        <v>15</v>
      </c>
      <c r="G102" t="s">
        <v>122</v>
      </c>
      <c r="H102" t="s">
        <v>1686</v>
      </c>
      <c r="I102" t="s">
        <v>20</v>
      </c>
      <c r="J102" t="s">
        <v>176</v>
      </c>
      <c r="K102">
        <v>5</v>
      </c>
      <c r="L102">
        <v>5</v>
      </c>
      <c r="M102">
        <v>2</v>
      </c>
      <c r="N102">
        <v>0</v>
      </c>
      <c r="S102" t="str">
        <v>Annam</v>
      </c>
      <c r="W102" t="str">
        <v>mande</v>
      </c>
    </row>
    <row r="103" spans="1:23" x14ac:dyDescent="0.25">
      <c r="A103">
        <v>101</v>
      </c>
      <c r="B103" t="s">
        <v>11</v>
      </c>
      <c r="C103" t="s">
        <v>12</v>
      </c>
      <c r="D103" t="s">
        <v>177</v>
      </c>
      <c r="E103" t="s">
        <v>22</v>
      </c>
      <c r="F103" t="s">
        <v>15</v>
      </c>
      <c r="G103" t="s">
        <v>122</v>
      </c>
      <c r="H103" t="s">
        <v>1686</v>
      </c>
      <c r="I103" t="s">
        <v>1612</v>
      </c>
      <c r="J103" t="s">
        <v>178</v>
      </c>
      <c r="K103">
        <v>6</v>
      </c>
      <c r="L103">
        <v>4</v>
      </c>
      <c r="M103">
        <v>1</v>
      </c>
      <c r="N103">
        <v>0</v>
      </c>
      <c r="S103" t="str">
        <v>Siam</v>
      </c>
      <c r="W103" t="str">
        <v>punjabi</v>
      </c>
    </row>
    <row r="104" spans="1:23" x14ac:dyDescent="0.25">
      <c r="A104">
        <v>102</v>
      </c>
      <c r="B104" t="s">
        <v>11</v>
      </c>
      <c r="C104" t="s">
        <v>12</v>
      </c>
      <c r="D104" t="s">
        <v>177</v>
      </c>
      <c r="E104" t="s">
        <v>22</v>
      </c>
      <c r="F104" t="s">
        <v>15</v>
      </c>
      <c r="G104" t="s">
        <v>26</v>
      </c>
      <c r="H104" t="s">
        <v>1686</v>
      </c>
      <c r="I104" t="s">
        <v>43</v>
      </c>
      <c r="J104" t="s">
        <v>179</v>
      </c>
      <c r="K104">
        <v>5</v>
      </c>
      <c r="L104">
        <v>5</v>
      </c>
      <c r="M104">
        <v>2</v>
      </c>
      <c r="N104">
        <v>0</v>
      </c>
      <c r="S104" t="str">
        <v>Assam</v>
      </c>
      <c r="W104" t="str">
        <v>afghani</v>
      </c>
    </row>
    <row r="105" spans="1:23" x14ac:dyDescent="0.25">
      <c r="A105">
        <v>103</v>
      </c>
      <c r="B105" t="s">
        <v>11</v>
      </c>
      <c r="C105" t="s">
        <v>12</v>
      </c>
      <c r="D105" t="s">
        <v>177</v>
      </c>
      <c r="E105" t="s">
        <v>22</v>
      </c>
      <c r="F105" t="s">
        <v>15</v>
      </c>
      <c r="G105" t="s">
        <v>26</v>
      </c>
      <c r="H105" t="s">
        <v>1686</v>
      </c>
      <c r="I105" t="s">
        <v>27</v>
      </c>
      <c r="J105" t="s">
        <v>1688</v>
      </c>
      <c r="K105">
        <v>5</v>
      </c>
      <c r="L105">
        <v>5</v>
      </c>
      <c r="M105">
        <v>2</v>
      </c>
      <c r="N105">
        <v>0</v>
      </c>
      <c r="S105" t="str">
        <v>Burma</v>
      </c>
      <c r="W105" t="str">
        <v>nepali</v>
      </c>
    </row>
    <row r="106" spans="1:23" x14ac:dyDescent="0.25">
      <c r="A106">
        <v>104</v>
      </c>
      <c r="B106" t="s">
        <v>11</v>
      </c>
      <c r="C106" t="s">
        <v>12</v>
      </c>
      <c r="D106" t="s">
        <v>177</v>
      </c>
      <c r="E106" t="s">
        <v>22</v>
      </c>
      <c r="F106" t="s">
        <v>15</v>
      </c>
      <c r="G106" t="s">
        <v>122</v>
      </c>
      <c r="H106" t="s">
        <v>181</v>
      </c>
      <c r="I106" t="s">
        <v>1612</v>
      </c>
      <c r="J106" t="s">
        <v>182</v>
      </c>
      <c r="K106">
        <v>6</v>
      </c>
      <c r="L106">
        <v>4</v>
      </c>
      <c r="M106">
        <v>1</v>
      </c>
      <c r="N106">
        <v>0</v>
      </c>
      <c r="S106" t="str">
        <v>Malaya</v>
      </c>
      <c r="W106" t="str">
        <v>tibetan</v>
      </c>
    </row>
    <row r="107" spans="1:23" x14ac:dyDescent="0.25">
      <c r="A107">
        <v>105</v>
      </c>
      <c r="B107" t="s">
        <v>11</v>
      </c>
      <c r="C107" t="s">
        <v>12</v>
      </c>
      <c r="D107" t="s">
        <v>177</v>
      </c>
      <c r="E107" t="s">
        <v>14</v>
      </c>
      <c r="F107" t="s">
        <v>15</v>
      </c>
      <c r="G107" t="s">
        <v>122</v>
      </c>
      <c r="H107" t="s">
        <v>181</v>
      </c>
      <c r="I107" t="s">
        <v>20</v>
      </c>
      <c r="J107" t="s">
        <v>184</v>
      </c>
      <c r="K107">
        <v>5</v>
      </c>
      <c r="L107">
        <v>4</v>
      </c>
      <c r="M107">
        <v>1</v>
      </c>
      <c r="N107">
        <v>0</v>
      </c>
      <c r="S107" t="str">
        <v>Ajeh</v>
      </c>
      <c r="W107" t="str">
        <v>upper_burman</v>
      </c>
    </row>
    <row r="108" spans="1:23" x14ac:dyDescent="0.25">
      <c r="A108">
        <v>106</v>
      </c>
      <c r="B108" t="s">
        <v>11</v>
      </c>
      <c r="C108" t="s">
        <v>12</v>
      </c>
      <c r="D108" t="s">
        <v>183</v>
      </c>
      <c r="E108" t="s">
        <v>22</v>
      </c>
      <c r="F108" t="s">
        <v>15</v>
      </c>
      <c r="G108" t="s">
        <v>122</v>
      </c>
      <c r="H108" t="s">
        <v>167</v>
      </c>
      <c r="I108" t="s">
        <v>20</v>
      </c>
      <c r="J108" t="s">
        <v>185</v>
      </c>
      <c r="K108">
        <v>5</v>
      </c>
      <c r="L108">
        <v>4</v>
      </c>
      <c r="M108">
        <v>1</v>
      </c>
      <c r="N108">
        <v>0</v>
      </c>
      <c r="S108" t="str">
        <v>Sumatra</v>
      </c>
      <c r="W108" t="str">
        <v>burmese</v>
      </c>
    </row>
    <row r="109" spans="1:23" x14ac:dyDescent="0.25">
      <c r="A109">
        <v>107</v>
      </c>
      <c r="B109" t="s">
        <v>11</v>
      </c>
      <c r="C109" t="s">
        <v>12</v>
      </c>
      <c r="D109" t="s">
        <v>183</v>
      </c>
      <c r="E109" t="s">
        <v>22</v>
      </c>
      <c r="F109" t="s">
        <v>15</v>
      </c>
      <c r="G109" t="s">
        <v>16</v>
      </c>
      <c r="H109" t="s">
        <v>167</v>
      </c>
      <c r="I109" t="s">
        <v>20</v>
      </c>
      <c r="J109" t="s">
        <v>186</v>
      </c>
      <c r="K109">
        <v>5</v>
      </c>
      <c r="L109">
        <v>5</v>
      </c>
      <c r="M109">
        <v>2</v>
      </c>
      <c r="N109">
        <v>0</v>
      </c>
      <c r="S109" t="str">
        <v>Nippon</v>
      </c>
      <c r="W109" t="str">
        <v>uighur</v>
      </c>
    </row>
    <row r="110" spans="1:23" x14ac:dyDescent="0.25">
      <c r="A110">
        <v>108</v>
      </c>
      <c r="B110" t="s">
        <v>11</v>
      </c>
      <c r="C110" t="s">
        <v>12</v>
      </c>
      <c r="D110" t="s">
        <v>183</v>
      </c>
      <c r="E110" t="s">
        <v>22</v>
      </c>
      <c r="F110" t="s">
        <v>15</v>
      </c>
      <c r="G110" t="s">
        <v>16</v>
      </c>
      <c r="H110" t="s">
        <v>1685</v>
      </c>
      <c r="I110" t="s">
        <v>20</v>
      </c>
      <c r="J110" t="s">
        <v>188</v>
      </c>
      <c r="K110">
        <v>5</v>
      </c>
      <c r="L110">
        <v>3</v>
      </c>
      <c r="M110">
        <v>1</v>
      </c>
      <c r="N110">
        <v>0</v>
      </c>
      <c r="S110" t="str">
        <v>Formosa</v>
      </c>
    </row>
    <row r="111" spans="1:23" x14ac:dyDescent="0.25">
      <c r="A111">
        <v>109</v>
      </c>
      <c r="B111" t="s">
        <v>11</v>
      </c>
      <c r="C111" t="s">
        <v>12</v>
      </c>
      <c r="D111" t="s">
        <v>183</v>
      </c>
      <c r="E111" t="s">
        <v>22</v>
      </c>
      <c r="F111" t="s">
        <v>15</v>
      </c>
      <c r="G111" t="s">
        <v>122</v>
      </c>
      <c r="H111" t="s">
        <v>1685</v>
      </c>
      <c r="I111" t="s">
        <v>43</v>
      </c>
      <c r="J111" t="s">
        <v>189</v>
      </c>
      <c r="K111">
        <v>5</v>
      </c>
      <c r="L111">
        <v>4</v>
      </c>
      <c r="M111">
        <v>1</v>
      </c>
      <c r="N111">
        <v>0</v>
      </c>
      <c r="S111" t="str">
        <v>Lucon</v>
      </c>
    </row>
    <row r="112" spans="1:23" x14ac:dyDescent="0.25">
      <c r="A112">
        <v>110</v>
      </c>
      <c r="B112" t="s">
        <v>11</v>
      </c>
      <c r="C112" t="s">
        <v>12</v>
      </c>
      <c r="D112" t="s">
        <v>183</v>
      </c>
      <c r="E112" t="s">
        <v>22</v>
      </c>
      <c r="F112" t="s">
        <v>15</v>
      </c>
      <c r="G112" t="s">
        <v>122</v>
      </c>
      <c r="H112" t="s">
        <v>1685</v>
      </c>
      <c r="I112" t="s">
        <v>1612</v>
      </c>
      <c r="J112" t="s">
        <v>190</v>
      </c>
      <c r="K112">
        <v>5</v>
      </c>
      <c r="L112">
        <v>5</v>
      </c>
      <c r="M112">
        <v>3</v>
      </c>
      <c r="N112">
        <v>0</v>
      </c>
      <c r="S112" t="str">
        <v>Borneo</v>
      </c>
    </row>
    <row r="113" spans="1:19" x14ac:dyDescent="0.25">
      <c r="A113">
        <v>111</v>
      </c>
      <c r="B113" t="s">
        <v>11</v>
      </c>
      <c r="C113" t="s">
        <v>12</v>
      </c>
      <c r="D113" t="s">
        <v>183</v>
      </c>
      <c r="E113" t="s">
        <v>14</v>
      </c>
      <c r="F113" t="s">
        <v>15</v>
      </c>
      <c r="G113" t="s">
        <v>122</v>
      </c>
      <c r="H113" t="s">
        <v>181</v>
      </c>
      <c r="I113" t="s">
        <v>20</v>
      </c>
      <c r="J113" t="s">
        <v>191</v>
      </c>
      <c r="K113">
        <v>5</v>
      </c>
      <c r="L113">
        <v>3</v>
      </c>
      <c r="M113">
        <v>2</v>
      </c>
      <c r="N113">
        <v>0</v>
      </c>
      <c r="S113" t="str">
        <v>Java</v>
      </c>
    </row>
    <row r="114" spans="1:19" x14ac:dyDescent="0.25">
      <c r="A114">
        <v>112</v>
      </c>
      <c r="B114" t="s">
        <v>11</v>
      </c>
      <c r="C114" t="s">
        <v>12</v>
      </c>
      <c r="D114" t="s">
        <v>193</v>
      </c>
      <c r="E114" t="s">
        <v>22</v>
      </c>
      <c r="F114" t="s">
        <v>15</v>
      </c>
      <c r="G114" t="s">
        <v>122</v>
      </c>
      <c r="H114" t="s">
        <v>181</v>
      </c>
      <c r="I114" t="s">
        <v>1612</v>
      </c>
      <c r="J114" t="s">
        <v>192</v>
      </c>
      <c r="K114">
        <v>4</v>
      </c>
      <c r="L114">
        <v>3</v>
      </c>
      <c r="M114">
        <v>2</v>
      </c>
      <c r="N114">
        <v>0</v>
      </c>
      <c r="S114" t="str">
        <v>Surabaya</v>
      </c>
    </row>
    <row r="115" spans="1:19" x14ac:dyDescent="0.25">
      <c r="A115">
        <v>113</v>
      </c>
      <c r="B115" t="s">
        <v>11</v>
      </c>
      <c r="C115" t="s">
        <v>12</v>
      </c>
      <c r="D115" t="s">
        <v>193</v>
      </c>
      <c r="E115" t="s">
        <v>22</v>
      </c>
      <c r="F115" t="s">
        <v>15</v>
      </c>
      <c r="G115" t="s">
        <v>122</v>
      </c>
      <c r="H115" t="s">
        <v>181</v>
      </c>
      <c r="I115" t="s">
        <v>27</v>
      </c>
      <c r="J115" t="s">
        <v>194</v>
      </c>
      <c r="K115">
        <v>4</v>
      </c>
      <c r="L115">
        <v>3</v>
      </c>
      <c r="M115">
        <v>1</v>
      </c>
      <c r="N115">
        <v>0</v>
      </c>
      <c r="S115" t="str">
        <v>Celebes</v>
      </c>
    </row>
    <row r="116" spans="1:19" x14ac:dyDescent="0.25">
      <c r="A116">
        <v>114</v>
      </c>
      <c r="B116" t="s">
        <v>11</v>
      </c>
      <c r="C116" t="s">
        <v>12</v>
      </c>
      <c r="D116" t="s">
        <v>193</v>
      </c>
      <c r="E116" t="s">
        <v>14</v>
      </c>
      <c r="F116" t="s">
        <v>15</v>
      </c>
      <c r="G116" t="s">
        <v>122</v>
      </c>
      <c r="H116" t="s">
        <v>181</v>
      </c>
      <c r="I116" t="s">
        <v>27</v>
      </c>
      <c r="J116" t="s">
        <v>1613</v>
      </c>
      <c r="K116">
        <v>5</v>
      </c>
      <c r="L116">
        <v>2</v>
      </c>
      <c r="M116">
        <v>1</v>
      </c>
      <c r="N116">
        <v>0</v>
      </c>
      <c r="S116" t="str">
        <v>Amboina</v>
      </c>
    </row>
    <row r="117" spans="1:19" x14ac:dyDescent="0.25">
      <c r="A117">
        <v>115</v>
      </c>
      <c r="B117" t="s">
        <v>11</v>
      </c>
      <c r="C117" t="s">
        <v>12</v>
      </c>
      <c r="D117" t="s">
        <v>193</v>
      </c>
      <c r="E117" t="s">
        <v>22</v>
      </c>
      <c r="F117" t="s">
        <v>15</v>
      </c>
      <c r="G117" t="s">
        <v>122</v>
      </c>
      <c r="H117" t="s">
        <v>181</v>
      </c>
      <c r="I117" t="s">
        <v>53</v>
      </c>
      <c r="J117" t="s">
        <v>193</v>
      </c>
      <c r="K117">
        <v>4</v>
      </c>
      <c r="L117">
        <v>2</v>
      </c>
      <c r="M117">
        <v>1</v>
      </c>
      <c r="N117">
        <v>0</v>
      </c>
      <c r="S117" t="str">
        <v>Ternate</v>
      </c>
    </row>
    <row r="118" spans="1:19" x14ac:dyDescent="0.25">
      <c r="A118">
        <v>116</v>
      </c>
      <c r="B118" t="s">
        <v>11</v>
      </c>
      <c r="C118" t="s">
        <v>12</v>
      </c>
      <c r="D118" t="s">
        <v>193</v>
      </c>
      <c r="E118" t="s">
        <v>22</v>
      </c>
      <c r="F118" t="s">
        <v>15</v>
      </c>
      <c r="G118" t="s">
        <v>26</v>
      </c>
      <c r="H118" t="s">
        <v>181</v>
      </c>
      <c r="I118" t="s">
        <v>27</v>
      </c>
      <c r="J118" t="s">
        <v>196</v>
      </c>
      <c r="K118">
        <v>3</v>
      </c>
      <c r="L118">
        <v>3</v>
      </c>
      <c r="M118">
        <v>1</v>
      </c>
      <c r="N118">
        <v>0</v>
      </c>
      <c r="S118" t="str">
        <v>Papua</v>
      </c>
    </row>
    <row r="119" spans="1:19" x14ac:dyDescent="0.25">
      <c r="A119">
        <v>117</v>
      </c>
      <c r="B119" t="s">
        <v>11</v>
      </c>
      <c r="C119" t="s">
        <v>12</v>
      </c>
      <c r="D119" t="s">
        <v>193</v>
      </c>
      <c r="E119" t="s">
        <v>22</v>
      </c>
      <c r="F119" t="s">
        <v>15</v>
      </c>
      <c r="G119" t="s">
        <v>26</v>
      </c>
      <c r="H119" t="s">
        <v>181</v>
      </c>
      <c r="I119" t="s">
        <v>1612</v>
      </c>
      <c r="J119" t="s">
        <v>197</v>
      </c>
      <c r="K119">
        <v>4</v>
      </c>
      <c r="L119">
        <v>2</v>
      </c>
      <c r="M119">
        <v>1</v>
      </c>
      <c r="N119">
        <v>0</v>
      </c>
      <c r="S119" t="str">
        <v>Kanguru</v>
      </c>
    </row>
    <row r="120" spans="1:19" x14ac:dyDescent="0.25">
      <c r="A120">
        <v>118</v>
      </c>
      <c r="B120" t="s">
        <v>11</v>
      </c>
      <c r="C120" t="s">
        <v>12</v>
      </c>
      <c r="D120" t="s">
        <v>198</v>
      </c>
      <c r="E120" t="s">
        <v>14</v>
      </c>
      <c r="F120" t="s">
        <v>15</v>
      </c>
      <c r="G120" t="s">
        <v>122</v>
      </c>
      <c r="H120" t="s">
        <v>181</v>
      </c>
      <c r="I120" t="s">
        <v>27</v>
      </c>
      <c r="J120" t="s">
        <v>199</v>
      </c>
      <c r="K120">
        <v>7</v>
      </c>
      <c r="L120">
        <v>1</v>
      </c>
      <c r="M120">
        <v>1</v>
      </c>
      <c r="N120">
        <v>0</v>
      </c>
      <c r="S120" t="str">
        <v>Botany</v>
      </c>
    </row>
    <row r="121" spans="1:19" x14ac:dyDescent="0.25">
      <c r="A121">
        <v>119</v>
      </c>
      <c r="B121" t="s">
        <v>11</v>
      </c>
      <c r="C121" t="s">
        <v>12</v>
      </c>
      <c r="D121" t="s">
        <v>198</v>
      </c>
      <c r="E121" t="s">
        <v>22</v>
      </c>
      <c r="F121" t="s">
        <v>15</v>
      </c>
      <c r="G121" t="s">
        <v>26</v>
      </c>
      <c r="H121" t="s">
        <v>181</v>
      </c>
      <c r="I121" t="s">
        <v>27</v>
      </c>
      <c r="J121" t="s">
        <v>200</v>
      </c>
      <c r="K121">
        <v>6</v>
      </c>
      <c r="L121">
        <v>2</v>
      </c>
      <c r="M121">
        <v>1</v>
      </c>
      <c r="N121">
        <v>0</v>
      </c>
      <c r="S121" t="str">
        <v>Maori</v>
      </c>
    </row>
    <row r="122" spans="1:19" x14ac:dyDescent="0.25">
      <c r="A122">
        <v>120</v>
      </c>
      <c r="B122" t="s">
        <v>11</v>
      </c>
      <c r="C122" t="s">
        <v>12</v>
      </c>
      <c r="D122" t="s">
        <v>198</v>
      </c>
      <c r="E122" t="s">
        <v>22</v>
      </c>
      <c r="F122" t="s">
        <v>15</v>
      </c>
      <c r="G122" t="s">
        <v>122</v>
      </c>
      <c r="H122" t="s">
        <v>181</v>
      </c>
      <c r="I122" t="s">
        <v>27</v>
      </c>
      <c r="J122" t="s">
        <v>201</v>
      </c>
      <c r="K122">
        <v>6</v>
      </c>
      <c r="L122">
        <v>1</v>
      </c>
      <c r="M122">
        <v>1</v>
      </c>
      <c r="N122">
        <v>0</v>
      </c>
      <c r="S122" t="str">
        <v>Tasmania</v>
      </c>
    </row>
    <row r="123" spans="1:19" x14ac:dyDescent="0.25">
      <c r="A123">
        <v>121</v>
      </c>
      <c r="B123" t="s">
        <v>11</v>
      </c>
      <c r="C123" t="s">
        <v>12</v>
      </c>
      <c r="D123" t="s">
        <v>183</v>
      </c>
      <c r="E123" t="s">
        <v>22</v>
      </c>
      <c r="F123" t="s">
        <v>15</v>
      </c>
      <c r="G123" t="s">
        <v>16</v>
      </c>
      <c r="H123" t="s">
        <v>1685</v>
      </c>
      <c r="I123" t="s">
        <v>20</v>
      </c>
      <c r="J123" t="s">
        <v>202</v>
      </c>
      <c r="K123">
        <v>6</v>
      </c>
      <c r="L123">
        <v>2</v>
      </c>
      <c r="M123">
        <v>1</v>
      </c>
      <c r="N123">
        <v>0</v>
      </c>
      <c r="S123" t="str">
        <v>Maghreb</v>
      </c>
    </row>
    <row r="124" spans="1:19" x14ac:dyDescent="0.25">
      <c r="A124">
        <v>122</v>
      </c>
      <c r="B124" t="s">
        <v>11</v>
      </c>
      <c r="C124" t="s">
        <v>12</v>
      </c>
      <c r="D124" t="s">
        <v>183</v>
      </c>
      <c r="E124" t="s">
        <v>22</v>
      </c>
      <c r="F124" t="s">
        <v>15</v>
      </c>
      <c r="G124" t="s">
        <v>16</v>
      </c>
      <c r="H124" t="s">
        <v>1685</v>
      </c>
      <c r="I124" t="s">
        <v>27</v>
      </c>
      <c r="J124" t="s">
        <v>203</v>
      </c>
      <c r="K124">
        <v>6</v>
      </c>
      <c r="L124">
        <v>1</v>
      </c>
      <c r="M124">
        <v>1</v>
      </c>
      <c r="N124">
        <v>0</v>
      </c>
      <c r="S124" t="str">
        <v>Egypt</v>
      </c>
    </row>
    <row r="125" spans="1:19" x14ac:dyDescent="0.25">
      <c r="A125">
        <v>123</v>
      </c>
      <c r="B125" t="s">
        <v>11</v>
      </c>
      <c r="C125" t="s">
        <v>12</v>
      </c>
      <c r="D125" t="s">
        <v>204</v>
      </c>
      <c r="E125" t="s">
        <v>22</v>
      </c>
      <c r="F125" t="s">
        <v>15</v>
      </c>
      <c r="G125" t="s">
        <v>16</v>
      </c>
      <c r="H125" t="s">
        <v>1685</v>
      </c>
      <c r="I125" t="s">
        <v>27</v>
      </c>
      <c r="J125" t="s">
        <v>205</v>
      </c>
      <c r="K125">
        <v>8</v>
      </c>
      <c r="L125">
        <v>1</v>
      </c>
      <c r="M125">
        <v>1</v>
      </c>
      <c r="N125">
        <v>0</v>
      </c>
      <c r="S125" t="str">
        <v>Sudan</v>
      </c>
    </row>
    <row r="126" spans="1:19" x14ac:dyDescent="0.25">
      <c r="A126">
        <v>124</v>
      </c>
      <c r="B126" t="s">
        <v>11</v>
      </c>
      <c r="C126" t="s">
        <v>12</v>
      </c>
      <c r="D126" t="s">
        <v>204</v>
      </c>
      <c r="E126" t="s">
        <v>22</v>
      </c>
      <c r="F126" t="s">
        <v>15</v>
      </c>
      <c r="G126" t="s">
        <v>16</v>
      </c>
      <c r="H126" t="s">
        <v>1685</v>
      </c>
      <c r="I126" t="s">
        <v>27</v>
      </c>
      <c r="J126" t="s">
        <v>206</v>
      </c>
      <c r="K126">
        <v>8</v>
      </c>
      <c r="L126">
        <v>1</v>
      </c>
      <c r="M126">
        <v>1</v>
      </c>
      <c r="N126">
        <v>0</v>
      </c>
      <c r="S126" t="str">
        <v>Ethiopia</v>
      </c>
    </row>
    <row r="127" spans="1:19" x14ac:dyDescent="0.25">
      <c r="A127">
        <v>125</v>
      </c>
      <c r="B127" t="s">
        <v>11</v>
      </c>
      <c r="C127" t="s">
        <v>12</v>
      </c>
      <c r="D127" t="s">
        <v>204</v>
      </c>
      <c r="E127" t="s">
        <v>22</v>
      </c>
      <c r="F127" t="s">
        <v>15</v>
      </c>
      <c r="G127" t="s">
        <v>16</v>
      </c>
      <c r="H127" t="s">
        <v>1685</v>
      </c>
      <c r="I127" t="s">
        <v>1612</v>
      </c>
      <c r="J127" t="s">
        <v>207</v>
      </c>
      <c r="K127">
        <v>8</v>
      </c>
      <c r="L127">
        <v>1</v>
      </c>
      <c r="M127">
        <v>1</v>
      </c>
      <c r="N127">
        <v>0</v>
      </c>
      <c r="S127" t="str">
        <v>Somalia</v>
      </c>
    </row>
    <row r="128" spans="1:19" x14ac:dyDescent="0.25">
      <c r="A128">
        <v>126</v>
      </c>
      <c r="B128" t="s">
        <v>11</v>
      </c>
      <c r="C128" t="s">
        <v>12</v>
      </c>
      <c r="D128" t="s">
        <v>204</v>
      </c>
      <c r="E128" t="s">
        <v>22</v>
      </c>
      <c r="F128" t="s">
        <v>15</v>
      </c>
      <c r="G128" t="s">
        <v>16</v>
      </c>
      <c r="H128" t="s">
        <v>17</v>
      </c>
      <c r="I128" t="s">
        <v>20</v>
      </c>
      <c r="J128" t="s">
        <v>208</v>
      </c>
      <c r="K128">
        <v>8</v>
      </c>
      <c r="L128">
        <v>1</v>
      </c>
      <c r="M128">
        <v>1</v>
      </c>
      <c r="N128">
        <v>0</v>
      </c>
      <c r="S128" t="str">
        <v>Socotra</v>
      </c>
    </row>
    <row r="129" spans="1:19" x14ac:dyDescent="0.25">
      <c r="A129">
        <v>127</v>
      </c>
      <c r="B129" t="s">
        <v>11</v>
      </c>
      <c r="C129" t="s">
        <v>12</v>
      </c>
      <c r="D129" t="s">
        <v>204</v>
      </c>
      <c r="E129" t="s">
        <v>14</v>
      </c>
      <c r="F129" t="s">
        <v>15</v>
      </c>
      <c r="G129" t="s">
        <v>16</v>
      </c>
      <c r="H129" t="s">
        <v>17</v>
      </c>
      <c r="I129" t="s">
        <v>20</v>
      </c>
      <c r="J129" t="s">
        <v>209</v>
      </c>
      <c r="K129">
        <v>9</v>
      </c>
      <c r="L129">
        <v>1</v>
      </c>
      <c r="M129">
        <v>1</v>
      </c>
      <c r="N129">
        <v>0</v>
      </c>
      <c r="S129" t="str">
        <v>Tanganyika</v>
      </c>
    </row>
    <row r="130" spans="1:19" x14ac:dyDescent="0.25">
      <c r="A130">
        <v>128</v>
      </c>
      <c r="B130" t="s">
        <v>11</v>
      </c>
      <c r="C130" t="s">
        <v>12</v>
      </c>
      <c r="D130" t="s">
        <v>210</v>
      </c>
      <c r="E130" t="s">
        <v>22</v>
      </c>
      <c r="F130" t="s">
        <v>15</v>
      </c>
      <c r="G130" t="s">
        <v>16</v>
      </c>
      <c r="H130" t="s">
        <v>17</v>
      </c>
      <c r="I130" t="s">
        <v>20</v>
      </c>
      <c r="J130" t="s">
        <v>211</v>
      </c>
      <c r="K130">
        <v>9</v>
      </c>
      <c r="L130">
        <v>1</v>
      </c>
      <c r="M130">
        <v>1</v>
      </c>
      <c r="N130">
        <v>0</v>
      </c>
      <c r="S130" t="str">
        <v>Mozambicque</v>
      </c>
    </row>
    <row r="131" spans="1:19" x14ac:dyDescent="0.25">
      <c r="A131">
        <v>129</v>
      </c>
      <c r="B131" t="s">
        <v>11</v>
      </c>
      <c r="C131" t="s">
        <v>12</v>
      </c>
      <c r="D131" t="s">
        <v>210</v>
      </c>
      <c r="E131" t="s">
        <v>22</v>
      </c>
      <c r="F131" t="s">
        <v>15</v>
      </c>
      <c r="G131" t="s">
        <v>16</v>
      </c>
      <c r="H131" t="s">
        <v>17</v>
      </c>
      <c r="I131" t="s">
        <v>212</v>
      </c>
      <c r="J131" t="s">
        <v>213</v>
      </c>
      <c r="K131">
        <v>9</v>
      </c>
      <c r="L131">
        <v>1</v>
      </c>
      <c r="M131">
        <v>1</v>
      </c>
      <c r="N131">
        <v>0</v>
      </c>
      <c r="S131" t="str">
        <v>The Cape</v>
      </c>
    </row>
    <row r="132" spans="1:19" x14ac:dyDescent="0.25">
      <c r="A132">
        <v>130</v>
      </c>
      <c r="B132" t="s">
        <v>11</v>
      </c>
      <c r="C132" t="s">
        <v>12</v>
      </c>
      <c r="D132" t="s">
        <v>210</v>
      </c>
      <c r="E132" t="s">
        <v>22</v>
      </c>
      <c r="F132" t="s">
        <v>15</v>
      </c>
      <c r="G132" t="s">
        <v>16</v>
      </c>
      <c r="H132" t="s">
        <v>17</v>
      </c>
      <c r="I132" t="s">
        <v>27</v>
      </c>
      <c r="J132" t="s">
        <v>214</v>
      </c>
      <c r="K132">
        <v>8</v>
      </c>
      <c r="L132">
        <v>1</v>
      </c>
      <c r="M132">
        <v>1</v>
      </c>
      <c r="N132">
        <v>0</v>
      </c>
      <c r="S132" t="str">
        <v>Namibia</v>
      </c>
    </row>
    <row r="133" spans="1:19" x14ac:dyDescent="0.25">
      <c r="A133">
        <v>131</v>
      </c>
      <c r="B133" t="s">
        <v>11</v>
      </c>
      <c r="C133" t="s">
        <v>12</v>
      </c>
      <c r="D133" t="s">
        <v>210</v>
      </c>
      <c r="E133" t="s">
        <v>22</v>
      </c>
      <c r="F133" t="s">
        <v>15</v>
      </c>
      <c r="G133" t="s">
        <v>16</v>
      </c>
      <c r="H133" t="s">
        <v>17</v>
      </c>
      <c r="I133" t="s">
        <v>20</v>
      </c>
      <c r="J133" t="s">
        <v>215</v>
      </c>
      <c r="K133">
        <v>8</v>
      </c>
      <c r="L133">
        <v>1</v>
      </c>
      <c r="M133">
        <v>1</v>
      </c>
      <c r="N133">
        <v>0</v>
      </c>
      <c r="S133" t="str">
        <v>Angola</v>
      </c>
    </row>
    <row r="134" spans="1:19" x14ac:dyDescent="0.25">
      <c r="A134">
        <v>132</v>
      </c>
      <c r="B134" t="s">
        <v>11</v>
      </c>
      <c r="C134" t="s">
        <v>12</v>
      </c>
      <c r="D134" t="s">
        <v>210</v>
      </c>
      <c r="E134" t="s">
        <v>22</v>
      </c>
      <c r="F134" t="s">
        <v>15</v>
      </c>
      <c r="G134" t="s">
        <v>16</v>
      </c>
      <c r="H134" t="s">
        <v>216</v>
      </c>
      <c r="I134" t="s">
        <v>20</v>
      </c>
      <c r="J134" t="s">
        <v>217</v>
      </c>
      <c r="K134">
        <v>7</v>
      </c>
      <c r="L134">
        <v>1</v>
      </c>
      <c r="M134">
        <v>1</v>
      </c>
      <c r="N134">
        <v>0</v>
      </c>
      <c r="S134" t="str">
        <v>Congo</v>
      </c>
    </row>
    <row r="135" spans="1:19" x14ac:dyDescent="0.25">
      <c r="A135">
        <v>133</v>
      </c>
      <c r="B135" t="s">
        <v>11</v>
      </c>
      <c r="C135" t="s">
        <v>12</v>
      </c>
      <c r="D135" t="s">
        <v>151</v>
      </c>
      <c r="E135" t="s">
        <v>22</v>
      </c>
      <c r="F135" t="s">
        <v>15</v>
      </c>
      <c r="G135" t="s">
        <v>16</v>
      </c>
      <c r="H135" t="s">
        <v>216</v>
      </c>
      <c r="I135" t="s">
        <v>20</v>
      </c>
      <c r="J135" t="s">
        <v>218</v>
      </c>
      <c r="K135">
        <v>8</v>
      </c>
      <c r="L135">
        <v>1</v>
      </c>
      <c r="M135">
        <v>1</v>
      </c>
      <c r="N135">
        <v>0</v>
      </c>
      <c r="S135" t="str">
        <v>Gabon</v>
      </c>
    </row>
    <row r="136" spans="1:19" x14ac:dyDescent="0.25">
      <c r="A136">
        <v>134</v>
      </c>
      <c r="B136" t="s">
        <v>11</v>
      </c>
      <c r="C136" t="s">
        <v>12</v>
      </c>
      <c r="D136" t="s">
        <v>210</v>
      </c>
      <c r="E136" t="s">
        <v>22</v>
      </c>
      <c r="F136" t="s">
        <v>15</v>
      </c>
      <c r="G136" t="s">
        <v>16</v>
      </c>
      <c r="H136" t="s">
        <v>216</v>
      </c>
      <c r="I136" t="s">
        <v>20</v>
      </c>
      <c r="J136" t="s">
        <v>219</v>
      </c>
      <c r="K136">
        <v>7</v>
      </c>
      <c r="L136">
        <v>1</v>
      </c>
      <c r="M136">
        <v>1</v>
      </c>
      <c r="N136">
        <v>0</v>
      </c>
      <c r="S136" t="str">
        <v>Cameroon</v>
      </c>
    </row>
    <row r="137" spans="1:19" x14ac:dyDescent="0.25">
      <c r="A137">
        <v>135</v>
      </c>
      <c r="B137" t="s">
        <v>11</v>
      </c>
      <c r="C137" t="s">
        <v>12</v>
      </c>
      <c r="D137" t="s">
        <v>210</v>
      </c>
      <c r="E137" t="s">
        <v>22</v>
      </c>
      <c r="F137" t="s">
        <v>15</v>
      </c>
      <c r="G137" t="s">
        <v>16</v>
      </c>
      <c r="H137" t="s">
        <v>216</v>
      </c>
      <c r="I137" t="s">
        <v>20</v>
      </c>
      <c r="J137" t="s">
        <v>220</v>
      </c>
      <c r="K137">
        <v>8</v>
      </c>
      <c r="L137">
        <v>1</v>
      </c>
      <c r="M137">
        <v>1</v>
      </c>
      <c r="N137">
        <v>0</v>
      </c>
      <c r="S137" t="str">
        <v>Ivory</v>
      </c>
    </row>
    <row r="138" spans="1:19" x14ac:dyDescent="0.25">
      <c r="A138">
        <v>136</v>
      </c>
      <c r="B138" t="s">
        <v>11</v>
      </c>
      <c r="C138" t="s">
        <v>12</v>
      </c>
      <c r="D138" t="s">
        <v>210</v>
      </c>
      <c r="E138" t="s">
        <v>22</v>
      </c>
      <c r="F138" t="s">
        <v>15</v>
      </c>
      <c r="G138" t="s">
        <v>16</v>
      </c>
      <c r="H138" t="s">
        <v>216</v>
      </c>
      <c r="I138" t="s">
        <v>20</v>
      </c>
      <c r="J138" t="s">
        <v>221</v>
      </c>
      <c r="K138">
        <v>8</v>
      </c>
      <c r="L138">
        <v>1</v>
      </c>
      <c r="M138">
        <v>1</v>
      </c>
      <c r="N138">
        <v>0</v>
      </c>
      <c r="S138" t="str">
        <v>Gold</v>
      </c>
    </row>
    <row r="139" spans="1:19" x14ac:dyDescent="0.25">
      <c r="A139">
        <v>137</v>
      </c>
      <c r="B139" t="s">
        <v>11</v>
      </c>
      <c r="C139" t="s">
        <v>222</v>
      </c>
      <c r="D139" t="s">
        <v>223</v>
      </c>
      <c r="E139" t="s">
        <v>22</v>
      </c>
      <c r="F139" t="s">
        <v>15</v>
      </c>
      <c r="G139" t="s">
        <v>75</v>
      </c>
      <c r="H139" t="s">
        <v>1689</v>
      </c>
      <c r="I139" t="s">
        <v>131</v>
      </c>
      <c r="J139" t="s">
        <v>225</v>
      </c>
      <c r="K139">
        <v>3</v>
      </c>
      <c r="L139">
        <v>7</v>
      </c>
      <c r="M139">
        <v>1</v>
      </c>
      <c r="N139">
        <v>0</v>
      </c>
      <c r="S139" t="str">
        <v>Senegal</v>
      </c>
    </row>
    <row r="140" spans="1:19" x14ac:dyDescent="0.25">
      <c r="A140">
        <v>138</v>
      </c>
      <c r="B140" t="s">
        <v>11</v>
      </c>
      <c r="C140" t="s">
        <v>222</v>
      </c>
      <c r="D140" t="s">
        <v>223</v>
      </c>
      <c r="E140" t="s">
        <v>22</v>
      </c>
      <c r="F140" t="s">
        <v>15</v>
      </c>
      <c r="G140" t="s">
        <v>75</v>
      </c>
      <c r="H140" t="s">
        <v>1689</v>
      </c>
      <c r="I140" t="s">
        <v>84</v>
      </c>
      <c r="J140" t="s">
        <v>226</v>
      </c>
      <c r="K140">
        <v>3</v>
      </c>
      <c r="L140">
        <v>5</v>
      </c>
      <c r="M140">
        <v>1</v>
      </c>
      <c r="N140">
        <v>0</v>
      </c>
      <c r="S140" t="str">
        <v>Mauritania</v>
      </c>
    </row>
    <row r="141" spans="1:19" x14ac:dyDescent="0.25">
      <c r="A141">
        <v>139</v>
      </c>
      <c r="B141" t="s">
        <v>11</v>
      </c>
      <c r="C141" t="s">
        <v>222</v>
      </c>
      <c r="D141" t="s">
        <v>223</v>
      </c>
      <c r="E141" t="s">
        <v>22</v>
      </c>
      <c r="F141" t="s">
        <v>15</v>
      </c>
      <c r="G141" t="s">
        <v>75</v>
      </c>
      <c r="H141" t="s">
        <v>1689</v>
      </c>
      <c r="I141" t="s">
        <v>73</v>
      </c>
      <c r="J141" t="s">
        <v>227</v>
      </c>
      <c r="K141">
        <v>3</v>
      </c>
      <c r="L141">
        <v>1</v>
      </c>
      <c r="M141">
        <v>1</v>
      </c>
      <c r="N141">
        <v>0</v>
      </c>
      <c r="S141" t="str">
        <v>Madagascar</v>
      </c>
    </row>
    <row r="142" spans="1:19" x14ac:dyDescent="0.25">
      <c r="A142">
        <v>140</v>
      </c>
      <c r="B142" t="s">
        <v>11</v>
      </c>
      <c r="C142" t="s">
        <v>222</v>
      </c>
      <c r="D142" t="s">
        <v>223</v>
      </c>
      <c r="E142" t="s">
        <v>22</v>
      </c>
      <c r="F142" t="s">
        <v>15</v>
      </c>
      <c r="G142" t="s">
        <v>75</v>
      </c>
      <c r="H142" t="s">
        <v>1689</v>
      </c>
      <c r="I142" t="s">
        <v>73</v>
      </c>
      <c r="J142" t="s">
        <v>228</v>
      </c>
      <c r="K142">
        <v>4</v>
      </c>
      <c r="L142">
        <v>1</v>
      </c>
      <c r="M142">
        <v>1</v>
      </c>
      <c r="N142">
        <v>0</v>
      </c>
      <c r="S142" t="str">
        <v>The Mascarenes</v>
      </c>
    </row>
    <row r="143" spans="1:19" x14ac:dyDescent="0.25">
      <c r="A143">
        <v>141</v>
      </c>
      <c r="B143" t="s">
        <v>11</v>
      </c>
      <c r="C143" t="s">
        <v>222</v>
      </c>
      <c r="D143" t="s">
        <v>229</v>
      </c>
      <c r="E143" t="s">
        <v>80</v>
      </c>
      <c r="F143" t="s">
        <v>15</v>
      </c>
      <c r="G143" t="s">
        <v>75</v>
      </c>
      <c r="H143" t="s">
        <v>1689</v>
      </c>
      <c r="I143" t="s">
        <v>73</v>
      </c>
      <c r="J143" t="s">
        <v>230</v>
      </c>
      <c r="K143">
        <v>6</v>
      </c>
      <c r="L143">
        <v>1</v>
      </c>
      <c r="M143">
        <v>1</v>
      </c>
      <c r="N143">
        <v>0</v>
      </c>
      <c r="S143" t="str">
        <v>Seychelles</v>
      </c>
    </row>
    <row r="144" spans="1:19" x14ac:dyDescent="0.25">
      <c r="A144">
        <v>142</v>
      </c>
      <c r="B144" t="s">
        <v>11</v>
      </c>
      <c r="C144" t="s">
        <v>222</v>
      </c>
      <c r="D144" t="s">
        <v>229</v>
      </c>
      <c r="E144" t="s">
        <v>14</v>
      </c>
      <c r="F144" t="s">
        <v>15</v>
      </c>
      <c r="G144" t="s">
        <v>75</v>
      </c>
      <c r="H144" t="s">
        <v>1689</v>
      </c>
      <c r="I144" t="s">
        <v>73</v>
      </c>
      <c r="J144" t="s">
        <v>231</v>
      </c>
      <c r="K144">
        <v>5</v>
      </c>
      <c r="L144">
        <v>4</v>
      </c>
      <c r="M144">
        <v>1</v>
      </c>
      <c r="N144">
        <v>0</v>
      </c>
      <c r="S144" t="str">
        <v>Hawaii</v>
      </c>
    </row>
    <row r="145" spans="1:19" x14ac:dyDescent="0.25">
      <c r="A145">
        <v>143</v>
      </c>
      <c r="B145" t="s">
        <v>11</v>
      </c>
      <c r="C145" t="s">
        <v>222</v>
      </c>
      <c r="D145" t="s">
        <v>229</v>
      </c>
      <c r="E145" t="s">
        <v>22</v>
      </c>
      <c r="F145" t="s">
        <v>15</v>
      </c>
      <c r="G145" t="s">
        <v>75</v>
      </c>
      <c r="H145" t="s">
        <v>1689</v>
      </c>
      <c r="I145" t="s">
        <v>73</v>
      </c>
      <c r="J145" t="s">
        <v>232</v>
      </c>
      <c r="K145">
        <v>5</v>
      </c>
      <c r="L145">
        <v>5</v>
      </c>
      <c r="M145">
        <v>1</v>
      </c>
      <c r="N145">
        <v>0</v>
      </c>
      <c r="S145" t="str">
        <v>Polynesia</v>
      </c>
    </row>
    <row r="146" spans="1:19" x14ac:dyDescent="0.25">
      <c r="A146">
        <v>144</v>
      </c>
      <c r="B146" t="s">
        <v>11</v>
      </c>
      <c r="C146" t="s">
        <v>222</v>
      </c>
      <c r="D146" t="s">
        <v>229</v>
      </c>
      <c r="E146" t="s">
        <v>22</v>
      </c>
      <c r="F146" t="s">
        <v>15</v>
      </c>
      <c r="G146" t="s">
        <v>75</v>
      </c>
      <c r="H146" t="s">
        <v>1689</v>
      </c>
      <c r="I146" t="s">
        <v>73</v>
      </c>
      <c r="J146" t="s">
        <v>234</v>
      </c>
      <c r="K146">
        <v>4</v>
      </c>
      <c r="L146">
        <v>5</v>
      </c>
      <c r="M146">
        <v>1</v>
      </c>
      <c r="N146">
        <v>0</v>
      </c>
      <c r="S146" t="str">
        <v>Fiji</v>
      </c>
    </row>
    <row r="147" spans="1:19" x14ac:dyDescent="0.25">
      <c r="A147">
        <v>145</v>
      </c>
      <c r="B147" t="s">
        <v>11</v>
      </c>
      <c r="C147" t="s">
        <v>222</v>
      </c>
      <c r="D147" t="s">
        <v>229</v>
      </c>
      <c r="E147" t="s">
        <v>22</v>
      </c>
      <c r="F147" t="s">
        <v>15</v>
      </c>
      <c r="G147" t="s">
        <v>75</v>
      </c>
      <c r="H147" t="s">
        <v>1689</v>
      </c>
      <c r="I147" t="s">
        <v>73</v>
      </c>
      <c r="J147" t="s">
        <v>236</v>
      </c>
      <c r="K147">
        <v>2</v>
      </c>
      <c r="L147">
        <v>1</v>
      </c>
      <c r="M147">
        <v>1</v>
      </c>
      <c r="N147">
        <v>0</v>
      </c>
      <c r="S147" t="str">
        <v>Canarias</v>
      </c>
    </row>
    <row r="148" spans="1:19" x14ac:dyDescent="0.25">
      <c r="A148">
        <v>146</v>
      </c>
      <c r="B148" t="s">
        <v>11</v>
      </c>
      <c r="C148" t="s">
        <v>222</v>
      </c>
      <c r="D148" t="s">
        <v>233</v>
      </c>
      <c r="E148" t="s">
        <v>22</v>
      </c>
      <c r="F148" t="s">
        <v>15</v>
      </c>
      <c r="G148" t="s">
        <v>75</v>
      </c>
      <c r="H148" t="s">
        <v>1689</v>
      </c>
      <c r="I148" t="s">
        <v>41</v>
      </c>
      <c r="J148" t="s">
        <v>237</v>
      </c>
      <c r="K148">
        <v>3</v>
      </c>
      <c r="L148">
        <v>1</v>
      </c>
      <c r="M148">
        <v>1</v>
      </c>
      <c r="N148">
        <v>0</v>
      </c>
      <c r="S148" t="str">
        <v>Cape Verde</v>
      </c>
    </row>
    <row r="149" spans="1:19" x14ac:dyDescent="0.25">
      <c r="A149">
        <v>147</v>
      </c>
      <c r="B149" t="s">
        <v>11</v>
      </c>
      <c r="C149" t="s">
        <v>222</v>
      </c>
      <c r="D149" t="s">
        <v>233</v>
      </c>
      <c r="E149" t="s">
        <v>22</v>
      </c>
      <c r="F149" t="s">
        <v>15</v>
      </c>
      <c r="G149" t="s">
        <v>75</v>
      </c>
      <c r="H149" t="s">
        <v>1689</v>
      </c>
      <c r="I149" t="s">
        <v>73</v>
      </c>
      <c r="J149" t="s">
        <v>238</v>
      </c>
      <c r="K149">
        <v>2</v>
      </c>
      <c r="L149">
        <v>1</v>
      </c>
      <c r="M149">
        <v>1</v>
      </c>
      <c r="N149">
        <v>0</v>
      </c>
      <c r="S149" t="str">
        <v>St Helena</v>
      </c>
    </row>
    <row r="150" spans="1:19" x14ac:dyDescent="0.25">
      <c r="A150">
        <v>148</v>
      </c>
      <c r="B150" t="s">
        <v>11</v>
      </c>
      <c r="C150" t="s">
        <v>222</v>
      </c>
      <c r="D150" t="s">
        <v>233</v>
      </c>
      <c r="E150" t="s">
        <v>22</v>
      </c>
      <c r="F150" t="s">
        <v>15</v>
      </c>
      <c r="G150" t="s">
        <v>75</v>
      </c>
      <c r="H150" t="s">
        <v>1689</v>
      </c>
      <c r="I150" t="s">
        <v>41</v>
      </c>
      <c r="J150" t="s">
        <v>239</v>
      </c>
      <c r="K150">
        <v>3</v>
      </c>
      <c r="L150">
        <v>1</v>
      </c>
      <c r="M150">
        <v>1</v>
      </c>
      <c r="N150">
        <v>0</v>
      </c>
      <c r="S150" t="str">
        <v>Sea</v>
      </c>
    </row>
    <row r="151" spans="1:19" x14ac:dyDescent="0.25">
      <c r="A151">
        <v>149</v>
      </c>
      <c r="B151" t="s">
        <v>11</v>
      </c>
      <c r="C151" t="s">
        <v>222</v>
      </c>
      <c r="D151" t="s">
        <v>233</v>
      </c>
      <c r="E151" t="s">
        <v>22</v>
      </c>
      <c r="F151" t="s">
        <v>15</v>
      </c>
      <c r="G151" t="s">
        <v>75</v>
      </c>
      <c r="H151" t="s">
        <v>1689</v>
      </c>
      <c r="I151" t="s">
        <v>73</v>
      </c>
      <c r="J151" t="s">
        <v>240</v>
      </c>
      <c r="K151">
        <v>2</v>
      </c>
      <c r="L151">
        <v>1</v>
      </c>
      <c r="M151">
        <v>1</v>
      </c>
      <c r="N151">
        <v>0</v>
      </c>
      <c r="S151" t="str">
        <v>HudsonBayArea</v>
      </c>
    </row>
    <row r="152" spans="1:19" x14ac:dyDescent="0.25">
      <c r="A152">
        <v>150</v>
      </c>
      <c r="B152" t="s">
        <v>11</v>
      </c>
      <c r="C152" t="s">
        <v>222</v>
      </c>
      <c r="D152" t="s">
        <v>233</v>
      </c>
      <c r="E152" t="s">
        <v>22</v>
      </c>
      <c r="F152" t="s">
        <v>15</v>
      </c>
      <c r="G152" t="s">
        <v>75</v>
      </c>
      <c r="H152" t="s">
        <v>1689</v>
      </c>
      <c r="I152" t="s">
        <v>73</v>
      </c>
      <c r="J152" t="s">
        <v>241</v>
      </c>
      <c r="K152">
        <v>2</v>
      </c>
      <c r="L152">
        <v>1</v>
      </c>
      <c r="M152">
        <v>1</v>
      </c>
      <c r="N152">
        <v>0</v>
      </c>
      <c r="S152" t="str">
        <v>CapeHornArea</v>
      </c>
    </row>
    <row r="153" spans="1:19" x14ac:dyDescent="0.25">
      <c r="A153">
        <v>151</v>
      </c>
      <c r="B153" t="s">
        <v>11</v>
      </c>
      <c r="C153" t="s">
        <v>222</v>
      </c>
      <c r="D153" t="s">
        <v>233</v>
      </c>
      <c r="E153" t="s">
        <v>22</v>
      </c>
      <c r="F153" t="s">
        <v>15</v>
      </c>
      <c r="G153" t="s">
        <v>75</v>
      </c>
      <c r="H153" t="s">
        <v>1689</v>
      </c>
      <c r="I153" t="s">
        <v>73</v>
      </c>
      <c r="J153" t="s">
        <v>242</v>
      </c>
      <c r="K153">
        <v>3</v>
      </c>
      <c r="L153">
        <v>1</v>
      </c>
      <c r="M153">
        <v>1</v>
      </c>
      <c r="N153">
        <v>0</v>
      </c>
      <c r="S153" t="str">
        <v>GoodHopeArea</v>
      </c>
    </row>
    <row r="154" spans="1:19" x14ac:dyDescent="0.25">
      <c r="A154">
        <v>152</v>
      </c>
      <c r="B154" t="s">
        <v>11</v>
      </c>
      <c r="C154" t="s">
        <v>222</v>
      </c>
      <c r="D154" t="s">
        <v>233</v>
      </c>
      <c r="E154" t="s">
        <v>22</v>
      </c>
      <c r="F154" t="s">
        <v>15</v>
      </c>
      <c r="G154" t="s">
        <v>75</v>
      </c>
      <c r="H154" t="s">
        <v>1689</v>
      </c>
      <c r="I154" t="s">
        <v>73</v>
      </c>
      <c r="J154" t="s">
        <v>243</v>
      </c>
      <c r="K154">
        <v>3</v>
      </c>
      <c r="L154">
        <v>1</v>
      </c>
      <c r="M154">
        <v>1</v>
      </c>
      <c r="N154">
        <v>0</v>
      </c>
      <c r="S154" t="str">
        <v>Lake</v>
      </c>
    </row>
    <row r="155" spans="1:19" x14ac:dyDescent="0.25">
      <c r="A155">
        <v>153</v>
      </c>
      <c r="B155" t="s">
        <v>11</v>
      </c>
      <c r="C155" t="s">
        <v>244</v>
      </c>
      <c r="D155" t="s">
        <v>279</v>
      </c>
      <c r="E155" t="s">
        <v>22</v>
      </c>
      <c r="F155" t="s">
        <v>15</v>
      </c>
      <c r="G155" t="s">
        <v>75</v>
      </c>
      <c r="H155" t="s">
        <v>1689</v>
      </c>
      <c r="I155" t="s">
        <v>53</v>
      </c>
      <c r="J155" t="s">
        <v>246</v>
      </c>
      <c r="K155">
        <v>3</v>
      </c>
      <c r="L155">
        <v>4</v>
      </c>
      <c r="M155">
        <v>1</v>
      </c>
      <c r="N155">
        <v>0</v>
      </c>
      <c r="S155" t="str">
        <v>Timbuktu</v>
      </c>
    </row>
    <row r="156" spans="1:19" x14ac:dyDescent="0.25">
      <c r="A156">
        <v>154</v>
      </c>
      <c r="B156" t="s">
        <v>11</v>
      </c>
      <c r="C156" t="s">
        <v>244</v>
      </c>
      <c r="D156" t="s">
        <v>245</v>
      </c>
      <c r="E156" t="s">
        <v>22</v>
      </c>
      <c r="F156" t="s">
        <v>15</v>
      </c>
      <c r="G156" t="s">
        <v>75</v>
      </c>
      <c r="H156" t="s">
        <v>1690</v>
      </c>
      <c r="I156" t="s">
        <v>687</v>
      </c>
      <c r="J156" t="s">
        <v>247</v>
      </c>
      <c r="K156">
        <v>7</v>
      </c>
      <c r="L156">
        <v>2</v>
      </c>
      <c r="M156">
        <v>1</v>
      </c>
      <c r="N156">
        <v>0</v>
      </c>
      <c r="S156" t="str">
        <v>Sofala</v>
      </c>
    </row>
    <row r="157" spans="1:19" x14ac:dyDescent="0.25">
      <c r="A157">
        <v>155</v>
      </c>
      <c r="B157" t="s">
        <v>11</v>
      </c>
      <c r="C157" t="s">
        <v>244</v>
      </c>
      <c r="D157" t="s">
        <v>245</v>
      </c>
      <c r="E157" t="s">
        <v>80</v>
      </c>
      <c r="F157" t="s">
        <v>15</v>
      </c>
      <c r="G157" t="s">
        <v>75</v>
      </c>
      <c r="H157" t="s">
        <v>1690</v>
      </c>
      <c r="I157" t="s">
        <v>41</v>
      </c>
      <c r="J157" t="s">
        <v>248</v>
      </c>
      <c r="K157">
        <v>8</v>
      </c>
      <c r="L157">
        <v>2</v>
      </c>
      <c r="M157">
        <v>1</v>
      </c>
      <c r="N157">
        <v>0</v>
      </c>
      <c r="S157" t="str">
        <v>Afghanistan</v>
      </c>
    </row>
    <row r="158" spans="1:19" x14ac:dyDescent="0.25">
      <c r="A158">
        <v>156</v>
      </c>
      <c r="B158" t="s">
        <v>11</v>
      </c>
      <c r="C158" t="s">
        <v>244</v>
      </c>
      <c r="D158" t="s">
        <v>245</v>
      </c>
      <c r="E158" t="s">
        <v>22</v>
      </c>
      <c r="F158" t="s">
        <v>15</v>
      </c>
      <c r="G158" t="s">
        <v>75</v>
      </c>
      <c r="H158" t="s">
        <v>1690</v>
      </c>
      <c r="I158" t="s">
        <v>73</v>
      </c>
      <c r="J158" t="s">
        <v>249</v>
      </c>
      <c r="K158">
        <v>7</v>
      </c>
      <c r="L158">
        <v>3</v>
      </c>
      <c r="M158">
        <v>1</v>
      </c>
      <c r="N158">
        <v>0</v>
      </c>
      <c r="S158" t="str">
        <v>Greenland</v>
      </c>
    </row>
    <row r="159" spans="1:19" x14ac:dyDescent="0.25">
      <c r="A159">
        <v>157</v>
      </c>
      <c r="B159" t="s">
        <v>11</v>
      </c>
      <c r="C159" t="s">
        <v>244</v>
      </c>
      <c r="D159" t="s">
        <v>245</v>
      </c>
      <c r="E159" t="s">
        <v>80</v>
      </c>
      <c r="F159" t="s">
        <v>15</v>
      </c>
      <c r="G159" t="s">
        <v>75</v>
      </c>
      <c r="H159" t="s">
        <v>1690</v>
      </c>
      <c r="I159" t="s">
        <v>687</v>
      </c>
      <c r="J159" t="s">
        <v>250</v>
      </c>
      <c r="K159">
        <v>6</v>
      </c>
      <c r="L159">
        <v>3</v>
      </c>
      <c r="M159">
        <v>1</v>
      </c>
      <c r="N159">
        <v>0</v>
      </c>
      <c r="S159" t="str">
        <v>Himalaya</v>
      </c>
    </row>
    <row r="160" spans="1:19" x14ac:dyDescent="0.25">
      <c r="A160">
        <v>158</v>
      </c>
      <c r="B160" t="s">
        <v>11</v>
      </c>
      <c r="C160" t="s">
        <v>244</v>
      </c>
      <c r="D160" t="s">
        <v>245</v>
      </c>
      <c r="E160" t="s">
        <v>80</v>
      </c>
      <c r="F160" t="s">
        <v>15</v>
      </c>
      <c r="G160" t="s">
        <v>75</v>
      </c>
      <c r="H160" t="s">
        <v>1690</v>
      </c>
      <c r="I160" t="s">
        <v>84</v>
      </c>
      <c r="J160" t="s">
        <v>251</v>
      </c>
      <c r="K160">
        <v>5</v>
      </c>
      <c r="L160">
        <v>4</v>
      </c>
      <c r="M160">
        <v>1</v>
      </c>
      <c r="N160">
        <v>0</v>
      </c>
      <c r="S160" t="str">
        <v>Chengdu</v>
      </c>
    </row>
    <row r="161" spans="1:19" x14ac:dyDescent="0.25">
      <c r="A161">
        <v>159</v>
      </c>
      <c r="B161" t="s">
        <v>11</v>
      </c>
      <c r="C161" t="s">
        <v>244</v>
      </c>
      <c r="D161" t="s">
        <v>245</v>
      </c>
      <c r="E161" t="s">
        <v>14</v>
      </c>
      <c r="F161" t="s">
        <v>15</v>
      </c>
      <c r="G161" t="s">
        <v>75</v>
      </c>
      <c r="H161" t="s">
        <v>1690</v>
      </c>
      <c r="I161" t="s">
        <v>41</v>
      </c>
      <c r="J161" t="s">
        <v>252</v>
      </c>
      <c r="K161">
        <v>6</v>
      </c>
      <c r="L161">
        <v>3</v>
      </c>
      <c r="M161">
        <v>1</v>
      </c>
      <c r="N161">
        <v>0</v>
      </c>
      <c r="S161" t="str">
        <v>Yunnan</v>
      </c>
    </row>
    <row r="162" spans="1:19" x14ac:dyDescent="0.25">
      <c r="A162">
        <v>160</v>
      </c>
      <c r="B162" t="s">
        <v>11</v>
      </c>
      <c r="C162" t="s">
        <v>244</v>
      </c>
      <c r="D162" t="s">
        <v>245</v>
      </c>
      <c r="E162" t="s">
        <v>14</v>
      </c>
      <c r="F162" t="s">
        <v>15</v>
      </c>
      <c r="G162" t="s">
        <v>75</v>
      </c>
      <c r="H162" t="s">
        <v>1690</v>
      </c>
      <c r="I162" t="s">
        <v>18</v>
      </c>
      <c r="J162" t="s">
        <v>253</v>
      </c>
      <c r="K162">
        <v>5</v>
      </c>
      <c r="L162">
        <v>4</v>
      </c>
      <c r="M162">
        <v>1</v>
      </c>
      <c r="N162">
        <v>0</v>
      </c>
      <c r="S162" t="str">
        <v>Sha Anxi</v>
      </c>
    </row>
    <row r="163" spans="1:19" x14ac:dyDescent="0.25">
      <c r="A163">
        <v>161</v>
      </c>
      <c r="B163" t="s">
        <v>11</v>
      </c>
      <c r="C163" t="s">
        <v>244</v>
      </c>
      <c r="D163" t="s">
        <v>245</v>
      </c>
      <c r="E163" t="s">
        <v>22</v>
      </c>
      <c r="F163" t="s">
        <v>15</v>
      </c>
      <c r="G163" t="s">
        <v>75</v>
      </c>
      <c r="H163" t="s">
        <v>1690</v>
      </c>
      <c r="I163" t="s">
        <v>20</v>
      </c>
      <c r="J163" t="s">
        <v>254</v>
      </c>
      <c r="K163">
        <v>6</v>
      </c>
      <c r="L163">
        <v>2</v>
      </c>
      <c r="M163">
        <v>1</v>
      </c>
      <c r="N163">
        <v>0</v>
      </c>
      <c r="S163" t="str">
        <v>Bermuda</v>
      </c>
    </row>
    <row r="164" spans="1:19" x14ac:dyDescent="0.25">
      <c r="A164">
        <v>162</v>
      </c>
      <c r="B164" t="s">
        <v>11</v>
      </c>
      <c r="C164" t="s">
        <v>244</v>
      </c>
      <c r="D164" t="s">
        <v>255</v>
      </c>
      <c r="E164" t="s">
        <v>22</v>
      </c>
      <c r="F164" t="s">
        <v>15</v>
      </c>
      <c r="G164" t="s">
        <v>75</v>
      </c>
      <c r="H164" t="s">
        <v>1691</v>
      </c>
      <c r="I164" t="s">
        <v>18</v>
      </c>
      <c r="J164" t="s">
        <v>257</v>
      </c>
      <c r="K164">
        <v>5</v>
      </c>
      <c r="L164">
        <v>2</v>
      </c>
      <c r="M164">
        <v>1</v>
      </c>
      <c r="N164">
        <v>0</v>
      </c>
      <c r="S164" t="str">
        <v>Ob</v>
      </c>
    </row>
    <row r="165" spans="1:19" x14ac:dyDescent="0.25">
      <c r="A165">
        <v>163</v>
      </c>
      <c r="B165" t="s">
        <v>11</v>
      </c>
      <c r="C165" t="s">
        <v>244</v>
      </c>
      <c r="D165" t="s">
        <v>255</v>
      </c>
      <c r="E165" t="s">
        <v>14</v>
      </c>
      <c r="F165" t="s">
        <v>15</v>
      </c>
      <c r="G165" t="s">
        <v>75</v>
      </c>
      <c r="H165" t="s">
        <v>1691</v>
      </c>
      <c r="I165" t="s">
        <v>41</v>
      </c>
      <c r="J165" t="s">
        <v>258</v>
      </c>
      <c r="K165">
        <v>6</v>
      </c>
      <c r="L165">
        <v>2</v>
      </c>
      <c r="M165">
        <v>1</v>
      </c>
      <c r="N165">
        <v>0</v>
      </c>
      <c r="S165" t="str">
        <v>Dzungaria</v>
      </c>
    </row>
    <row r="166" spans="1:19" x14ac:dyDescent="0.25">
      <c r="A166">
        <v>164</v>
      </c>
      <c r="B166" t="s">
        <v>11</v>
      </c>
      <c r="C166" t="s">
        <v>244</v>
      </c>
      <c r="D166" t="s">
        <v>255</v>
      </c>
      <c r="E166" t="s">
        <v>34</v>
      </c>
      <c r="F166" t="s">
        <v>15</v>
      </c>
      <c r="G166" t="s">
        <v>75</v>
      </c>
      <c r="H166" t="s">
        <v>1691</v>
      </c>
      <c r="I166" t="s">
        <v>687</v>
      </c>
      <c r="J166" t="s">
        <v>259</v>
      </c>
      <c r="K166">
        <v>4</v>
      </c>
      <c r="L166">
        <v>3</v>
      </c>
      <c r="M166">
        <v>1</v>
      </c>
      <c r="N166">
        <v>0</v>
      </c>
    </row>
    <row r="167" spans="1:19" x14ac:dyDescent="0.25">
      <c r="A167">
        <v>165</v>
      </c>
      <c r="B167" t="s">
        <v>11</v>
      </c>
      <c r="C167" t="s">
        <v>244</v>
      </c>
      <c r="D167" t="s">
        <v>260</v>
      </c>
      <c r="E167" t="s">
        <v>34</v>
      </c>
      <c r="F167" t="s">
        <v>15</v>
      </c>
      <c r="G167" t="s">
        <v>75</v>
      </c>
      <c r="H167" t="s">
        <v>1691</v>
      </c>
      <c r="I167" t="s">
        <v>84</v>
      </c>
      <c r="J167" t="s">
        <v>261</v>
      </c>
      <c r="K167">
        <v>3</v>
      </c>
      <c r="L167">
        <v>4</v>
      </c>
      <c r="M167">
        <v>1</v>
      </c>
      <c r="N167">
        <v>0</v>
      </c>
    </row>
    <row r="168" spans="1:19" x14ac:dyDescent="0.25">
      <c r="A168">
        <v>166</v>
      </c>
      <c r="B168" t="s">
        <v>11</v>
      </c>
      <c r="C168" t="s">
        <v>244</v>
      </c>
      <c r="D168" t="s">
        <v>260</v>
      </c>
      <c r="E168" t="s">
        <v>34</v>
      </c>
      <c r="F168" t="s">
        <v>15</v>
      </c>
      <c r="G168" t="s">
        <v>75</v>
      </c>
      <c r="H168" t="s">
        <v>1691</v>
      </c>
      <c r="I168" t="s">
        <v>43</v>
      </c>
      <c r="J168" t="s">
        <v>262</v>
      </c>
      <c r="K168">
        <v>4</v>
      </c>
      <c r="L168">
        <v>4</v>
      </c>
      <c r="M168">
        <v>1</v>
      </c>
      <c r="N168">
        <v>0</v>
      </c>
    </row>
    <row r="169" spans="1:19" x14ac:dyDescent="0.25">
      <c r="A169">
        <v>167</v>
      </c>
      <c r="B169" t="s">
        <v>11</v>
      </c>
      <c r="C169" t="s">
        <v>244</v>
      </c>
      <c r="D169" t="s">
        <v>260</v>
      </c>
      <c r="E169" t="s">
        <v>14</v>
      </c>
      <c r="F169" t="s">
        <v>15</v>
      </c>
      <c r="G169" t="s">
        <v>35</v>
      </c>
      <c r="H169" t="s">
        <v>1691</v>
      </c>
      <c r="I169" t="s">
        <v>41</v>
      </c>
      <c r="J169" t="s">
        <v>263</v>
      </c>
      <c r="K169">
        <v>4</v>
      </c>
      <c r="L169">
        <v>3</v>
      </c>
      <c r="M169">
        <v>1</v>
      </c>
      <c r="N169">
        <v>0</v>
      </c>
    </row>
    <row r="170" spans="1:19" x14ac:dyDescent="0.25">
      <c r="A170">
        <v>168</v>
      </c>
      <c r="B170" t="s">
        <v>11</v>
      </c>
      <c r="C170" t="s">
        <v>244</v>
      </c>
      <c r="D170" t="s">
        <v>260</v>
      </c>
      <c r="E170" t="s">
        <v>34</v>
      </c>
      <c r="F170" t="s">
        <v>15</v>
      </c>
      <c r="G170" t="s">
        <v>35</v>
      </c>
      <c r="H170" t="s">
        <v>1691</v>
      </c>
      <c r="I170" t="s">
        <v>18</v>
      </c>
      <c r="J170" t="s">
        <v>264</v>
      </c>
      <c r="K170">
        <v>4</v>
      </c>
      <c r="L170">
        <v>6</v>
      </c>
      <c r="M170">
        <v>1</v>
      </c>
      <c r="N170">
        <v>0</v>
      </c>
    </row>
    <row r="171" spans="1:19" x14ac:dyDescent="0.25">
      <c r="A171">
        <v>169</v>
      </c>
      <c r="B171" t="s">
        <v>11</v>
      </c>
      <c r="C171" t="s">
        <v>244</v>
      </c>
      <c r="D171" t="s">
        <v>260</v>
      </c>
      <c r="E171" t="s">
        <v>14</v>
      </c>
      <c r="F171" t="s">
        <v>15</v>
      </c>
      <c r="G171" t="s">
        <v>35</v>
      </c>
      <c r="H171" t="s">
        <v>1691</v>
      </c>
      <c r="I171" t="s">
        <v>18</v>
      </c>
      <c r="J171" t="s">
        <v>265</v>
      </c>
      <c r="K171">
        <v>4</v>
      </c>
      <c r="L171">
        <v>5</v>
      </c>
      <c r="M171">
        <v>3</v>
      </c>
      <c r="N171">
        <v>0</v>
      </c>
    </row>
    <row r="172" spans="1:19" x14ac:dyDescent="0.25">
      <c r="A172">
        <v>170</v>
      </c>
      <c r="B172" t="s">
        <v>11</v>
      </c>
      <c r="C172" t="s">
        <v>244</v>
      </c>
      <c r="D172" t="s">
        <v>260</v>
      </c>
      <c r="E172" t="s">
        <v>14</v>
      </c>
      <c r="F172" t="s">
        <v>15</v>
      </c>
      <c r="G172" t="s">
        <v>35</v>
      </c>
      <c r="H172" t="s">
        <v>1691</v>
      </c>
      <c r="I172" t="s">
        <v>18</v>
      </c>
      <c r="J172" t="s">
        <v>267</v>
      </c>
      <c r="K172">
        <v>4</v>
      </c>
      <c r="L172">
        <v>5</v>
      </c>
      <c r="M172">
        <v>1</v>
      </c>
      <c r="N172">
        <v>0</v>
      </c>
    </row>
    <row r="173" spans="1:19" x14ac:dyDescent="0.25">
      <c r="A173">
        <v>171</v>
      </c>
      <c r="B173" t="s">
        <v>11</v>
      </c>
      <c r="C173" t="s">
        <v>244</v>
      </c>
      <c r="D173" t="s">
        <v>260</v>
      </c>
      <c r="E173" t="s">
        <v>14</v>
      </c>
      <c r="F173" t="s">
        <v>15</v>
      </c>
      <c r="G173" t="s">
        <v>35</v>
      </c>
      <c r="H173" t="s">
        <v>1691</v>
      </c>
      <c r="I173" t="s">
        <v>84</v>
      </c>
      <c r="J173" t="s">
        <v>268</v>
      </c>
      <c r="K173">
        <v>7</v>
      </c>
      <c r="L173">
        <v>3</v>
      </c>
      <c r="M173">
        <v>1</v>
      </c>
      <c r="N173">
        <v>0</v>
      </c>
    </row>
    <row r="174" spans="1:19" x14ac:dyDescent="0.25">
      <c r="A174">
        <v>172</v>
      </c>
      <c r="B174" t="s">
        <v>11</v>
      </c>
      <c r="C174" t="s">
        <v>244</v>
      </c>
      <c r="D174" t="s">
        <v>260</v>
      </c>
      <c r="E174" t="s">
        <v>52</v>
      </c>
      <c r="F174" t="s">
        <v>15</v>
      </c>
      <c r="G174" t="s">
        <v>47</v>
      </c>
      <c r="H174" t="s">
        <v>1691</v>
      </c>
      <c r="I174" t="s">
        <v>212</v>
      </c>
      <c r="J174" t="s">
        <v>269</v>
      </c>
      <c r="K174">
        <v>8</v>
      </c>
      <c r="L174">
        <v>1</v>
      </c>
      <c r="M174">
        <v>1</v>
      </c>
      <c r="N174">
        <v>0</v>
      </c>
    </row>
    <row r="175" spans="1:19" x14ac:dyDescent="0.25">
      <c r="A175">
        <v>173</v>
      </c>
      <c r="B175" t="s">
        <v>11</v>
      </c>
      <c r="C175" t="s">
        <v>244</v>
      </c>
      <c r="D175" t="s">
        <v>270</v>
      </c>
      <c r="E175" t="s">
        <v>34</v>
      </c>
      <c r="F175" t="s">
        <v>15</v>
      </c>
      <c r="G175" t="s">
        <v>47</v>
      </c>
      <c r="H175" t="s">
        <v>1691</v>
      </c>
      <c r="I175" t="s">
        <v>212</v>
      </c>
      <c r="J175" t="s">
        <v>272</v>
      </c>
      <c r="K175">
        <v>6</v>
      </c>
      <c r="L175">
        <v>2</v>
      </c>
      <c r="M175">
        <v>1</v>
      </c>
      <c r="N175">
        <v>0</v>
      </c>
    </row>
    <row r="176" spans="1:19" x14ac:dyDescent="0.25">
      <c r="A176">
        <v>174</v>
      </c>
      <c r="B176" t="s">
        <v>11</v>
      </c>
      <c r="C176" t="s">
        <v>244</v>
      </c>
      <c r="D176" t="s">
        <v>270</v>
      </c>
      <c r="E176" t="s">
        <v>22</v>
      </c>
      <c r="F176" t="s">
        <v>15</v>
      </c>
      <c r="G176" t="s">
        <v>35</v>
      </c>
      <c r="H176" t="s">
        <v>1691</v>
      </c>
      <c r="I176" t="s">
        <v>43</v>
      </c>
      <c r="J176" t="s">
        <v>273</v>
      </c>
      <c r="K176">
        <v>5</v>
      </c>
      <c r="L176">
        <v>3</v>
      </c>
      <c r="M176">
        <v>1</v>
      </c>
      <c r="N176">
        <v>0</v>
      </c>
    </row>
    <row r="177" spans="1:14" x14ac:dyDescent="0.25">
      <c r="A177">
        <v>175</v>
      </c>
      <c r="B177" t="s">
        <v>11</v>
      </c>
      <c r="C177" t="s">
        <v>244</v>
      </c>
      <c r="D177" t="s">
        <v>270</v>
      </c>
      <c r="E177" t="s">
        <v>22</v>
      </c>
      <c r="F177" t="s">
        <v>15</v>
      </c>
      <c r="G177" t="s">
        <v>35</v>
      </c>
      <c r="H177" t="s">
        <v>1691</v>
      </c>
      <c r="I177" t="s">
        <v>18</v>
      </c>
      <c r="J177" t="s">
        <v>274</v>
      </c>
      <c r="K177">
        <v>4</v>
      </c>
      <c r="L177">
        <v>6</v>
      </c>
      <c r="M177">
        <v>1</v>
      </c>
      <c r="N177">
        <v>0</v>
      </c>
    </row>
    <row r="178" spans="1:14" x14ac:dyDescent="0.25">
      <c r="A178">
        <v>176</v>
      </c>
      <c r="B178" t="s">
        <v>11</v>
      </c>
      <c r="C178" t="s">
        <v>244</v>
      </c>
      <c r="D178" t="s">
        <v>270</v>
      </c>
      <c r="E178" t="s">
        <v>22</v>
      </c>
      <c r="F178" t="s">
        <v>15</v>
      </c>
      <c r="G178" t="s">
        <v>35</v>
      </c>
      <c r="H178" t="s">
        <v>1691</v>
      </c>
      <c r="I178" t="s">
        <v>1612</v>
      </c>
      <c r="J178" t="s">
        <v>275</v>
      </c>
      <c r="K178">
        <v>5</v>
      </c>
      <c r="L178">
        <v>4</v>
      </c>
      <c r="M178">
        <v>1</v>
      </c>
      <c r="N178">
        <v>0</v>
      </c>
    </row>
    <row r="179" spans="1:14" x14ac:dyDescent="0.25">
      <c r="A179">
        <v>177</v>
      </c>
      <c r="B179" t="s">
        <v>11</v>
      </c>
      <c r="C179" t="s">
        <v>244</v>
      </c>
      <c r="D179" t="s">
        <v>270</v>
      </c>
      <c r="E179" t="s">
        <v>14</v>
      </c>
      <c r="F179" t="s">
        <v>15</v>
      </c>
      <c r="G179" t="s">
        <v>276</v>
      </c>
      <c r="H179" t="s">
        <v>1685</v>
      </c>
      <c r="I179" t="s">
        <v>41</v>
      </c>
      <c r="J179" t="s">
        <v>277</v>
      </c>
      <c r="K179">
        <v>7</v>
      </c>
      <c r="L179">
        <v>2</v>
      </c>
      <c r="M179">
        <v>1</v>
      </c>
      <c r="N179">
        <v>0</v>
      </c>
    </row>
    <row r="180" spans="1:14" x14ac:dyDescent="0.25">
      <c r="A180">
        <v>178</v>
      </c>
      <c r="B180" t="s">
        <v>11</v>
      </c>
      <c r="C180" t="s">
        <v>244</v>
      </c>
      <c r="D180" t="s">
        <v>245</v>
      </c>
      <c r="E180" t="s">
        <v>80</v>
      </c>
      <c r="F180" t="s">
        <v>15</v>
      </c>
      <c r="G180" t="s">
        <v>75</v>
      </c>
      <c r="H180" t="s">
        <v>1690</v>
      </c>
      <c r="I180" t="s">
        <v>41</v>
      </c>
      <c r="J180" t="s">
        <v>278</v>
      </c>
      <c r="K180">
        <v>8</v>
      </c>
      <c r="L180">
        <v>2</v>
      </c>
      <c r="M180">
        <v>1</v>
      </c>
      <c r="N180">
        <v>0</v>
      </c>
    </row>
    <row r="181" spans="1:14" x14ac:dyDescent="0.25">
      <c r="A181">
        <v>179</v>
      </c>
      <c r="B181" t="s">
        <v>11</v>
      </c>
      <c r="C181" t="s">
        <v>244</v>
      </c>
      <c r="D181" t="s">
        <v>279</v>
      </c>
      <c r="E181" t="s">
        <v>80</v>
      </c>
      <c r="F181" t="s">
        <v>15</v>
      </c>
      <c r="G181" t="s">
        <v>75</v>
      </c>
      <c r="H181" t="s">
        <v>1690</v>
      </c>
      <c r="I181" t="s">
        <v>73</v>
      </c>
      <c r="J181" t="s">
        <v>280</v>
      </c>
      <c r="K181">
        <v>8</v>
      </c>
      <c r="L181">
        <v>2</v>
      </c>
      <c r="M181">
        <v>1</v>
      </c>
      <c r="N181">
        <v>0</v>
      </c>
    </row>
    <row r="182" spans="1:14" x14ac:dyDescent="0.25">
      <c r="A182">
        <v>180</v>
      </c>
      <c r="B182" t="s">
        <v>11</v>
      </c>
      <c r="C182" t="s">
        <v>244</v>
      </c>
      <c r="D182" t="s">
        <v>279</v>
      </c>
      <c r="E182" t="s">
        <v>80</v>
      </c>
      <c r="F182" t="s">
        <v>15</v>
      </c>
      <c r="G182" t="s">
        <v>75</v>
      </c>
      <c r="H182" t="s">
        <v>1690</v>
      </c>
      <c r="I182" t="s">
        <v>41</v>
      </c>
      <c r="J182" t="s">
        <v>281</v>
      </c>
      <c r="K182">
        <v>9</v>
      </c>
      <c r="L182">
        <v>1</v>
      </c>
      <c r="M182">
        <v>1</v>
      </c>
      <c r="N182">
        <v>0</v>
      </c>
    </row>
    <row r="183" spans="1:14" x14ac:dyDescent="0.25">
      <c r="A183">
        <v>181</v>
      </c>
      <c r="B183" t="s">
        <v>11</v>
      </c>
      <c r="C183" t="s">
        <v>244</v>
      </c>
      <c r="D183" t="s">
        <v>279</v>
      </c>
      <c r="E183" t="s">
        <v>80</v>
      </c>
      <c r="F183" t="s">
        <v>15</v>
      </c>
      <c r="G183" t="s">
        <v>75</v>
      </c>
      <c r="H183" t="s">
        <v>1690</v>
      </c>
      <c r="I183" t="s">
        <v>73</v>
      </c>
      <c r="J183" t="s">
        <v>282</v>
      </c>
      <c r="K183">
        <v>7</v>
      </c>
      <c r="L183">
        <v>2</v>
      </c>
      <c r="M183">
        <v>1</v>
      </c>
      <c r="N183">
        <v>0</v>
      </c>
    </row>
    <row r="184" spans="1:14" x14ac:dyDescent="0.25">
      <c r="A184">
        <v>182</v>
      </c>
      <c r="B184" t="s">
        <v>11</v>
      </c>
      <c r="C184" t="s">
        <v>244</v>
      </c>
      <c r="D184" t="s">
        <v>279</v>
      </c>
      <c r="E184" t="s">
        <v>80</v>
      </c>
      <c r="F184" t="s">
        <v>15</v>
      </c>
      <c r="G184" t="s">
        <v>75</v>
      </c>
      <c r="H184" t="s">
        <v>1690</v>
      </c>
      <c r="I184" t="s">
        <v>73</v>
      </c>
      <c r="J184" t="s">
        <v>283</v>
      </c>
      <c r="K184">
        <v>7</v>
      </c>
      <c r="L184">
        <v>2</v>
      </c>
      <c r="M184">
        <v>1</v>
      </c>
      <c r="N184">
        <v>0</v>
      </c>
    </row>
    <row r="185" spans="1:14" x14ac:dyDescent="0.25">
      <c r="A185">
        <v>183</v>
      </c>
      <c r="B185" t="s">
        <v>11</v>
      </c>
      <c r="C185" t="s">
        <v>244</v>
      </c>
      <c r="D185" t="s">
        <v>285</v>
      </c>
      <c r="E185" t="s">
        <v>80</v>
      </c>
      <c r="F185" t="s">
        <v>15</v>
      </c>
      <c r="G185" t="s">
        <v>75</v>
      </c>
      <c r="H185" t="s">
        <v>1685</v>
      </c>
      <c r="I185" t="s">
        <v>27</v>
      </c>
      <c r="J185" t="s">
        <v>284</v>
      </c>
      <c r="K185">
        <v>7</v>
      </c>
      <c r="L185">
        <v>2</v>
      </c>
      <c r="M185">
        <v>1</v>
      </c>
      <c r="N185">
        <v>0</v>
      </c>
    </row>
    <row r="186" spans="1:14" x14ac:dyDescent="0.25">
      <c r="A186">
        <v>184</v>
      </c>
      <c r="B186" t="s">
        <v>11</v>
      </c>
      <c r="C186" t="s">
        <v>244</v>
      </c>
      <c r="D186" t="s">
        <v>285</v>
      </c>
      <c r="E186" t="s">
        <v>80</v>
      </c>
      <c r="F186" t="s">
        <v>15</v>
      </c>
      <c r="G186" t="s">
        <v>75</v>
      </c>
      <c r="H186" t="s">
        <v>1685</v>
      </c>
      <c r="I186" t="s">
        <v>1152</v>
      </c>
      <c r="J186" t="s">
        <v>287</v>
      </c>
      <c r="K186">
        <v>9</v>
      </c>
      <c r="L186">
        <v>1</v>
      </c>
      <c r="M186">
        <v>1</v>
      </c>
      <c r="N186">
        <v>0</v>
      </c>
    </row>
    <row r="187" spans="1:14" x14ac:dyDescent="0.25">
      <c r="A187">
        <v>185</v>
      </c>
      <c r="B187" t="s">
        <v>11</v>
      </c>
      <c r="C187" t="s">
        <v>244</v>
      </c>
      <c r="D187" t="s">
        <v>285</v>
      </c>
      <c r="E187" t="s">
        <v>80</v>
      </c>
      <c r="F187" t="s">
        <v>15</v>
      </c>
      <c r="G187" t="s">
        <v>75</v>
      </c>
      <c r="H187" t="s">
        <v>1685</v>
      </c>
      <c r="I187" t="s">
        <v>1152</v>
      </c>
      <c r="J187" t="s">
        <v>288</v>
      </c>
      <c r="K187">
        <v>9</v>
      </c>
      <c r="L187">
        <v>1</v>
      </c>
      <c r="M187">
        <v>1</v>
      </c>
      <c r="N187">
        <v>0</v>
      </c>
    </row>
    <row r="188" spans="1:14" x14ac:dyDescent="0.25">
      <c r="A188">
        <v>186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20</v>
      </c>
      <c r="J188" t="s">
        <v>289</v>
      </c>
      <c r="K188">
        <v>8</v>
      </c>
      <c r="L188">
        <v>1</v>
      </c>
      <c r="M188">
        <v>1</v>
      </c>
      <c r="N188">
        <v>0</v>
      </c>
    </row>
    <row r="189" spans="1:14" x14ac:dyDescent="0.25">
      <c r="A189">
        <v>187</v>
      </c>
      <c r="B189" t="s">
        <v>11</v>
      </c>
      <c r="C189" t="s">
        <v>244</v>
      </c>
      <c r="D189" t="s">
        <v>255</v>
      </c>
      <c r="E189" t="s">
        <v>80</v>
      </c>
      <c r="F189" t="s">
        <v>15</v>
      </c>
      <c r="G189" t="s">
        <v>75</v>
      </c>
      <c r="H189" t="s">
        <v>1685</v>
      </c>
      <c r="I189" t="s">
        <v>1612</v>
      </c>
      <c r="J189" t="s">
        <v>290</v>
      </c>
      <c r="K189">
        <v>5</v>
      </c>
      <c r="L189">
        <v>3</v>
      </c>
      <c r="M189">
        <v>1</v>
      </c>
      <c r="N189">
        <v>0</v>
      </c>
    </row>
    <row r="190" spans="1:14" x14ac:dyDescent="0.25">
      <c r="A190">
        <v>188</v>
      </c>
      <c r="B190" t="s">
        <v>11</v>
      </c>
      <c r="C190" t="s">
        <v>244</v>
      </c>
      <c r="D190" t="s">
        <v>285</v>
      </c>
      <c r="E190" t="s">
        <v>80</v>
      </c>
      <c r="F190" t="s">
        <v>15</v>
      </c>
      <c r="G190" t="s">
        <v>75</v>
      </c>
      <c r="H190" t="s">
        <v>1685</v>
      </c>
      <c r="I190" t="s">
        <v>1152</v>
      </c>
      <c r="J190" t="s">
        <v>291</v>
      </c>
      <c r="K190">
        <v>9</v>
      </c>
      <c r="L190">
        <v>1</v>
      </c>
      <c r="M190">
        <v>1</v>
      </c>
      <c r="N190">
        <v>0</v>
      </c>
    </row>
    <row r="191" spans="1:14" x14ac:dyDescent="0.25">
      <c r="A191">
        <v>189</v>
      </c>
      <c r="B191" t="s">
        <v>11</v>
      </c>
      <c r="C191" t="s">
        <v>244</v>
      </c>
      <c r="D191" t="s">
        <v>285</v>
      </c>
      <c r="E191" t="s">
        <v>80</v>
      </c>
      <c r="F191" t="s">
        <v>15</v>
      </c>
      <c r="G191" t="s">
        <v>75</v>
      </c>
      <c r="H191" t="s">
        <v>1685</v>
      </c>
      <c r="I191" t="s">
        <v>1152</v>
      </c>
      <c r="J191" t="s">
        <v>292</v>
      </c>
      <c r="K191">
        <v>9</v>
      </c>
      <c r="L191">
        <v>1</v>
      </c>
      <c r="M191">
        <v>1</v>
      </c>
      <c r="N191">
        <v>0</v>
      </c>
    </row>
    <row r="192" spans="1:14" x14ac:dyDescent="0.25">
      <c r="A192">
        <v>190</v>
      </c>
      <c r="B192" t="s">
        <v>11</v>
      </c>
      <c r="C192" t="s">
        <v>244</v>
      </c>
      <c r="D192" t="s">
        <v>285</v>
      </c>
      <c r="E192" t="s">
        <v>80</v>
      </c>
      <c r="F192" t="s">
        <v>15</v>
      </c>
      <c r="G192" t="s">
        <v>75</v>
      </c>
      <c r="H192" t="s">
        <v>1685</v>
      </c>
      <c r="I192" t="s">
        <v>1152</v>
      </c>
      <c r="J192" t="s">
        <v>293</v>
      </c>
      <c r="K192">
        <v>9</v>
      </c>
      <c r="L192">
        <v>1</v>
      </c>
      <c r="M192">
        <v>1</v>
      </c>
      <c r="N192">
        <v>0</v>
      </c>
    </row>
    <row r="193" spans="1:14" x14ac:dyDescent="0.25">
      <c r="A193">
        <v>191</v>
      </c>
      <c r="B193" t="s">
        <v>11</v>
      </c>
      <c r="C193" t="s">
        <v>244</v>
      </c>
      <c r="D193" t="s">
        <v>285</v>
      </c>
      <c r="E193" t="s">
        <v>80</v>
      </c>
      <c r="F193" t="s">
        <v>15</v>
      </c>
      <c r="G193" t="s">
        <v>75</v>
      </c>
      <c r="H193" t="s">
        <v>1685</v>
      </c>
      <c r="I193" t="s">
        <v>1152</v>
      </c>
      <c r="J193" t="s">
        <v>294</v>
      </c>
      <c r="K193">
        <v>9</v>
      </c>
      <c r="L193">
        <v>1</v>
      </c>
      <c r="M193">
        <v>1</v>
      </c>
      <c r="N193">
        <v>0</v>
      </c>
    </row>
    <row r="194" spans="1:14" x14ac:dyDescent="0.25">
      <c r="A194">
        <v>192</v>
      </c>
      <c r="B194" t="s">
        <v>11</v>
      </c>
      <c r="C194" t="s">
        <v>244</v>
      </c>
      <c r="D194" t="s">
        <v>285</v>
      </c>
      <c r="E194" t="s">
        <v>80</v>
      </c>
      <c r="F194" t="s">
        <v>15</v>
      </c>
      <c r="G194" t="s">
        <v>75</v>
      </c>
      <c r="H194" t="s">
        <v>1691</v>
      </c>
      <c r="I194" t="s">
        <v>1612</v>
      </c>
      <c r="J194" t="s">
        <v>295</v>
      </c>
      <c r="K194">
        <v>9</v>
      </c>
      <c r="L194">
        <v>1</v>
      </c>
      <c r="M194">
        <v>1</v>
      </c>
      <c r="N194">
        <v>0</v>
      </c>
    </row>
    <row r="195" spans="1:14" x14ac:dyDescent="0.25">
      <c r="A195">
        <v>193</v>
      </c>
      <c r="B195" t="s">
        <v>11</v>
      </c>
      <c r="C195" t="s">
        <v>244</v>
      </c>
      <c r="D195" t="s">
        <v>260</v>
      </c>
      <c r="E195" t="s">
        <v>14</v>
      </c>
      <c r="F195" t="s">
        <v>15</v>
      </c>
      <c r="G195" t="s">
        <v>35</v>
      </c>
      <c r="H195" t="s">
        <v>1691</v>
      </c>
      <c r="I195" t="s">
        <v>41</v>
      </c>
      <c r="J195" t="s">
        <v>296</v>
      </c>
      <c r="K195">
        <v>6</v>
      </c>
      <c r="L195">
        <v>3</v>
      </c>
      <c r="M195">
        <v>1</v>
      </c>
      <c r="N195">
        <v>0</v>
      </c>
    </row>
    <row r="196" spans="1:14" x14ac:dyDescent="0.25">
      <c r="A196">
        <v>194</v>
      </c>
      <c r="B196" t="s">
        <v>11</v>
      </c>
      <c r="C196" t="s">
        <v>244</v>
      </c>
      <c r="D196" t="s">
        <v>260</v>
      </c>
      <c r="E196" t="s">
        <v>14</v>
      </c>
      <c r="F196" t="s">
        <v>15</v>
      </c>
      <c r="G196" t="s">
        <v>35</v>
      </c>
      <c r="H196" t="s">
        <v>1691</v>
      </c>
      <c r="I196" t="s">
        <v>18</v>
      </c>
      <c r="J196" t="s">
        <v>297</v>
      </c>
      <c r="K196">
        <v>5</v>
      </c>
      <c r="L196">
        <v>3</v>
      </c>
      <c r="M196">
        <v>1</v>
      </c>
      <c r="N196">
        <v>0</v>
      </c>
    </row>
    <row r="197" spans="1:14" x14ac:dyDescent="0.25">
      <c r="A197">
        <v>195</v>
      </c>
      <c r="B197" t="s">
        <v>11</v>
      </c>
      <c r="C197" t="s">
        <v>244</v>
      </c>
      <c r="D197" t="s">
        <v>285</v>
      </c>
      <c r="E197" t="s">
        <v>22</v>
      </c>
      <c r="F197" t="s">
        <v>15</v>
      </c>
      <c r="G197" t="s">
        <v>75</v>
      </c>
      <c r="H197" t="s">
        <v>1685</v>
      </c>
      <c r="I197" t="s">
        <v>41</v>
      </c>
      <c r="J197" t="s">
        <v>299</v>
      </c>
      <c r="K197">
        <v>9</v>
      </c>
      <c r="L197">
        <v>1</v>
      </c>
      <c r="M197">
        <v>1</v>
      </c>
      <c r="N197">
        <v>0</v>
      </c>
    </row>
    <row r="198" spans="1:14" x14ac:dyDescent="0.25">
      <c r="A198">
        <v>196</v>
      </c>
      <c r="B198" t="s">
        <v>11</v>
      </c>
      <c r="C198" t="s">
        <v>244</v>
      </c>
      <c r="D198" t="s">
        <v>285</v>
      </c>
      <c r="E198" t="s">
        <v>34</v>
      </c>
      <c r="F198" t="s">
        <v>15</v>
      </c>
      <c r="G198" t="s">
        <v>75</v>
      </c>
      <c r="H198" t="s">
        <v>1685</v>
      </c>
      <c r="I198" t="s">
        <v>41</v>
      </c>
      <c r="J198" t="s">
        <v>300</v>
      </c>
      <c r="K198">
        <v>9</v>
      </c>
      <c r="L198">
        <v>1</v>
      </c>
      <c r="M198">
        <v>1</v>
      </c>
      <c r="N198">
        <v>0</v>
      </c>
    </row>
    <row r="199" spans="1:14" x14ac:dyDescent="0.25">
      <c r="A199">
        <v>197</v>
      </c>
      <c r="B199" t="s">
        <v>11</v>
      </c>
      <c r="C199" t="s">
        <v>244</v>
      </c>
      <c r="D199" t="s">
        <v>285</v>
      </c>
      <c r="E199" t="s">
        <v>80</v>
      </c>
      <c r="F199" t="s">
        <v>15</v>
      </c>
      <c r="G199" t="s">
        <v>75</v>
      </c>
      <c r="H199" t="s">
        <v>1685</v>
      </c>
      <c r="I199" t="s">
        <v>20</v>
      </c>
      <c r="J199" t="s">
        <v>301</v>
      </c>
      <c r="K199">
        <v>9</v>
      </c>
      <c r="L199">
        <v>1</v>
      </c>
      <c r="M199">
        <v>1</v>
      </c>
      <c r="N199">
        <v>0</v>
      </c>
    </row>
    <row r="200" spans="1:14" x14ac:dyDescent="0.25">
      <c r="A200">
        <v>198</v>
      </c>
      <c r="B200" t="s">
        <v>11</v>
      </c>
      <c r="C200" t="s">
        <v>244</v>
      </c>
      <c r="D200" t="s">
        <v>302</v>
      </c>
      <c r="E200" t="s">
        <v>80</v>
      </c>
      <c r="F200" t="s">
        <v>15</v>
      </c>
      <c r="G200" t="s">
        <v>75</v>
      </c>
      <c r="H200" t="s">
        <v>1685</v>
      </c>
      <c r="I200" t="s">
        <v>103</v>
      </c>
      <c r="J200" t="s">
        <v>304</v>
      </c>
      <c r="K200">
        <v>7</v>
      </c>
      <c r="L200">
        <v>4</v>
      </c>
      <c r="M200">
        <v>1</v>
      </c>
      <c r="N200">
        <v>0</v>
      </c>
    </row>
    <row r="201" spans="1:14" x14ac:dyDescent="0.25">
      <c r="A201">
        <v>199</v>
      </c>
      <c r="B201" t="s">
        <v>11</v>
      </c>
      <c r="C201" t="s">
        <v>244</v>
      </c>
      <c r="D201" t="s">
        <v>302</v>
      </c>
      <c r="E201" t="s">
        <v>80</v>
      </c>
      <c r="F201" t="s">
        <v>15</v>
      </c>
      <c r="G201" t="s">
        <v>75</v>
      </c>
      <c r="H201" t="s">
        <v>1685</v>
      </c>
      <c r="I201" t="s">
        <v>131</v>
      </c>
      <c r="J201" t="s">
        <v>305</v>
      </c>
      <c r="K201">
        <v>6</v>
      </c>
      <c r="L201">
        <v>2</v>
      </c>
      <c r="M201">
        <v>1</v>
      </c>
      <c r="N201">
        <v>0</v>
      </c>
    </row>
    <row r="202" spans="1:14" x14ac:dyDescent="0.25">
      <c r="A202">
        <v>200</v>
      </c>
      <c r="B202" t="s">
        <v>11</v>
      </c>
      <c r="C202" t="s">
        <v>244</v>
      </c>
      <c r="D202" t="s">
        <v>306</v>
      </c>
      <c r="E202" t="s">
        <v>22</v>
      </c>
      <c r="F202" t="s">
        <v>15</v>
      </c>
      <c r="G202" t="s">
        <v>75</v>
      </c>
      <c r="H202" t="s">
        <v>1692</v>
      </c>
      <c r="I202" t="s">
        <v>131</v>
      </c>
      <c r="J202" t="s">
        <v>307</v>
      </c>
      <c r="K202">
        <v>5</v>
      </c>
      <c r="L202">
        <v>4</v>
      </c>
      <c r="M202">
        <v>1</v>
      </c>
      <c r="N202">
        <v>0</v>
      </c>
    </row>
    <row r="203" spans="1:14" x14ac:dyDescent="0.25">
      <c r="A203">
        <v>201</v>
      </c>
      <c r="B203" t="s">
        <v>11</v>
      </c>
      <c r="C203" t="s">
        <v>244</v>
      </c>
      <c r="D203" t="s">
        <v>306</v>
      </c>
      <c r="E203" t="s">
        <v>22</v>
      </c>
      <c r="F203" t="s">
        <v>15</v>
      </c>
      <c r="G203" t="s">
        <v>75</v>
      </c>
      <c r="H203" t="s">
        <v>1692</v>
      </c>
      <c r="I203" t="s">
        <v>43</v>
      </c>
      <c r="J203" t="s">
        <v>308</v>
      </c>
      <c r="K203">
        <v>5</v>
      </c>
      <c r="L203">
        <v>3</v>
      </c>
      <c r="M203">
        <v>1</v>
      </c>
      <c r="N203">
        <v>0</v>
      </c>
    </row>
    <row r="204" spans="1:14" x14ac:dyDescent="0.25">
      <c r="A204">
        <v>202</v>
      </c>
      <c r="B204" t="s">
        <v>11</v>
      </c>
      <c r="C204" t="s">
        <v>244</v>
      </c>
      <c r="D204" t="s">
        <v>306</v>
      </c>
      <c r="E204" t="s">
        <v>22</v>
      </c>
      <c r="F204" t="s">
        <v>15</v>
      </c>
      <c r="G204" t="s">
        <v>75</v>
      </c>
      <c r="H204" t="s">
        <v>1692</v>
      </c>
      <c r="I204" t="s">
        <v>131</v>
      </c>
      <c r="J204" t="s">
        <v>309</v>
      </c>
      <c r="K204">
        <v>5</v>
      </c>
      <c r="L204">
        <v>4</v>
      </c>
      <c r="M204">
        <v>1</v>
      </c>
      <c r="N204">
        <v>0</v>
      </c>
    </row>
    <row r="205" spans="1:14" x14ac:dyDescent="0.25">
      <c r="A205">
        <v>203</v>
      </c>
      <c r="B205" t="s">
        <v>11</v>
      </c>
      <c r="C205" t="s">
        <v>244</v>
      </c>
      <c r="D205" t="s">
        <v>306</v>
      </c>
      <c r="E205" t="s">
        <v>22</v>
      </c>
      <c r="F205" t="s">
        <v>15</v>
      </c>
      <c r="G205" t="s">
        <v>75</v>
      </c>
      <c r="H205" t="s">
        <v>1692</v>
      </c>
      <c r="I205" t="s">
        <v>73</v>
      </c>
      <c r="J205" t="s">
        <v>306</v>
      </c>
      <c r="K205">
        <v>5</v>
      </c>
      <c r="L205">
        <v>5</v>
      </c>
      <c r="M205">
        <v>1</v>
      </c>
      <c r="N205">
        <v>0</v>
      </c>
    </row>
    <row r="206" spans="1:14" x14ac:dyDescent="0.25">
      <c r="A206">
        <v>204</v>
      </c>
      <c r="B206" t="s">
        <v>11</v>
      </c>
      <c r="C206" t="s">
        <v>244</v>
      </c>
      <c r="D206" t="s">
        <v>306</v>
      </c>
      <c r="E206" t="s">
        <v>22</v>
      </c>
      <c r="F206" t="s">
        <v>15</v>
      </c>
      <c r="G206" t="s">
        <v>75</v>
      </c>
      <c r="H206" t="s">
        <v>1692</v>
      </c>
      <c r="I206" t="s">
        <v>131</v>
      </c>
      <c r="J206" t="s">
        <v>1693</v>
      </c>
      <c r="K206">
        <v>5</v>
      </c>
      <c r="L206">
        <v>3</v>
      </c>
      <c r="M206">
        <v>1</v>
      </c>
      <c r="N206">
        <v>0</v>
      </c>
    </row>
    <row r="207" spans="1:14" x14ac:dyDescent="0.25">
      <c r="A207">
        <v>205</v>
      </c>
      <c r="B207" t="s">
        <v>11</v>
      </c>
      <c r="C207" t="s">
        <v>244</v>
      </c>
      <c r="D207" t="s">
        <v>306</v>
      </c>
      <c r="E207" t="s">
        <v>22</v>
      </c>
      <c r="F207" t="s">
        <v>15</v>
      </c>
      <c r="G207" t="s">
        <v>75</v>
      </c>
      <c r="H207" t="s">
        <v>1692</v>
      </c>
      <c r="I207" t="s">
        <v>73</v>
      </c>
      <c r="J207" t="s">
        <v>311</v>
      </c>
      <c r="K207">
        <v>5</v>
      </c>
      <c r="L207">
        <v>6</v>
      </c>
      <c r="M207">
        <v>1</v>
      </c>
      <c r="N207">
        <v>0</v>
      </c>
    </row>
    <row r="208" spans="1:14" x14ac:dyDescent="0.25">
      <c r="A208">
        <v>206</v>
      </c>
      <c r="B208" t="s">
        <v>11</v>
      </c>
      <c r="C208" t="s">
        <v>244</v>
      </c>
      <c r="D208" t="s">
        <v>312</v>
      </c>
      <c r="E208" t="s">
        <v>22</v>
      </c>
      <c r="F208" t="s">
        <v>15</v>
      </c>
      <c r="G208" t="s">
        <v>75</v>
      </c>
      <c r="H208" t="s">
        <v>1694</v>
      </c>
      <c r="I208" t="s">
        <v>43</v>
      </c>
      <c r="J208" t="s">
        <v>313</v>
      </c>
      <c r="K208">
        <v>5</v>
      </c>
      <c r="L208">
        <v>3</v>
      </c>
      <c r="M208">
        <v>1</v>
      </c>
      <c r="N208">
        <v>0</v>
      </c>
    </row>
    <row r="209" spans="1:14" x14ac:dyDescent="0.25">
      <c r="A209">
        <v>207</v>
      </c>
      <c r="B209" t="s">
        <v>11</v>
      </c>
      <c r="C209" t="s">
        <v>244</v>
      </c>
      <c r="D209" t="s">
        <v>312</v>
      </c>
      <c r="E209" t="s">
        <v>22</v>
      </c>
      <c r="F209" t="s">
        <v>15</v>
      </c>
      <c r="G209" t="s">
        <v>75</v>
      </c>
      <c r="H209" t="s">
        <v>1694</v>
      </c>
      <c r="I209" t="s">
        <v>131</v>
      </c>
      <c r="J209" t="s">
        <v>314</v>
      </c>
      <c r="K209">
        <v>5</v>
      </c>
      <c r="L209">
        <v>2</v>
      </c>
      <c r="M209">
        <v>1</v>
      </c>
      <c r="N209">
        <v>0</v>
      </c>
    </row>
    <row r="210" spans="1:14" x14ac:dyDescent="0.25">
      <c r="A210">
        <v>208</v>
      </c>
      <c r="B210" t="s">
        <v>11</v>
      </c>
      <c r="C210" t="s">
        <v>244</v>
      </c>
      <c r="D210" t="s">
        <v>312</v>
      </c>
      <c r="E210" t="s">
        <v>34</v>
      </c>
      <c r="F210" t="s">
        <v>15</v>
      </c>
      <c r="G210" t="s">
        <v>75</v>
      </c>
      <c r="H210" t="s">
        <v>1694</v>
      </c>
      <c r="I210" t="s">
        <v>18</v>
      </c>
      <c r="J210" t="s">
        <v>315</v>
      </c>
      <c r="K210">
        <v>5</v>
      </c>
      <c r="L210">
        <v>2</v>
      </c>
      <c r="M210">
        <v>1</v>
      </c>
      <c r="N210">
        <v>0</v>
      </c>
    </row>
    <row r="211" spans="1:14" x14ac:dyDescent="0.25">
      <c r="A211">
        <v>209</v>
      </c>
      <c r="B211" t="s">
        <v>11</v>
      </c>
      <c r="C211" t="s">
        <v>244</v>
      </c>
      <c r="D211" t="s">
        <v>312</v>
      </c>
      <c r="E211" t="s">
        <v>22</v>
      </c>
      <c r="F211" t="s">
        <v>15</v>
      </c>
      <c r="G211" t="s">
        <v>75</v>
      </c>
      <c r="H211" t="s">
        <v>1694</v>
      </c>
      <c r="I211" t="s">
        <v>73</v>
      </c>
      <c r="J211" t="s">
        <v>316</v>
      </c>
      <c r="K211">
        <v>4</v>
      </c>
      <c r="L211">
        <v>3</v>
      </c>
      <c r="M211">
        <v>1</v>
      </c>
      <c r="N211">
        <v>0</v>
      </c>
    </row>
    <row r="212" spans="1:14" x14ac:dyDescent="0.25">
      <c r="A212">
        <v>210</v>
      </c>
      <c r="B212" t="s">
        <v>11</v>
      </c>
      <c r="C212" t="s">
        <v>244</v>
      </c>
      <c r="D212" t="s">
        <v>312</v>
      </c>
      <c r="E212" t="s">
        <v>22</v>
      </c>
      <c r="F212" t="s">
        <v>15</v>
      </c>
      <c r="G212" t="s">
        <v>75</v>
      </c>
      <c r="H212" t="s">
        <v>1694</v>
      </c>
      <c r="I212" t="s">
        <v>1039</v>
      </c>
      <c r="J212" t="s">
        <v>317</v>
      </c>
      <c r="K212">
        <v>4</v>
      </c>
      <c r="L212">
        <v>4</v>
      </c>
      <c r="M212">
        <v>1</v>
      </c>
      <c r="N212">
        <v>0</v>
      </c>
    </row>
    <row r="213" spans="1:14" x14ac:dyDescent="0.25">
      <c r="A213">
        <v>211</v>
      </c>
      <c r="B213" t="s">
        <v>11</v>
      </c>
      <c r="C213" t="s">
        <v>244</v>
      </c>
      <c r="D213" t="s">
        <v>318</v>
      </c>
      <c r="E213" t="s">
        <v>22</v>
      </c>
      <c r="F213" t="s">
        <v>15</v>
      </c>
      <c r="G213" t="s">
        <v>75</v>
      </c>
      <c r="H213" t="s">
        <v>1694</v>
      </c>
      <c r="I213" t="s">
        <v>131</v>
      </c>
      <c r="J213" t="s">
        <v>319</v>
      </c>
      <c r="K213">
        <v>5</v>
      </c>
      <c r="L213">
        <v>5</v>
      </c>
      <c r="M213">
        <v>1</v>
      </c>
      <c r="N213">
        <v>0</v>
      </c>
    </row>
    <row r="214" spans="1:14" x14ac:dyDescent="0.25">
      <c r="A214">
        <v>212</v>
      </c>
      <c r="B214" t="s">
        <v>11</v>
      </c>
      <c r="C214" t="s">
        <v>244</v>
      </c>
      <c r="D214" t="s">
        <v>318</v>
      </c>
      <c r="E214" t="s">
        <v>22</v>
      </c>
      <c r="F214" t="s">
        <v>15</v>
      </c>
      <c r="G214" t="s">
        <v>75</v>
      </c>
      <c r="H214" t="s">
        <v>1694</v>
      </c>
      <c r="I214" t="s">
        <v>212</v>
      </c>
      <c r="J214" t="s">
        <v>320</v>
      </c>
      <c r="K214">
        <v>6</v>
      </c>
      <c r="L214">
        <v>2</v>
      </c>
      <c r="M214">
        <v>1</v>
      </c>
      <c r="N214">
        <v>0</v>
      </c>
    </row>
    <row r="215" spans="1:14" x14ac:dyDescent="0.25">
      <c r="A215">
        <v>213</v>
      </c>
      <c r="B215" t="s">
        <v>11</v>
      </c>
      <c r="C215" t="s">
        <v>244</v>
      </c>
      <c r="D215" t="s">
        <v>318</v>
      </c>
      <c r="E215" t="s">
        <v>34</v>
      </c>
      <c r="F215" t="s">
        <v>15</v>
      </c>
      <c r="G215" t="s">
        <v>75</v>
      </c>
      <c r="H215" t="s">
        <v>1694</v>
      </c>
      <c r="I215" t="s">
        <v>41</v>
      </c>
      <c r="J215" t="s">
        <v>321</v>
      </c>
      <c r="K215">
        <v>4</v>
      </c>
      <c r="L215">
        <v>5</v>
      </c>
      <c r="M215">
        <v>1</v>
      </c>
      <c r="N215">
        <v>0</v>
      </c>
    </row>
    <row r="216" spans="1:14" x14ac:dyDescent="0.25">
      <c r="A216">
        <v>214</v>
      </c>
      <c r="B216" t="s">
        <v>11</v>
      </c>
      <c r="C216" t="s">
        <v>244</v>
      </c>
      <c r="D216" t="s">
        <v>318</v>
      </c>
      <c r="E216" t="s">
        <v>34</v>
      </c>
      <c r="F216" t="s">
        <v>15</v>
      </c>
      <c r="G216" t="s">
        <v>75</v>
      </c>
      <c r="H216" t="s">
        <v>1694</v>
      </c>
      <c r="I216" t="s">
        <v>43</v>
      </c>
      <c r="J216" t="s">
        <v>322</v>
      </c>
      <c r="K216">
        <v>4</v>
      </c>
      <c r="L216">
        <v>3</v>
      </c>
      <c r="M216">
        <v>1</v>
      </c>
      <c r="N216">
        <v>0</v>
      </c>
    </row>
    <row r="217" spans="1:14" x14ac:dyDescent="0.25">
      <c r="A217">
        <v>215</v>
      </c>
      <c r="B217" t="s">
        <v>11</v>
      </c>
      <c r="C217" t="s">
        <v>244</v>
      </c>
      <c r="D217" t="s">
        <v>323</v>
      </c>
      <c r="E217" t="s">
        <v>34</v>
      </c>
      <c r="F217" t="s">
        <v>15</v>
      </c>
      <c r="G217" t="s">
        <v>35</v>
      </c>
      <c r="H217" t="s">
        <v>1694</v>
      </c>
      <c r="I217" t="s">
        <v>43</v>
      </c>
      <c r="J217" t="s">
        <v>324</v>
      </c>
      <c r="K217">
        <v>3</v>
      </c>
      <c r="L217">
        <v>6</v>
      </c>
      <c r="M217">
        <v>1</v>
      </c>
      <c r="N217">
        <v>0</v>
      </c>
    </row>
    <row r="218" spans="1:14" x14ac:dyDescent="0.25">
      <c r="A218">
        <v>216</v>
      </c>
      <c r="B218" t="s">
        <v>11</v>
      </c>
      <c r="C218" t="s">
        <v>244</v>
      </c>
      <c r="D218" t="s">
        <v>325</v>
      </c>
      <c r="E218" t="s">
        <v>22</v>
      </c>
      <c r="F218" t="s">
        <v>15</v>
      </c>
      <c r="G218" t="s">
        <v>75</v>
      </c>
      <c r="H218" t="s">
        <v>1694</v>
      </c>
      <c r="I218" t="s">
        <v>43</v>
      </c>
      <c r="J218" t="s">
        <v>327</v>
      </c>
      <c r="K218">
        <v>6</v>
      </c>
      <c r="L218">
        <v>2</v>
      </c>
      <c r="M218">
        <v>1</v>
      </c>
      <c r="N218">
        <v>0</v>
      </c>
    </row>
    <row r="219" spans="1:14" x14ac:dyDescent="0.25">
      <c r="A219">
        <v>217</v>
      </c>
      <c r="B219" t="s">
        <v>11</v>
      </c>
      <c r="C219" t="s">
        <v>244</v>
      </c>
      <c r="D219" t="s">
        <v>323</v>
      </c>
      <c r="E219" t="s">
        <v>22</v>
      </c>
      <c r="F219" t="s">
        <v>15</v>
      </c>
      <c r="G219" t="s">
        <v>35</v>
      </c>
      <c r="H219" t="s">
        <v>1695</v>
      </c>
      <c r="I219" t="s">
        <v>41</v>
      </c>
      <c r="J219" t="s">
        <v>328</v>
      </c>
      <c r="K219">
        <v>4</v>
      </c>
      <c r="L219">
        <v>5</v>
      </c>
      <c r="M219">
        <v>1</v>
      </c>
      <c r="N219">
        <v>0</v>
      </c>
    </row>
    <row r="220" spans="1:14" x14ac:dyDescent="0.25">
      <c r="A220">
        <v>218</v>
      </c>
      <c r="B220" t="s">
        <v>11</v>
      </c>
      <c r="C220" t="s">
        <v>244</v>
      </c>
      <c r="D220" t="s">
        <v>325</v>
      </c>
      <c r="E220" t="s">
        <v>22</v>
      </c>
      <c r="F220" t="s">
        <v>15</v>
      </c>
      <c r="G220" t="s">
        <v>75</v>
      </c>
      <c r="H220" t="s">
        <v>1695</v>
      </c>
      <c r="I220" t="s">
        <v>43</v>
      </c>
      <c r="J220" t="s">
        <v>329</v>
      </c>
      <c r="K220">
        <v>5</v>
      </c>
      <c r="L220">
        <v>4</v>
      </c>
      <c r="M220">
        <v>1</v>
      </c>
      <c r="N220">
        <v>0</v>
      </c>
    </row>
    <row r="221" spans="1:14" x14ac:dyDescent="0.25">
      <c r="A221">
        <v>219</v>
      </c>
      <c r="B221" t="s">
        <v>11</v>
      </c>
      <c r="C221" t="s">
        <v>244</v>
      </c>
      <c r="D221" t="s">
        <v>260</v>
      </c>
      <c r="E221" t="s">
        <v>14</v>
      </c>
      <c r="F221" t="s">
        <v>15</v>
      </c>
      <c r="G221" t="s">
        <v>35</v>
      </c>
      <c r="H221" t="s">
        <v>1695</v>
      </c>
      <c r="I221" t="s">
        <v>41</v>
      </c>
      <c r="J221" t="s">
        <v>331</v>
      </c>
      <c r="K221">
        <v>5</v>
      </c>
      <c r="L221">
        <v>2</v>
      </c>
      <c r="M221">
        <v>1</v>
      </c>
      <c r="N221">
        <v>0</v>
      </c>
    </row>
    <row r="222" spans="1:14" x14ac:dyDescent="0.25">
      <c r="A222">
        <v>220</v>
      </c>
      <c r="B222" t="s">
        <v>11</v>
      </c>
      <c r="C222" t="s">
        <v>244</v>
      </c>
      <c r="D222" t="s">
        <v>260</v>
      </c>
      <c r="E222" t="s">
        <v>34</v>
      </c>
      <c r="F222" t="s">
        <v>15</v>
      </c>
      <c r="G222" t="s">
        <v>75</v>
      </c>
      <c r="H222" t="s">
        <v>1695</v>
      </c>
      <c r="I222" t="s">
        <v>41</v>
      </c>
      <c r="J222" t="s">
        <v>332</v>
      </c>
      <c r="K222">
        <v>7</v>
      </c>
      <c r="L222">
        <v>3</v>
      </c>
      <c r="M222">
        <v>1</v>
      </c>
      <c r="N222">
        <v>0</v>
      </c>
    </row>
    <row r="223" spans="1:14" x14ac:dyDescent="0.25">
      <c r="A223">
        <v>221</v>
      </c>
      <c r="B223" t="s">
        <v>11</v>
      </c>
      <c r="C223" t="s">
        <v>244</v>
      </c>
      <c r="D223" t="s">
        <v>325</v>
      </c>
      <c r="E223" t="s">
        <v>22</v>
      </c>
      <c r="F223" t="s">
        <v>15</v>
      </c>
      <c r="G223" t="s">
        <v>35</v>
      </c>
      <c r="H223" t="s">
        <v>1695</v>
      </c>
      <c r="I223" t="s">
        <v>43</v>
      </c>
      <c r="J223" t="s">
        <v>333</v>
      </c>
      <c r="K223">
        <v>5</v>
      </c>
      <c r="L223">
        <v>3</v>
      </c>
      <c r="M223">
        <v>1</v>
      </c>
      <c r="N223">
        <v>0</v>
      </c>
    </row>
    <row r="224" spans="1:14" x14ac:dyDescent="0.25">
      <c r="A224">
        <v>222</v>
      </c>
      <c r="B224" t="s">
        <v>11</v>
      </c>
      <c r="C224" t="s">
        <v>244</v>
      </c>
      <c r="D224" t="s">
        <v>323</v>
      </c>
      <c r="E224" t="s">
        <v>34</v>
      </c>
      <c r="F224" t="s">
        <v>15</v>
      </c>
      <c r="G224" t="s">
        <v>35</v>
      </c>
      <c r="H224" t="s">
        <v>1695</v>
      </c>
      <c r="I224" t="s">
        <v>43</v>
      </c>
      <c r="J224" t="s">
        <v>334</v>
      </c>
      <c r="K224">
        <v>3</v>
      </c>
      <c r="L224">
        <v>5</v>
      </c>
      <c r="M224">
        <v>1</v>
      </c>
      <c r="N224">
        <v>0</v>
      </c>
    </row>
    <row r="225" spans="1:14" x14ac:dyDescent="0.25">
      <c r="A225">
        <v>223</v>
      </c>
      <c r="B225" t="s">
        <v>11</v>
      </c>
      <c r="C225" t="s">
        <v>244</v>
      </c>
      <c r="D225" t="s">
        <v>323</v>
      </c>
      <c r="E225" t="s">
        <v>34</v>
      </c>
      <c r="F225" t="s">
        <v>15</v>
      </c>
      <c r="G225" t="s">
        <v>35</v>
      </c>
      <c r="H225" t="s">
        <v>1695</v>
      </c>
      <c r="I225" t="s">
        <v>43</v>
      </c>
      <c r="J225" t="s">
        <v>335</v>
      </c>
      <c r="K225">
        <v>3</v>
      </c>
      <c r="L225">
        <v>6</v>
      </c>
      <c r="M225">
        <v>1</v>
      </c>
      <c r="N225">
        <v>0</v>
      </c>
    </row>
    <row r="226" spans="1:14" x14ac:dyDescent="0.25">
      <c r="A226">
        <v>224</v>
      </c>
      <c r="B226" t="s">
        <v>11</v>
      </c>
      <c r="C226" t="s">
        <v>244</v>
      </c>
      <c r="D226" t="s">
        <v>323</v>
      </c>
      <c r="E226" t="s">
        <v>34</v>
      </c>
      <c r="F226" t="s">
        <v>15</v>
      </c>
      <c r="G226" t="s">
        <v>35</v>
      </c>
      <c r="H226" t="s">
        <v>1695</v>
      </c>
      <c r="I226" t="s">
        <v>43</v>
      </c>
      <c r="J226" t="s">
        <v>336</v>
      </c>
      <c r="K226">
        <v>3</v>
      </c>
      <c r="L226">
        <v>4</v>
      </c>
      <c r="M226">
        <v>1</v>
      </c>
      <c r="N226">
        <v>0</v>
      </c>
    </row>
    <row r="227" spans="1:14" x14ac:dyDescent="0.25">
      <c r="A227">
        <v>225</v>
      </c>
      <c r="B227" t="s">
        <v>11</v>
      </c>
      <c r="C227" t="s">
        <v>244</v>
      </c>
      <c r="D227" t="s">
        <v>337</v>
      </c>
      <c r="E227" t="s">
        <v>34</v>
      </c>
      <c r="F227" t="s">
        <v>15</v>
      </c>
      <c r="G227" t="s">
        <v>35</v>
      </c>
      <c r="H227" t="s">
        <v>1695</v>
      </c>
      <c r="I227" t="s">
        <v>41</v>
      </c>
      <c r="J227" t="s">
        <v>339</v>
      </c>
      <c r="K227">
        <v>7</v>
      </c>
      <c r="L227">
        <v>2</v>
      </c>
      <c r="M227">
        <v>1</v>
      </c>
      <c r="N227">
        <v>0</v>
      </c>
    </row>
    <row r="228" spans="1:14" x14ac:dyDescent="0.25">
      <c r="A228">
        <v>226</v>
      </c>
      <c r="B228" t="s">
        <v>11</v>
      </c>
      <c r="C228" t="s">
        <v>244</v>
      </c>
      <c r="D228" t="s">
        <v>337</v>
      </c>
      <c r="E228" t="s">
        <v>34</v>
      </c>
      <c r="F228" t="s">
        <v>15</v>
      </c>
      <c r="G228" t="s">
        <v>35</v>
      </c>
      <c r="H228" t="s">
        <v>1695</v>
      </c>
      <c r="I228" t="s">
        <v>41</v>
      </c>
      <c r="J228" t="s">
        <v>340</v>
      </c>
      <c r="K228">
        <v>8</v>
      </c>
      <c r="L228">
        <v>2</v>
      </c>
      <c r="M228">
        <v>1</v>
      </c>
      <c r="N228">
        <v>0</v>
      </c>
    </row>
    <row r="229" spans="1:14" x14ac:dyDescent="0.25">
      <c r="A229">
        <v>227</v>
      </c>
      <c r="B229" t="s">
        <v>11</v>
      </c>
      <c r="C229" t="s">
        <v>244</v>
      </c>
      <c r="D229" t="s">
        <v>337</v>
      </c>
      <c r="E229" t="s">
        <v>34</v>
      </c>
      <c r="F229" t="s">
        <v>15</v>
      </c>
      <c r="G229" t="s">
        <v>35</v>
      </c>
      <c r="H229" t="s">
        <v>1685</v>
      </c>
      <c r="I229" t="s">
        <v>41</v>
      </c>
      <c r="J229" t="s">
        <v>341</v>
      </c>
      <c r="K229">
        <v>8</v>
      </c>
      <c r="L229">
        <v>1</v>
      </c>
      <c r="M229">
        <v>1</v>
      </c>
      <c r="N229">
        <v>0</v>
      </c>
    </row>
    <row r="230" spans="1:14" x14ac:dyDescent="0.25">
      <c r="A230">
        <v>228</v>
      </c>
      <c r="B230" t="s">
        <v>11</v>
      </c>
      <c r="C230" t="s">
        <v>244</v>
      </c>
      <c r="D230" t="s">
        <v>337</v>
      </c>
      <c r="E230" t="s">
        <v>14</v>
      </c>
      <c r="F230" t="s">
        <v>15</v>
      </c>
      <c r="G230" t="s">
        <v>276</v>
      </c>
      <c r="H230" t="s">
        <v>1685</v>
      </c>
      <c r="I230" t="s">
        <v>41</v>
      </c>
      <c r="J230" t="s">
        <v>342</v>
      </c>
      <c r="K230">
        <v>9</v>
      </c>
      <c r="L230">
        <v>1</v>
      </c>
      <c r="M230">
        <v>1</v>
      </c>
      <c r="N230">
        <v>0</v>
      </c>
    </row>
    <row r="231" spans="1:14" x14ac:dyDescent="0.25">
      <c r="A231">
        <v>229</v>
      </c>
      <c r="B231" t="s">
        <v>11</v>
      </c>
      <c r="C231" t="s">
        <v>244</v>
      </c>
      <c r="D231" t="s">
        <v>337</v>
      </c>
      <c r="E231" t="s">
        <v>14</v>
      </c>
      <c r="F231" t="s">
        <v>15</v>
      </c>
      <c r="G231" t="s">
        <v>276</v>
      </c>
      <c r="H231" t="s">
        <v>1685</v>
      </c>
      <c r="I231" t="s">
        <v>41</v>
      </c>
      <c r="J231" t="s">
        <v>343</v>
      </c>
      <c r="K231">
        <v>9</v>
      </c>
      <c r="L231">
        <v>1</v>
      </c>
      <c r="M231">
        <v>1</v>
      </c>
      <c r="N231">
        <v>0</v>
      </c>
    </row>
    <row r="232" spans="1:14" x14ac:dyDescent="0.25">
      <c r="A232">
        <v>230</v>
      </c>
      <c r="B232" t="s">
        <v>11</v>
      </c>
      <c r="C232" t="s">
        <v>244</v>
      </c>
      <c r="D232" t="s">
        <v>344</v>
      </c>
      <c r="E232" t="s">
        <v>34</v>
      </c>
      <c r="F232" t="s">
        <v>15</v>
      </c>
      <c r="G232" t="s">
        <v>276</v>
      </c>
      <c r="H232" t="s">
        <v>1685</v>
      </c>
      <c r="I232" t="s">
        <v>27</v>
      </c>
      <c r="J232" t="s">
        <v>345</v>
      </c>
      <c r="K232">
        <v>8</v>
      </c>
      <c r="L232">
        <v>1</v>
      </c>
      <c r="M232">
        <v>1</v>
      </c>
      <c r="N232">
        <v>0</v>
      </c>
    </row>
    <row r="233" spans="1:14" x14ac:dyDescent="0.25">
      <c r="A233">
        <v>231</v>
      </c>
      <c r="B233" t="s">
        <v>346</v>
      </c>
      <c r="C233" t="s">
        <v>347</v>
      </c>
      <c r="D233" t="s">
        <v>348</v>
      </c>
      <c r="E233" t="s">
        <v>80</v>
      </c>
      <c r="F233" t="s">
        <v>349</v>
      </c>
      <c r="G233" t="s">
        <v>35</v>
      </c>
      <c r="H233" t="s">
        <v>350</v>
      </c>
      <c r="I233" t="s">
        <v>27</v>
      </c>
      <c r="J233" t="s">
        <v>351</v>
      </c>
      <c r="K233">
        <v>0</v>
      </c>
      <c r="L233">
        <v>5</v>
      </c>
      <c r="M233">
        <v>1</v>
      </c>
      <c r="N233">
        <v>0</v>
      </c>
    </row>
    <row r="234" spans="1:14" x14ac:dyDescent="0.25">
      <c r="A234">
        <v>232</v>
      </c>
      <c r="B234" t="s">
        <v>346</v>
      </c>
      <c r="C234" t="s">
        <v>347</v>
      </c>
      <c r="D234" t="s">
        <v>348</v>
      </c>
      <c r="E234" t="s">
        <v>34</v>
      </c>
      <c r="F234" t="s">
        <v>349</v>
      </c>
      <c r="G234" t="s">
        <v>35</v>
      </c>
      <c r="H234" t="s">
        <v>350</v>
      </c>
      <c r="I234" t="s">
        <v>352</v>
      </c>
      <c r="J234" t="s">
        <v>353</v>
      </c>
      <c r="K234">
        <v>0</v>
      </c>
      <c r="L234">
        <v>7</v>
      </c>
      <c r="M234">
        <v>2</v>
      </c>
      <c r="N234">
        <v>0</v>
      </c>
    </row>
    <row r="235" spans="1:14" x14ac:dyDescent="0.25">
      <c r="A235">
        <v>233</v>
      </c>
      <c r="B235" t="s">
        <v>346</v>
      </c>
      <c r="C235" t="s">
        <v>347</v>
      </c>
      <c r="D235" t="s">
        <v>348</v>
      </c>
      <c r="E235" t="s">
        <v>34</v>
      </c>
      <c r="F235" t="s">
        <v>349</v>
      </c>
      <c r="G235" t="s">
        <v>35</v>
      </c>
      <c r="H235" t="s">
        <v>350</v>
      </c>
      <c r="I235" t="s">
        <v>43</v>
      </c>
      <c r="J235" t="s">
        <v>354</v>
      </c>
      <c r="K235">
        <v>0</v>
      </c>
      <c r="L235">
        <v>5</v>
      </c>
      <c r="M235">
        <v>2</v>
      </c>
      <c r="N235">
        <v>0</v>
      </c>
    </row>
    <row r="236" spans="1:14" x14ac:dyDescent="0.25">
      <c r="A236">
        <v>234</v>
      </c>
      <c r="B236" t="s">
        <v>346</v>
      </c>
      <c r="C236" t="s">
        <v>347</v>
      </c>
      <c r="D236" t="s">
        <v>348</v>
      </c>
      <c r="E236" t="s">
        <v>34</v>
      </c>
      <c r="F236" t="s">
        <v>349</v>
      </c>
      <c r="G236" t="s">
        <v>35</v>
      </c>
      <c r="H236" t="s">
        <v>350</v>
      </c>
      <c r="I236" t="s">
        <v>27</v>
      </c>
      <c r="J236" t="s">
        <v>355</v>
      </c>
      <c r="K236">
        <v>0</v>
      </c>
      <c r="L236">
        <v>6</v>
      </c>
      <c r="M236">
        <v>2</v>
      </c>
      <c r="N236">
        <v>0</v>
      </c>
    </row>
    <row r="237" spans="1:14" x14ac:dyDescent="0.25">
      <c r="A237">
        <v>235</v>
      </c>
      <c r="B237" t="s">
        <v>346</v>
      </c>
      <c r="C237" t="s">
        <v>347</v>
      </c>
      <c r="D237" t="s">
        <v>348</v>
      </c>
      <c r="E237" t="s">
        <v>34</v>
      </c>
      <c r="F237" t="s">
        <v>349</v>
      </c>
      <c r="G237" t="s">
        <v>35</v>
      </c>
      <c r="H237" t="s">
        <v>350</v>
      </c>
      <c r="I237" t="s">
        <v>27</v>
      </c>
      <c r="J237" t="s">
        <v>356</v>
      </c>
      <c r="K237">
        <v>0</v>
      </c>
      <c r="L237">
        <v>5</v>
      </c>
      <c r="M237">
        <v>2</v>
      </c>
      <c r="N237">
        <v>0</v>
      </c>
    </row>
    <row r="238" spans="1:14" x14ac:dyDescent="0.25">
      <c r="A238">
        <v>236</v>
      </c>
      <c r="B238" t="s">
        <v>346</v>
      </c>
      <c r="C238" t="s">
        <v>347</v>
      </c>
      <c r="D238" t="s">
        <v>357</v>
      </c>
      <c r="E238" t="s">
        <v>14</v>
      </c>
      <c r="F238" t="s">
        <v>349</v>
      </c>
      <c r="G238" t="s">
        <v>35</v>
      </c>
      <c r="H238" t="s">
        <v>350</v>
      </c>
      <c r="I238" t="s">
        <v>27</v>
      </c>
      <c r="J238" t="s">
        <v>358</v>
      </c>
      <c r="K238">
        <v>0</v>
      </c>
      <c r="L238">
        <v>3</v>
      </c>
      <c r="M238">
        <v>3</v>
      </c>
      <c r="N238">
        <v>0</v>
      </c>
    </row>
    <row r="239" spans="1:14" x14ac:dyDescent="0.25">
      <c r="A239">
        <v>237</v>
      </c>
      <c r="B239" t="s">
        <v>346</v>
      </c>
      <c r="C239" t="s">
        <v>347</v>
      </c>
      <c r="D239" t="s">
        <v>357</v>
      </c>
      <c r="E239" t="s">
        <v>14</v>
      </c>
      <c r="F239" t="s">
        <v>349</v>
      </c>
      <c r="G239" t="s">
        <v>35</v>
      </c>
      <c r="H239" t="s">
        <v>350</v>
      </c>
      <c r="I239" t="s">
        <v>41</v>
      </c>
      <c r="J239" t="s">
        <v>359</v>
      </c>
      <c r="K239">
        <v>0</v>
      </c>
      <c r="L239">
        <v>5</v>
      </c>
      <c r="M239">
        <v>2</v>
      </c>
      <c r="N239">
        <v>0</v>
      </c>
    </row>
    <row r="240" spans="1:14" x14ac:dyDescent="0.25">
      <c r="A240">
        <v>238</v>
      </c>
      <c r="B240" t="s">
        <v>346</v>
      </c>
      <c r="C240" t="s">
        <v>347</v>
      </c>
      <c r="D240" t="s">
        <v>357</v>
      </c>
      <c r="E240" t="s">
        <v>34</v>
      </c>
      <c r="F240" t="s">
        <v>349</v>
      </c>
      <c r="G240" t="s">
        <v>35</v>
      </c>
      <c r="H240" t="s">
        <v>350</v>
      </c>
      <c r="I240" t="s">
        <v>27</v>
      </c>
      <c r="J240" t="s">
        <v>361</v>
      </c>
      <c r="K240">
        <v>0</v>
      </c>
      <c r="L240">
        <v>6</v>
      </c>
      <c r="M240">
        <v>3</v>
      </c>
      <c r="N240">
        <v>0</v>
      </c>
    </row>
    <row r="241" spans="1:14" x14ac:dyDescent="0.25">
      <c r="A241">
        <v>239</v>
      </c>
      <c r="B241" t="s">
        <v>346</v>
      </c>
      <c r="C241" t="s">
        <v>347</v>
      </c>
      <c r="D241" t="s">
        <v>357</v>
      </c>
      <c r="E241" t="s">
        <v>14</v>
      </c>
      <c r="F241" t="s">
        <v>349</v>
      </c>
      <c r="G241" t="s">
        <v>35</v>
      </c>
      <c r="H241" t="s">
        <v>350</v>
      </c>
      <c r="I241" t="s">
        <v>141</v>
      </c>
      <c r="J241" t="s">
        <v>362</v>
      </c>
      <c r="K241">
        <v>0</v>
      </c>
      <c r="L241">
        <v>7</v>
      </c>
      <c r="M241">
        <v>2</v>
      </c>
      <c r="N241">
        <v>0</v>
      </c>
    </row>
    <row r="242" spans="1:14" x14ac:dyDescent="0.25">
      <c r="A242">
        <v>240</v>
      </c>
      <c r="B242" t="s">
        <v>346</v>
      </c>
      <c r="C242" t="s">
        <v>347</v>
      </c>
      <c r="D242" t="s">
        <v>363</v>
      </c>
      <c r="E242" t="s">
        <v>14</v>
      </c>
      <c r="F242" t="s">
        <v>349</v>
      </c>
      <c r="G242" t="s">
        <v>35</v>
      </c>
      <c r="H242" t="s">
        <v>360</v>
      </c>
      <c r="I242" t="s">
        <v>352</v>
      </c>
      <c r="J242" t="s">
        <v>364</v>
      </c>
      <c r="K242">
        <v>0</v>
      </c>
      <c r="L242">
        <v>7</v>
      </c>
      <c r="M242">
        <v>2</v>
      </c>
      <c r="N242">
        <v>0</v>
      </c>
    </row>
    <row r="243" spans="1:14" x14ac:dyDescent="0.25">
      <c r="A243">
        <v>241</v>
      </c>
      <c r="B243" t="s">
        <v>346</v>
      </c>
      <c r="C243" t="s">
        <v>347</v>
      </c>
      <c r="D243" t="s">
        <v>363</v>
      </c>
      <c r="E243" t="s">
        <v>34</v>
      </c>
      <c r="F243" t="s">
        <v>349</v>
      </c>
      <c r="G243" t="s">
        <v>35</v>
      </c>
      <c r="H243" t="s">
        <v>360</v>
      </c>
      <c r="I243" t="s">
        <v>352</v>
      </c>
      <c r="J243" t="s">
        <v>365</v>
      </c>
      <c r="K243">
        <v>0</v>
      </c>
      <c r="L243">
        <v>9</v>
      </c>
      <c r="M243">
        <v>3</v>
      </c>
      <c r="N243">
        <v>0</v>
      </c>
    </row>
    <row r="244" spans="1:14" x14ac:dyDescent="0.25">
      <c r="A244">
        <v>242</v>
      </c>
      <c r="B244" t="s">
        <v>346</v>
      </c>
      <c r="C244" t="s">
        <v>347</v>
      </c>
      <c r="D244" t="s">
        <v>363</v>
      </c>
      <c r="E244" t="s">
        <v>34</v>
      </c>
      <c r="F244" t="s">
        <v>349</v>
      </c>
      <c r="G244" t="s">
        <v>35</v>
      </c>
      <c r="H244" t="s">
        <v>360</v>
      </c>
      <c r="I244" t="s">
        <v>141</v>
      </c>
      <c r="J244" t="s">
        <v>366</v>
      </c>
      <c r="K244">
        <v>0</v>
      </c>
      <c r="L244">
        <v>11</v>
      </c>
      <c r="M244">
        <v>5</v>
      </c>
      <c r="N244">
        <v>0</v>
      </c>
    </row>
    <row r="245" spans="1:14" x14ac:dyDescent="0.25">
      <c r="A245">
        <v>243</v>
      </c>
      <c r="B245" t="s">
        <v>346</v>
      </c>
      <c r="C245" t="s">
        <v>347</v>
      </c>
      <c r="D245" t="s">
        <v>363</v>
      </c>
      <c r="E245" t="s">
        <v>14</v>
      </c>
      <c r="F245" t="s">
        <v>349</v>
      </c>
      <c r="G245" t="s">
        <v>35</v>
      </c>
      <c r="H245" t="s">
        <v>350</v>
      </c>
      <c r="I245" t="s">
        <v>141</v>
      </c>
      <c r="J245" t="s">
        <v>367</v>
      </c>
      <c r="K245">
        <v>0</v>
      </c>
      <c r="L245">
        <v>7</v>
      </c>
      <c r="M245">
        <v>3</v>
      </c>
      <c r="N245">
        <v>0</v>
      </c>
    </row>
    <row r="246" spans="1:14" x14ac:dyDescent="0.25">
      <c r="A246">
        <v>244</v>
      </c>
      <c r="B246" t="s">
        <v>346</v>
      </c>
      <c r="C246" t="s">
        <v>347</v>
      </c>
      <c r="D246" t="s">
        <v>363</v>
      </c>
      <c r="E246" t="s">
        <v>34</v>
      </c>
      <c r="F246" t="s">
        <v>349</v>
      </c>
      <c r="G246" t="s">
        <v>35</v>
      </c>
      <c r="H246" t="s">
        <v>360</v>
      </c>
      <c r="I246" t="s">
        <v>141</v>
      </c>
      <c r="J246" t="s">
        <v>368</v>
      </c>
      <c r="K246">
        <v>0</v>
      </c>
      <c r="L246">
        <v>11</v>
      </c>
      <c r="M246">
        <v>5</v>
      </c>
      <c r="N246">
        <v>0</v>
      </c>
    </row>
    <row r="247" spans="1:14" x14ac:dyDescent="0.25">
      <c r="A247">
        <v>245</v>
      </c>
      <c r="B247" t="s">
        <v>346</v>
      </c>
      <c r="C247" t="s">
        <v>347</v>
      </c>
      <c r="D247" t="s">
        <v>363</v>
      </c>
      <c r="E247" t="s">
        <v>34</v>
      </c>
      <c r="F247" t="s">
        <v>349</v>
      </c>
      <c r="G247" t="s">
        <v>35</v>
      </c>
      <c r="H247" t="s">
        <v>360</v>
      </c>
      <c r="I247" t="s">
        <v>352</v>
      </c>
      <c r="J247" t="s">
        <v>369</v>
      </c>
      <c r="K247">
        <v>0</v>
      </c>
      <c r="L247">
        <v>8</v>
      </c>
      <c r="M247">
        <v>4</v>
      </c>
      <c r="N247">
        <v>0</v>
      </c>
    </row>
    <row r="248" spans="1:14" x14ac:dyDescent="0.25">
      <c r="A248">
        <v>246</v>
      </c>
      <c r="B248" t="s">
        <v>346</v>
      </c>
      <c r="C248" t="s">
        <v>347</v>
      </c>
      <c r="D248" t="s">
        <v>363</v>
      </c>
      <c r="E248" t="s">
        <v>34</v>
      </c>
      <c r="F248" t="s">
        <v>349</v>
      </c>
      <c r="G248" t="s">
        <v>35</v>
      </c>
      <c r="H248" t="s">
        <v>360</v>
      </c>
      <c r="I248" t="s">
        <v>27</v>
      </c>
      <c r="J248" t="s">
        <v>370</v>
      </c>
      <c r="K248">
        <v>0</v>
      </c>
      <c r="L248">
        <v>9</v>
      </c>
      <c r="M248">
        <v>4</v>
      </c>
      <c r="N248">
        <v>0</v>
      </c>
    </row>
    <row r="249" spans="1:14" x14ac:dyDescent="0.25">
      <c r="A249">
        <v>247</v>
      </c>
      <c r="B249" t="s">
        <v>346</v>
      </c>
      <c r="C249" t="s">
        <v>347</v>
      </c>
      <c r="D249" t="s">
        <v>363</v>
      </c>
      <c r="E249" t="s">
        <v>34</v>
      </c>
      <c r="F249" t="s">
        <v>349</v>
      </c>
      <c r="G249" t="s">
        <v>35</v>
      </c>
      <c r="H249" t="s">
        <v>360</v>
      </c>
      <c r="I249" t="s">
        <v>43</v>
      </c>
      <c r="J249" t="s">
        <v>371</v>
      </c>
      <c r="K249">
        <v>0</v>
      </c>
      <c r="L249">
        <v>16</v>
      </c>
      <c r="M249">
        <v>8</v>
      </c>
      <c r="N249">
        <v>0</v>
      </c>
    </row>
    <row r="250" spans="1:14" x14ac:dyDescent="0.25">
      <c r="A250">
        <v>248</v>
      </c>
      <c r="B250" t="s">
        <v>346</v>
      </c>
      <c r="C250" t="s">
        <v>347</v>
      </c>
      <c r="D250" t="s">
        <v>363</v>
      </c>
      <c r="E250" t="s">
        <v>34</v>
      </c>
      <c r="F250" t="s">
        <v>349</v>
      </c>
      <c r="G250" t="s">
        <v>35</v>
      </c>
      <c r="H250" t="s">
        <v>360</v>
      </c>
      <c r="I250" t="s">
        <v>43</v>
      </c>
      <c r="J250" t="s">
        <v>372</v>
      </c>
      <c r="K250">
        <v>0</v>
      </c>
      <c r="L250">
        <v>9</v>
      </c>
      <c r="M250">
        <v>4</v>
      </c>
      <c r="N250">
        <v>0</v>
      </c>
    </row>
    <row r="251" spans="1:14" x14ac:dyDescent="0.25">
      <c r="A251">
        <v>249</v>
      </c>
      <c r="B251" t="s">
        <v>346</v>
      </c>
      <c r="C251" t="s">
        <v>347</v>
      </c>
      <c r="D251" t="s">
        <v>363</v>
      </c>
      <c r="E251" t="s">
        <v>34</v>
      </c>
      <c r="F251" t="s">
        <v>349</v>
      </c>
      <c r="G251" t="s">
        <v>35</v>
      </c>
      <c r="H251" t="s">
        <v>360</v>
      </c>
      <c r="I251" t="s">
        <v>43</v>
      </c>
      <c r="J251" t="s">
        <v>373</v>
      </c>
      <c r="K251">
        <v>0</v>
      </c>
      <c r="L251">
        <v>8</v>
      </c>
      <c r="M251">
        <v>3</v>
      </c>
      <c r="N251">
        <v>0</v>
      </c>
    </row>
    <row r="252" spans="1:14" x14ac:dyDescent="0.25">
      <c r="A252">
        <v>250</v>
      </c>
      <c r="B252" t="s">
        <v>346</v>
      </c>
      <c r="C252" t="s">
        <v>347</v>
      </c>
      <c r="D252" t="s">
        <v>363</v>
      </c>
      <c r="E252" t="s">
        <v>34</v>
      </c>
      <c r="F252" t="s">
        <v>349</v>
      </c>
      <c r="G252" t="s">
        <v>35</v>
      </c>
      <c r="H252" t="s">
        <v>360</v>
      </c>
      <c r="I252" t="s">
        <v>212</v>
      </c>
      <c r="J252" t="s">
        <v>374</v>
      </c>
      <c r="K252">
        <v>0</v>
      </c>
      <c r="L252">
        <v>8</v>
      </c>
      <c r="M252">
        <v>2</v>
      </c>
      <c r="N252">
        <v>0</v>
      </c>
    </row>
    <row r="253" spans="1:14" x14ac:dyDescent="0.25">
      <c r="A253">
        <v>251</v>
      </c>
      <c r="B253" t="s">
        <v>346</v>
      </c>
      <c r="C253" t="s">
        <v>375</v>
      </c>
      <c r="D253" t="s">
        <v>376</v>
      </c>
      <c r="E253" t="s">
        <v>34</v>
      </c>
      <c r="F253" t="s">
        <v>349</v>
      </c>
      <c r="G253" t="s">
        <v>35</v>
      </c>
      <c r="H253" t="s">
        <v>1696</v>
      </c>
      <c r="I253" t="s">
        <v>43</v>
      </c>
      <c r="J253" t="s">
        <v>1614</v>
      </c>
      <c r="K253">
        <v>0</v>
      </c>
      <c r="L253">
        <v>15</v>
      </c>
      <c r="M253">
        <v>5</v>
      </c>
      <c r="N253">
        <v>0</v>
      </c>
    </row>
    <row r="254" spans="1:14" x14ac:dyDescent="0.25">
      <c r="A254">
        <v>252</v>
      </c>
      <c r="B254" t="s">
        <v>346</v>
      </c>
      <c r="C254" t="s">
        <v>375</v>
      </c>
      <c r="D254" t="s">
        <v>379</v>
      </c>
      <c r="E254" t="s">
        <v>22</v>
      </c>
      <c r="F254" t="s">
        <v>349</v>
      </c>
      <c r="G254" t="s">
        <v>26</v>
      </c>
      <c r="H254" t="s">
        <v>1696</v>
      </c>
      <c r="I254" t="s">
        <v>1612</v>
      </c>
      <c r="J254" t="s">
        <v>1615</v>
      </c>
      <c r="K254">
        <v>0</v>
      </c>
      <c r="L254">
        <v>4</v>
      </c>
      <c r="M254">
        <v>2</v>
      </c>
      <c r="N254">
        <v>0</v>
      </c>
    </row>
    <row r="255" spans="1:14" x14ac:dyDescent="0.25">
      <c r="A255">
        <v>253</v>
      </c>
      <c r="B255" t="s">
        <v>346</v>
      </c>
      <c r="C255" t="s">
        <v>375</v>
      </c>
      <c r="D255" t="s">
        <v>379</v>
      </c>
      <c r="E255" t="s">
        <v>22</v>
      </c>
      <c r="F255" t="s">
        <v>349</v>
      </c>
      <c r="G255" t="s">
        <v>26</v>
      </c>
      <c r="H255" t="s">
        <v>1696</v>
      </c>
      <c r="I255" t="s">
        <v>43</v>
      </c>
      <c r="J255" t="s">
        <v>1616</v>
      </c>
      <c r="K255">
        <v>0</v>
      </c>
      <c r="L255">
        <v>6</v>
      </c>
      <c r="M255">
        <v>2</v>
      </c>
      <c r="N255">
        <v>0</v>
      </c>
    </row>
    <row r="256" spans="1:14" x14ac:dyDescent="0.25">
      <c r="A256">
        <v>254</v>
      </c>
      <c r="B256" t="s">
        <v>346</v>
      </c>
      <c r="C256" t="s">
        <v>375</v>
      </c>
      <c r="D256" t="s">
        <v>379</v>
      </c>
      <c r="E256" t="s">
        <v>22</v>
      </c>
      <c r="F256" t="s">
        <v>349</v>
      </c>
      <c r="G256" t="s">
        <v>26</v>
      </c>
      <c r="H256" t="s">
        <v>1696</v>
      </c>
      <c r="I256" t="s">
        <v>27</v>
      </c>
      <c r="J256" t="s">
        <v>382</v>
      </c>
      <c r="K256">
        <v>0</v>
      </c>
      <c r="L256">
        <v>10</v>
      </c>
      <c r="M256">
        <v>5</v>
      </c>
      <c r="N256">
        <v>0</v>
      </c>
    </row>
    <row r="257" spans="1:14" x14ac:dyDescent="0.25">
      <c r="A257">
        <v>255</v>
      </c>
      <c r="B257" t="s">
        <v>346</v>
      </c>
      <c r="C257" t="s">
        <v>375</v>
      </c>
      <c r="D257" t="s">
        <v>383</v>
      </c>
      <c r="E257" t="s">
        <v>14</v>
      </c>
      <c r="F257" t="s">
        <v>349</v>
      </c>
      <c r="G257" t="s">
        <v>26</v>
      </c>
      <c r="H257" t="s">
        <v>1696</v>
      </c>
      <c r="I257" t="s">
        <v>1612</v>
      </c>
      <c r="J257" t="s">
        <v>1617</v>
      </c>
      <c r="K257">
        <v>0</v>
      </c>
      <c r="L257">
        <v>7</v>
      </c>
      <c r="M257">
        <v>2</v>
      </c>
      <c r="N257">
        <v>0</v>
      </c>
    </row>
    <row r="258" spans="1:14" x14ac:dyDescent="0.25">
      <c r="A258">
        <v>256</v>
      </c>
      <c r="B258" t="s">
        <v>346</v>
      </c>
      <c r="C258" t="s">
        <v>375</v>
      </c>
      <c r="D258" t="s">
        <v>383</v>
      </c>
      <c r="E258" t="s">
        <v>14</v>
      </c>
      <c r="F258" t="s">
        <v>349</v>
      </c>
      <c r="G258" t="s">
        <v>122</v>
      </c>
      <c r="H258" t="s">
        <v>1696</v>
      </c>
      <c r="I258" t="s">
        <v>27</v>
      </c>
      <c r="J258" t="s">
        <v>385</v>
      </c>
      <c r="K258">
        <v>0</v>
      </c>
      <c r="L258">
        <v>6</v>
      </c>
      <c r="M258">
        <v>2</v>
      </c>
      <c r="N258">
        <v>0</v>
      </c>
    </row>
    <row r="259" spans="1:14" x14ac:dyDescent="0.25">
      <c r="A259">
        <v>257</v>
      </c>
      <c r="B259" t="s">
        <v>346</v>
      </c>
      <c r="C259" t="s">
        <v>375</v>
      </c>
      <c r="D259" t="s">
        <v>379</v>
      </c>
      <c r="E259" t="s">
        <v>22</v>
      </c>
      <c r="F259" t="s">
        <v>349</v>
      </c>
      <c r="G259" t="s">
        <v>122</v>
      </c>
      <c r="H259" t="s">
        <v>1696</v>
      </c>
      <c r="I259" t="s">
        <v>212</v>
      </c>
      <c r="J259" t="s">
        <v>386</v>
      </c>
      <c r="K259">
        <v>0</v>
      </c>
      <c r="L259">
        <v>8</v>
      </c>
      <c r="M259">
        <v>2</v>
      </c>
      <c r="N259">
        <v>0</v>
      </c>
    </row>
    <row r="260" spans="1:14" x14ac:dyDescent="0.25">
      <c r="A260">
        <v>258</v>
      </c>
      <c r="B260" t="s">
        <v>346</v>
      </c>
      <c r="C260" t="s">
        <v>375</v>
      </c>
      <c r="D260" t="s">
        <v>383</v>
      </c>
      <c r="E260" t="s">
        <v>14</v>
      </c>
      <c r="F260" t="s">
        <v>349</v>
      </c>
      <c r="G260" t="s">
        <v>122</v>
      </c>
      <c r="H260" t="s">
        <v>1696</v>
      </c>
      <c r="I260" t="s">
        <v>27</v>
      </c>
      <c r="J260" t="s">
        <v>1618</v>
      </c>
      <c r="K260">
        <v>0</v>
      </c>
      <c r="L260">
        <v>5</v>
      </c>
      <c r="M260">
        <v>2</v>
      </c>
      <c r="N260">
        <v>0</v>
      </c>
    </row>
    <row r="261" spans="1:14" x14ac:dyDescent="0.25">
      <c r="A261">
        <v>259</v>
      </c>
      <c r="B261" t="s">
        <v>346</v>
      </c>
      <c r="C261" t="s">
        <v>375</v>
      </c>
      <c r="D261" t="s">
        <v>383</v>
      </c>
      <c r="E261" t="s">
        <v>14</v>
      </c>
      <c r="F261" t="s">
        <v>349</v>
      </c>
      <c r="G261" t="s">
        <v>122</v>
      </c>
      <c r="H261" t="s">
        <v>388</v>
      </c>
      <c r="I261" t="s">
        <v>27</v>
      </c>
      <c r="J261" t="s">
        <v>389</v>
      </c>
      <c r="K261">
        <v>0</v>
      </c>
      <c r="L261">
        <v>2</v>
      </c>
      <c r="M261">
        <v>1</v>
      </c>
      <c r="N261">
        <v>0</v>
      </c>
    </row>
    <row r="262" spans="1:14" x14ac:dyDescent="0.25">
      <c r="A262">
        <v>260</v>
      </c>
      <c r="B262" t="s">
        <v>346</v>
      </c>
      <c r="C262" t="s">
        <v>375</v>
      </c>
      <c r="D262" t="s">
        <v>379</v>
      </c>
      <c r="E262" t="s">
        <v>80</v>
      </c>
      <c r="F262" t="s">
        <v>349</v>
      </c>
      <c r="G262" t="s">
        <v>122</v>
      </c>
      <c r="H262" t="s">
        <v>388</v>
      </c>
      <c r="I262" t="s">
        <v>20</v>
      </c>
      <c r="J262" t="s">
        <v>390</v>
      </c>
      <c r="K262">
        <v>0</v>
      </c>
      <c r="L262">
        <v>1</v>
      </c>
      <c r="M262">
        <v>1</v>
      </c>
      <c r="N262">
        <v>0</v>
      </c>
    </row>
    <row r="263" spans="1:14" x14ac:dyDescent="0.25">
      <c r="A263">
        <v>261</v>
      </c>
      <c r="B263" t="s">
        <v>346</v>
      </c>
      <c r="C263" t="s">
        <v>375</v>
      </c>
      <c r="D263" t="s">
        <v>383</v>
      </c>
      <c r="E263" t="s">
        <v>14</v>
      </c>
      <c r="F263" t="s">
        <v>349</v>
      </c>
      <c r="G263" t="s">
        <v>122</v>
      </c>
      <c r="H263" t="s">
        <v>388</v>
      </c>
      <c r="I263" t="s">
        <v>27</v>
      </c>
      <c r="J263" t="s">
        <v>391</v>
      </c>
      <c r="K263">
        <v>0</v>
      </c>
      <c r="L263">
        <v>1</v>
      </c>
      <c r="M263">
        <v>1</v>
      </c>
      <c r="N263">
        <v>0</v>
      </c>
    </row>
    <row r="264" spans="1:14" x14ac:dyDescent="0.25">
      <c r="A264">
        <v>262</v>
      </c>
      <c r="B264" t="s">
        <v>346</v>
      </c>
      <c r="C264" t="s">
        <v>392</v>
      </c>
      <c r="D264" t="s">
        <v>393</v>
      </c>
      <c r="E264" t="s">
        <v>14</v>
      </c>
      <c r="F264" t="s">
        <v>394</v>
      </c>
      <c r="G264" t="s">
        <v>122</v>
      </c>
      <c r="H264" t="s">
        <v>388</v>
      </c>
      <c r="I264" t="s">
        <v>20</v>
      </c>
      <c r="J264" t="s">
        <v>395</v>
      </c>
      <c r="K264">
        <v>0</v>
      </c>
      <c r="L264">
        <v>4</v>
      </c>
      <c r="M264">
        <v>1</v>
      </c>
      <c r="N264">
        <v>0</v>
      </c>
    </row>
    <row r="265" spans="1:14" x14ac:dyDescent="0.25">
      <c r="A265">
        <v>263</v>
      </c>
      <c r="B265" t="s">
        <v>346</v>
      </c>
      <c r="C265" t="s">
        <v>375</v>
      </c>
      <c r="D265" t="s">
        <v>396</v>
      </c>
      <c r="E265" t="s">
        <v>22</v>
      </c>
      <c r="F265" t="s">
        <v>349</v>
      </c>
      <c r="G265" t="s">
        <v>122</v>
      </c>
      <c r="H265" t="s">
        <v>388</v>
      </c>
      <c r="I265" t="s">
        <v>20</v>
      </c>
      <c r="J265" t="s">
        <v>1619</v>
      </c>
      <c r="K265">
        <v>0</v>
      </c>
      <c r="L265">
        <v>1</v>
      </c>
      <c r="M265">
        <v>1</v>
      </c>
      <c r="N265">
        <v>0</v>
      </c>
    </row>
    <row r="266" spans="1:14" x14ac:dyDescent="0.25">
      <c r="A266">
        <v>264</v>
      </c>
      <c r="B266" t="s">
        <v>346</v>
      </c>
      <c r="C266" t="s">
        <v>375</v>
      </c>
      <c r="D266" t="s">
        <v>396</v>
      </c>
      <c r="E266" t="s">
        <v>22</v>
      </c>
      <c r="F266" t="s">
        <v>349</v>
      </c>
      <c r="G266" t="s">
        <v>122</v>
      </c>
      <c r="H266" t="s">
        <v>388</v>
      </c>
      <c r="I266" t="s">
        <v>1612</v>
      </c>
      <c r="J266" t="s">
        <v>398</v>
      </c>
      <c r="K266">
        <v>0</v>
      </c>
      <c r="L266">
        <v>1</v>
      </c>
      <c r="M266">
        <v>1</v>
      </c>
      <c r="N266">
        <v>0</v>
      </c>
    </row>
    <row r="267" spans="1:14" x14ac:dyDescent="0.25">
      <c r="A267">
        <v>265</v>
      </c>
      <c r="B267" t="s">
        <v>346</v>
      </c>
      <c r="C267" t="s">
        <v>375</v>
      </c>
      <c r="D267" t="s">
        <v>396</v>
      </c>
      <c r="E267" t="s">
        <v>22</v>
      </c>
      <c r="F267" t="s">
        <v>349</v>
      </c>
      <c r="G267" t="s">
        <v>122</v>
      </c>
      <c r="H267" t="s">
        <v>388</v>
      </c>
      <c r="I267" t="s">
        <v>1612</v>
      </c>
      <c r="J267" t="s">
        <v>399</v>
      </c>
      <c r="K267">
        <v>0</v>
      </c>
      <c r="L267">
        <v>4</v>
      </c>
      <c r="M267">
        <v>2</v>
      </c>
      <c r="N267">
        <v>0</v>
      </c>
    </row>
    <row r="268" spans="1:14" x14ac:dyDescent="0.25">
      <c r="A268">
        <v>266</v>
      </c>
      <c r="B268" t="s">
        <v>346</v>
      </c>
      <c r="C268" t="s">
        <v>392</v>
      </c>
      <c r="D268" t="s">
        <v>393</v>
      </c>
      <c r="E268" t="s">
        <v>80</v>
      </c>
      <c r="F268" t="s">
        <v>394</v>
      </c>
      <c r="G268" t="s">
        <v>122</v>
      </c>
      <c r="H268" t="s">
        <v>388</v>
      </c>
      <c r="I268" t="s">
        <v>1612</v>
      </c>
      <c r="J268" t="s">
        <v>400</v>
      </c>
      <c r="K268">
        <v>0</v>
      </c>
      <c r="L268">
        <v>3</v>
      </c>
      <c r="M268">
        <v>2</v>
      </c>
      <c r="N268">
        <v>0</v>
      </c>
    </row>
    <row r="269" spans="1:14" x14ac:dyDescent="0.25">
      <c r="A269">
        <v>267</v>
      </c>
      <c r="B269" t="s">
        <v>346</v>
      </c>
      <c r="C269" t="s">
        <v>392</v>
      </c>
      <c r="D269" t="s">
        <v>393</v>
      </c>
      <c r="E269" t="s">
        <v>22</v>
      </c>
      <c r="F269" t="s">
        <v>394</v>
      </c>
      <c r="G269" t="s">
        <v>122</v>
      </c>
      <c r="H269" t="s">
        <v>388</v>
      </c>
      <c r="I269" t="s">
        <v>20</v>
      </c>
      <c r="J269" t="s">
        <v>401</v>
      </c>
      <c r="K269">
        <v>0</v>
      </c>
      <c r="L269">
        <v>5</v>
      </c>
      <c r="M269">
        <v>4</v>
      </c>
      <c r="N269">
        <v>0</v>
      </c>
    </row>
    <row r="270" spans="1:14" x14ac:dyDescent="0.25">
      <c r="A270">
        <v>268</v>
      </c>
      <c r="B270" t="s">
        <v>346</v>
      </c>
      <c r="C270" t="s">
        <v>392</v>
      </c>
      <c r="D270" t="s">
        <v>402</v>
      </c>
      <c r="E270" t="s">
        <v>22</v>
      </c>
      <c r="F270" t="s">
        <v>394</v>
      </c>
      <c r="G270" t="s">
        <v>122</v>
      </c>
      <c r="H270" t="s">
        <v>403</v>
      </c>
      <c r="I270" t="s">
        <v>1612</v>
      </c>
      <c r="J270" t="s">
        <v>404</v>
      </c>
      <c r="K270">
        <v>0</v>
      </c>
      <c r="L270">
        <v>6</v>
      </c>
      <c r="M270">
        <v>4</v>
      </c>
      <c r="N270">
        <v>0</v>
      </c>
    </row>
    <row r="271" spans="1:14" x14ac:dyDescent="0.25">
      <c r="A271">
        <v>269</v>
      </c>
      <c r="B271" t="s">
        <v>346</v>
      </c>
      <c r="C271" t="s">
        <v>392</v>
      </c>
      <c r="D271" t="s">
        <v>393</v>
      </c>
      <c r="E271" t="s">
        <v>22</v>
      </c>
      <c r="F271" t="s">
        <v>394</v>
      </c>
      <c r="G271" t="s">
        <v>122</v>
      </c>
      <c r="H271" t="s">
        <v>388</v>
      </c>
      <c r="I271" t="s">
        <v>20</v>
      </c>
      <c r="J271" t="s">
        <v>405</v>
      </c>
      <c r="K271">
        <v>0</v>
      </c>
      <c r="L271">
        <v>3</v>
      </c>
      <c r="M271">
        <v>1</v>
      </c>
      <c r="N271">
        <v>0</v>
      </c>
    </row>
    <row r="272" spans="1:14" x14ac:dyDescent="0.25">
      <c r="A272">
        <v>270</v>
      </c>
      <c r="B272" t="s">
        <v>346</v>
      </c>
      <c r="C272" t="s">
        <v>392</v>
      </c>
      <c r="D272" t="s">
        <v>402</v>
      </c>
      <c r="E272" t="s">
        <v>22</v>
      </c>
      <c r="F272" t="s">
        <v>394</v>
      </c>
      <c r="G272" t="s">
        <v>122</v>
      </c>
      <c r="H272" t="s">
        <v>403</v>
      </c>
      <c r="I272" t="s">
        <v>43</v>
      </c>
      <c r="J272" t="s">
        <v>406</v>
      </c>
      <c r="K272">
        <v>0</v>
      </c>
      <c r="L272">
        <v>6</v>
      </c>
      <c r="M272">
        <v>6</v>
      </c>
      <c r="N272">
        <v>0</v>
      </c>
    </row>
    <row r="273" spans="1:14" x14ac:dyDescent="0.25">
      <c r="A273">
        <v>271</v>
      </c>
      <c r="B273" t="s">
        <v>346</v>
      </c>
      <c r="C273" t="s">
        <v>392</v>
      </c>
      <c r="D273" t="s">
        <v>402</v>
      </c>
      <c r="E273" t="s">
        <v>22</v>
      </c>
      <c r="F273" t="s">
        <v>394</v>
      </c>
      <c r="G273" t="s">
        <v>122</v>
      </c>
      <c r="H273" t="s">
        <v>403</v>
      </c>
      <c r="I273" t="s">
        <v>212</v>
      </c>
      <c r="J273" t="s">
        <v>407</v>
      </c>
      <c r="K273">
        <v>0</v>
      </c>
      <c r="L273">
        <v>5</v>
      </c>
      <c r="M273">
        <v>5</v>
      </c>
      <c r="N273">
        <v>0</v>
      </c>
    </row>
    <row r="274" spans="1:14" x14ac:dyDescent="0.25">
      <c r="A274">
        <v>272</v>
      </c>
      <c r="B274" t="s">
        <v>346</v>
      </c>
      <c r="C274" t="s">
        <v>392</v>
      </c>
      <c r="D274" t="s">
        <v>402</v>
      </c>
      <c r="E274" t="s">
        <v>22</v>
      </c>
      <c r="F274" t="s">
        <v>394</v>
      </c>
      <c r="G274" t="s">
        <v>122</v>
      </c>
      <c r="H274" t="s">
        <v>403</v>
      </c>
      <c r="I274" t="s">
        <v>43</v>
      </c>
      <c r="J274" t="s">
        <v>408</v>
      </c>
      <c r="K274">
        <v>0</v>
      </c>
      <c r="L274">
        <v>6</v>
      </c>
      <c r="M274">
        <v>6</v>
      </c>
      <c r="N274">
        <v>0</v>
      </c>
    </row>
    <row r="275" spans="1:14" x14ac:dyDescent="0.25">
      <c r="A275">
        <v>273</v>
      </c>
      <c r="B275" t="s">
        <v>346</v>
      </c>
      <c r="C275" t="s">
        <v>375</v>
      </c>
      <c r="D275" t="s">
        <v>396</v>
      </c>
      <c r="E275" t="s">
        <v>22</v>
      </c>
      <c r="F275" t="s">
        <v>349</v>
      </c>
      <c r="G275" t="s">
        <v>122</v>
      </c>
      <c r="H275" t="s">
        <v>388</v>
      </c>
      <c r="I275" t="s">
        <v>141</v>
      </c>
      <c r="J275" t="s">
        <v>409</v>
      </c>
      <c r="K275">
        <v>0</v>
      </c>
      <c r="L275">
        <v>2</v>
      </c>
      <c r="M275">
        <v>1</v>
      </c>
      <c r="N275">
        <v>0</v>
      </c>
    </row>
    <row r="276" spans="1:14" x14ac:dyDescent="0.25">
      <c r="A276">
        <v>274</v>
      </c>
      <c r="B276" t="s">
        <v>346</v>
      </c>
      <c r="C276" t="s">
        <v>392</v>
      </c>
      <c r="D276" t="s">
        <v>402</v>
      </c>
      <c r="E276" t="s">
        <v>22</v>
      </c>
      <c r="F276" t="s">
        <v>394</v>
      </c>
      <c r="G276" t="s">
        <v>122</v>
      </c>
      <c r="H276" t="s">
        <v>403</v>
      </c>
      <c r="I276" t="s">
        <v>20</v>
      </c>
      <c r="J276" t="s">
        <v>410</v>
      </c>
      <c r="K276">
        <v>0</v>
      </c>
      <c r="L276">
        <v>9</v>
      </c>
      <c r="M276">
        <v>8</v>
      </c>
      <c r="N276">
        <v>0</v>
      </c>
    </row>
    <row r="277" spans="1:14" x14ac:dyDescent="0.25">
      <c r="A277">
        <v>275</v>
      </c>
      <c r="B277" t="s">
        <v>346</v>
      </c>
      <c r="C277" t="s">
        <v>392</v>
      </c>
      <c r="D277" t="s">
        <v>411</v>
      </c>
      <c r="E277" t="s">
        <v>80</v>
      </c>
      <c r="F277" t="s">
        <v>394</v>
      </c>
      <c r="G277" t="s">
        <v>122</v>
      </c>
      <c r="H277" t="s">
        <v>388</v>
      </c>
      <c r="I277" t="s">
        <v>27</v>
      </c>
      <c r="J277" t="s">
        <v>412</v>
      </c>
      <c r="K277">
        <v>0</v>
      </c>
      <c r="L277">
        <v>3</v>
      </c>
      <c r="M277">
        <v>2</v>
      </c>
      <c r="N277">
        <v>0</v>
      </c>
    </row>
    <row r="278" spans="1:14" x14ac:dyDescent="0.25">
      <c r="A278">
        <v>276</v>
      </c>
      <c r="B278" t="s">
        <v>346</v>
      </c>
      <c r="C278" t="s">
        <v>392</v>
      </c>
      <c r="D278" t="s">
        <v>411</v>
      </c>
      <c r="E278" t="s">
        <v>22</v>
      </c>
      <c r="F278" t="s">
        <v>349</v>
      </c>
      <c r="G278" t="s">
        <v>122</v>
      </c>
      <c r="H278" t="s">
        <v>388</v>
      </c>
      <c r="I278" t="s">
        <v>43</v>
      </c>
      <c r="J278" t="s">
        <v>413</v>
      </c>
      <c r="K278">
        <v>0</v>
      </c>
      <c r="L278">
        <v>6</v>
      </c>
      <c r="M278">
        <v>3</v>
      </c>
      <c r="N278">
        <v>0</v>
      </c>
    </row>
    <row r="279" spans="1:14" x14ac:dyDescent="0.25">
      <c r="A279">
        <v>277</v>
      </c>
      <c r="B279" t="s">
        <v>346</v>
      </c>
      <c r="C279" t="s">
        <v>392</v>
      </c>
      <c r="D279" t="s">
        <v>402</v>
      </c>
      <c r="E279" t="s">
        <v>22</v>
      </c>
      <c r="F279" t="s">
        <v>394</v>
      </c>
      <c r="G279" t="s">
        <v>122</v>
      </c>
      <c r="H279" t="s">
        <v>403</v>
      </c>
      <c r="I279" t="s">
        <v>43</v>
      </c>
      <c r="J279" t="s">
        <v>414</v>
      </c>
      <c r="K279">
        <v>0</v>
      </c>
      <c r="L279">
        <v>5</v>
      </c>
      <c r="M279">
        <v>5</v>
      </c>
      <c r="N279">
        <v>0</v>
      </c>
    </row>
    <row r="280" spans="1:14" x14ac:dyDescent="0.25">
      <c r="A280">
        <v>278</v>
      </c>
      <c r="B280" t="s">
        <v>346</v>
      </c>
      <c r="C280" t="s">
        <v>392</v>
      </c>
      <c r="D280" t="s">
        <v>402</v>
      </c>
      <c r="E280" t="s">
        <v>22</v>
      </c>
      <c r="F280" t="s">
        <v>394</v>
      </c>
      <c r="G280" t="s">
        <v>122</v>
      </c>
      <c r="H280" t="s">
        <v>403</v>
      </c>
      <c r="I280" t="s">
        <v>43</v>
      </c>
      <c r="J280" t="s">
        <v>415</v>
      </c>
      <c r="K280">
        <v>0</v>
      </c>
      <c r="L280">
        <v>5</v>
      </c>
      <c r="M280">
        <v>5</v>
      </c>
      <c r="N280">
        <v>0</v>
      </c>
    </row>
    <row r="281" spans="1:14" x14ac:dyDescent="0.25">
      <c r="A281">
        <v>279</v>
      </c>
      <c r="B281" t="s">
        <v>346</v>
      </c>
      <c r="C281" t="s">
        <v>392</v>
      </c>
      <c r="D281" t="s">
        <v>402</v>
      </c>
      <c r="E281" t="s">
        <v>22</v>
      </c>
      <c r="F281" t="s">
        <v>394</v>
      </c>
      <c r="G281" t="s">
        <v>122</v>
      </c>
      <c r="H281" t="s">
        <v>403</v>
      </c>
      <c r="I281" t="s">
        <v>43</v>
      </c>
      <c r="J281" t="s">
        <v>416</v>
      </c>
      <c r="K281">
        <v>0</v>
      </c>
      <c r="L281">
        <v>13</v>
      </c>
      <c r="M281">
        <v>12</v>
      </c>
      <c r="N281">
        <v>0</v>
      </c>
    </row>
    <row r="282" spans="1:14" x14ac:dyDescent="0.25">
      <c r="A282">
        <v>280</v>
      </c>
      <c r="B282" t="s">
        <v>346</v>
      </c>
      <c r="C282" t="s">
        <v>392</v>
      </c>
      <c r="D282" t="s">
        <v>402</v>
      </c>
      <c r="E282" t="s">
        <v>22</v>
      </c>
      <c r="F282" t="s">
        <v>394</v>
      </c>
      <c r="G282" t="s">
        <v>122</v>
      </c>
      <c r="H282" t="s">
        <v>403</v>
      </c>
      <c r="I282" t="s">
        <v>43</v>
      </c>
      <c r="J282" t="s">
        <v>417</v>
      </c>
      <c r="K282">
        <v>0</v>
      </c>
      <c r="L282">
        <v>6</v>
      </c>
      <c r="M282">
        <v>5</v>
      </c>
      <c r="N282">
        <v>0</v>
      </c>
    </row>
    <row r="283" spans="1:14" x14ac:dyDescent="0.25">
      <c r="A283">
        <v>281</v>
      </c>
      <c r="B283" t="s">
        <v>346</v>
      </c>
      <c r="C283" t="s">
        <v>392</v>
      </c>
      <c r="D283" t="s">
        <v>402</v>
      </c>
      <c r="E283" t="s">
        <v>22</v>
      </c>
      <c r="F283" t="s">
        <v>394</v>
      </c>
      <c r="G283" t="s">
        <v>122</v>
      </c>
      <c r="H283" t="s">
        <v>436</v>
      </c>
      <c r="I283" t="s">
        <v>141</v>
      </c>
      <c r="J283" t="s">
        <v>419</v>
      </c>
      <c r="K283">
        <v>0</v>
      </c>
      <c r="L283">
        <v>5</v>
      </c>
      <c r="M283">
        <v>5</v>
      </c>
      <c r="N283">
        <v>0</v>
      </c>
    </row>
    <row r="284" spans="1:14" x14ac:dyDescent="0.25">
      <c r="A284">
        <v>282</v>
      </c>
      <c r="B284" t="s">
        <v>346</v>
      </c>
      <c r="C284" t="s">
        <v>392</v>
      </c>
      <c r="D284" t="s">
        <v>411</v>
      </c>
      <c r="E284" t="s">
        <v>80</v>
      </c>
      <c r="F284" t="s">
        <v>349</v>
      </c>
      <c r="G284" t="s">
        <v>26</v>
      </c>
      <c r="H284" t="s">
        <v>388</v>
      </c>
      <c r="I284" t="s">
        <v>43</v>
      </c>
      <c r="J284" t="s">
        <v>420</v>
      </c>
      <c r="K284">
        <v>0</v>
      </c>
      <c r="L284">
        <v>6</v>
      </c>
      <c r="M284">
        <v>5</v>
      </c>
      <c r="N284">
        <v>0</v>
      </c>
    </row>
    <row r="285" spans="1:14" x14ac:dyDescent="0.25">
      <c r="A285">
        <v>283</v>
      </c>
      <c r="B285" t="s">
        <v>346</v>
      </c>
      <c r="C285" t="s">
        <v>392</v>
      </c>
      <c r="D285" t="s">
        <v>411</v>
      </c>
      <c r="E285" t="s">
        <v>22</v>
      </c>
      <c r="F285" t="s">
        <v>349</v>
      </c>
      <c r="G285" t="s">
        <v>26</v>
      </c>
      <c r="H285" t="s">
        <v>421</v>
      </c>
      <c r="I285" t="s">
        <v>43</v>
      </c>
      <c r="J285" t="s">
        <v>422</v>
      </c>
      <c r="K285">
        <v>0</v>
      </c>
      <c r="L285">
        <v>7</v>
      </c>
      <c r="M285">
        <v>4</v>
      </c>
      <c r="N285">
        <v>0</v>
      </c>
    </row>
    <row r="286" spans="1:14" x14ac:dyDescent="0.25">
      <c r="A286">
        <v>284</v>
      </c>
      <c r="B286" t="s">
        <v>346</v>
      </c>
      <c r="C286" t="s">
        <v>392</v>
      </c>
      <c r="D286" t="s">
        <v>402</v>
      </c>
      <c r="E286" t="s">
        <v>22</v>
      </c>
      <c r="F286" t="s">
        <v>394</v>
      </c>
      <c r="G286" t="s">
        <v>122</v>
      </c>
      <c r="H286" t="s">
        <v>421</v>
      </c>
      <c r="I286" t="s">
        <v>1612</v>
      </c>
      <c r="J286" t="s">
        <v>423</v>
      </c>
      <c r="K286">
        <v>0</v>
      </c>
      <c r="L286">
        <v>8</v>
      </c>
      <c r="M286">
        <v>5</v>
      </c>
      <c r="N286">
        <v>0</v>
      </c>
    </row>
    <row r="287" spans="1:14" x14ac:dyDescent="0.25">
      <c r="A287">
        <v>285</v>
      </c>
      <c r="B287" t="s">
        <v>346</v>
      </c>
      <c r="C287" t="s">
        <v>392</v>
      </c>
      <c r="D287" t="s">
        <v>402</v>
      </c>
      <c r="E287" t="s">
        <v>22</v>
      </c>
      <c r="F287" t="s">
        <v>394</v>
      </c>
      <c r="G287" t="s">
        <v>122</v>
      </c>
      <c r="H287" t="s">
        <v>403</v>
      </c>
      <c r="I287" t="s">
        <v>43</v>
      </c>
      <c r="J287" t="s">
        <v>424</v>
      </c>
      <c r="K287">
        <v>0</v>
      </c>
      <c r="L287">
        <v>6</v>
      </c>
      <c r="M287">
        <v>5</v>
      </c>
      <c r="N287">
        <v>0</v>
      </c>
    </row>
    <row r="288" spans="1:14" x14ac:dyDescent="0.25">
      <c r="A288">
        <v>286</v>
      </c>
      <c r="B288" t="s">
        <v>346</v>
      </c>
      <c r="C288" t="s">
        <v>392</v>
      </c>
      <c r="D288" t="s">
        <v>402</v>
      </c>
      <c r="E288" t="s">
        <v>34</v>
      </c>
      <c r="F288" t="s">
        <v>394</v>
      </c>
      <c r="G288" t="s">
        <v>122</v>
      </c>
      <c r="H288" t="s">
        <v>403</v>
      </c>
      <c r="I288" t="s">
        <v>43</v>
      </c>
      <c r="J288" t="s">
        <v>425</v>
      </c>
      <c r="K288">
        <v>0</v>
      </c>
      <c r="L288">
        <v>4</v>
      </c>
      <c r="M288">
        <v>5</v>
      </c>
      <c r="N288">
        <v>0</v>
      </c>
    </row>
    <row r="289" spans="1:14" x14ac:dyDescent="0.25">
      <c r="A289">
        <v>287</v>
      </c>
      <c r="B289" t="s">
        <v>346</v>
      </c>
      <c r="C289" t="s">
        <v>392</v>
      </c>
      <c r="D289" t="s">
        <v>402</v>
      </c>
      <c r="E289" t="s">
        <v>34</v>
      </c>
      <c r="F289" t="s">
        <v>394</v>
      </c>
      <c r="G289" t="s">
        <v>122</v>
      </c>
      <c r="H289" t="s">
        <v>436</v>
      </c>
      <c r="I289" t="s">
        <v>41</v>
      </c>
      <c r="J289" t="s">
        <v>426</v>
      </c>
      <c r="K289">
        <v>0</v>
      </c>
      <c r="L289">
        <v>3</v>
      </c>
      <c r="M289">
        <v>5</v>
      </c>
      <c r="N289">
        <v>0</v>
      </c>
    </row>
    <row r="290" spans="1:14" x14ac:dyDescent="0.25">
      <c r="A290">
        <v>288</v>
      </c>
      <c r="B290" t="s">
        <v>346</v>
      </c>
      <c r="C290" t="s">
        <v>392</v>
      </c>
      <c r="D290" t="s">
        <v>427</v>
      </c>
      <c r="E290" t="s">
        <v>22</v>
      </c>
      <c r="F290" t="s">
        <v>349</v>
      </c>
      <c r="G290" t="s">
        <v>122</v>
      </c>
      <c r="H290" t="s">
        <v>421</v>
      </c>
      <c r="I290" t="s">
        <v>43</v>
      </c>
      <c r="J290" t="s">
        <v>428</v>
      </c>
      <c r="K290">
        <v>0</v>
      </c>
      <c r="L290">
        <v>8</v>
      </c>
      <c r="M290">
        <v>5</v>
      </c>
      <c r="N290">
        <v>0</v>
      </c>
    </row>
    <row r="291" spans="1:14" x14ac:dyDescent="0.25">
      <c r="A291">
        <v>289</v>
      </c>
      <c r="B291" t="s">
        <v>346</v>
      </c>
      <c r="C291" t="s">
        <v>447</v>
      </c>
      <c r="D291" t="s">
        <v>448</v>
      </c>
      <c r="E291" t="s">
        <v>80</v>
      </c>
      <c r="F291" t="s">
        <v>349</v>
      </c>
      <c r="G291" t="s">
        <v>26</v>
      </c>
      <c r="H291" t="s">
        <v>421</v>
      </c>
      <c r="I291" t="s">
        <v>27</v>
      </c>
      <c r="J291" t="s">
        <v>429</v>
      </c>
      <c r="K291">
        <v>0</v>
      </c>
      <c r="L291">
        <v>6</v>
      </c>
      <c r="M291">
        <v>4</v>
      </c>
      <c r="N291">
        <v>0</v>
      </c>
    </row>
    <row r="292" spans="1:14" x14ac:dyDescent="0.25">
      <c r="A292">
        <v>290</v>
      </c>
      <c r="B292" t="s">
        <v>346</v>
      </c>
      <c r="C292" t="s">
        <v>447</v>
      </c>
      <c r="D292" t="s">
        <v>448</v>
      </c>
      <c r="E292" t="s">
        <v>22</v>
      </c>
      <c r="F292" t="s">
        <v>349</v>
      </c>
      <c r="G292" t="s">
        <v>26</v>
      </c>
      <c r="H292" t="s">
        <v>421</v>
      </c>
      <c r="I292" t="s">
        <v>1612</v>
      </c>
      <c r="J292" t="s">
        <v>430</v>
      </c>
      <c r="K292">
        <v>0</v>
      </c>
      <c r="L292">
        <v>8</v>
      </c>
      <c r="M292">
        <v>4</v>
      </c>
      <c r="N292">
        <v>0</v>
      </c>
    </row>
    <row r="293" spans="1:14" x14ac:dyDescent="0.25">
      <c r="A293">
        <v>291</v>
      </c>
      <c r="B293" t="s">
        <v>346</v>
      </c>
      <c r="C293" t="s">
        <v>392</v>
      </c>
      <c r="D293" t="s">
        <v>427</v>
      </c>
      <c r="E293" t="s">
        <v>34</v>
      </c>
      <c r="F293" t="s">
        <v>349</v>
      </c>
      <c r="G293" t="s">
        <v>26</v>
      </c>
      <c r="H293" t="s">
        <v>431</v>
      </c>
      <c r="I293" t="s">
        <v>352</v>
      </c>
      <c r="J293" t="s">
        <v>1697</v>
      </c>
      <c r="K293">
        <v>0</v>
      </c>
      <c r="L293">
        <v>10</v>
      </c>
      <c r="M293">
        <v>6</v>
      </c>
      <c r="N293">
        <v>0</v>
      </c>
    </row>
    <row r="294" spans="1:14" x14ac:dyDescent="0.25">
      <c r="A294">
        <v>292</v>
      </c>
      <c r="B294" t="s">
        <v>346</v>
      </c>
      <c r="C294" t="s">
        <v>392</v>
      </c>
      <c r="D294" t="s">
        <v>427</v>
      </c>
      <c r="E294" t="s">
        <v>34</v>
      </c>
      <c r="F294" t="s">
        <v>349</v>
      </c>
      <c r="G294" t="s">
        <v>122</v>
      </c>
      <c r="H294" t="s">
        <v>431</v>
      </c>
      <c r="I294" t="s">
        <v>43</v>
      </c>
      <c r="J294" t="s">
        <v>433</v>
      </c>
      <c r="K294">
        <v>0</v>
      </c>
      <c r="L294">
        <v>6</v>
      </c>
      <c r="M294">
        <v>4</v>
      </c>
      <c r="N294">
        <v>0</v>
      </c>
    </row>
    <row r="295" spans="1:14" x14ac:dyDescent="0.25">
      <c r="A295">
        <v>293</v>
      </c>
      <c r="B295" t="s">
        <v>346</v>
      </c>
      <c r="C295" t="s">
        <v>392</v>
      </c>
      <c r="D295" t="s">
        <v>427</v>
      </c>
      <c r="E295" t="s">
        <v>80</v>
      </c>
      <c r="F295" t="s">
        <v>394</v>
      </c>
      <c r="G295" t="s">
        <v>122</v>
      </c>
      <c r="H295" t="s">
        <v>436</v>
      </c>
      <c r="I295" t="s">
        <v>1612</v>
      </c>
      <c r="J295" t="s">
        <v>434</v>
      </c>
      <c r="K295">
        <v>0</v>
      </c>
      <c r="L295">
        <v>4</v>
      </c>
      <c r="M295">
        <v>2</v>
      </c>
      <c r="N295">
        <v>0</v>
      </c>
    </row>
    <row r="296" spans="1:14" x14ac:dyDescent="0.25">
      <c r="A296">
        <v>294</v>
      </c>
      <c r="B296" t="s">
        <v>346</v>
      </c>
      <c r="C296" t="s">
        <v>392</v>
      </c>
      <c r="D296" t="s">
        <v>427</v>
      </c>
      <c r="E296" t="s">
        <v>34</v>
      </c>
      <c r="F296" t="s">
        <v>394</v>
      </c>
      <c r="G296" t="s">
        <v>122</v>
      </c>
      <c r="H296" t="s">
        <v>436</v>
      </c>
      <c r="I296" t="s">
        <v>141</v>
      </c>
      <c r="J296" t="s">
        <v>437</v>
      </c>
      <c r="K296">
        <v>0</v>
      </c>
      <c r="L296">
        <v>6</v>
      </c>
      <c r="M296">
        <v>4</v>
      </c>
      <c r="N296">
        <v>0</v>
      </c>
    </row>
    <row r="297" spans="1:14" x14ac:dyDescent="0.25">
      <c r="A297">
        <v>295</v>
      </c>
      <c r="B297" t="s">
        <v>346</v>
      </c>
      <c r="C297" t="s">
        <v>392</v>
      </c>
      <c r="D297" t="s">
        <v>435</v>
      </c>
      <c r="E297" t="s">
        <v>34</v>
      </c>
      <c r="F297" t="s">
        <v>394</v>
      </c>
      <c r="G297" t="s">
        <v>122</v>
      </c>
      <c r="H297" t="s">
        <v>436</v>
      </c>
      <c r="I297" t="s">
        <v>43</v>
      </c>
      <c r="J297" t="s">
        <v>438</v>
      </c>
      <c r="K297">
        <v>0</v>
      </c>
      <c r="L297">
        <v>12</v>
      </c>
      <c r="M297">
        <v>8</v>
      </c>
      <c r="N297">
        <v>0</v>
      </c>
    </row>
    <row r="298" spans="1:14" x14ac:dyDescent="0.25">
      <c r="A298">
        <v>296</v>
      </c>
      <c r="B298" t="s">
        <v>346</v>
      </c>
      <c r="C298" t="s">
        <v>392</v>
      </c>
      <c r="D298" t="s">
        <v>435</v>
      </c>
      <c r="E298" t="s">
        <v>34</v>
      </c>
      <c r="F298" t="s">
        <v>609</v>
      </c>
      <c r="G298" t="s">
        <v>35</v>
      </c>
      <c r="H298" t="s">
        <v>620</v>
      </c>
      <c r="I298" t="s">
        <v>41</v>
      </c>
      <c r="J298" t="s">
        <v>440</v>
      </c>
      <c r="K298">
        <v>0</v>
      </c>
      <c r="L298">
        <v>5</v>
      </c>
      <c r="M298">
        <v>5</v>
      </c>
      <c r="N298">
        <v>0</v>
      </c>
    </row>
    <row r="299" spans="1:14" x14ac:dyDescent="0.25">
      <c r="A299">
        <v>297</v>
      </c>
      <c r="B299" t="s">
        <v>346</v>
      </c>
      <c r="C299" t="s">
        <v>392</v>
      </c>
      <c r="D299" t="s">
        <v>435</v>
      </c>
      <c r="E299" t="s">
        <v>34</v>
      </c>
      <c r="F299" t="s">
        <v>394</v>
      </c>
      <c r="G299" t="s">
        <v>122</v>
      </c>
      <c r="H299" t="s">
        <v>436</v>
      </c>
      <c r="I299" t="s">
        <v>43</v>
      </c>
      <c r="J299" t="s">
        <v>441</v>
      </c>
      <c r="K299">
        <v>0</v>
      </c>
      <c r="L299">
        <v>12</v>
      </c>
      <c r="M299">
        <v>8</v>
      </c>
      <c r="N299">
        <v>0</v>
      </c>
    </row>
    <row r="300" spans="1:14" x14ac:dyDescent="0.25">
      <c r="A300">
        <v>298</v>
      </c>
      <c r="B300" t="s">
        <v>346</v>
      </c>
      <c r="C300" t="s">
        <v>392</v>
      </c>
      <c r="D300" t="s">
        <v>427</v>
      </c>
      <c r="E300" t="s">
        <v>34</v>
      </c>
      <c r="F300" t="s">
        <v>394</v>
      </c>
      <c r="G300" t="s">
        <v>122</v>
      </c>
      <c r="H300" t="s">
        <v>436</v>
      </c>
      <c r="I300" t="s">
        <v>43</v>
      </c>
      <c r="J300" t="s">
        <v>442</v>
      </c>
      <c r="K300">
        <v>0</v>
      </c>
      <c r="L300">
        <v>9</v>
      </c>
      <c r="M300">
        <v>5</v>
      </c>
      <c r="N300">
        <v>0</v>
      </c>
    </row>
    <row r="301" spans="1:14" x14ac:dyDescent="0.25">
      <c r="A301">
        <v>299</v>
      </c>
      <c r="B301" t="s">
        <v>346</v>
      </c>
      <c r="C301" t="s">
        <v>392</v>
      </c>
      <c r="D301" t="s">
        <v>427</v>
      </c>
      <c r="E301" t="s">
        <v>22</v>
      </c>
      <c r="F301" t="s">
        <v>349</v>
      </c>
      <c r="G301" t="s">
        <v>26</v>
      </c>
      <c r="H301" t="s">
        <v>431</v>
      </c>
      <c r="I301" t="s">
        <v>53</v>
      </c>
      <c r="J301" t="s">
        <v>443</v>
      </c>
      <c r="K301">
        <v>0</v>
      </c>
      <c r="L301">
        <v>12</v>
      </c>
      <c r="M301">
        <v>6</v>
      </c>
      <c r="N301">
        <v>0</v>
      </c>
    </row>
    <row r="302" spans="1:14" x14ac:dyDescent="0.25">
      <c r="A302">
        <v>300</v>
      </c>
      <c r="B302" t="s">
        <v>346</v>
      </c>
      <c r="C302" t="s">
        <v>392</v>
      </c>
      <c r="D302" t="s">
        <v>427</v>
      </c>
      <c r="E302" t="s">
        <v>34</v>
      </c>
      <c r="F302" t="s">
        <v>349</v>
      </c>
      <c r="G302" t="s">
        <v>26</v>
      </c>
      <c r="H302" t="s">
        <v>431</v>
      </c>
      <c r="I302" t="s">
        <v>352</v>
      </c>
      <c r="J302" t="s">
        <v>444</v>
      </c>
      <c r="K302">
        <v>0</v>
      </c>
      <c r="L302">
        <v>10</v>
      </c>
      <c r="M302">
        <v>4</v>
      </c>
      <c r="N302">
        <v>0</v>
      </c>
    </row>
    <row r="303" spans="1:14" x14ac:dyDescent="0.25">
      <c r="A303">
        <v>301</v>
      </c>
      <c r="B303" t="s">
        <v>346</v>
      </c>
      <c r="C303" t="s">
        <v>447</v>
      </c>
      <c r="D303" t="s">
        <v>448</v>
      </c>
      <c r="E303" t="s">
        <v>80</v>
      </c>
      <c r="F303" t="s">
        <v>349</v>
      </c>
      <c r="G303" t="s">
        <v>26</v>
      </c>
      <c r="H303" t="s">
        <v>431</v>
      </c>
      <c r="I303" t="s">
        <v>43</v>
      </c>
      <c r="J303" t="s">
        <v>446</v>
      </c>
      <c r="K303">
        <v>0</v>
      </c>
      <c r="L303">
        <v>12</v>
      </c>
      <c r="M303">
        <v>4</v>
      </c>
      <c r="N303">
        <v>0</v>
      </c>
    </row>
    <row r="304" spans="1:14" x14ac:dyDescent="0.25">
      <c r="A304">
        <v>302</v>
      </c>
      <c r="B304" t="s">
        <v>346</v>
      </c>
      <c r="C304" t="s">
        <v>447</v>
      </c>
      <c r="D304" t="s">
        <v>448</v>
      </c>
      <c r="E304" t="s">
        <v>80</v>
      </c>
      <c r="F304" t="s">
        <v>349</v>
      </c>
      <c r="G304" t="s">
        <v>26</v>
      </c>
      <c r="H304" t="s">
        <v>445</v>
      </c>
      <c r="I304" t="s">
        <v>43</v>
      </c>
      <c r="J304" t="s">
        <v>449</v>
      </c>
      <c r="K304">
        <v>0</v>
      </c>
      <c r="L304">
        <v>6</v>
      </c>
      <c r="M304">
        <v>4</v>
      </c>
      <c r="N304">
        <v>0</v>
      </c>
    </row>
    <row r="305" spans="1:14" x14ac:dyDescent="0.25">
      <c r="A305">
        <v>303</v>
      </c>
      <c r="B305" t="s">
        <v>346</v>
      </c>
      <c r="C305" t="s">
        <v>392</v>
      </c>
      <c r="D305" t="s">
        <v>427</v>
      </c>
      <c r="E305" t="s">
        <v>34</v>
      </c>
      <c r="F305" t="s">
        <v>349</v>
      </c>
      <c r="G305" t="s">
        <v>26</v>
      </c>
      <c r="H305" t="s">
        <v>431</v>
      </c>
      <c r="I305" t="s">
        <v>352</v>
      </c>
      <c r="J305" t="s">
        <v>450</v>
      </c>
      <c r="K305">
        <v>0</v>
      </c>
      <c r="L305">
        <v>10</v>
      </c>
      <c r="M305">
        <v>4</v>
      </c>
      <c r="N305">
        <v>0</v>
      </c>
    </row>
    <row r="306" spans="1:14" x14ac:dyDescent="0.25">
      <c r="A306">
        <v>304</v>
      </c>
      <c r="B306" t="s">
        <v>346</v>
      </c>
      <c r="C306" t="s">
        <v>447</v>
      </c>
      <c r="D306" t="s">
        <v>448</v>
      </c>
      <c r="E306" t="s">
        <v>80</v>
      </c>
      <c r="F306" t="s">
        <v>349</v>
      </c>
      <c r="G306" t="s">
        <v>26</v>
      </c>
      <c r="H306" t="s">
        <v>445</v>
      </c>
      <c r="I306" t="s">
        <v>43</v>
      </c>
      <c r="J306" t="s">
        <v>451</v>
      </c>
      <c r="K306">
        <v>0</v>
      </c>
      <c r="L306">
        <v>7</v>
      </c>
      <c r="M306">
        <v>4</v>
      </c>
      <c r="N306">
        <v>0</v>
      </c>
    </row>
    <row r="307" spans="1:14" x14ac:dyDescent="0.25">
      <c r="A307">
        <v>305</v>
      </c>
      <c r="B307" t="s">
        <v>346</v>
      </c>
      <c r="C307" t="s">
        <v>447</v>
      </c>
      <c r="D307" t="s">
        <v>448</v>
      </c>
      <c r="E307" t="s">
        <v>34</v>
      </c>
      <c r="F307" t="s">
        <v>349</v>
      </c>
      <c r="G307" t="s">
        <v>35</v>
      </c>
      <c r="H307" t="s">
        <v>445</v>
      </c>
      <c r="I307" t="s">
        <v>43</v>
      </c>
      <c r="J307" t="s">
        <v>1698</v>
      </c>
      <c r="K307">
        <v>0</v>
      </c>
      <c r="L307">
        <v>10</v>
      </c>
      <c r="M307">
        <v>6</v>
      </c>
      <c r="N307">
        <v>0</v>
      </c>
    </row>
    <row r="308" spans="1:14" x14ac:dyDescent="0.25">
      <c r="A308">
        <v>306</v>
      </c>
      <c r="B308" t="s">
        <v>346</v>
      </c>
      <c r="C308" t="s">
        <v>447</v>
      </c>
      <c r="D308" t="s">
        <v>448</v>
      </c>
      <c r="E308" t="s">
        <v>34</v>
      </c>
      <c r="F308" t="s">
        <v>349</v>
      </c>
      <c r="G308" t="s">
        <v>26</v>
      </c>
      <c r="H308" t="s">
        <v>445</v>
      </c>
      <c r="I308" t="s">
        <v>43</v>
      </c>
      <c r="J308" t="s">
        <v>453</v>
      </c>
      <c r="K308">
        <v>0</v>
      </c>
      <c r="L308">
        <v>13</v>
      </c>
      <c r="M308">
        <v>5</v>
      </c>
      <c r="N308">
        <v>0</v>
      </c>
    </row>
    <row r="309" spans="1:14" x14ac:dyDescent="0.25">
      <c r="A309">
        <v>307</v>
      </c>
      <c r="B309" t="s">
        <v>346</v>
      </c>
      <c r="C309" t="s">
        <v>375</v>
      </c>
      <c r="D309" t="s">
        <v>376</v>
      </c>
      <c r="E309" t="s">
        <v>34</v>
      </c>
      <c r="F309" t="s">
        <v>349</v>
      </c>
      <c r="G309" t="s">
        <v>35</v>
      </c>
      <c r="H309" t="s">
        <v>1696</v>
      </c>
      <c r="I309" t="s">
        <v>27</v>
      </c>
      <c r="J309" t="s">
        <v>1620</v>
      </c>
      <c r="K309">
        <v>0</v>
      </c>
      <c r="L309">
        <v>16</v>
      </c>
      <c r="M309">
        <v>6</v>
      </c>
      <c r="N309">
        <v>0</v>
      </c>
    </row>
    <row r="310" spans="1:14" x14ac:dyDescent="0.25">
      <c r="A310">
        <v>308</v>
      </c>
      <c r="B310" t="s">
        <v>346</v>
      </c>
      <c r="C310" t="s">
        <v>375</v>
      </c>
      <c r="D310" t="s">
        <v>376</v>
      </c>
      <c r="E310" t="s">
        <v>22</v>
      </c>
      <c r="F310" t="s">
        <v>349</v>
      </c>
      <c r="G310" t="s">
        <v>26</v>
      </c>
      <c r="H310" t="s">
        <v>1696</v>
      </c>
      <c r="I310" t="s">
        <v>27</v>
      </c>
      <c r="J310" t="s">
        <v>455</v>
      </c>
      <c r="K310">
        <v>0</v>
      </c>
      <c r="L310">
        <v>8</v>
      </c>
      <c r="M310">
        <v>2</v>
      </c>
      <c r="N310">
        <v>0</v>
      </c>
    </row>
    <row r="311" spans="1:14" x14ac:dyDescent="0.25">
      <c r="A311">
        <v>309</v>
      </c>
      <c r="B311" t="s">
        <v>346</v>
      </c>
      <c r="C311" t="s">
        <v>375</v>
      </c>
      <c r="D311" t="s">
        <v>376</v>
      </c>
      <c r="E311" t="s">
        <v>34</v>
      </c>
      <c r="F311" t="s">
        <v>349</v>
      </c>
      <c r="G311" t="s">
        <v>35</v>
      </c>
      <c r="H311" t="s">
        <v>1696</v>
      </c>
      <c r="I311" t="s">
        <v>43</v>
      </c>
      <c r="J311" t="s">
        <v>456</v>
      </c>
      <c r="K311">
        <v>0</v>
      </c>
      <c r="L311">
        <v>15</v>
      </c>
      <c r="M311">
        <v>5</v>
      </c>
      <c r="N311">
        <v>0</v>
      </c>
    </row>
    <row r="312" spans="1:14" x14ac:dyDescent="0.25">
      <c r="A312">
        <v>310</v>
      </c>
      <c r="B312" t="s">
        <v>346</v>
      </c>
      <c r="C312" t="s">
        <v>447</v>
      </c>
      <c r="D312" t="s">
        <v>457</v>
      </c>
      <c r="E312" t="s">
        <v>34</v>
      </c>
      <c r="F312" t="s">
        <v>349</v>
      </c>
      <c r="G312" t="s">
        <v>26</v>
      </c>
      <c r="H312" t="s">
        <v>445</v>
      </c>
      <c r="I312" t="s">
        <v>53</v>
      </c>
      <c r="J312" t="s">
        <v>458</v>
      </c>
      <c r="K312">
        <v>0</v>
      </c>
      <c r="L312">
        <v>12</v>
      </c>
      <c r="M312">
        <v>5</v>
      </c>
      <c r="N312">
        <v>0</v>
      </c>
    </row>
    <row r="313" spans="1:14" x14ac:dyDescent="0.25">
      <c r="A313">
        <v>311</v>
      </c>
      <c r="B313" t="s">
        <v>346</v>
      </c>
      <c r="C313" t="s">
        <v>447</v>
      </c>
      <c r="D313" t="s">
        <v>457</v>
      </c>
      <c r="E313" t="s">
        <v>34</v>
      </c>
      <c r="F313" t="s">
        <v>349</v>
      </c>
      <c r="G313" t="s">
        <v>26</v>
      </c>
      <c r="H313" t="s">
        <v>445</v>
      </c>
      <c r="I313" t="s">
        <v>43</v>
      </c>
      <c r="J313" t="s">
        <v>459</v>
      </c>
      <c r="K313">
        <v>0</v>
      </c>
      <c r="L313">
        <v>14</v>
      </c>
      <c r="M313">
        <v>4</v>
      </c>
      <c r="N313">
        <v>0</v>
      </c>
    </row>
    <row r="314" spans="1:14" x14ac:dyDescent="0.25">
      <c r="A314">
        <v>312</v>
      </c>
      <c r="B314" t="s">
        <v>346</v>
      </c>
      <c r="C314" t="s">
        <v>447</v>
      </c>
      <c r="D314" t="s">
        <v>457</v>
      </c>
      <c r="E314" t="s">
        <v>22</v>
      </c>
      <c r="F314" t="s">
        <v>349</v>
      </c>
      <c r="G314" t="s">
        <v>26</v>
      </c>
      <c r="H314" t="s">
        <v>445</v>
      </c>
      <c r="I314" t="s">
        <v>43</v>
      </c>
      <c r="J314" t="s">
        <v>460</v>
      </c>
      <c r="K314">
        <v>0</v>
      </c>
      <c r="L314">
        <v>12</v>
      </c>
      <c r="M314">
        <v>8</v>
      </c>
      <c r="N314">
        <v>0</v>
      </c>
    </row>
    <row r="315" spans="1:14" x14ac:dyDescent="0.25">
      <c r="A315">
        <v>313</v>
      </c>
      <c r="B315" t="s">
        <v>346</v>
      </c>
      <c r="C315" t="s">
        <v>447</v>
      </c>
      <c r="D315" t="s">
        <v>457</v>
      </c>
      <c r="E315" t="s">
        <v>22</v>
      </c>
      <c r="F315" t="s">
        <v>349</v>
      </c>
      <c r="G315" t="s">
        <v>26</v>
      </c>
      <c r="H315" t="s">
        <v>445</v>
      </c>
      <c r="I315" t="s">
        <v>43</v>
      </c>
      <c r="J315" t="s">
        <v>1621</v>
      </c>
      <c r="K315">
        <v>0</v>
      </c>
      <c r="L315">
        <v>6</v>
      </c>
      <c r="M315">
        <v>4</v>
      </c>
      <c r="N315">
        <v>0</v>
      </c>
    </row>
    <row r="316" spans="1:14" x14ac:dyDescent="0.25">
      <c r="A316">
        <v>314</v>
      </c>
      <c r="B316" t="s">
        <v>346</v>
      </c>
      <c r="C316" t="s">
        <v>447</v>
      </c>
      <c r="D316" t="s">
        <v>457</v>
      </c>
      <c r="E316" t="s">
        <v>34</v>
      </c>
      <c r="F316" t="s">
        <v>349</v>
      </c>
      <c r="G316" t="s">
        <v>26</v>
      </c>
      <c r="H316" t="s">
        <v>445</v>
      </c>
      <c r="I316" t="s">
        <v>352</v>
      </c>
      <c r="J316" t="s">
        <v>462</v>
      </c>
      <c r="K316">
        <v>0</v>
      </c>
      <c r="L316">
        <v>10</v>
      </c>
      <c r="M316">
        <v>9</v>
      </c>
      <c r="N316">
        <v>0</v>
      </c>
    </row>
    <row r="317" spans="1:14" x14ac:dyDescent="0.25">
      <c r="A317">
        <v>315</v>
      </c>
      <c r="B317" t="s">
        <v>346</v>
      </c>
      <c r="C317" t="s">
        <v>463</v>
      </c>
      <c r="D317" t="s">
        <v>464</v>
      </c>
      <c r="E317" t="s">
        <v>22</v>
      </c>
      <c r="F317" t="s">
        <v>349</v>
      </c>
      <c r="G317" t="s">
        <v>26</v>
      </c>
      <c r="H317" t="s">
        <v>465</v>
      </c>
      <c r="I317" t="s">
        <v>37</v>
      </c>
      <c r="J317" t="s">
        <v>466</v>
      </c>
      <c r="K317">
        <v>0</v>
      </c>
      <c r="L317">
        <v>10</v>
      </c>
      <c r="M317">
        <v>8</v>
      </c>
      <c r="N317">
        <v>0</v>
      </c>
    </row>
    <row r="318" spans="1:14" x14ac:dyDescent="0.25">
      <c r="A318">
        <v>316</v>
      </c>
      <c r="B318" t="s">
        <v>346</v>
      </c>
      <c r="C318" t="s">
        <v>463</v>
      </c>
      <c r="D318" t="s">
        <v>464</v>
      </c>
      <c r="E318" t="s">
        <v>14</v>
      </c>
      <c r="F318" t="s">
        <v>349</v>
      </c>
      <c r="G318" t="s">
        <v>26</v>
      </c>
      <c r="H318" t="s">
        <v>467</v>
      </c>
      <c r="I318" t="s">
        <v>212</v>
      </c>
      <c r="J318" t="s">
        <v>468</v>
      </c>
      <c r="K318">
        <v>0</v>
      </c>
      <c r="L318">
        <v>3</v>
      </c>
      <c r="M318">
        <v>3</v>
      </c>
      <c r="N318">
        <v>0</v>
      </c>
    </row>
    <row r="319" spans="1:14" x14ac:dyDescent="0.25">
      <c r="A319">
        <v>317</v>
      </c>
      <c r="B319" t="s">
        <v>346</v>
      </c>
      <c r="C319" t="s">
        <v>463</v>
      </c>
      <c r="D319" t="s">
        <v>464</v>
      </c>
      <c r="E319" t="s">
        <v>14</v>
      </c>
      <c r="F319" t="s">
        <v>349</v>
      </c>
      <c r="G319" t="s">
        <v>26</v>
      </c>
      <c r="H319" t="s">
        <v>469</v>
      </c>
      <c r="I319" t="s">
        <v>20</v>
      </c>
      <c r="J319" t="s">
        <v>470</v>
      </c>
      <c r="K319">
        <v>0</v>
      </c>
      <c r="L319">
        <v>3</v>
      </c>
      <c r="M319">
        <v>3</v>
      </c>
      <c r="N319">
        <v>0</v>
      </c>
    </row>
    <row r="320" spans="1:14" x14ac:dyDescent="0.25">
      <c r="A320">
        <v>318</v>
      </c>
      <c r="B320" t="s">
        <v>346</v>
      </c>
      <c r="C320" t="s">
        <v>463</v>
      </c>
      <c r="D320" t="s">
        <v>464</v>
      </c>
      <c r="E320" t="s">
        <v>14</v>
      </c>
      <c r="F320" t="s">
        <v>394</v>
      </c>
      <c r="G320" t="s">
        <v>26</v>
      </c>
      <c r="H320" t="s">
        <v>1699</v>
      </c>
      <c r="I320" t="s">
        <v>41</v>
      </c>
      <c r="J320" t="s">
        <v>471</v>
      </c>
      <c r="K320">
        <v>0</v>
      </c>
      <c r="L320">
        <v>3</v>
      </c>
      <c r="M320">
        <v>2</v>
      </c>
      <c r="N320">
        <v>0</v>
      </c>
    </row>
    <row r="321" spans="1:14" x14ac:dyDescent="0.25">
      <c r="A321">
        <v>319</v>
      </c>
      <c r="B321" t="s">
        <v>346</v>
      </c>
      <c r="C321" t="s">
        <v>463</v>
      </c>
      <c r="D321" t="s">
        <v>464</v>
      </c>
      <c r="E321" t="s">
        <v>34</v>
      </c>
      <c r="F321" t="s">
        <v>394</v>
      </c>
      <c r="G321" t="s">
        <v>35</v>
      </c>
      <c r="H321" t="s">
        <v>1699</v>
      </c>
      <c r="I321" t="s">
        <v>43</v>
      </c>
      <c r="J321" t="s">
        <v>472</v>
      </c>
      <c r="K321">
        <v>0</v>
      </c>
      <c r="L321">
        <v>2</v>
      </c>
      <c r="M321">
        <v>1</v>
      </c>
      <c r="N321">
        <v>0</v>
      </c>
    </row>
    <row r="322" spans="1:14" x14ac:dyDescent="0.25">
      <c r="A322">
        <v>320</v>
      </c>
      <c r="B322" t="s">
        <v>346</v>
      </c>
      <c r="C322" t="s">
        <v>463</v>
      </c>
      <c r="D322" t="s">
        <v>464</v>
      </c>
      <c r="E322" t="s">
        <v>34</v>
      </c>
      <c r="F322" t="s">
        <v>394</v>
      </c>
      <c r="G322" t="s">
        <v>35</v>
      </c>
      <c r="H322" t="s">
        <v>473</v>
      </c>
      <c r="I322" t="s">
        <v>41</v>
      </c>
      <c r="J322" t="s">
        <v>474</v>
      </c>
      <c r="K322">
        <v>0</v>
      </c>
      <c r="L322">
        <v>1</v>
      </c>
      <c r="M322">
        <v>1</v>
      </c>
      <c r="N322">
        <v>0</v>
      </c>
    </row>
    <row r="323" spans="1:14" x14ac:dyDescent="0.25">
      <c r="A323">
        <v>321</v>
      </c>
      <c r="B323" t="s">
        <v>346</v>
      </c>
      <c r="C323" t="s">
        <v>463</v>
      </c>
      <c r="D323" t="s">
        <v>475</v>
      </c>
      <c r="E323" t="s">
        <v>22</v>
      </c>
      <c r="F323" t="s">
        <v>609</v>
      </c>
      <c r="G323" t="s">
        <v>35</v>
      </c>
      <c r="H323" t="s">
        <v>473</v>
      </c>
      <c r="I323" t="s">
        <v>1612</v>
      </c>
      <c r="J323" t="s">
        <v>476</v>
      </c>
      <c r="K323">
        <v>0</v>
      </c>
      <c r="L323">
        <v>5</v>
      </c>
      <c r="M323">
        <v>3</v>
      </c>
      <c r="N323">
        <v>0</v>
      </c>
    </row>
    <row r="324" spans="1:14" x14ac:dyDescent="0.25">
      <c r="A324">
        <v>322</v>
      </c>
      <c r="B324" t="s">
        <v>346</v>
      </c>
      <c r="C324" t="s">
        <v>463</v>
      </c>
      <c r="D324" t="s">
        <v>464</v>
      </c>
      <c r="E324" t="s">
        <v>34</v>
      </c>
      <c r="F324" t="s">
        <v>394</v>
      </c>
      <c r="G324" t="s">
        <v>26</v>
      </c>
      <c r="H324" t="s">
        <v>1699</v>
      </c>
      <c r="I324" t="s">
        <v>43</v>
      </c>
      <c r="J324" t="s">
        <v>477</v>
      </c>
      <c r="K324">
        <v>0</v>
      </c>
      <c r="L324">
        <v>5</v>
      </c>
      <c r="M324">
        <v>3</v>
      </c>
      <c r="N324">
        <v>0</v>
      </c>
    </row>
    <row r="325" spans="1:14" x14ac:dyDescent="0.25">
      <c r="A325">
        <v>323</v>
      </c>
      <c r="B325" t="s">
        <v>346</v>
      </c>
      <c r="C325" t="s">
        <v>463</v>
      </c>
      <c r="D325" t="s">
        <v>464</v>
      </c>
      <c r="E325" t="s">
        <v>14</v>
      </c>
      <c r="F325" t="s">
        <v>349</v>
      </c>
      <c r="G325" t="s">
        <v>26</v>
      </c>
      <c r="H325" t="s">
        <v>469</v>
      </c>
      <c r="I325" t="s">
        <v>18</v>
      </c>
      <c r="J325" t="s">
        <v>478</v>
      </c>
      <c r="K325">
        <v>0</v>
      </c>
      <c r="L325">
        <v>6</v>
      </c>
      <c r="M325">
        <v>3</v>
      </c>
      <c r="N325">
        <v>0</v>
      </c>
    </row>
    <row r="326" spans="1:14" x14ac:dyDescent="0.25">
      <c r="A326">
        <v>324</v>
      </c>
      <c r="B326" t="s">
        <v>346</v>
      </c>
      <c r="C326" t="s">
        <v>463</v>
      </c>
      <c r="D326" t="s">
        <v>464</v>
      </c>
      <c r="E326" t="s">
        <v>34</v>
      </c>
      <c r="F326" t="s">
        <v>349</v>
      </c>
      <c r="G326" t="s">
        <v>26</v>
      </c>
      <c r="H326" t="s">
        <v>469</v>
      </c>
      <c r="I326" t="s">
        <v>43</v>
      </c>
      <c r="J326" t="s">
        <v>479</v>
      </c>
      <c r="K326">
        <v>0</v>
      </c>
      <c r="L326">
        <v>6</v>
      </c>
      <c r="M326">
        <v>4</v>
      </c>
      <c r="N326">
        <v>0</v>
      </c>
    </row>
    <row r="327" spans="1:14" x14ac:dyDescent="0.25">
      <c r="A327">
        <v>325</v>
      </c>
      <c r="B327" t="s">
        <v>346</v>
      </c>
      <c r="C327" t="s">
        <v>463</v>
      </c>
      <c r="D327" t="s">
        <v>464</v>
      </c>
      <c r="E327" t="s">
        <v>34</v>
      </c>
      <c r="F327" t="s">
        <v>349</v>
      </c>
      <c r="G327" t="s">
        <v>26</v>
      </c>
      <c r="H327" t="s">
        <v>469</v>
      </c>
      <c r="I327" t="s">
        <v>43</v>
      </c>
      <c r="J327" t="s">
        <v>480</v>
      </c>
      <c r="K327">
        <v>0</v>
      </c>
      <c r="L327">
        <v>11</v>
      </c>
      <c r="M327">
        <v>3</v>
      </c>
      <c r="N327">
        <v>0</v>
      </c>
    </row>
    <row r="328" spans="1:14" x14ac:dyDescent="0.25">
      <c r="A328">
        <v>326</v>
      </c>
      <c r="B328" t="s">
        <v>346</v>
      </c>
      <c r="C328" t="s">
        <v>463</v>
      </c>
      <c r="D328" t="s">
        <v>464</v>
      </c>
      <c r="E328" t="s">
        <v>34</v>
      </c>
      <c r="F328" t="s">
        <v>349</v>
      </c>
      <c r="G328" t="s">
        <v>26</v>
      </c>
      <c r="H328" t="s">
        <v>467</v>
      </c>
      <c r="I328" t="s">
        <v>43</v>
      </c>
      <c r="J328" t="s">
        <v>481</v>
      </c>
      <c r="K328">
        <v>0</v>
      </c>
      <c r="L328">
        <v>6</v>
      </c>
      <c r="M328">
        <v>4</v>
      </c>
      <c r="N328">
        <v>0</v>
      </c>
    </row>
    <row r="329" spans="1:14" x14ac:dyDescent="0.25">
      <c r="A329">
        <v>327</v>
      </c>
      <c r="B329" t="s">
        <v>346</v>
      </c>
      <c r="C329" t="s">
        <v>463</v>
      </c>
      <c r="D329" t="s">
        <v>464</v>
      </c>
      <c r="E329" t="s">
        <v>80</v>
      </c>
      <c r="F329" t="s">
        <v>349</v>
      </c>
      <c r="G329" t="s">
        <v>26</v>
      </c>
      <c r="H329" t="s">
        <v>465</v>
      </c>
      <c r="I329" t="s">
        <v>1612</v>
      </c>
      <c r="J329" t="s">
        <v>482</v>
      </c>
      <c r="K329">
        <v>0</v>
      </c>
      <c r="L329">
        <v>6</v>
      </c>
      <c r="M329">
        <v>2</v>
      </c>
      <c r="N329">
        <v>0</v>
      </c>
    </row>
    <row r="330" spans="1:14" x14ac:dyDescent="0.25">
      <c r="A330">
        <v>328</v>
      </c>
      <c r="B330" t="s">
        <v>346</v>
      </c>
      <c r="C330" t="s">
        <v>463</v>
      </c>
      <c r="D330" t="s">
        <v>464</v>
      </c>
      <c r="E330" t="s">
        <v>22</v>
      </c>
      <c r="F330" t="s">
        <v>349</v>
      </c>
      <c r="G330" t="s">
        <v>26</v>
      </c>
      <c r="H330" t="s">
        <v>465</v>
      </c>
      <c r="I330" t="s">
        <v>18</v>
      </c>
      <c r="J330" t="s">
        <v>483</v>
      </c>
      <c r="K330">
        <v>0</v>
      </c>
      <c r="L330">
        <v>14</v>
      </c>
      <c r="M330">
        <v>10</v>
      </c>
      <c r="N330">
        <v>0</v>
      </c>
    </row>
    <row r="331" spans="1:14" x14ac:dyDescent="0.25">
      <c r="A331">
        <v>329</v>
      </c>
      <c r="B331" t="s">
        <v>346</v>
      </c>
      <c r="C331" t="s">
        <v>463</v>
      </c>
      <c r="D331" t="s">
        <v>464</v>
      </c>
      <c r="E331" t="s">
        <v>22</v>
      </c>
      <c r="F331" t="s">
        <v>349</v>
      </c>
      <c r="G331" t="s">
        <v>26</v>
      </c>
      <c r="H331" t="s">
        <v>445</v>
      </c>
      <c r="I331" t="s">
        <v>43</v>
      </c>
      <c r="J331" t="s">
        <v>484</v>
      </c>
      <c r="K331">
        <v>0</v>
      </c>
      <c r="L331">
        <v>8</v>
      </c>
      <c r="M331">
        <v>3</v>
      </c>
      <c r="N331">
        <v>0</v>
      </c>
    </row>
    <row r="332" spans="1:14" x14ac:dyDescent="0.25">
      <c r="A332">
        <v>330</v>
      </c>
      <c r="B332" t="s">
        <v>346</v>
      </c>
      <c r="C332" t="s">
        <v>463</v>
      </c>
      <c r="D332" t="s">
        <v>464</v>
      </c>
      <c r="E332" t="s">
        <v>14</v>
      </c>
      <c r="F332" t="s">
        <v>349</v>
      </c>
      <c r="G332" t="s">
        <v>26</v>
      </c>
      <c r="H332" t="s">
        <v>465</v>
      </c>
      <c r="I332" t="s">
        <v>18</v>
      </c>
      <c r="J332" t="s">
        <v>485</v>
      </c>
      <c r="K332">
        <v>0</v>
      </c>
      <c r="L332">
        <v>8</v>
      </c>
      <c r="M332">
        <v>3</v>
      </c>
      <c r="N332">
        <v>0</v>
      </c>
    </row>
    <row r="333" spans="1:14" x14ac:dyDescent="0.25">
      <c r="A333">
        <v>331</v>
      </c>
      <c r="B333" t="s">
        <v>346</v>
      </c>
      <c r="C333" t="s">
        <v>447</v>
      </c>
      <c r="D333" t="s">
        <v>457</v>
      </c>
      <c r="E333" t="s">
        <v>22</v>
      </c>
      <c r="F333" t="s">
        <v>349</v>
      </c>
      <c r="G333" t="s">
        <v>26</v>
      </c>
      <c r="H333" t="s">
        <v>445</v>
      </c>
      <c r="I333" t="s">
        <v>18</v>
      </c>
      <c r="J333" t="s">
        <v>486</v>
      </c>
      <c r="K333">
        <v>0</v>
      </c>
      <c r="L333">
        <v>11</v>
      </c>
      <c r="M333">
        <v>4</v>
      </c>
      <c r="N333">
        <v>0</v>
      </c>
    </row>
    <row r="334" spans="1:14" x14ac:dyDescent="0.25">
      <c r="A334">
        <v>332</v>
      </c>
      <c r="B334" t="s">
        <v>346</v>
      </c>
      <c r="C334" t="s">
        <v>447</v>
      </c>
      <c r="D334" t="s">
        <v>457</v>
      </c>
      <c r="E334" t="s">
        <v>34</v>
      </c>
      <c r="F334" t="s">
        <v>349</v>
      </c>
      <c r="G334" t="s">
        <v>26</v>
      </c>
      <c r="H334" t="s">
        <v>445</v>
      </c>
      <c r="I334" t="s">
        <v>352</v>
      </c>
      <c r="J334" t="s">
        <v>487</v>
      </c>
      <c r="K334">
        <v>0</v>
      </c>
      <c r="L334">
        <v>9</v>
      </c>
      <c r="M334">
        <v>4</v>
      </c>
      <c r="N334">
        <v>0</v>
      </c>
    </row>
    <row r="335" spans="1:14" x14ac:dyDescent="0.25">
      <c r="A335">
        <v>333</v>
      </c>
      <c r="B335" t="s">
        <v>346</v>
      </c>
      <c r="C335" t="s">
        <v>447</v>
      </c>
      <c r="D335" t="s">
        <v>457</v>
      </c>
      <c r="E335" t="s">
        <v>22</v>
      </c>
      <c r="F335" t="s">
        <v>349</v>
      </c>
      <c r="G335" t="s">
        <v>26</v>
      </c>
      <c r="H335" t="s">
        <v>445</v>
      </c>
      <c r="I335" t="s">
        <v>212</v>
      </c>
      <c r="J335" t="s">
        <v>488</v>
      </c>
      <c r="K335">
        <v>0</v>
      </c>
      <c r="L335">
        <v>11</v>
      </c>
      <c r="M335">
        <v>4</v>
      </c>
      <c r="N335">
        <v>0</v>
      </c>
    </row>
    <row r="336" spans="1:14" x14ac:dyDescent="0.25">
      <c r="A336">
        <v>334</v>
      </c>
      <c r="B336" t="s">
        <v>346</v>
      </c>
      <c r="C336" t="s">
        <v>447</v>
      </c>
      <c r="D336" t="s">
        <v>457</v>
      </c>
      <c r="E336" t="s">
        <v>34</v>
      </c>
      <c r="F336" t="s">
        <v>349</v>
      </c>
      <c r="G336" t="s">
        <v>26</v>
      </c>
      <c r="H336" t="s">
        <v>445</v>
      </c>
      <c r="I336" t="s">
        <v>352</v>
      </c>
      <c r="J336" t="s">
        <v>1622</v>
      </c>
      <c r="K336">
        <v>0</v>
      </c>
      <c r="L336">
        <v>7</v>
      </c>
      <c r="M336">
        <v>4</v>
      </c>
      <c r="N336">
        <v>0</v>
      </c>
    </row>
    <row r="337" spans="1:14" x14ac:dyDescent="0.25">
      <c r="A337">
        <v>335</v>
      </c>
      <c r="B337" t="s">
        <v>346</v>
      </c>
      <c r="C337" t="s">
        <v>447</v>
      </c>
      <c r="D337" t="s">
        <v>448</v>
      </c>
      <c r="E337" t="s">
        <v>34</v>
      </c>
      <c r="F337" t="s">
        <v>349</v>
      </c>
      <c r="G337" t="s">
        <v>26</v>
      </c>
      <c r="H337" t="s">
        <v>445</v>
      </c>
      <c r="I337" t="s">
        <v>1612</v>
      </c>
      <c r="J337" t="s">
        <v>489</v>
      </c>
      <c r="K337">
        <v>0</v>
      </c>
      <c r="L337">
        <v>6</v>
      </c>
      <c r="M337">
        <v>4</v>
      </c>
      <c r="N337">
        <v>0</v>
      </c>
    </row>
    <row r="338" spans="1:14" x14ac:dyDescent="0.25">
      <c r="A338">
        <v>336</v>
      </c>
      <c r="B338" t="s">
        <v>346</v>
      </c>
      <c r="C338" t="s">
        <v>447</v>
      </c>
      <c r="D338" t="s">
        <v>448</v>
      </c>
      <c r="E338" t="s">
        <v>34</v>
      </c>
      <c r="F338" t="s">
        <v>349</v>
      </c>
      <c r="G338" t="s">
        <v>35</v>
      </c>
      <c r="H338" t="s">
        <v>445</v>
      </c>
      <c r="I338" t="s">
        <v>1612</v>
      </c>
      <c r="J338" t="s">
        <v>490</v>
      </c>
      <c r="K338">
        <v>0</v>
      </c>
      <c r="L338">
        <v>9</v>
      </c>
      <c r="M338">
        <v>4</v>
      </c>
      <c r="N338">
        <v>0</v>
      </c>
    </row>
    <row r="339" spans="1:14" x14ac:dyDescent="0.25">
      <c r="A339">
        <v>337</v>
      </c>
      <c r="B339" t="s">
        <v>346</v>
      </c>
      <c r="C339" t="s">
        <v>491</v>
      </c>
      <c r="D339" t="s">
        <v>492</v>
      </c>
      <c r="E339" t="s">
        <v>80</v>
      </c>
      <c r="F339" t="s">
        <v>349</v>
      </c>
      <c r="G339" t="s">
        <v>35</v>
      </c>
      <c r="H339" t="s">
        <v>445</v>
      </c>
      <c r="I339" t="s">
        <v>352</v>
      </c>
      <c r="J339" t="s">
        <v>494</v>
      </c>
      <c r="K339">
        <v>0</v>
      </c>
      <c r="L339">
        <v>11</v>
      </c>
      <c r="M339">
        <v>4</v>
      </c>
      <c r="N339">
        <v>0</v>
      </c>
    </row>
    <row r="340" spans="1:14" x14ac:dyDescent="0.25">
      <c r="A340">
        <v>338</v>
      </c>
      <c r="B340" t="s">
        <v>346</v>
      </c>
      <c r="C340" t="s">
        <v>491</v>
      </c>
      <c r="D340" t="s">
        <v>492</v>
      </c>
      <c r="E340" t="s">
        <v>80</v>
      </c>
      <c r="F340" t="s">
        <v>349</v>
      </c>
      <c r="G340" t="s">
        <v>35</v>
      </c>
      <c r="H340" t="s">
        <v>445</v>
      </c>
      <c r="I340" t="s">
        <v>43</v>
      </c>
      <c r="J340" t="s">
        <v>495</v>
      </c>
      <c r="K340">
        <v>0</v>
      </c>
      <c r="L340">
        <v>13</v>
      </c>
      <c r="M340">
        <v>5</v>
      </c>
      <c r="N340">
        <v>0</v>
      </c>
    </row>
    <row r="341" spans="1:14" x14ac:dyDescent="0.25">
      <c r="A341">
        <v>339</v>
      </c>
      <c r="B341" t="s">
        <v>346</v>
      </c>
      <c r="C341" t="s">
        <v>491</v>
      </c>
      <c r="D341" t="s">
        <v>492</v>
      </c>
      <c r="E341" t="s">
        <v>80</v>
      </c>
      <c r="F341" t="s">
        <v>349</v>
      </c>
      <c r="G341" t="s">
        <v>35</v>
      </c>
      <c r="H341" t="s">
        <v>493</v>
      </c>
      <c r="I341" t="s">
        <v>27</v>
      </c>
      <c r="J341" t="s">
        <v>496</v>
      </c>
      <c r="K341">
        <v>0</v>
      </c>
      <c r="L341">
        <v>17</v>
      </c>
      <c r="M341">
        <v>5</v>
      </c>
      <c r="N341">
        <v>0</v>
      </c>
    </row>
    <row r="342" spans="1:14" x14ac:dyDescent="0.25">
      <c r="A342">
        <v>340</v>
      </c>
      <c r="B342" t="s">
        <v>346</v>
      </c>
      <c r="C342" t="s">
        <v>491</v>
      </c>
      <c r="D342" t="s">
        <v>492</v>
      </c>
      <c r="E342" t="s">
        <v>80</v>
      </c>
      <c r="F342" t="s">
        <v>349</v>
      </c>
      <c r="G342" t="s">
        <v>35</v>
      </c>
      <c r="H342" t="s">
        <v>493</v>
      </c>
      <c r="I342" t="s">
        <v>27</v>
      </c>
      <c r="J342" t="s">
        <v>497</v>
      </c>
      <c r="K342">
        <v>0</v>
      </c>
      <c r="L342">
        <v>15</v>
      </c>
      <c r="M342">
        <v>5</v>
      </c>
      <c r="N342">
        <v>0</v>
      </c>
    </row>
    <row r="343" spans="1:14" x14ac:dyDescent="0.25">
      <c r="A343">
        <v>341</v>
      </c>
      <c r="B343" t="s">
        <v>346</v>
      </c>
      <c r="C343" t="s">
        <v>375</v>
      </c>
      <c r="D343" t="s">
        <v>379</v>
      </c>
      <c r="E343" t="s">
        <v>22</v>
      </c>
      <c r="F343" t="s">
        <v>349</v>
      </c>
      <c r="G343" t="s">
        <v>122</v>
      </c>
      <c r="H343" t="s">
        <v>1696</v>
      </c>
      <c r="I343" t="s">
        <v>27</v>
      </c>
      <c r="J343" t="s">
        <v>1623</v>
      </c>
      <c r="K343">
        <v>0</v>
      </c>
      <c r="L343">
        <v>1</v>
      </c>
      <c r="M343">
        <v>1</v>
      </c>
      <c r="N343">
        <v>0</v>
      </c>
    </row>
    <row r="344" spans="1:14" x14ac:dyDescent="0.25">
      <c r="A344">
        <v>342</v>
      </c>
      <c r="B344" t="s">
        <v>346</v>
      </c>
      <c r="C344" t="s">
        <v>375</v>
      </c>
      <c r="D344" t="s">
        <v>396</v>
      </c>
      <c r="E344" t="s">
        <v>22</v>
      </c>
      <c r="F344" t="s">
        <v>349</v>
      </c>
      <c r="G344" t="s">
        <v>122</v>
      </c>
      <c r="H344" t="s">
        <v>1696</v>
      </c>
      <c r="I344" t="s">
        <v>43</v>
      </c>
      <c r="J344" t="s">
        <v>396</v>
      </c>
      <c r="K344">
        <v>0</v>
      </c>
      <c r="L344">
        <v>4</v>
      </c>
      <c r="M344">
        <v>1</v>
      </c>
      <c r="N344">
        <v>0</v>
      </c>
    </row>
    <row r="345" spans="1:14" x14ac:dyDescent="0.25">
      <c r="A345">
        <v>343</v>
      </c>
      <c r="B345" t="s">
        <v>346</v>
      </c>
      <c r="C345" t="s">
        <v>447</v>
      </c>
      <c r="D345" t="s">
        <v>457</v>
      </c>
      <c r="E345" t="s">
        <v>34</v>
      </c>
      <c r="F345" t="s">
        <v>349</v>
      </c>
      <c r="G345" t="s">
        <v>26</v>
      </c>
      <c r="H345" t="s">
        <v>445</v>
      </c>
      <c r="I345" t="s">
        <v>141</v>
      </c>
      <c r="J345" t="s">
        <v>499</v>
      </c>
      <c r="K345">
        <v>0</v>
      </c>
      <c r="L345">
        <v>7</v>
      </c>
      <c r="M345">
        <v>4</v>
      </c>
      <c r="N345">
        <v>0</v>
      </c>
    </row>
    <row r="346" spans="1:14" x14ac:dyDescent="0.25">
      <c r="A346">
        <v>344</v>
      </c>
      <c r="B346" t="s">
        <v>346</v>
      </c>
      <c r="C346" t="s">
        <v>447</v>
      </c>
      <c r="D346" t="s">
        <v>457</v>
      </c>
      <c r="E346" t="s">
        <v>34</v>
      </c>
      <c r="F346" t="s">
        <v>349</v>
      </c>
      <c r="G346" t="s">
        <v>26</v>
      </c>
      <c r="H346" t="s">
        <v>445</v>
      </c>
      <c r="I346" t="s">
        <v>141</v>
      </c>
      <c r="J346" t="s">
        <v>1624</v>
      </c>
      <c r="K346">
        <v>0</v>
      </c>
      <c r="L346">
        <v>8</v>
      </c>
      <c r="M346">
        <v>4</v>
      </c>
      <c r="N346">
        <v>0</v>
      </c>
    </row>
    <row r="347" spans="1:14" x14ac:dyDescent="0.25">
      <c r="A347">
        <v>345</v>
      </c>
      <c r="B347" t="s">
        <v>346</v>
      </c>
      <c r="C347" t="s">
        <v>447</v>
      </c>
      <c r="D347" t="s">
        <v>457</v>
      </c>
      <c r="E347" t="s">
        <v>22</v>
      </c>
      <c r="F347" t="s">
        <v>349</v>
      </c>
      <c r="G347" t="s">
        <v>26</v>
      </c>
      <c r="H347" t="s">
        <v>445</v>
      </c>
      <c r="I347" t="s">
        <v>37</v>
      </c>
      <c r="J347" t="s">
        <v>501</v>
      </c>
      <c r="K347">
        <v>0</v>
      </c>
      <c r="L347">
        <v>9</v>
      </c>
      <c r="M347">
        <v>4</v>
      </c>
      <c r="N347">
        <v>0</v>
      </c>
    </row>
    <row r="348" spans="1:14" x14ac:dyDescent="0.25">
      <c r="A348">
        <v>346</v>
      </c>
      <c r="B348" t="s">
        <v>346</v>
      </c>
      <c r="C348" t="s">
        <v>447</v>
      </c>
      <c r="D348" t="s">
        <v>457</v>
      </c>
      <c r="E348" t="s">
        <v>22</v>
      </c>
      <c r="F348" t="s">
        <v>349</v>
      </c>
      <c r="G348" t="s">
        <v>26</v>
      </c>
      <c r="H348" t="s">
        <v>445</v>
      </c>
      <c r="I348" t="s">
        <v>37</v>
      </c>
      <c r="J348" t="s">
        <v>502</v>
      </c>
      <c r="K348">
        <v>0</v>
      </c>
      <c r="L348">
        <v>7</v>
      </c>
      <c r="M348">
        <v>4</v>
      </c>
      <c r="N348">
        <v>0</v>
      </c>
    </row>
    <row r="349" spans="1:14" x14ac:dyDescent="0.25">
      <c r="A349">
        <v>347</v>
      </c>
      <c r="B349" t="s">
        <v>346</v>
      </c>
      <c r="C349" t="s">
        <v>447</v>
      </c>
      <c r="D349" t="s">
        <v>457</v>
      </c>
      <c r="E349" t="s">
        <v>22</v>
      </c>
      <c r="F349" t="s">
        <v>349</v>
      </c>
      <c r="G349" t="s">
        <v>26</v>
      </c>
      <c r="H349" t="s">
        <v>445</v>
      </c>
      <c r="I349" t="s">
        <v>141</v>
      </c>
      <c r="J349" t="s">
        <v>1625</v>
      </c>
      <c r="K349">
        <v>0</v>
      </c>
      <c r="L349">
        <v>10</v>
      </c>
      <c r="M349">
        <v>4</v>
      </c>
      <c r="N349">
        <v>0</v>
      </c>
    </row>
    <row r="350" spans="1:14" x14ac:dyDescent="0.25">
      <c r="A350">
        <v>348</v>
      </c>
      <c r="B350" t="s">
        <v>346</v>
      </c>
      <c r="C350" t="s">
        <v>447</v>
      </c>
      <c r="D350" t="s">
        <v>457</v>
      </c>
      <c r="E350" t="s">
        <v>22</v>
      </c>
      <c r="F350" t="s">
        <v>349</v>
      </c>
      <c r="G350" t="s">
        <v>26</v>
      </c>
      <c r="H350" t="s">
        <v>445</v>
      </c>
      <c r="I350" t="s">
        <v>43</v>
      </c>
      <c r="J350" t="s">
        <v>504</v>
      </c>
      <c r="K350">
        <v>0</v>
      </c>
      <c r="L350">
        <v>5</v>
      </c>
      <c r="M350">
        <v>3</v>
      </c>
      <c r="N350">
        <v>0</v>
      </c>
    </row>
    <row r="351" spans="1:14" x14ac:dyDescent="0.25">
      <c r="A351">
        <v>349</v>
      </c>
      <c r="B351" t="s">
        <v>346</v>
      </c>
      <c r="C351" t="s">
        <v>447</v>
      </c>
      <c r="D351" t="s">
        <v>457</v>
      </c>
      <c r="E351" t="s">
        <v>22</v>
      </c>
      <c r="F351" t="s">
        <v>349</v>
      </c>
      <c r="G351" t="s">
        <v>26</v>
      </c>
      <c r="H351" t="s">
        <v>445</v>
      </c>
      <c r="I351" t="s">
        <v>43</v>
      </c>
      <c r="J351" t="s">
        <v>505</v>
      </c>
      <c r="K351">
        <v>0</v>
      </c>
      <c r="L351">
        <v>8</v>
      </c>
      <c r="M351">
        <v>4</v>
      </c>
      <c r="N351">
        <v>0</v>
      </c>
    </row>
    <row r="352" spans="1:14" x14ac:dyDescent="0.25">
      <c r="A352">
        <v>350</v>
      </c>
      <c r="B352" t="s">
        <v>346</v>
      </c>
      <c r="C352" t="s">
        <v>463</v>
      </c>
      <c r="D352" t="s">
        <v>464</v>
      </c>
      <c r="E352" t="s">
        <v>14</v>
      </c>
      <c r="F352" t="s">
        <v>349</v>
      </c>
      <c r="G352" t="s">
        <v>26</v>
      </c>
      <c r="H352" t="s">
        <v>445</v>
      </c>
      <c r="I352" t="s">
        <v>141</v>
      </c>
      <c r="J352" t="s">
        <v>506</v>
      </c>
      <c r="K352">
        <v>0</v>
      </c>
      <c r="L352">
        <v>9</v>
      </c>
      <c r="M352">
        <v>4</v>
      </c>
      <c r="N352">
        <v>0</v>
      </c>
    </row>
    <row r="353" spans="1:14" x14ac:dyDescent="0.25">
      <c r="A353">
        <v>351</v>
      </c>
      <c r="B353" t="s">
        <v>346</v>
      </c>
      <c r="C353" t="s">
        <v>463</v>
      </c>
      <c r="D353" t="s">
        <v>464</v>
      </c>
      <c r="E353" t="s">
        <v>22</v>
      </c>
      <c r="F353" t="s">
        <v>349</v>
      </c>
      <c r="G353" t="s">
        <v>26</v>
      </c>
      <c r="H353" t="s">
        <v>445</v>
      </c>
      <c r="I353" t="s">
        <v>43</v>
      </c>
      <c r="J353" t="s">
        <v>507</v>
      </c>
      <c r="K353">
        <v>0</v>
      </c>
      <c r="L353">
        <v>13</v>
      </c>
      <c r="M353">
        <v>6</v>
      </c>
      <c r="N353">
        <v>0</v>
      </c>
    </row>
    <row r="354" spans="1:14" x14ac:dyDescent="0.25">
      <c r="A354">
        <v>352</v>
      </c>
      <c r="B354" t="s">
        <v>346</v>
      </c>
      <c r="C354" t="s">
        <v>463</v>
      </c>
      <c r="D354" t="s">
        <v>464</v>
      </c>
      <c r="E354" t="s">
        <v>34</v>
      </c>
      <c r="F354" t="s">
        <v>349</v>
      </c>
      <c r="G354" t="s">
        <v>26</v>
      </c>
      <c r="H354" t="s">
        <v>469</v>
      </c>
      <c r="I354" t="s">
        <v>212</v>
      </c>
      <c r="J354" t="s">
        <v>508</v>
      </c>
      <c r="K354">
        <v>0</v>
      </c>
      <c r="L354">
        <v>6</v>
      </c>
      <c r="M354">
        <v>3</v>
      </c>
      <c r="N354">
        <v>0</v>
      </c>
    </row>
    <row r="355" spans="1:14" x14ac:dyDescent="0.25">
      <c r="A355">
        <v>353</v>
      </c>
      <c r="B355" t="s">
        <v>346</v>
      </c>
      <c r="C355" t="s">
        <v>463</v>
      </c>
      <c r="D355" t="s">
        <v>464</v>
      </c>
      <c r="E355" t="s">
        <v>34</v>
      </c>
      <c r="F355" t="s">
        <v>349</v>
      </c>
      <c r="G355" t="s">
        <v>26</v>
      </c>
      <c r="H355" t="s">
        <v>469</v>
      </c>
      <c r="I355" t="s">
        <v>37</v>
      </c>
      <c r="J355" t="s">
        <v>509</v>
      </c>
      <c r="K355">
        <v>0</v>
      </c>
      <c r="L355">
        <v>10</v>
      </c>
      <c r="M355">
        <v>3</v>
      </c>
      <c r="N355">
        <v>0</v>
      </c>
    </row>
    <row r="356" spans="1:14" x14ac:dyDescent="0.25">
      <c r="A356">
        <v>354</v>
      </c>
      <c r="B356" t="s">
        <v>346</v>
      </c>
      <c r="C356" t="s">
        <v>463</v>
      </c>
      <c r="D356" t="s">
        <v>464</v>
      </c>
      <c r="E356" t="s">
        <v>34</v>
      </c>
      <c r="F356" t="s">
        <v>349</v>
      </c>
      <c r="G356" t="s">
        <v>26</v>
      </c>
      <c r="H356" t="s">
        <v>469</v>
      </c>
      <c r="I356" t="s">
        <v>43</v>
      </c>
      <c r="J356" t="s">
        <v>510</v>
      </c>
      <c r="K356">
        <v>0</v>
      </c>
      <c r="L356">
        <v>4</v>
      </c>
      <c r="M356">
        <v>3</v>
      </c>
      <c r="N356">
        <v>0</v>
      </c>
    </row>
    <row r="357" spans="1:14" x14ac:dyDescent="0.25">
      <c r="A357">
        <v>355</v>
      </c>
      <c r="B357" t="s">
        <v>346</v>
      </c>
      <c r="C357" t="s">
        <v>463</v>
      </c>
      <c r="D357" t="s">
        <v>475</v>
      </c>
      <c r="E357" t="s">
        <v>34</v>
      </c>
      <c r="F357" t="s">
        <v>394</v>
      </c>
      <c r="G357" t="s">
        <v>26</v>
      </c>
      <c r="H357" t="s">
        <v>473</v>
      </c>
      <c r="I357" t="s">
        <v>41</v>
      </c>
      <c r="J357" t="s">
        <v>511</v>
      </c>
      <c r="K357">
        <v>0</v>
      </c>
      <c r="L357">
        <v>5</v>
      </c>
      <c r="M357">
        <v>3</v>
      </c>
      <c r="N357">
        <v>0</v>
      </c>
    </row>
    <row r="358" spans="1:14" x14ac:dyDescent="0.25">
      <c r="A358">
        <v>356</v>
      </c>
      <c r="B358" t="s">
        <v>346</v>
      </c>
      <c r="C358" t="s">
        <v>463</v>
      </c>
      <c r="D358" t="s">
        <v>475</v>
      </c>
      <c r="E358" t="s">
        <v>14</v>
      </c>
      <c r="F358" t="s">
        <v>394</v>
      </c>
      <c r="G358" t="s">
        <v>26</v>
      </c>
      <c r="H358" t="s">
        <v>473</v>
      </c>
      <c r="I358" t="s">
        <v>141</v>
      </c>
      <c r="J358" t="s">
        <v>512</v>
      </c>
      <c r="K358">
        <v>0</v>
      </c>
      <c r="L358">
        <v>7</v>
      </c>
      <c r="M358">
        <v>4</v>
      </c>
      <c r="N358">
        <v>0</v>
      </c>
    </row>
    <row r="359" spans="1:14" x14ac:dyDescent="0.25">
      <c r="A359">
        <v>357</v>
      </c>
      <c r="B359" t="s">
        <v>346</v>
      </c>
      <c r="C359" t="s">
        <v>463</v>
      </c>
      <c r="D359" t="s">
        <v>475</v>
      </c>
      <c r="E359" t="s">
        <v>34</v>
      </c>
      <c r="F359" t="s">
        <v>394</v>
      </c>
      <c r="G359" t="s">
        <v>35</v>
      </c>
      <c r="H359" t="s">
        <v>513</v>
      </c>
      <c r="I359" t="s">
        <v>43</v>
      </c>
      <c r="J359" t="s">
        <v>1160</v>
      </c>
      <c r="K359">
        <v>0</v>
      </c>
      <c r="L359">
        <v>17</v>
      </c>
      <c r="M359">
        <v>1</v>
      </c>
      <c r="N359">
        <v>0</v>
      </c>
    </row>
    <row r="360" spans="1:14" x14ac:dyDescent="0.25">
      <c r="A360">
        <v>358</v>
      </c>
      <c r="B360" t="s">
        <v>346</v>
      </c>
      <c r="C360" t="s">
        <v>463</v>
      </c>
      <c r="D360" t="s">
        <v>475</v>
      </c>
      <c r="E360" t="s">
        <v>34</v>
      </c>
      <c r="F360" t="s">
        <v>394</v>
      </c>
      <c r="G360" t="s">
        <v>35</v>
      </c>
      <c r="H360" t="s">
        <v>513</v>
      </c>
      <c r="I360" t="s">
        <v>43</v>
      </c>
      <c r="J360" t="s">
        <v>515</v>
      </c>
      <c r="K360">
        <v>0</v>
      </c>
      <c r="L360">
        <v>11</v>
      </c>
      <c r="M360">
        <v>4</v>
      </c>
      <c r="N360">
        <v>0</v>
      </c>
    </row>
    <row r="361" spans="1:14" x14ac:dyDescent="0.25">
      <c r="A361">
        <v>359</v>
      </c>
      <c r="B361" t="s">
        <v>346</v>
      </c>
      <c r="C361" t="s">
        <v>516</v>
      </c>
      <c r="D361" t="s">
        <v>517</v>
      </c>
      <c r="E361" t="s">
        <v>14</v>
      </c>
      <c r="F361" t="s">
        <v>394</v>
      </c>
      <c r="G361" t="s">
        <v>35</v>
      </c>
      <c r="H361" t="s">
        <v>513</v>
      </c>
      <c r="I361" t="s">
        <v>27</v>
      </c>
      <c r="J361" t="s">
        <v>518</v>
      </c>
      <c r="K361">
        <v>0</v>
      </c>
      <c r="L361">
        <v>5</v>
      </c>
      <c r="M361">
        <v>3</v>
      </c>
      <c r="N361">
        <v>0</v>
      </c>
    </row>
    <row r="362" spans="1:14" x14ac:dyDescent="0.25">
      <c r="A362">
        <v>360</v>
      </c>
      <c r="B362" t="s">
        <v>346</v>
      </c>
      <c r="C362" t="s">
        <v>516</v>
      </c>
      <c r="D362" t="s">
        <v>517</v>
      </c>
      <c r="E362" t="s">
        <v>14</v>
      </c>
      <c r="F362" t="s">
        <v>394</v>
      </c>
      <c r="G362" t="s">
        <v>35</v>
      </c>
      <c r="H362" t="s">
        <v>513</v>
      </c>
      <c r="I362" t="s">
        <v>37</v>
      </c>
      <c r="J362" t="s">
        <v>519</v>
      </c>
      <c r="K362">
        <v>0</v>
      </c>
      <c r="L362">
        <v>3</v>
      </c>
      <c r="M362">
        <v>3</v>
      </c>
      <c r="N362">
        <v>0</v>
      </c>
    </row>
    <row r="363" spans="1:14" x14ac:dyDescent="0.25">
      <c r="A363">
        <v>361</v>
      </c>
      <c r="B363" t="s">
        <v>346</v>
      </c>
      <c r="C363" t="s">
        <v>463</v>
      </c>
      <c r="D363" t="s">
        <v>475</v>
      </c>
      <c r="E363" t="s">
        <v>14</v>
      </c>
      <c r="F363" t="s">
        <v>394</v>
      </c>
      <c r="G363" t="s">
        <v>35</v>
      </c>
      <c r="H363" t="s">
        <v>520</v>
      </c>
      <c r="I363" t="s">
        <v>1612</v>
      </c>
      <c r="J363" t="s">
        <v>521</v>
      </c>
      <c r="K363">
        <v>0</v>
      </c>
      <c r="L363">
        <v>3</v>
      </c>
      <c r="M363">
        <v>4</v>
      </c>
      <c r="N363">
        <v>0</v>
      </c>
    </row>
    <row r="364" spans="1:14" x14ac:dyDescent="0.25">
      <c r="A364">
        <v>362</v>
      </c>
      <c r="B364" t="s">
        <v>346</v>
      </c>
      <c r="C364" t="s">
        <v>463</v>
      </c>
      <c r="D364" t="s">
        <v>475</v>
      </c>
      <c r="E364" t="s">
        <v>14</v>
      </c>
      <c r="F364" t="s">
        <v>349</v>
      </c>
      <c r="G364" t="s">
        <v>35</v>
      </c>
      <c r="H364" t="s">
        <v>1700</v>
      </c>
      <c r="I364" t="s">
        <v>53</v>
      </c>
      <c r="J364" t="s">
        <v>522</v>
      </c>
      <c r="K364">
        <v>0</v>
      </c>
      <c r="L364">
        <v>4</v>
      </c>
      <c r="M364">
        <v>2</v>
      </c>
      <c r="N364">
        <v>0</v>
      </c>
    </row>
    <row r="365" spans="1:14" x14ac:dyDescent="0.25">
      <c r="A365">
        <v>363</v>
      </c>
      <c r="B365" t="s">
        <v>346</v>
      </c>
      <c r="C365" t="s">
        <v>463</v>
      </c>
      <c r="D365" t="s">
        <v>475</v>
      </c>
      <c r="E365" t="s">
        <v>14</v>
      </c>
      <c r="F365" t="s">
        <v>394</v>
      </c>
      <c r="G365" t="s">
        <v>26</v>
      </c>
      <c r="H365" t="s">
        <v>473</v>
      </c>
      <c r="I365" t="s">
        <v>41</v>
      </c>
      <c r="J365" t="s">
        <v>523</v>
      </c>
      <c r="K365">
        <v>0</v>
      </c>
      <c r="L365">
        <v>4</v>
      </c>
      <c r="M365">
        <v>2</v>
      </c>
      <c r="N365">
        <v>0</v>
      </c>
    </row>
    <row r="366" spans="1:14" x14ac:dyDescent="0.25">
      <c r="A366">
        <v>364</v>
      </c>
      <c r="B366" t="s">
        <v>346</v>
      </c>
      <c r="C366" t="s">
        <v>463</v>
      </c>
      <c r="D366" t="s">
        <v>475</v>
      </c>
      <c r="E366" t="s">
        <v>14</v>
      </c>
      <c r="F366" t="s">
        <v>349</v>
      </c>
      <c r="G366" t="s">
        <v>26</v>
      </c>
      <c r="H366" t="s">
        <v>473</v>
      </c>
      <c r="I366" t="s">
        <v>141</v>
      </c>
      <c r="J366" t="s">
        <v>524</v>
      </c>
      <c r="K366">
        <v>0</v>
      </c>
      <c r="L366">
        <v>6</v>
      </c>
      <c r="M366">
        <v>4</v>
      </c>
      <c r="N366">
        <v>0</v>
      </c>
    </row>
    <row r="367" spans="1:14" x14ac:dyDescent="0.25">
      <c r="A367">
        <v>365</v>
      </c>
      <c r="B367" t="s">
        <v>346</v>
      </c>
      <c r="C367" t="s">
        <v>463</v>
      </c>
      <c r="D367" t="s">
        <v>475</v>
      </c>
      <c r="E367" t="s">
        <v>22</v>
      </c>
      <c r="F367" t="s">
        <v>349</v>
      </c>
      <c r="G367" t="s">
        <v>35</v>
      </c>
      <c r="H367" t="s">
        <v>1700</v>
      </c>
      <c r="I367" t="s">
        <v>37</v>
      </c>
      <c r="J367" t="s">
        <v>525</v>
      </c>
      <c r="K367">
        <v>0</v>
      </c>
      <c r="L367">
        <v>8</v>
      </c>
      <c r="M367">
        <v>3</v>
      </c>
      <c r="N367">
        <v>0</v>
      </c>
    </row>
    <row r="368" spans="1:14" x14ac:dyDescent="0.25">
      <c r="A368">
        <v>366</v>
      </c>
      <c r="B368" t="s">
        <v>346</v>
      </c>
      <c r="C368" t="s">
        <v>463</v>
      </c>
      <c r="D368" t="s">
        <v>475</v>
      </c>
      <c r="E368" t="s">
        <v>14</v>
      </c>
      <c r="F368" t="s">
        <v>349</v>
      </c>
      <c r="G368" t="s">
        <v>26</v>
      </c>
      <c r="H368" t="s">
        <v>473</v>
      </c>
      <c r="I368" t="s">
        <v>37</v>
      </c>
      <c r="J368" t="s">
        <v>526</v>
      </c>
      <c r="K368">
        <v>0</v>
      </c>
      <c r="L368">
        <v>6</v>
      </c>
      <c r="M368">
        <v>3</v>
      </c>
      <c r="N368">
        <v>0</v>
      </c>
    </row>
    <row r="369" spans="1:14" x14ac:dyDescent="0.25">
      <c r="A369">
        <v>367</v>
      </c>
      <c r="B369" t="s">
        <v>346</v>
      </c>
      <c r="C369" t="s">
        <v>463</v>
      </c>
      <c r="D369" t="s">
        <v>475</v>
      </c>
      <c r="E369" t="s">
        <v>14</v>
      </c>
      <c r="F369" t="s">
        <v>349</v>
      </c>
      <c r="G369" t="s">
        <v>26</v>
      </c>
      <c r="H369" t="s">
        <v>473</v>
      </c>
      <c r="I369" t="s">
        <v>212</v>
      </c>
      <c r="J369" t="s">
        <v>527</v>
      </c>
      <c r="K369">
        <v>0</v>
      </c>
      <c r="L369">
        <v>4</v>
      </c>
      <c r="M369">
        <v>3</v>
      </c>
      <c r="N369">
        <v>0</v>
      </c>
    </row>
    <row r="370" spans="1:14" x14ac:dyDescent="0.25">
      <c r="A370">
        <v>368</v>
      </c>
      <c r="B370" t="s">
        <v>346</v>
      </c>
      <c r="C370" t="s">
        <v>516</v>
      </c>
      <c r="D370" t="s">
        <v>528</v>
      </c>
      <c r="E370" t="s">
        <v>22</v>
      </c>
      <c r="F370" t="s">
        <v>349</v>
      </c>
      <c r="G370" t="s">
        <v>35</v>
      </c>
      <c r="H370" t="s">
        <v>1700</v>
      </c>
      <c r="I370" t="s">
        <v>1612</v>
      </c>
      <c r="J370" t="s">
        <v>530</v>
      </c>
      <c r="K370">
        <v>0</v>
      </c>
      <c r="L370">
        <v>3</v>
      </c>
      <c r="M370">
        <v>2</v>
      </c>
      <c r="N370">
        <v>0</v>
      </c>
    </row>
    <row r="371" spans="1:14" x14ac:dyDescent="0.25">
      <c r="A371">
        <v>369</v>
      </c>
      <c r="B371" t="s">
        <v>346</v>
      </c>
      <c r="C371" t="s">
        <v>463</v>
      </c>
      <c r="D371" t="s">
        <v>464</v>
      </c>
      <c r="E371" t="s">
        <v>14</v>
      </c>
      <c r="F371" t="s">
        <v>349</v>
      </c>
      <c r="G371" t="s">
        <v>26</v>
      </c>
      <c r="H371" t="s">
        <v>445</v>
      </c>
      <c r="I371" t="s">
        <v>141</v>
      </c>
      <c r="J371" t="s">
        <v>531</v>
      </c>
      <c r="K371">
        <v>0</v>
      </c>
      <c r="L371">
        <v>9</v>
      </c>
      <c r="M371">
        <v>3</v>
      </c>
      <c r="N371">
        <v>0</v>
      </c>
    </row>
    <row r="372" spans="1:14" x14ac:dyDescent="0.25">
      <c r="A372">
        <v>370</v>
      </c>
      <c r="B372" t="s">
        <v>346</v>
      </c>
      <c r="C372" t="s">
        <v>516</v>
      </c>
      <c r="D372" t="s">
        <v>528</v>
      </c>
      <c r="E372" t="s">
        <v>80</v>
      </c>
      <c r="F372" t="s">
        <v>349</v>
      </c>
      <c r="G372" t="s">
        <v>35</v>
      </c>
      <c r="H372" t="s">
        <v>1701</v>
      </c>
      <c r="I372" t="s">
        <v>685</v>
      </c>
      <c r="J372" t="s">
        <v>532</v>
      </c>
      <c r="K372">
        <v>0</v>
      </c>
      <c r="L372">
        <v>15</v>
      </c>
      <c r="M372">
        <v>6</v>
      </c>
      <c r="N372">
        <v>0</v>
      </c>
    </row>
    <row r="373" spans="1:14" x14ac:dyDescent="0.25">
      <c r="A373">
        <v>371</v>
      </c>
      <c r="B373" t="s">
        <v>346</v>
      </c>
      <c r="C373" t="s">
        <v>463</v>
      </c>
      <c r="D373" t="s">
        <v>464</v>
      </c>
      <c r="E373" t="s">
        <v>14</v>
      </c>
      <c r="F373" t="s">
        <v>349</v>
      </c>
      <c r="G373" t="s">
        <v>122</v>
      </c>
      <c r="H373" t="s">
        <v>445</v>
      </c>
      <c r="I373" t="s">
        <v>18</v>
      </c>
      <c r="J373" t="s">
        <v>533</v>
      </c>
      <c r="K373">
        <v>0</v>
      </c>
      <c r="L373">
        <v>4</v>
      </c>
      <c r="M373">
        <v>2</v>
      </c>
      <c r="N373">
        <v>0</v>
      </c>
    </row>
    <row r="374" spans="1:14" x14ac:dyDescent="0.25">
      <c r="A374">
        <v>372</v>
      </c>
      <c r="B374" t="s">
        <v>346</v>
      </c>
      <c r="C374" t="s">
        <v>447</v>
      </c>
      <c r="D374" t="s">
        <v>457</v>
      </c>
      <c r="E374" t="s">
        <v>22</v>
      </c>
      <c r="F374" t="s">
        <v>349</v>
      </c>
      <c r="G374" t="s">
        <v>26</v>
      </c>
      <c r="H374" t="s">
        <v>445</v>
      </c>
      <c r="I374" t="s">
        <v>41</v>
      </c>
      <c r="J374" t="s">
        <v>1626</v>
      </c>
      <c r="K374">
        <v>0</v>
      </c>
      <c r="L374">
        <v>6</v>
      </c>
      <c r="M374">
        <v>4</v>
      </c>
      <c r="N374">
        <v>0</v>
      </c>
    </row>
    <row r="375" spans="1:14" x14ac:dyDescent="0.25">
      <c r="A375">
        <v>373</v>
      </c>
      <c r="B375" t="s">
        <v>346</v>
      </c>
      <c r="C375" t="s">
        <v>447</v>
      </c>
      <c r="D375" t="s">
        <v>457</v>
      </c>
      <c r="E375" t="s">
        <v>22</v>
      </c>
      <c r="F375" t="s">
        <v>349</v>
      </c>
      <c r="G375" t="s">
        <v>26</v>
      </c>
      <c r="H375" t="s">
        <v>445</v>
      </c>
      <c r="I375" t="s">
        <v>37</v>
      </c>
      <c r="J375" t="s">
        <v>535</v>
      </c>
      <c r="K375">
        <v>0</v>
      </c>
      <c r="L375">
        <v>4</v>
      </c>
      <c r="M375">
        <v>4</v>
      </c>
      <c r="N375">
        <v>0</v>
      </c>
    </row>
    <row r="376" spans="1:14" x14ac:dyDescent="0.25">
      <c r="A376">
        <v>374</v>
      </c>
      <c r="B376" t="s">
        <v>346</v>
      </c>
      <c r="C376" t="s">
        <v>447</v>
      </c>
      <c r="D376" t="s">
        <v>536</v>
      </c>
      <c r="E376" t="s">
        <v>22</v>
      </c>
      <c r="F376" t="s">
        <v>349</v>
      </c>
      <c r="G376" t="s">
        <v>26</v>
      </c>
      <c r="H376" t="s">
        <v>445</v>
      </c>
      <c r="I376" t="s">
        <v>37</v>
      </c>
      <c r="J376" t="s">
        <v>537</v>
      </c>
      <c r="K376">
        <v>0</v>
      </c>
      <c r="L376">
        <v>10</v>
      </c>
      <c r="M376">
        <v>6</v>
      </c>
      <c r="N376">
        <v>0</v>
      </c>
    </row>
    <row r="377" spans="1:14" x14ac:dyDescent="0.25">
      <c r="A377">
        <v>375</v>
      </c>
      <c r="B377" t="s">
        <v>346</v>
      </c>
      <c r="C377" t="s">
        <v>447</v>
      </c>
      <c r="D377" t="s">
        <v>536</v>
      </c>
      <c r="E377" t="s">
        <v>22</v>
      </c>
      <c r="F377" t="s">
        <v>349</v>
      </c>
      <c r="G377" t="s">
        <v>26</v>
      </c>
      <c r="H377" t="s">
        <v>538</v>
      </c>
      <c r="I377" t="s">
        <v>141</v>
      </c>
      <c r="J377" t="s">
        <v>539</v>
      </c>
      <c r="K377">
        <v>0</v>
      </c>
      <c r="L377">
        <v>9</v>
      </c>
      <c r="M377">
        <v>6</v>
      </c>
      <c r="N377">
        <v>0</v>
      </c>
    </row>
    <row r="378" spans="1:14" x14ac:dyDescent="0.25">
      <c r="A378">
        <v>376</v>
      </c>
      <c r="B378" t="s">
        <v>346</v>
      </c>
      <c r="C378" t="s">
        <v>491</v>
      </c>
      <c r="D378" t="s">
        <v>540</v>
      </c>
      <c r="E378" t="s">
        <v>34</v>
      </c>
      <c r="F378" t="s">
        <v>349</v>
      </c>
      <c r="G378" t="s">
        <v>26</v>
      </c>
      <c r="H378" t="s">
        <v>538</v>
      </c>
      <c r="I378" t="s">
        <v>37</v>
      </c>
      <c r="J378" t="s">
        <v>541</v>
      </c>
      <c r="K378">
        <v>0</v>
      </c>
      <c r="L378">
        <v>13</v>
      </c>
      <c r="M378">
        <v>5</v>
      </c>
      <c r="N378">
        <v>0</v>
      </c>
    </row>
    <row r="379" spans="1:14" x14ac:dyDescent="0.25">
      <c r="A379">
        <v>377</v>
      </c>
      <c r="B379" t="s">
        <v>346</v>
      </c>
      <c r="C379" t="s">
        <v>491</v>
      </c>
      <c r="D379" t="s">
        <v>492</v>
      </c>
      <c r="E379" t="s">
        <v>22</v>
      </c>
      <c r="F379" t="s">
        <v>349</v>
      </c>
      <c r="G379" t="s">
        <v>26</v>
      </c>
      <c r="H379" t="s">
        <v>445</v>
      </c>
      <c r="I379" t="s">
        <v>141</v>
      </c>
      <c r="J379" t="s">
        <v>542</v>
      </c>
      <c r="K379">
        <v>0</v>
      </c>
      <c r="L379">
        <v>10</v>
      </c>
      <c r="M379">
        <v>5</v>
      </c>
      <c r="N379">
        <v>0</v>
      </c>
    </row>
    <row r="380" spans="1:14" x14ac:dyDescent="0.25">
      <c r="A380">
        <v>378</v>
      </c>
      <c r="B380" t="s">
        <v>346</v>
      </c>
      <c r="C380" t="s">
        <v>491</v>
      </c>
      <c r="D380" t="s">
        <v>492</v>
      </c>
      <c r="E380" t="s">
        <v>34</v>
      </c>
      <c r="F380" t="s">
        <v>349</v>
      </c>
      <c r="G380" t="s">
        <v>35</v>
      </c>
      <c r="H380" t="s">
        <v>493</v>
      </c>
      <c r="I380" t="s">
        <v>352</v>
      </c>
      <c r="J380" t="s">
        <v>543</v>
      </c>
      <c r="K380">
        <v>0</v>
      </c>
      <c r="L380">
        <v>15</v>
      </c>
      <c r="M380">
        <v>5</v>
      </c>
      <c r="N380">
        <v>0</v>
      </c>
    </row>
    <row r="381" spans="1:14" x14ac:dyDescent="0.25">
      <c r="A381">
        <v>379</v>
      </c>
      <c r="B381" t="s">
        <v>346</v>
      </c>
      <c r="C381" t="s">
        <v>491</v>
      </c>
      <c r="D381" t="s">
        <v>492</v>
      </c>
      <c r="E381" t="s">
        <v>34</v>
      </c>
      <c r="F381" t="s">
        <v>349</v>
      </c>
      <c r="G381" t="s">
        <v>35</v>
      </c>
      <c r="H381" t="s">
        <v>493</v>
      </c>
      <c r="I381" t="s">
        <v>352</v>
      </c>
      <c r="J381" t="s">
        <v>544</v>
      </c>
      <c r="K381">
        <v>0</v>
      </c>
      <c r="L381">
        <v>10</v>
      </c>
      <c r="M381">
        <v>6</v>
      </c>
      <c r="N381">
        <v>0</v>
      </c>
    </row>
    <row r="382" spans="1:14" x14ac:dyDescent="0.25">
      <c r="A382">
        <v>380</v>
      </c>
      <c r="B382" t="s">
        <v>346</v>
      </c>
      <c r="C382" t="s">
        <v>491</v>
      </c>
      <c r="D382" t="s">
        <v>492</v>
      </c>
      <c r="E382" t="s">
        <v>34</v>
      </c>
      <c r="F382" t="s">
        <v>349</v>
      </c>
      <c r="G382" t="s">
        <v>35</v>
      </c>
      <c r="H382" t="s">
        <v>493</v>
      </c>
      <c r="I382" t="s">
        <v>352</v>
      </c>
      <c r="J382" t="s">
        <v>545</v>
      </c>
      <c r="K382">
        <v>0</v>
      </c>
      <c r="L382">
        <v>17</v>
      </c>
      <c r="M382">
        <v>6</v>
      </c>
      <c r="N382">
        <v>0</v>
      </c>
    </row>
    <row r="383" spans="1:14" x14ac:dyDescent="0.25">
      <c r="A383">
        <v>381</v>
      </c>
      <c r="B383" t="s">
        <v>346</v>
      </c>
      <c r="C383" t="s">
        <v>375</v>
      </c>
      <c r="D383" t="s">
        <v>383</v>
      </c>
      <c r="E383" t="s">
        <v>22</v>
      </c>
      <c r="F383" t="s">
        <v>349</v>
      </c>
      <c r="G383" t="s">
        <v>122</v>
      </c>
      <c r="H383" t="s">
        <v>1696</v>
      </c>
      <c r="I383" t="s">
        <v>20</v>
      </c>
      <c r="J383" t="s">
        <v>1627</v>
      </c>
      <c r="K383">
        <v>0</v>
      </c>
      <c r="L383">
        <v>2</v>
      </c>
      <c r="M383">
        <v>1</v>
      </c>
      <c r="N383">
        <v>0</v>
      </c>
    </row>
    <row r="384" spans="1:14" x14ac:dyDescent="0.25">
      <c r="A384">
        <v>382</v>
      </c>
      <c r="B384" t="s">
        <v>346</v>
      </c>
      <c r="C384" t="s">
        <v>491</v>
      </c>
      <c r="D384" t="s">
        <v>540</v>
      </c>
      <c r="E384" t="s">
        <v>34</v>
      </c>
      <c r="F384" t="s">
        <v>349</v>
      </c>
      <c r="G384" t="s">
        <v>35</v>
      </c>
      <c r="H384" t="s">
        <v>538</v>
      </c>
      <c r="I384" t="s">
        <v>27</v>
      </c>
      <c r="J384" t="s">
        <v>547</v>
      </c>
      <c r="K384">
        <v>0</v>
      </c>
      <c r="L384">
        <v>27</v>
      </c>
      <c r="M384">
        <v>5</v>
      </c>
      <c r="N384">
        <v>0</v>
      </c>
    </row>
    <row r="385" spans="1:14" x14ac:dyDescent="0.25">
      <c r="A385">
        <v>383</v>
      </c>
      <c r="B385" t="s">
        <v>346</v>
      </c>
      <c r="C385" t="s">
        <v>491</v>
      </c>
      <c r="D385" t="s">
        <v>540</v>
      </c>
      <c r="E385" t="s">
        <v>34</v>
      </c>
      <c r="F385" t="s">
        <v>349</v>
      </c>
      <c r="G385" t="s">
        <v>35</v>
      </c>
      <c r="H385" t="s">
        <v>538</v>
      </c>
      <c r="I385" t="s">
        <v>352</v>
      </c>
      <c r="J385" t="s">
        <v>548</v>
      </c>
      <c r="K385">
        <v>0</v>
      </c>
      <c r="L385">
        <v>6</v>
      </c>
      <c r="M385">
        <v>5</v>
      </c>
      <c r="N385">
        <v>0</v>
      </c>
    </row>
    <row r="386" spans="1:14" x14ac:dyDescent="0.25">
      <c r="A386">
        <v>384</v>
      </c>
      <c r="B386" t="s">
        <v>346</v>
      </c>
      <c r="C386" t="s">
        <v>491</v>
      </c>
      <c r="D386" t="s">
        <v>540</v>
      </c>
      <c r="E386" t="s">
        <v>34</v>
      </c>
      <c r="F386" t="s">
        <v>349</v>
      </c>
      <c r="G386" t="s">
        <v>35</v>
      </c>
      <c r="H386" t="s">
        <v>538</v>
      </c>
      <c r="I386" t="s">
        <v>27</v>
      </c>
      <c r="J386" t="s">
        <v>549</v>
      </c>
      <c r="K386">
        <v>0</v>
      </c>
      <c r="L386">
        <v>6</v>
      </c>
      <c r="M386">
        <v>5</v>
      </c>
      <c r="N386">
        <v>0</v>
      </c>
    </row>
    <row r="387" spans="1:14" x14ac:dyDescent="0.25">
      <c r="A387">
        <v>385</v>
      </c>
      <c r="B387" t="s">
        <v>346</v>
      </c>
      <c r="C387" t="s">
        <v>491</v>
      </c>
      <c r="D387" t="s">
        <v>540</v>
      </c>
      <c r="E387" t="s">
        <v>34</v>
      </c>
      <c r="F387" t="s">
        <v>349</v>
      </c>
      <c r="G387" t="s">
        <v>35</v>
      </c>
      <c r="H387" t="s">
        <v>538</v>
      </c>
      <c r="I387" t="s">
        <v>43</v>
      </c>
      <c r="J387" t="s">
        <v>550</v>
      </c>
      <c r="K387">
        <v>0</v>
      </c>
      <c r="L387">
        <v>15</v>
      </c>
      <c r="M387">
        <v>5</v>
      </c>
      <c r="N387">
        <v>0</v>
      </c>
    </row>
    <row r="388" spans="1:14" x14ac:dyDescent="0.25">
      <c r="A388">
        <v>386</v>
      </c>
      <c r="B388" t="s">
        <v>346</v>
      </c>
      <c r="C388" t="s">
        <v>491</v>
      </c>
      <c r="D388" t="s">
        <v>540</v>
      </c>
      <c r="E388" t="s">
        <v>22</v>
      </c>
      <c r="F388" t="s">
        <v>349</v>
      </c>
      <c r="G388" t="s">
        <v>26</v>
      </c>
      <c r="H388" t="s">
        <v>538</v>
      </c>
      <c r="I388" t="s">
        <v>43</v>
      </c>
      <c r="J388" t="s">
        <v>551</v>
      </c>
      <c r="K388">
        <v>0</v>
      </c>
      <c r="L388">
        <v>9</v>
      </c>
      <c r="M388">
        <v>5</v>
      </c>
      <c r="N388">
        <v>0</v>
      </c>
    </row>
    <row r="389" spans="1:14" x14ac:dyDescent="0.25">
      <c r="A389">
        <v>387</v>
      </c>
      <c r="B389" t="s">
        <v>346</v>
      </c>
      <c r="C389" t="s">
        <v>447</v>
      </c>
      <c r="D389" t="s">
        <v>536</v>
      </c>
      <c r="E389" t="s">
        <v>22</v>
      </c>
      <c r="F389" t="s">
        <v>349</v>
      </c>
      <c r="G389" t="s">
        <v>26</v>
      </c>
      <c r="H389" t="s">
        <v>538</v>
      </c>
      <c r="I389" t="s">
        <v>212</v>
      </c>
      <c r="J389" t="s">
        <v>1702</v>
      </c>
      <c r="K389">
        <v>0</v>
      </c>
      <c r="L389">
        <v>7</v>
      </c>
      <c r="M389">
        <v>5</v>
      </c>
      <c r="N389">
        <v>0</v>
      </c>
    </row>
    <row r="390" spans="1:14" x14ac:dyDescent="0.25">
      <c r="A390">
        <v>388</v>
      </c>
      <c r="B390" t="s">
        <v>346</v>
      </c>
      <c r="C390" t="s">
        <v>447</v>
      </c>
      <c r="D390" t="s">
        <v>553</v>
      </c>
      <c r="E390" t="s">
        <v>14</v>
      </c>
      <c r="F390" t="s">
        <v>349</v>
      </c>
      <c r="G390" t="s">
        <v>122</v>
      </c>
      <c r="H390" t="s">
        <v>554</v>
      </c>
      <c r="I390" t="s">
        <v>141</v>
      </c>
      <c r="J390" t="s">
        <v>555</v>
      </c>
      <c r="K390">
        <v>0</v>
      </c>
      <c r="L390">
        <v>9</v>
      </c>
      <c r="M390">
        <v>7</v>
      </c>
      <c r="N390">
        <v>0</v>
      </c>
    </row>
    <row r="391" spans="1:14" x14ac:dyDescent="0.25">
      <c r="A391">
        <v>389</v>
      </c>
      <c r="B391" t="s">
        <v>346</v>
      </c>
      <c r="C391" t="s">
        <v>516</v>
      </c>
      <c r="D391" t="s">
        <v>528</v>
      </c>
      <c r="E391" t="s">
        <v>34</v>
      </c>
      <c r="F391" t="s">
        <v>349</v>
      </c>
      <c r="G391" t="s">
        <v>35</v>
      </c>
      <c r="H391" t="s">
        <v>1701</v>
      </c>
      <c r="I391" t="s">
        <v>352</v>
      </c>
      <c r="J391" t="s">
        <v>556</v>
      </c>
      <c r="K391">
        <v>0</v>
      </c>
      <c r="L391">
        <v>14</v>
      </c>
      <c r="M391">
        <v>5</v>
      </c>
      <c r="N391">
        <v>0</v>
      </c>
    </row>
    <row r="392" spans="1:14" x14ac:dyDescent="0.25">
      <c r="A392">
        <v>390</v>
      </c>
      <c r="B392" t="s">
        <v>346</v>
      </c>
      <c r="C392" t="s">
        <v>516</v>
      </c>
      <c r="D392" t="s">
        <v>528</v>
      </c>
      <c r="E392" t="s">
        <v>34</v>
      </c>
      <c r="F392" t="s">
        <v>349</v>
      </c>
      <c r="G392" t="s">
        <v>35</v>
      </c>
      <c r="H392" t="s">
        <v>1701</v>
      </c>
      <c r="I392" t="s">
        <v>43</v>
      </c>
      <c r="J392" t="s">
        <v>557</v>
      </c>
      <c r="K392">
        <v>0</v>
      </c>
      <c r="L392">
        <v>13</v>
      </c>
      <c r="M392">
        <v>5</v>
      </c>
      <c r="N392">
        <v>0</v>
      </c>
    </row>
    <row r="393" spans="1:14" x14ac:dyDescent="0.25">
      <c r="A393">
        <v>391</v>
      </c>
      <c r="B393" t="s">
        <v>346</v>
      </c>
      <c r="C393" t="s">
        <v>516</v>
      </c>
      <c r="D393" t="s">
        <v>528</v>
      </c>
      <c r="E393" t="s">
        <v>34</v>
      </c>
      <c r="F393" t="s">
        <v>349</v>
      </c>
      <c r="G393" t="s">
        <v>35</v>
      </c>
      <c r="H393" t="s">
        <v>1701</v>
      </c>
      <c r="I393" t="s">
        <v>53</v>
      </c>
      <c r="J393" t="s">
        <v>558</v>
      </c>
      <c r="K393">
        <v>0</v>
      </c>
      <c r="L393">
        <v>11</v>
      </c>
      <c r="M393">
        <v>5</v>
      </c>
      <c r="N393">
        <v>0</v>
      </c>
    </row>
    <row r="394" spans="1:14" x14ac:dyDescent="0.25">
      <c r="A394">
        <v>392</v>
      </c>
      <c r="B394" t="s">
        <v>346</v>
      </c>
      <c r="C394" t="s">
        <v>516</v>
      </c>
      <c r="D394" t="s">
        <v>528</v>
      </c>
      <c r="E394" t="s">
        <v>14</v>
      </c>
      <c r="F394" t="s">
        <v>349</v>
      </c>
      <c r="G394" t="s">
        <v>35</v>
      </c>
      <c r="H394" t="s">
        <v>529</v>
      </c>
      <c r="I394" t="s">
        <v>41</v>
      </c>
      <c r="J394" t="s">
        <v>559</v>
      </c>
      <c r="K394">
        <v>0</v>
      </c>
      <c r="L394">
        <v>6</v>
      </c>
      <c r="M394">
        <v>5</v>
      </c>
      <c r="N394">
        <v>0</v>
      </c>
    </row>
    <row r="395" spans="1:14" x14ac:dyDescent="0.25">
      <c r="A395">
        <v>393</v>
      </c>
      <c r="B395" t="s">
        <v>346</v>
      </c>
      <c r="C395" t="s">
        <v>516</v>
      </c>
      <c r="D395" t="s">
        <v>528</v>
      </c>
      <c r="E395" t="s">
        <v>34</v>
      </c>
      <c r="F395" t="s">
        <v>349</v>
      </c>
      <c r="G395" t="s">
        <v>35</v>
      </c>
      <c r="H395" t="s">
        <v>529</v>
      </c>
      <c r="I395" t="s">
        <v>37</v>
      </c>
      <c r="J395" t="s">
        <v>560</v>
      </c>
      <c r="K395">
        <v>0</v>
      </c>
      <c r="L395">
        <v>12</v>
      </c>
      <c r="M395">
        <v>8</v>
      </c>
      <c r="N395">
        <v>0</v>
      </c>
    </row>
    <row r="396" spans="1:14" x14ac:dyDescent="0.25">
      <c r="A396">
        <v>394</v>
      </c>
      <c r="B396" t="s">
        <v>346</v>
      </c>
      <c r="C396" t="s">
        <v>516</v>
      </c>
      <c r="D396" t="s">
        <v>528</v>
      </c>
      <c r="E396" t="s">
        <v>14</v>
      </c>
      <c r="F396" t="s">
        <v>349</v>
      </c>
      <c r="G396" t="s">
        <v>35</v>
      </c>
      <c r="H396" t="s">
        <v>529</v>
      </c>
      <c r="I396" t="s">
        <v>53</v>
      </c>
      <c r="J396" t="s">
        <v>561</v>
      </c>
      <c r="K396">
        <v>0</v>
      </c>
      <c r="L396">
        <v>4</v>
      </c>
      <c r="M396">
        <v>5</v>
      </c>
      <c r="N396">
        <v>0</v>
      </c>
    </row>
    <row r="397" spans="1:14" x14ac:dyDescent="0.25">
      <c r="A397">
        <v>395</v>
      </c>
      <c r="B397" t="s">
        <v>346</v>
      </c>
      <c r="C397" t="s">
        <v>516</v>
      </c>
      <c r="D397" t="s">
        <v>528</v>
      </c>
      <c r="E397" t="s">
        <v>14</v>
      </c>
      <c r="F397" t="s">
        <v>349</v>
      </c>
      <c r="G397" t="s">
        <v>35</v>
      </c>
      <c r="H397" t="s">
        <v>529</v>
      </c>
      <c r="I397" t="s">
        <v>27</v>
      </c>
      <c r="J397" t="s">
        <v>562</v>
      </c>
      <c r="K397">
        <v>0</v>
      </c>
      <c r="L397">
        <v>6</v>
      </c>
      <c r="M397">
        <v>5</v>
      </c>
      <c r="N397">
        <v>0</v>
      </c>
    </row>
    <row r="398" spans="1:14" x14ac:dyDescent="0.25">
      <c r="A398">
        <v>396</v>
      </c>
      <c r="B398" t="s">
        <v>346</v>
      </c>
      <c r="C398" t="s">
        <v>516</v>
      </c>
      <c r="D398" t="s">
        <v>528</v>
      </c>
      <c r="E398" t="s">
        <v>34</v>
      </c>
      <c r="F398" t="s">
        <v>349</v>
      </c>
      <c r="G398" t="s">
        <v>35</v>
      </c>
      <c r="H398" t="s">
        <v>529</v>
      </c>
      <c r="I398" t="s">
        <v>37</v>
      </c>
      <c r="J398" t="s">
        <v>563</v>
      </c>
      <c r="K398">
        <v>0</v>
      </c>
      <c r="L398">
        <v>7</v>
      </c>
      <c r="M398">
        <v>5</v>
      </c>
      <c r="N398">
        <v>0</v>
      </c>
    </row>
    <row r="399" spans="1:14" x14ac:dyDescent="0.25">
      <c r="A399">
        <v>397</v>
      </c>
      <c r="B399" t="s">
        <v>346</v>
      </c>
      <c r="C399" t="s">
        <v>516</v>
      </c>
      <c r="D399" t="s">
        <v>528</v>
      </c>
      <c r="E399" t="s">
        <v>14</v>
      </c>
      <c r="F399" t="s">
        <v>349</v>
      </c>
      <c r="G399" t="s">
        <v>35</v>
      </c>
      <c r="H399" t="s">
        <v>529</v>
      </c>
      <c r="I399" t="s">
        <v>41</v>
      </c>
      <c r="J399" t="s">
        <v>564</v>
      </c>
      <c r="K399">
        <v>0</v>
      </c>
      <c r="L399">
        <v>4</v>
      </c>
      <c r="M399">
        <v>2</v>
      </c>
      <c r="N399">
        <v>0</v>
      </c>
    </row>
    <row r="400" spans="1:14" x14ac:dyDescent="0.25">
      <c r="A400">
        <v>398</v>
      </c>
      <c r="B400" t="s">
        <v>346</v>
      </c>
      <c r="C400" t="s">
        <v>516</v>
      </c>
      <c r="D400" t="s">
        <v>528</v>
      </c>
      <c r="E400" t="s">
        <v>14</v>
      </c>
      <c r="F400" t="s">
        <v>349</v>
      </c>
      <c r="G400" t="s">
        <v>35</v>
      </c>
      <c r="H400" t="s">
        <v>529</v>
      </c>
      <c r="I400" t="s">
        <v>37</v>
      </c>
      <c r="J400" t="s">
        <v>565</v>
      </c>
      <c r="K400">
        <v>0</v>
      </c>
      <c r="L400">
        <v>3</v>
      </c>
      <c r="M400">
        <v>2</v>
      </c>
      <c r="N400">
        <v>0</v>
      </c>
    </row>
    <row r="401" spans="1:14" x14ac:dyDescent="0.25">
      <c r="A401">
        <v>399</v>
      </c>
      <c r="B401" t="s">
        <v>346</v>
      </c>
      <c r="C401" t="s">
        <v>516</v>
      </c>
      <c r="D401" t="s">
        <v>528</v>
      </c>
      <c r="E401" t="s">
        <v>34</v>
      </c>
      <c r="F401" t="s">
        <v>349</v>
      </c>
      <c r="G401" t="s">
        <v>35</v>
      </c>
      <c r="H401" t="s">
        <v>529</v>
      </c>
      <c r="I401" t="s">
        <v>43</v>
      </c>
      <c r="J401" t="s">
        <v>566</v>
      </c>
      <c r="K401">
        <v>0</v>
      </c>
      <c r="L401">
        <v>12</v>
      </c>
      <c r="M401">
        <v>8</v>
      </c>
      <c r="N401">
        <v>0</v>
      </c>
    </row>
    <row r="402" spans="1:14" x14ac:dyDescent="0.25">
      <c r="A402">
        <v>400</v>
      </c>
      <c r="B402" t="s">
        <v>346</v>
      </c>
      <c r="C402" t="s">
        <v>516</v>
      </c>
      <c r="D402" t="s">
        <v>528</v>
      </c>
      <c r="E402" t="s">
        <v>22</v>
      </c>
      <c r="F402" t="s">
        <v>349</v>
      </c>
      <c r="G402" t="s">
        <v>35</v>
      </c>
      <c r="H402" t="s">
        <v>529</v>
      </c>
      <c r="I402" t="s">
        <v>352</v>
      </c>
      <c r="J402" t="s">
        <v>567</v>
      </c>
      <c r="K402">
        <v>0</v>
      </c>
      <c r="L402">
        <v>11</v>
      </c>
      <c r="M402">
        <v>6</v>
      </c>
      <c r="N402">
        <v>0</v>
      </c>
    </row>
    <row r="403" spans="1:14" x14ac:dyDescent="0.25">
      <c r="A403">
        <v>401</v>
      </c>
      <c r="B403" t="s">
        <v>346</v>
      </c>
      <c r="C403" t="s">
        <v>516</v>
      </c>
      <c r="D403" t="s">
        <v>528</v>
      </c>
      <c r="E403" t="s">
        <v>14</v>
      </c>
      <c r="F403" t="s">
        <v>349</v>
      </c>
      <c r="G403" t="s">
        <v>35</v>
      </c>
      <c r="H403" t="s">
        <v>529</v>
      </c>
      <c r="I403" t="s">
        <v>37</v>
      </c>
      <c r="J403" t="s">
        <v>568</v>
      </c>
      <c r="K403">
        <v>0</v>
      </c>
      <c r="L403">
        <v>16</v>
      </c>
      <c r="M403">
        <v>5</v>
      </c>
      <c r="N403">
        <v>0</v>
      </c>
    </row>
    <row r="404" spans="1:14" x14ac:dyDescent="0.25">
      <c r="A404">
        <v>402</v>
      </c>
      <c r="B404" t="s">
        <v>346</v>
      </c>
      <c r="C404" t="s">
        <v>516</v>
      </c>
      <c r="D404" t="s">
        <v>528</v>
      </c>
      <c r="E404" t="s">
        <v>14</v>
      </c>
      <c r="F404" t="s">
        <v>349</v>
      </c>
      <c r="G404" t="s">
        <v>35</v>
      </c>
      <c r="H404" t="s">
        <v>1701</v>
      </c>
      <c r="I404" t="s">
        <v>37</v>
      </c>
      <c r="J404" t="s">
        <v>569</v>
      </c>
      <c r="K404">
        <v>0</v>
      </c>
      <c r="L404">
        <v>8</v>
      </c>
      <c r="M404">
        <v>5</v>
      </c>
      <c r="N404">
        <v>0</v>
      </c>
    </row>
    <row r="405" spans="1:14" x14ac:dyDescent="0.25">
      <c r="A405">
        <v>403</v>
      </c>
      <c r="B405" t="s">
        <v>346</v>
      </c>
      <c r="C405" t="s">
        <v>516</v>
      </c>
      <c r="D405" t="s">
        <v>528</v>
      </c>
      <c r="E405" t="s">
        <v>14</v>
      </c>
      <c r="F405" t="s">
        <v>349</v>
      </c>
      <c r="G405" t="s">
        <v>35</v>
      </c>
      <c r="H405" t="s">
        <v>1701</v>
      </c>
      <c r="I405" t="s">
        <v>41</v>
      </c>
      <c r="J405" t="s">
        <v>570</v>
      </c>
      <c r="K405">
        <v>0</v>
      </c>
      <c r="L405">
        <v>10</v>
      </c>
      <c r="M405">
        <v>6</v>
      </c>
      <c r="N405">
        <v>0</v>
      </c>
    </row>
    <row r="406" spans="1:14" x14ac:dyDescent="0.25">
      <c r="A406">
        <v>404</v>
      </c>
      <c r="B406" t="s">
        <v>346</v>
      </c>
      <c r="C406" t="s">
        <v>516</v>
      </c>
      <c r="D406" t="s">
        <v>528</v>
      </c>
      <c r="E406" t="s">
        <v>22</v>
      </c>
      <c r="F406" t="s">
        <v>349</v>
      </c>
      <c r="G406" t="s">
        <v>35</v>
      </c>
      <c r="H406" t="s">
        <v>1701</v>
      </c>
      <c r="I406" t="s">
        <v>37</v>
      </c>
      <c r="J406" t="s">
        <v>571</v>
      </c>
      <c r="K406">
        <v>0</v>
      </c>
      <c r="L406">
        <v>8</v>
      </c>
      <c r="M406">
        <v>5</v>
      </c>
      <c r="N406">
        <v>0</v>
      </c>
    </row>
    <row r="407" spans="1:14" x14ac:dyDescent="0.25">
      <c r="A407">
        <v>405</v>
      </c>
      <c r="B407" t="s">
        <v>346</v>
      </c>
      <c r="C407" t="s">
        <v>447</v>
      </c>
      <c r="D407" t="s">
        <v>536</v>
      </c>
      <c r="E407" t="s">
        <v>14</v>
      </c>
      <c r="F407" t="s">
        <v>349</v>
      </c>
      <c r="G407" t="s">
        <v>26</v>
      </c>
      <c r="H407" t="s">
        <v>538</v>
      </c>
      <c r="I407" t="s">
        <v>352</v>
      </c>
      <c r="J407" t="s">
        <v>572</v>
      </c>
      <c r="K407">
        <v>0</v>
      </c>
      <c r="L407">
        <v>12</v>
      </c>
      <c r="M407">
        <v>6</v>
      </c>
      <c r="N407">
        <v>0</v>
      </c>
    </row>
    <row r="408" spans="1:14" x14ac:dyDescent="0.25">
      <c r="A408">
        <v>406</v>
      </c>
      <c r="B408" t="s">
        <v>346</v>
      </c>
      <c r="C408" t="s">
        <v>491</v>
      </c>
      <c r="D408" t="s">
        <v>540</v>
      </c>
      <c r="E408" t="s">
        <v>14</v>
      </c>
      <c r="F408" t="s">
        <v>349</v>
      </c>
      <c r="G408" t="s">
        <v>35</v>
      </c>
      <c r="H408" t="s">
        <v>538</v>
      </c>
      <c r="I408" t="s">
        <v>37</v>
      </c>
      <c r="J408" t="s">
        <v>574</v>
      </c>
      <c r="K408">
        <v>0</v>
      </c>
      <c r="L408">
        <v>13</v>
      </c>
      <c r="M408">
        <v>5</v>
      </c>
      <c r="N408">
        <v>0</v>
      </c>
    </row>
    <row r="409" spans="1:14" x14ac:dyDescent="0.25">
      <c r="A409">
        <v>407</v>
      </c>
      <c r="B409" t="s">
        <v>346</v>
      </c>
      <c r="C409" t="s">
        <v>491</v>
      </c>
      <c r="D409" t="s">
        <v>540</v>
      </c>
      <c r="E409" t="s">
        <v>14</v>
      </c>
      <c r="F409" t="s">
        <v>349</v>
      </c>
      <c r="G409" t="s">
        <v>26</v>
      </c>
      <c r="H409" t="s">
        <v>538</v>
      </c>
      <c r="I409" t="s">
        <v>141</v>
      </c>
      <c r="J409" t="s">
        <v>1628</v>
      </c>
      <c r="K409">
        <v>0</v>
      </c>
      <c r="L409">
        <v>9</v>
      </c>
      <c r="M409">
        <v>5</v>
      </c>
      <c r="N409">
        <v>0</v>
      </c>
    </row>
    <row r="410" spans="1:14" x14ac:dyDescent="0.25">
      <c r="A410">
        <v>408</v>
      </c>
      <c r="B410" t="s">
        <v>346</v>
      </c>
      <c r="C410" t="s">
        <v>491</v>
      </c>
      <c r="D410" t="s">
        <v>540</v>
      </c>
      <c r="E410" t="s">
        <v>34</v>
      </c>
      <c r="F410" t="s">
        <v>349</v>
      </c>
      <c r="G410" t="s">
        <v>26</v>
      </c>
      <c r="H410" t="s">
        <v>538</v>
      </c>
      <c r="I410" t="s">
        <v>352</v>
      </c>
      <c r="J410" t="s">
        <v>576</v>
      </c>
      <c r="K410">
        <v>0</v>
      </c>
      <c r="L410">
        <v>13</v>
      </c>
      <c r="M410">
        <v>5</v>
      </c>
      <c r="N410">
        <v>0</v>
      </c>
    </row>
    <row r="411" spans="1:14" x14ac:dyDescent="0.25">
      <c r="A411">
        <v>409</v>
      </c>
      <c r="B411" t="s">
        <v>346</v>
      </c>
      <c r="C411" t="s">
        <v>491</v>
      </c>
      <c r="D411" t="s">
        <v>540</v>
      </c>
      <c r="E411" t="s">
        <v>34</v>
      </c>
      <c r="F411" t="s">
        <v>349</v>
      </c>
      <c r="G411" t="s">
        <v>26</v>
      </c>
      <c r="H411" t="s">
        <v>538</v>
      </c>
      <c r="I411" t="s">
        <v>37</v>
      </c>
      <c r="J411" t="s">
        <v>577</v>
      </c>
      <c r="K411">
        <v>0</v>
      </c>
      <c r="L411">
        <v>10</v>
      </c>
      <c r="M411">
        <v>5</v>
      </c>
      <c r="N411">
        <v>0</v>
      </c>
    </row>
    <row r="412" spans="1:14" x14ac:dyDescent="0.25">
      <c r="A412">
        <v>410</v>
      </c>
      <c r="B412" t="s">
        <v>346</v>
      </c>
      <c r="C412" t="s">
        <v>491</v>
      </c>
      <c r="D412" t="s">
        <v>540</v>
      </c>
      <c r="E412" t="s">
        <v>80</v>
      </c>
      <c r="F412" t="s">
        <v>349</v>
      </c>
      <c r="G412" t="s">
        <v>35</v>
      </c>
      <c r="H412" t="s">
        <v>538</v>
      </c>
      <c r="I412" t="s">
        <v>43</v>
      </c>
      <c r="J412" t="s">
        <v>578</v>
      </c>
      <c r="K412">
        <v>0</v>
      </c>
      <c r="L412">
        <v>8</v>
      </c>
      <c r="M412">
        <v>5</v>
      </c>
      <c r="N412">
        <v>0</v>
      </c>
    </row>
    <row r="413" spans="1:14" x14ac:dyDescent="0.25">
      <c r="A413">
        <v>411</v>
      </c>
      <c r="B413" t="s">
        <v>346</v>
      </c>
      <c r="C413" t="s">
        <v>491</v>
      </c>
      <c r="D413" t="s">
        <v>540</v>
      </c>
      <c r="E413" t="s">
        <v>34</v>
      </c>
      <c r="F413" t="s">
        <v>349</v>
      </c>
      <c r="G413" t="s">
        <v>35</v>
      </c>
      <c r="H413" t="s">
        <v>538</v>
      </c>
      <c r="I413" t="s">
        <v>43</v>
      </c>
      <c r="J413" t="s">
        <v>1703</v>
      </c>
      <c r="K413">
        <v>0</v>
      </c>
      <c r="L413">
        <v>5</v>
      </c>
      <c r="M413">
        <v>1</v>
      </c>
      <c r="N413">
        <v>0</v>
      </c>
    </row>
    <row r="414" spans="1:14" x14ac:dyDescent="0.25">
      <c r="A414">
        <v>412</v>
      </c>
      <c r="B414" t="s">
        <v>346</v>
      </c>
      <c r="C414" t="s">
        <v>491</v>
      </c>
      <c r="D414" t="s">
        <v>540</v>
      </c>
      <c r="E414" t="s">
        <v>34</v>
      </c>
      <c r="F414" t="s">
        <v>349</v>
      </c>
      <c r="G414" t="s">
        <v>35</v>
      </c>
      <c r="H414" t="s">
        <v>538</v>
      </c>
      <c r="I414" t="s">
        <v>43</v>
      </c>
      <c r="J414" t="s">
        <v>177</v>
      </c>
      <c r="K414">
        <v>0</v>
      </c>
      <c r="L414">
        <v>4</v>
      </c>
      <c r="M414">
        <v>1</v>
      </c>
      <c r="N414">
        <v>0</v>
      </c>
    </row>
    <row r="415" spans="1:14" x14ac:dyDescent="0.25">
      <c r="A415">
        <v>413</v>
      </c>
      <c r="B415" t="s">
        <v>346</v>
      </c>
      <c r="C415" t="s">
        <v>491</v>
      </c>
      <c r="D415" t="s">
        <v>540</v>
      </c>
      <c r="E415" t="s">
        <v>22</v>
      </c>
      <c r="F415" t="s">
        <v>349</v>
      </c>
      <c r="G415" t="s">
        <v>35</v>
      </c>
      <c r="H415" t="s">
        <v>538</v>
      </c>
      <c r="I415" t="s">
        <v>1612</v>
      </c>
      <c r="J415" t="s">
        <v>580</v>
      </c>
      <c r="K415">
        <v>0</v>
      </c>
      <c r="L415">
        <v>7</v>
      </c>
      <c r="M415">
        <v>5</v>
      </c>
      <c r="N415">
        <v>0</v>
      </c>
    </row>
    <row r="416" spans="1:14" x14ac:dyDescent="0.25">
      <c r="A416">
        <v>414</v>
      </c>
      <c r="B416" t="s">
        <v>346</v>
      </c>
      <c r="C416" t="s">
        <v>491</v>
      </c>
      <c r="D416" t="s">
        <v>540</v>
      </c>
      <c r="E416" t="s">
        <v>34</v>
      </c>
      <c r="F416" t="s">
        <v>349</v>
      </c>
      <c r="G416" t="s">
        <v>35</v>
      </c>
      <c r="H416" t="s">
        <v>350</v>
      </c>
      <c r="I416" t="s">
        <v>27</v>
      </c>
      <c r="J416" t="s">
        <v>581</v>
      </c>
      <c r="K416">
        <v>0</v>
      </c>
      <c r="L416">
        <v>9</v>
      </c>
      <c r="M416">
        <v>5</v>
      </c>
      <c r="N416">
        <v>0</v>
      </c>
    </row>
    <row r="417" spans="1:14" x14ac:dyDescent="0.25">
      <c r="A417">
        <v>415</v>
      </c>
      <c r="B417" t="s">
        <v>346</v>
      </c>
      <c r="C417" t="s">
        <v>491</v>
      </c>
      <c r="D417" t="s">
        <v>540</v>
      </c>
      <c r="E417" t="s">
        <v>22</v>
      </c>
      <c r="F417" t="s">
        <v>349</v>
      </c>
      <c r="G417" t="s">
        <v>35</v>
      </c>
      <c r="H417" t="s">
        <v>350</v>
      </c>
      <c r="I417" t="s">
        <v>27</v>
      </c>
      <c r="J417" t="s">
        <v>582</v>
      </c>
      <c r="K417">
        <v>0</v>
      </c>
      <c r="L417">
        <v>7</v>
      </c>
      <c r="M417">
        <v>3</v>
      </c>
      <c r="N417">
        <v>0</v>
      </c>
    </row>
    <row r="418" spans="1:14" x14ac:dyDescent="0.25">
      <c r="A418">
        <v>416</v>
      </c>
      <c r="B418" t="s">
        <v>346</v>
      </c>
      <c r="C418" t="s">
        <v>491</v>
      </c>
      <c r="D418" t="s">
        <v>540</v>
      </c>
      <c r="E418" t="s">
        <v>34</v>
      </c>
      <c r="F418" t="s">
        <v>349</v>
      </c>
      <c r="G418" t="s">
        <v>35</v>
      </c>
      <c r="H418" t="s">
        <v>350</v>
      </c>
      <c r="I418" t="s">
        <v>27</v>
      </c>
      <c r="J418" t="s">
        <v>583</v>
      </c>
      <c r="K418">
        <v>0</v>
      </c>
      <c r="L418">
        <v>10</v>
      </c>
      <c r="M418">
        <v>4</v>
      </c>
      <c r="N418">
        <v>0</v>
      </c>
    </row>
    <row r="419" spans="1:14" x14ac:dyDescent="0.25">
      <c r="A419">
        <v>417</v>
      </c>
      <c r="B419" t="s">
        <v>346</v>
      </c>
      <c r="C419" t="s">
        <v>491</v>
      </c>
      <c r="D419" t="s">
        <v>540</v>
      </c>
      <c r="E419" t="s">
        <v>80</v>
      </c>
      <c r="F419" t="s">
        <v>349</v>
      </c>
      <c r="G419" t="s">
        <v>35</v>
      </c>
      <c r="H419" t="s">
        <v>538</v>
      </c>
      <c r="I419" t="s">
        <v>53</v>
      </c>
      <c r="J419" t="s">
        <v>1629</v>
      </c>
      <c r="K419">
        <v>0</v>
      </c>
      <c r="L419">
        <v>7</v>
      </c>
      <c r="M419">
        <v>6</v>
      </c>
      <c r="N419">
        <v>0</v>
      </c>
    </row>
    <row r="420" spans="1:14" x14ac:dyDescent="0.25">
      <c r="A420">
        <v>418</v>
      </c>
      <c r="B420" t="s">
        <v>346</v>
      </c>
      <c r="C420" t="s">
        <v>491</v>
      </c>
      <c r="D420" t="s">
        <v>540</v>
      </c>
      <c r="E420" t="s">
        <v>80</v>
      </c>
      <c r="F420" t="s">
        <v>349</v>
      </c>
      <c r="G420" t="s">
        <v>35</v>
      </c>
      <c r="H420" t="s">
        <v>538</v>
      </c>
      <c r="I420" t="s">
        <v>53</v>
      </c>
      <c r="J420" t="s">
        <v>585</v>
      </c>
      <c r="K420">
        <v>0</v>
      </c>
      <c r="L420">
        <v>6</v>
      </c>
      <c r="M420">
        <v>5</v>
      </c>
      <c r="N420">
        <v>0</v>
      </c>
    </row>
    <row r="421" spans="1:14" x14ac:dyDescent="0.25">
      <c r="A421">
        <v>419</v>
      </c>
      <c r="B421" t="s">
        <v>346</v>
      </c>
      <c r="C421" t="s">
        <v>491</v>
      </c>
      <c r="D421" t="s">
        <v>540</v>
      </c>
      <c r="E421" t="s">
        <v>22</v>
      </c>
      <c r="F421" t="s">
        <v>349</v>
      </c>
      <c r="G421" t="s">
        <v>35</v>
      </c>
      <c r="H421" t="s">
        <v>538</v>
      </c>
      <c r="I421" t="s">
        <v>43</v>
      </c>
      <c r="J421" t="s">
        <v>586</v>
      </c>
      <c r="K421">
        <v>0</v>
      </c>
      <c r="L421">
        <v>7</v>
      </c>
      <c r="M421">
        <v>5</v>
      </c>
      <c r="N421">
        <v>0</v>
      </c>
    </row>
    <row r="422" spans="1:14" x14ac:dyDescent="0.25">
      <c r="A422">
        <v>420</v>
      </c>
      <c r="B422" t="s">
        <v>346</v>
      </c>
      <c r="C422" t="s">
        <v>491</v>
      </c>
      <c r="D422" t="s">
        <v>540</v>
      </c>
      <c r="E422" t="s">
        <v>14</v>
      </c>
      <c r="F422" t="s">
        <v>349</v>
      </c>
      <c r="G422" t="s">
        <v>26</v>
      </c>
      <c r="H422" t="s">
        <v>538</v>
      </c>
      <c r="I422" t="s">
        <v>141</v>
      </c>
      <c r="J422" t="s">
        <v>587</v>
      </c>
      <c r="K422">
        <v>0</v>
      </c>
      <c r="L422">
        <v>2</v>
      </c>
      <c r="M422">
        <v>1</v>
      </c>
      <c r="N422">
        <v>0</v>
      </c>
    </row>
    <row r="423" spans="1:14" x14ac:dyDescent="0.25">
      <c r="A423">
        <v>421</v>
      </c>
      <c r="B423" t="s">
        <v>346</v>
      </c>
      <c r="C423" t="s">
        <v>491</v>
      </c>
      <c r="D423" t="s">
        <v>540</v>
      </c>
      <c r="E423" t="s">
        <v>14</v>
      </c>
      <c r="F423" t="s">
        <v>349</v>
      </c>
      <c r="G423" t="s">
        <v>26</v>
      </c>
      <c r="H423" t="s">
        <v>538</v>
      </c>
      <c r="I423" t="s">
        <v>41</v>
      </c>
      <c r="J423" t="s">
        <v>1630</v>
      </c>
      <c r="K423">
        <v>0</v>
      </c>
      <c r="L423">
        <v>2</v>
      </c>
      <c r="M423">
        <v>1</v>
      </c>
      <c r="N423">
        <v>0</v>
      </c>
    </row>
    <row r="424" spans="1:14" x14ac:dyDescent="0.25">
      <c r="A424">
        <v>422</v>
      </c>
      <c r="B424" t="s">
        <v>346</v>
      </c>
      <c r="C424" t="s">
        <v>491</v>
      </c>
      <c r="D424" t="s">
        <v>540</v>
      </c>
      <c r="E424" t="s">
        <v>34</v>
      </c>
      <c r="F424" t="s">
        <v>349</v>
      </c>
      <c r="G424" t="s">
        <v>35</v>
      </c>
      <c r="H424" t="s">
        <v>538</v>
      </c>
      <c r="I424" t="s">
        <v>37</v>
      </c>
      <c r="J424" t="s">
        <v>589</v>
      </c>
      <c r="K424">
        <v>0</v>
      </c>
      <c r="L424">
        <v>11</v>
      </c>
      <c r="M424">
        <v>5</v>
      </c>
      <c r="N424">
        <v>0</v>
      </c>
    </row>
    <row r="425" spans="1:14" x14ac:dyDescent="0.25">
      <c r="A425">
        <v>423</v>
      </c>
      <c r="B425" t="s">
        <v>346</v>
      </c>
      <c r="C425" t="s">
        <v>491</v>
      </c>
      <c r="D425" t="s">
        <v>540</v>
      </c>
      <c r="E425" t="s">
        <v>22</v>
      </c>
      <c r="F425" t="s">
        <v>349</v>
      </c>
      <c r="G425" t="s">
        <v>35</v>
      </c>
      <c r="H425" t="s">
        <v>538</v>
      </c>
      <c r="I425" t="s">
        <v>37</v>
      </c>
      <c r="J425" t="s">
        <v>590</v>
      </c>
      <c r="K425">
        <v>0</v>
      </c>
      <c r="L425">
        <v>11</v>
      </c>
      <c r="M425">
        <v>5</v>
      </c>
      <c r="N425">
        <v>0</v>
      </c>
    </row>
    <row r="426" spans="1:14" x14ac:dyDescent="0.25">
      <c r="A426">
        <v>424</v>
      </c>
      <c r="B426" t="s">
        <v>346</v>
      </c>
      <c r="C426" t="s">
        <v>491</v>
      </c>
      <c r="D426" t="s">
        <v>540</v>
      </c>
      <c r="E426" t="s">
        <v>22</v>
      </c>
      <c r="F426" t="s">
        <v>349</v>
      </c>
      <c r="G426" t="s">
        <v>35</v>
      </c>
      <c r="H426" t="s">
        <v>538</v>
      </c>
      <c r="I426" t="s">
        <v>37</v>
      </c>
      <c r="J426" t="s">
        <v>591</v>
      </c>
      <c r="K426">
        <v>0</v>
      </c>
      <c r="L426">
        <v>10</v>
      </c>
      <c r="M426">
        <v>5</v>
      </c>
      <c r="N426">
        <v>0</v>
      </c>
    </row>
    <row r="427" spans="1:14" x14ac:dyDescent="0.25">
      <c r="A427">
        <v>425</v>
      </c>
      <c r="B427" t="s">
        <v>346</v>
      </c>
      <c r="C427" t="s">
        <v>491</v>
      </c>
      <c r="D427" t="s">
        <v>540</v>
      </c>
      <c r="E427" t="s">
        <v>22</v>
      </c>
      <c r="F427" t="s">
        <v>349</v>
      </c>
      <c r="G427" t="s">
        <v>35</v>
      </c>
      <c r="H427" t="s">
        <v>597</v>
      </c>
      <c r="I427" t="s">
        <v>41</v>
      </c>
      <c r="J427" t="s">
        <v>1631</v>
      </c>
      <c r="K427">
        <v>0</v>
      </c>
      <c r="L427">
        <v>6</v>
      </c>
      <c r="M427">
        <v>5</v>
      </c>
      <c r="N427">
        <v>0</v>
      </c>
    </row>
    <row r="428" spans="1:14" x14ac:dyDescent="0.25">
      <c r="A428">
        <v>426</v>
      </c>
      <c r="B428" t="s">
        <v>346</v>
      </c>
      <c r="C428" t="s">
        <v>491</v>
      </c>
      <c r="D428" t="s">
        <v>540</v>
      </c>
      <c r="E428" t="s">
        <v>14</v>
      </c>
      <c r="F428" t="s">
        <v>349</v>
      </c>
      <c r="G428" t="s">
        <v>35</v>
      </c>
      <c r="H428" t="s">
        <v>1704</v>
      </c>
      <c r="I428" t="s">
        <v>37</v>
      </c>
      <c r="J428" t="s">
        <v>593</v>
      </c>
      <c r="K428">
        <v>0</v>
      </c>
      <c r="L428">
        <v>5</v>
      </c>
      <c r="M428">
        <v>5</v>
      </c>
      <c r="N428">
        <v>0</v>
      </c>
    </row>
    <row r="429" spans="1:14" x14ac:dyDescent="0.25">
      <c r="A429">
        <v>427</v>
      </c>
      <c r="B429" t="s">
        <v>346</v>
      </c>
      <c r="C429" t="s">
        <v>516</v>
      </c>
      <c r="D429" t="s">
        <v>594</v>
      </c>
      <c r="E429" t="s">
        <v>14</v>
      </c>
      <c r="F429" t="s">
        <v>349</v>
      </c>
      <c r="G429" t="s">
        <v>35</v>
      </c>
      <c r="H429" t="s">
        <v>1704</v>
      </c>
      <c r="I429" t="s">
        <v>27</v>
      </c>
      <c r="J429" t="s">
        <v>596</v>
      </c>
      <c r="K429">
        <v>0</v>
      </c>
      <c r="L429">
        <v>4</v>
      </c>
      <c r="M429">
        <v>5</v>
      </c>
      <c r="N429">
        <v>0</v>
      </c>
    </row>
    <row r="430" spans="1:14" x14ac:dyDescent="0.25">
      <c r="A430">
        <v>428</v>
      </c>
      <c r="B430" t="s">
        <v>346</v>
      </c>
      <c r="C430" t="s">
        <v>516</v>
      </c>
      <c r="D430" t="s">
        <v>594</v>
      </c>
      <c r="E430" t="s">
        <v>14</v>
      </c>
      <c r="F430" t="s">
        <v>349</v>
      </c>
      <c r="G430" t="s">
        <v>26</v>
      </c>
      <c r="H430" t="s">
        <v>597</v>
      </c>
      <c r="I430" t="s">
        <v>141</v>
      </c>
      <c r="J430" t="s">
        <v>598</v>
      </c>
      <c r="K430">
        <v>0</v>
      </c>
      <c r="L430">
        <v>8</v>
      </c>
      <c r="M430">
        <v>5</v>
      </c>
      <c r="N430">
        <v>0</v>
      </c>
    </row>
    <row r="431" spans="1:14" x14ac:dyDescent="0.25">
      <c r="A431">
        <v>429</v>
      </c>
      <c r="B431" t="s">
        <v>346</v>
      </c>
      <c r="C431" t="s">
        <v>516</v>
      </c>
      <c r="D431" t="s">
        <v>594</v>
      </c>
      <c r="E431" t="s">
        <v>34</v>
      </c>
      <c r="F431" t="s">
        <v>349</v>
      </c>
      <c r="G431" t="s">
        <v>35</v>
      </c>
      <c r="H431" t="s">
        <v>1704</v>
      </c>
      <c r="I431" t="s">
        <v>37</v>
      </c>
      <c r="J431" t="s">
        <v>599</v>
      </c>
      <c r="K431">
        <v>0</v>
      </c>
      <c r="L431">
        <v>13</v>
      </c>
      <c r="M431">
        <v>7</v>
      </c>
      <c r="N431">
        <v>0</v>
      </c>
    </row>
    <row r="432" spans="1:14" x14ac:dyDescent="0.25">
      <c r="A432">
        <v>430</v>
      </c>
      <c r="B432" t="s">
        <v>346</v>
      </c>
      <c r="C432" t="s">
        <v>516</v>
      </c>
      <c r="D432" t="s">
        <v>594</v>
      </c>
      <c r="E432" t="s">
        <v>22</v>
      </c>
      <c r="F432" t="s">
        <v>349</v>
      </c>
      <c r="G432" t="s">
        <v>35</v>
      </c>
      <c r="H432" t="s">
        <v>1704</v>
      </c>
      <c r="I432" t="s">
        <v>141</v>
      </c>
      <c r="J432" t="s">
        <v>600</v>
      </c>
      <c r="K432">
        <v>0</v>
      </c>
      <c r="L432">
        <v>7</v>
      </c>
      <c r="M432">
        <v>5</v>
      </c>
      <c r="N432">
        <v>0</v>
      </c>
    </row>
    <row r="433" spans="1:14" x14ac:dyDescent="0.25">
      <c r="A433">
        <v>431</v>
      </c>
      <c r="B433" t="s">
        <v>346</v>
      </c>
      <c r="C433" t="s">
        <v>516</v>
      </c>
      <c r="D433" t="s">
        <v>594</v>
      </c>
      <c r="E433" t="s">
        <v>22</v>
      </c>
      <c r="F433" t="s">
        <v>349</v>
      </c>
      <c r="G433" t="s">
        <v>35</v>
      </c>
      <c r="H433" t="s">
        <v>1705</v>
      </c>
      <c r="I433" t="s">
        <v>1612</v>
      </c>
      <c r="J433" t="s">
        <v>601</v>
      </c>
      <c r="K433">
        <v>0</v>
      </c>
      <c r="L433">
        <v>9</v>
      </c>
      <c r="M433">
        <v>6</v>
      </c>
      <c r="N433">
        <v>0</v>
      </c>
    </row>
    <row r="434" spans="1:14" x14ac:dyDescent="0.25">
      <c r="A434">
        <v>432</v>
      </c>
      <c r="B434" t="s">
        <v>346</v>
      </c>
      <c r="C434" t="s">
        <v>516</v>
      </c>
      <c r="D434" t="s">
        <v>594</v>
      </c>
      <c r="E434" t="s">
        <v>14</v>
      </c>
      <c r="F434" t="s">
        <v>349</v>
      </c>
      <c r="G434" t="s">
        <v>35</v>
      </c>
      <c r="H434" t="s">
        <v>1705</v>
      </c>
      <c r="I434" t="s">
        <v>212</v>
      </c>
      <c r="J434" t="s">
        <v>602</v>
      </c>
      <c r="K434">
        <v>0</v>
      </c>
      <c r="L434">
        <v>7</v>
      </c>
      <c r="M434">
        <v>5</v>
      </c>
      <c r="N434">
        <v>0</v>
      </c>
    </row>
    <row r="435" spans="1:14" x14ac:dyDescent="0.25">
      <c r="A435">
        <v>433</v>
      </c>
      <c r="B435" t="s">
        <v>346</v>
      </c>
      <c r="C435" t="s">
        <v>516</v>
      </c>
      <c r="D435" t="s">
        <v>594</v>
      </c>
      <c r="E435" t="s">
        <v>14</v>
      </c>
      <c r="F435" t="s">
        <v>349</v>
      </c>
      <c r="G435" t="s">
        <v>35</v>
      </c>
      <c r="H435" t="s">
        <v>1705</v>
      </c>
      <c r="I435" t="s">
        <v>141</v>
      </c>
      <c r="J435" t="s">
        <v>603</v>
      </c>
      <c r="K435">
        <v>0</v>
      </c>
      <c r="L435">
        <v>5</v>
      </c>
      <c r="M435">
        <v>5</v>
      </c>
      <c r="N435">
        <v>0</v>
      </c>
    </row>
    <row r="436" spans="1:14" x14ac:dyDescent="0.25">
      <c r="A436">
        <v>434</v>
      </c>
      <c r="B436" t="s">
        <v>346</v>
      </c>
      <c r="C436" t="s">
        <v>516</v>
      </c>
      <c r="D436" t="s">
        <v>594</v>
      </c>
      <c r="E436" t="s">
        <v>14</v>
      </c>
      <c r="F436" t="s">
        <v>349</v>
      </c>
      <c r="G436" t="s">
        <v>35</v>
      </c>
      <c r="H436" t="s">
        <v>604</v>
      </c>
      <c r="I436" t="s">
        <v>37</v>
      </c>
      <c r="J436" t="s">
        <v>605</v>
      </c>
      <c r="K436">
        <v>0</v>
      </c>
      <c r="L436">
        <v>14</v>
      </c>
      <c r="M436">
        <v>6</v>
      </c>
      <c r="N436">
        <v>0</v>
      </c>
    </row>
    <row r="437" spans="1:14" x14ac:dyDescent="0.25">
      <c r="A437">
        <v>435</v>
      </c>
      <c r="B437" t="s">
        <v>346</v>
      </c>
      <c r="C437" t="s">
        <v>516</v>
      </c>
      <c r="D437" t="s">
        <v>594</v>
      </c>
      <c r="E437" t="s">
        <v>14</v>
      </c>
      <c r="F437" t="s">
        <v>349</v>
      </c>
      <c r="G437" t="s">
        <v>35</v>
      </c>
      <c r="H437" t="s">
        <v>1705</v>
      </c>
      <c r="I437" t="s">
        <v>43</v>
      </c>
      <c r="J437" t="s">
        <v>606</v>
      </c>
      <c r="K437">
        <v>0</v>
      </c>
      <c r="L437">
        <v>5</v>
      </c>
      <c r="M437">
        <v>7</v>
      </c>
      <c r="N437">
        <v>0</v>
      </c>
    </row>
    <row r="438" spans="1:14" x14ac:dyDescent="0.25">
      <c r="A438">
        <v>436</v>
      </c>
      <c r="B438" t="s">
        <v>346</v>
      </c>
      <c r="C438" t="s">
        <v>516</v>
      </c>
      <c r="D438" t="s">
        <v>594</v>
      </c>
      <c r="E438" t="s">
        <v>14</v>
      </c>
      <c r="F438" t="s">
        <v>349</v>
      </c>
      <c r="G438" t="s">
        <v>35</v>
      </c>
      <c r="H438" t="s">
        <v>1705</v>
      </c>
      <c r="I438" t="s">
        <v>41</v>
      </c>
      <c r="J438" t="s">
        <v>607</v>
      </c>
      <c r="K438">
        <v>0</v>
      </c>
      <c r="L438">
        <v>11</v>
      </c>
      <c r="M438">
        <v>6</v>
      </c>
      <c r="N438">
        <v>0</v>
      </c>
    </row>
    <row r="439" spans="1:14" x14ac:dyDescent="0.25">
      <c r="A439">
        <v>437</v>
      </c>
      <c r="B439" t="s">
        <v>346</v>
      </c>
      <c r="C439" t="s">
        <v>516</v>
      </c>
      <c r="D439" t="s">
        <v>594</v>
      </c>
      <c r="E439" t="s">
        <v>34</v>
      </c>
      <c r="F439" t="s">
        <v>349</v>
      </c>
      <c r="G439" t="s">
        <v>35</v>
      </c>
      <c r="H439" t="s">
        <v>1704</v>
      </c>
      <c r="I439" t="s">
        <v>37</v>
      </c>
      <c r="J439" t="s">
        <v>608</v>
      </c>
      <c r="K439">
        <v>0</v>
      </c>
      <c r="L439">
        <v>9</v>
      </c>
      <c r="M439">
        <v>5</v>
      </c>
      <c r="N439">
        <v>0</v>
      </c>
    </row>
    <row r="440" spans="1:14" x14ac:dyDescent="0.25">
      <c r="A440">
        <v>438</v>
      </c>
      <c r="B440" t="s">
        <v>346</v>
      </c>
      <c r="C440" t="s">
        <v>516</v>
      </c>
      <c r="D440" t="s">
        <v>594</v>
      </c>
      <c r="E440" t="s">
        <v>34</v>
      </c>
      <c r="F440" t="s">
        <v>349</v>
      </c>
      <c r="G440" t="s">
        <v>35</v>
      </c>
      <c r="H440" t="s">
        <v>1705</v>
      </c>
      <c r="I440" t="s">
        <v>53</v>
      </c>
      <c r="J440" t="s">
        <v>610</v>
      </c>
      <c r="K440">
        <v>0</v>
      </c>
      <c r="L440">
        <v>5</v>
      </c>
      <c r="M440">
        <v>4</v>
      </c>
      <c r="N440">
        <v>0</v>
      </c>
    </row>
    <row r="441" spans="1:14" x14ac:dyDescent="0.25">
      <c r="A441">
        <v>439</v>
      </c>
      <c r="B441" t="s">
        <v>346</v>
      </c>
      <c r="C441" t="s">
        <v>516</v>
      </c>
      <c r="D441" t="s">
        <v>594</v>
      </c>
      <c r="E441" t="s">
        <v>14</v>
      </c>
      <c r="F441" t="s">
        <v>349</v>
      </c>
      <c r="G441" t="s">
        <v>35</v>
      </c>
      <c r="H441" t="s">
        <v>1705</v>
      </c>
      <c r="I441" t="s">
        <v>352</v>
      </c>
      <c r="J441" t="s">
        <v>611</v>
      </c>
      <c r="K441">
        <v>0</v>
      </c>
      <c r="L441">
        <v>12</v>
      </c>
      <c r="M441">
        <v>4</v>
      </c>
      <c r="N441">
        <v>0</v>
      </c>
    </row>
    <row r="442" spans="1:14" x14ac:dyDescent="0.25">
      <c r="A442">
        <v>440</v>
      </c>
      <c r="B442" t="s">
        <v>346</v>
      </c>
      <c r="C442" t="s">
        <v>516</v>
      </c>
      <c r="D442" t="s">
        <v>594</v>
      </c>
      <c r="E442" t="s">
        <v>14</v>
      </c>
      <c r="F442" t="s">
        <v>349</v>
      </c>
      <c r="G442" t="s">
        <v>35</v>
      </c>
      <c r="H442" t="s">
        <v>1705</v>
      </c>
      <c r="I442" t="s">
        <v>41</v>
      </c>
      <c r="J442" t="s">
        <v>612</v>
      </c>
      <c r="K442">
        <v>0</v>
      </c>
      <c r="L442">
        <v>6</v>
      </c>
      <c r="M442">
        <v>4</v>
      </c>
      <c r="N442">
        <v>0</v>
      </c>
    </row>
    <row r="443" spans="1:14" x14ac:dyDescent="0.25">
      <c r="A443">
        <v>441</v>
      </c>
      <c r="B443" t="s">
        <v>346</v>
      </c>
      <c r="C443" t="s">
        <v>516</v>
      </c>
      <c r="D443" t="s">
        <v>594</v>
      </c>
      <c r="E443" t="s">
        <v>34</v>
      </c>
      <c r="F443" t="s">
        <v>349</v>
      </c>
      <c r="G443" t="s">
        <v>35</v>
      </c>
      <c r="H443" t="s">
        <v>604</v>
      </c>
      <c r="I443" t="s">
        <v>53</v>
      </c>
      <c r="J443" t="s">
        <v>613</v>
      </c>
      <c r="K443">
        <v>0</v>
      </c>
      <c r="L443">
        <v>19</v>
      </c>
      <c r="M443">
        <v>6</v>
      </c>
      <c r="N443">
        <v>0</v>
      </c>
    </row>
    <row r="444" spans="1:14" x14ac:dyDescent="0.25">
      <c r="A444">
        <v>442</v>
      </c>
      <c r="B444" t="s">
        <v>346</v>
      </c>
      <c r="C444" t="s">
        <v>516</v>
      </c>
      <c r="D444" t="s">
        <v>594</v>
      </c>
      <c r="E444" t="s">
        <v>34</v>
      </c>
      <c r="F444" t="s">
        <v>349</v>
      </c>
      <c r="G444" t="s">
        <v>35</v>
      </c>
      <c r="H444" t="s">
        <v>604</v>
      </c>
      <c r="I444" t="s">
        <v>27</v>
      </c>
      <c r="J444" t="s">
        <v>614</v>
      </c>
      <c r="K444">
        <v>0</v>
      </c>
      <c r="L444">
        <v>11</v>
      </c>
      <c r="M444">
        <v>4</v>
      </c>
      <c r="N444">
        <v>0</v>
      </c>
    </row>
    <row r="445" spans="1:14" x14ac:dyDescent="0.25">
      <c r="A445">
        <v>443</v>
      </c>
      <c r="B445" t="s">
        <v>346</v>
      </c>
      <c r="C445" t="s">
        <v>516</v>
      </c>
      <c r="D445" t="s">
        <v>594</v>
      </c>
      <c r="E445" t="s">
        <v>34</v>
      </c>
      <c r="F445" t="s">
        <v>349</v>
      </c>
      <c r="G445" t="s">
        <v>35</v>
      </c>
      <c r="H445" t="s">
        <v>1705</v>
      </c>
      <c r="I445" t="s">
        <v>41</v>
      </c>
      <c r="J445" t="s">
        <v>615</v>
      </c>
      <c r="K445">
        <v>0</v>
      </c>
      <c r="L445">
        <v>15</v>
      </c>
      <c r="M445">
        <v>6</v>
      </c>
      <c r="N445">
        <v>0</v>
      </c>
    </row>
    <row r="446" spans="1:14" x14ac:dyDescent="0.25">
      <c r="A446">
        <v>444</v>
      </c>
      <c r="B446" t="s">
        <v>346</v>
      </c>
      <c r="C446" t="s">
        <v>516</v>
      </c>
      <c r="D446" t="s">
        <v>594</v>
      </c>
      <c r="E446" t="s">
        <v>14</v>
      </c>
      <c r="F446" t="s">
        <v>609</v>
      </c>
      <c r="G446" t="s">
        <v>35</v>
      </c>
      <c r="H446" t="s">
        <v>616</v>
      </c>
      <c r="I446" t="s">
        <v>685</v>
      </c>
      <c r="J446" t="s">
        <v>617</v>
      </c>
      <c r="K446">
        <v>0</v>
      </c>
      <c r="L446">
        <v>7</v>
      </c>
      <c r="M446">
        <v>5</v>
      </c>
      <c r="N446">
        <v>0</v>
      </c>
    </row>
    <row r="447" spans="1:14" x14ac:dyDescent="0.25">
      <c r="A447">
        <v>445</v>
      </c>
      <c r="B447" t="s">
        <v>346</v>
      </c>
      <c r="C447" t="s">
        <v>516</v>
      </c>
      <c r="D447" t="s">
        <v>594</v>
      </c>
      <c r="E447" t="s">
        <v>14</v>
      </c>
      <c r="F447" t="s">
        <v>609</v>
      </c>
      <c r="G447" t="s">
        <v>35</v>
      </c>
      <c r="H447" t="s">
        <v>616</v>
      </c>
      <c r="I447" t="s">
        <v>27</v>
      </c>
      <c r="J447" t="s">
        <v>618</v>
      </c>
      <c r="K447">
        <v>0</v>
      </c>
      <c r="L447">
        <v>7</v>
      </c>
      <c r="M447">
        <v>2</v>
      </c>
      <c r="N447">
        <v>0</v>
      </c>
    </row>
    <row r="448" spans="1:14" x14ac:dyDescent="0.25">
      <c r="A448">
        <v>446</v>
      </c>
      <c r="B448" t="s">
        <v>346</v>
      </c>
      <c r="C448" t="s">
        <v>392</v>
      </c>
      <c r="D448" t="s">
        <v>619</v>
      </c>
      <c r="E448" t="s">
        <v>22</v>
      </c>
      <c r="F448" t="s">
        <v>609</v>
      </c>
      <c r="G448" t="s">
        <v>122</v>
      </c>
      <c r="H448" t="s">
        <v>620</v>
      </c>
      <c r="I448" t="s">
        <v>141</v>
      </c>
      <c r="J448" t="s">
        <v>621</v>
      </c>
      <c r="K448">
        <v>0</v>
      </c>
      <c r="L448">
        <v>5</v>
      </c>
      <c r="M448">
        <v>5</v>
      </c>
      <c r="N448">
        <v>0</v>
      </c>
    </row>
    <row r="449" spans="1:14" x14ac:dyDescent="0.25">
      <c r="A449">
        <v>447</v>
      </c>
      <c r="B449" t="s">
        <v>346</v>
      </c>
      <c r="C449" t="s">
        <v>392</v>
      </c>
      <c r="D449" t="s">
        <v>402</v>
      </c>
      <c r="E449" t="s">
        <v>34</v>
      </c>
      <c r="F449" t="s">
        <v>394</v>
      </c>
      <c r="G449" t="s">
        <v>122</v>
      </c>
      <c r="H449" t="s">
        <v>403</v>
      </c>
      <c r="I449" t="s">
        <v>141</v>
      </c>
      <c r="J449" t="s">
        <v>622</v>
      </c>
      <c r="K449">
        <v>0</v>
      </c>
      <c r="L449">
        <v>6</v>
      </c>
      <c r="M449">
        <v>5</v>
      </c>
      <c r="N449">
        <v>0</v>
      </c>
    </row>
    <row r="450" spans="1:14" x14ac:dyDescent="0.25">
      <c r="A450">
        <v>448</v>
      </c>
      <c r="B450" t="s">
        <v>346</v>
      </c>
      <c r="C450" t="s">
        <v>392</v>
      </c>
      <c r="D450" t="s">
        <v>402</v>
      </c>
      <c r="E450" t="s">
        <v>34</v>
      </c>
      <c r="F450" t="s">
        <v>394</v>
      </c>
      <c r="G450" t="s">
        <v>122</v>
      </c>
      <c r="H450" t="s">
        <v>403</v>
      </c>
      <c r="I450" t="s">
        <v>41</v>
      </c>
      <c r="J450" t="s">
        <v>623</v>
      </c>
      <c r="K450">
        <v>0</v>
      </c>
      <c r="L450">
        <v>8</v>
      </c>
      <c r="M450">
        <v>8</v>
      </c>
      <c r="N450">
        <v>0</v>
      </c>
    </row>
    <row r="451" spans="1:14" x14ac:dyDescent="0.25">
      <c r="A451">
        <v>449</v>
      </c>
      <c r="B451" t="s">
        <v>346</v>
      </c>
      <c r="C451" t="s">
        <v>392</v>
      </c>
      <c r="D451" t="s">
        <v>402</v>
      </c>
      <c r="E451" t="s">
        <v>34</v>
      </c>
      <c r="F451" t="s">
        <v>394</v>
      </c>
      <c r="G451" t="s">
        <v>122</v>
      </c>
      <c r="H451" t="s">
        <v>403</v>
      </c>
      <c r="I451" t="s">
        <v>43</v>
      </c>
      <c r="J451" t="s">
        <v>624</v>
      </c>
      <c r="K451">
        <v>0</v>
      </c>
      <c r="L451">
        <v>6</v>
      </c>
      <c r="M451">
        <v>5</v>
      </c>
      <c r="N451">
        <v>0</v>
      </c>
    </row>
    <row r="452" spans="1:14" x14ac:dyDescent="0.25">
      <c r="A452">
        <v>450</v>
      </c>
      <c r="B452" t="s">
        <v>346</v>
      </c>
      <c r="C452" t="s">
        <v>392</v>
      </c>
      <c r="D452" t="s">
        <v>402</v>
      </c>
      <c r="E452" t="s">
        <v>34</v>
      </c>
      <c r="F452" t="s">
        <v>394</v>
      </c>
      <c r="G452" t="s">
        <v>122</v>
      </c>
      <c r="H452" t="s">
        <v>403</v>
      </c>
      <c r="I452" t="s">
        <v>43</v>
      </c>
      <c r="J452" t="s">
        <v>625</v>
      </c>
      <c r="K452">
        <v>0</v>
      </c>
      <c r="L452">
        <v>5</v>
      </c>
      <c r="M452">
        <v>5</v>
      </c>
      <c r="N452">
        <v>0</v>
      </c>
    </row>
    <row r="453" spans="1:14" x14ac:dyDescent="0.25">
      <c r="A453">
        <v>451</v>
      </c>
      <c r="B453" t="s">
        <v>346</v>
      </c>
      <c r="C453" t="s">
        <v>392</v>
      </c>
      <c r="D453" t="s">
        <v>402</v>
      </c>
      <c r="E453" t="s">
        <v>34</v>
      </c>
      <c r="F453" t="s">
        <v>609</v>
      </c>
      <c r="G453" t="s">
        <v>122</v>
      </c>
      <c r="H453" t="s">
        <v>620</v>
      </c>
      <c r="I453" t="s">
        <v>41</v>
      </c>
      <c r="J453" t="s">
        <v>626</v>
      </c>
      <c r="K453">
        <v>0</v>
      </c>
      <c r="L453">
        <v>2</v>
      </c>
      <c r="M453">
        <v>5</v>
      </c>
      <c r="N453">
        <v>0</v>
      </c>
    </row>
    <row r="454" spans="1:14" x14ac:dyDescent="0.25">
      <c r="A454">
        <v>452</v>
      </c>
      <c r="B454" t="s">
        <v>346</v>
      </c>
      <c r="C454" t="s">
        <v>392</v>
      </c>
      <c r="D454" t="s">
        <v>402</v>
      </c>
      <c r="E454" t="s">
        <v>34</v>
      </c>
      <c r="F454" t="s">
        <v>609</v>
      </c>
      <c r="G454" t="s">
        <v>122</v>
      </c>
      <c r="H454" t="s">
        <v>620</v>
      </c>
      <c r="I454" t="s">
        <v>43</v>
      </c>
      <c r="J454" t="s">
        <v>627</v>
      </c>
      <c r="K454">
        <v>0</v>
      </c>
      <c r="L454">
        <v>1</v>
      </c>
      <c r="M454">
        <v>5</v>
      </c>
      <c r="N454">
        <v>0</v>
      </c>
    </row>
    <row r="455" spans="1:14" x14ac:dyDescent="0.25">
      <c r="A455">
        <v>453</v>
      </c>
      <c r="B455" t="s">
        <v>346</v>
      </c>
      <c r="C455" t="s">
        <v>392</v>
      </c>
      <c r="D455" t="s">
        <v>619</v>
      </c>
      <c r="E455" t="s">
        <v>34</v>
      </c>
      <c r="F455" t="s">
        <v>609</v>
      </c>
      <c r="G455" t="s">
        <v>122</v>
      </c>
      <c r="H455" t="s">
        <v>620</v>
      </c>
      <c r="I455" t="s">
        <v>41</v>
      </c>
      <c r="J455" t="s">
        <v>628</v>
      </c>
      <c r="K455">
        <v>0</v>
      </c>
      <c r="L455">
        <v>2</v>
      </c>
      <c r="M455">
        <v>5</v>
      </c>
      <c r="N455">
        <v>0</v>
      </c>
    </row>
    <row r="456" spans="1:14" x14ac:dyDescent="0.25">
      <c r="A456">
        <v>454</v>
      </c>
      <c r="B456" t="s">
        <v>346</v>
      </c>
      <c r="C456" t="s">
        <v>392</v>
      </c>
      <c r="D456" t="s">
        <v>619</v>
      </c>
      <c r="E456" t="s">
        <v>22</v>
      </c>
      <c r="F456" t="s">
        <v>609</v>
      </c>
      <c r="G456" t="s">
        <v>122</v>
      </c>
      <c r="H456" t="s">
        <v>620</v>
      </c>
      <c r="I456" t="s">
        <v>212</v>
      </c>
      <c r="J456" t="s">
        <v>629</v>
      </c>
      <c r="K456">
        <v>0</v>
      </c>
      <c r="L456">
        <v>6</v>
      </c>
      <c r="M456">
        <v>5</v>
      </c>
      <c r="N456">
        <v>0</v>
      </c>
    </row>
    <row r="457" spans="1:14" x14ac:dyDescent="0.25">
      <c r="A457">
        <v>455</v>
      </c>
      <c r="B457" t="s">
        <v>346</v>
      </c>
      <c r="C457" t="s">
        <v>392</v>
      </c>
      <c r="D457" t="s">
        <v>619</v>
      </c>
      <c r="E457" t="s">
        <v>34</v>
      </c>
      <c r="F457" t="s">
        <v>609</v>
      </c>
      <c r="G457" t="s">
        <v>122</v>
      </c>
      <c r="H457" t="s">
        <v>620</v>
      </c>
      <c r="I457" t="s">
        <v>212</v>
      </c>
      <c r="J457" t="s">
        <v>630</v>
      </c>
      <c r="K457">
        <v>0</v>
      </c>
      <c r="L457">
        <v>6</v>
      </c>
      <c r="M457">
        <v>5</v>
      </c>
      <c r="N457">
        <v>0</v>
      </c>
    </row>
    <row r="458" spans="1:14" x14ac:dyDescent="0.25">
      <c r="A458">
        <v>456</v>
      </c>
      <c r="B458" t="s">
        <v>346</v>
      </c>
      <c r="C458" t="s">
        <v>392</v>
      </c>
      <c r="D458" t="s">
        <v>619</v>
      </c>
      <c r="E458" t="s">
        <v>34</v>
      </c>
      <c r="F458" t="s">
        <v>609</v>
      </c>
      <c r="G458" t="s">
        <v>122</v>
      </c>
      <c r="H458" t="s">
        <v>620</v>
      </c>
      <c r="I458" t="s">
        <v>212</v>
      </c>
      <c r="J458" t="s">
        <v>631</v>
      </c>
      <c r="K458">
        <v>0</v>
      </c>
      <c r="L458">
        <v>3</v>
      </c>
      <c r="M458">
        <v>5</v>
      </c>
      <c r="N458">
        <v>0</v>
      </c>
    </row>
    <row r="459" spans="1:14" x14ac:dyDescent="0.25">
      <c r="A459">
        <v>457</v>
      </c>
      <c r="B459" t="s">
        <v>346</v>
      </c>
      <c r="C459" t="s">
        <v>392</v>
      </c>
      <c r="D459" t="s">
        <v>619</v>
      </c>
      <c r="E459" t="s">
        <v>34</v>
      </c>
      <c r="F459" t="s">
        <v>609</v>
      </c>
      <c r="G459" t="s">
        <v>122</v>
      </c>
      <c r="H459" t="s">
        <v>620</v>
      </c>
      <c r="I459" t="s">
        <v>41</v>
      </c>
      <c r="J459" t="s">
        <v>632</v>
      </c>
      <c r="K459">
        <v>0</v>
      </c>
      <c r="L459">
        <v>10</v>
      </c>
      <c r="M459">
        <v>5</v>
      </c>
      <c r="N459">
        <v>0</v>
      </c>
    </row>
    <row r="460" spans="1:14" x14ac:dyDescent="0.25">
      <c r="A460">
        <v>458</v>
      </c>
      <c r="B460" t="s">
        <v>346</v>
      </c>
      <c r="C460" t="s">
        <v>392</v>
      </c>
      <c r="D460" t="s">
        <v>619</v>
      </c>
      <c r="E460" t="s">
        <v>34</v>
      </c>
      <c r="F460" t="s">
        <v>609</v>
      </c>
      <c r="G460" t="s">
        <v>122</v>
      </c>
      <c r="H460" t="s">
        <v>620</v>
      </c>
      <c r="I460" t="s">
        <v>43</v>
      </c>
      <c r="J460" t="s">
        <v>633</v>
      </c>
      <c r="K460">
        <v>0</v>
      </c>
      <c r="L460">
        <v>3</v>
      </c>
      <c r="M460">
        <v>5</v>
      </c>
      <c r="N460">
        <v>0</v>
      </c>
    </row>
    <row r="461" spans="1:14" x14ac:dyDescent="0.25">
      <c r="A461">
        <v>459</v>
      </c>
      <c r="B461" t="s">
        <v>346</v>
      </c>
      <c r="C461" t="s">
        <v>392</v>
      </c>
      <c r="D461" t="s">
        <v>619</v>
      </c>
      <c r="E461" t="s">
        <v>34</v>
      </c>
      <c r="F461" t="s">
        <v>394</v>
      </c>
      <c r="G461" t="s">
        <v>122</v>
      </c>
      <c r="H461" t="s">
        <v>403</v>
      </c>
      <c r="I461" t="s">
        <v>43</v>
      </c>
      <c r="J461" t="s">
        <v>634</v>
      </c>
      <c r="K461">
        <v>0</v>
      </c>
      <c r="L461">
        <v>4</v>
      </c>
      <c r="M461">
        <v>5</v>
      </c>
      <c r="N461">
        <v>0</v>
      </c>
    </row>
    <row r="462" spans="1:14" x14ac:dyDescent="0.25">
      <c r="A462">
        <v>460</v>
      </c>
      <c r="B462" t="s">
        <v>346</v>
      </c>
      <c r="C462" t="s">
        <v>392</v>
      </c>
      <c r="D462" t="s">
        <v>435</v>
      </c>
      <c r="E462" t="s">
        <v>34</v>
      </c>
      <c r="F462" t="s">
        <v>394</v>
      </c>
      <c r="G462" t="s">
        <v>122</v>
      </c>
      <c r="H462" t="s">
        <v>436</v>
      </c>
      <c r="I462" t="s">
        <v>141</v>
      </c>
      <c r="J462" t="s">
        <v>635</v>
      </c>
      <c r="K462">
        <v>0</v>
      </c>
      <c r="L462">
        <v>7</v>
      </c>
      <c r="M462">
        <v>5</v>
      </c>
      <c r="N462">
        <v>0</v>
      </c>
    </row>
    <row r="463" spans="1:14" x14ac:dyDescent="0.25">
      <c r="A463">
        <v>461</v>
      </c>
      <c r="B463" t="s">
        <v>346</v>
      </c>
      <c r="C463" t="s">
        <v>392</v>
      </c>
      <c r="D463" t="s">
        <v>435</v>
      </c>
      <c r="E463" t="s">
        <v>34</v>
      </c>
      <c r="F463" t="s">
        <v>394</v>
      </c>
      <c r="G463" t="s">
        <v>122</v>
      </c>
      <c r="H463" t="s">
        <v>436</v>
      </c>
      <c r="I463" t="s">
        <v>43</v>
      </c>
      <c r="J463" t="s">
        <v>636</v>
      </c>
      <c r="K463">
        <v>0</v>
      </c>
      <c r="L463">
        <v>8</v>
      </c>
      <c r="M463">
        <v>5</v>
      </c>
      <c r="N463">
        <v>0</v>
      </c>
    </row>
    <row r="464" spans="1:14" x14ac:dyDescent="0.25">
      <c r="A464">
        <v>462</v>
      </c>
      <c r="B464" t="s">
        <v>346</v>
      </c>
      <c r="C464" t="s">
        <v>392</v>
      </c>
      <c r="D464" t="s">
        <v>435</v>
      </c>
      <c r="E464" t="s">
        <v>34</v>
      </c>
      <c r="F464" t="s">
        <v>609</v>
      </c>
      <c r="G464" t="s">
        <v>35</v>
      </c>
      <c r="H464" t="s">
        <v>620</v>
      </c>
      <c r="I464" t="s">
        <v>41</v>
      </c>
      <c r="J464" t="s">
        <v>637</v>
      </c>
      <c r="K464">
        <v>0</v>
      </c>
      <c r="L464">
        <v>7</v>
      </c>
      <c r="M464">
        <v>5</v>
      </c>
      <c r="N464">
        <v>0</v>
      </c>
    </row>
    <row r="465" spans="1:14" x14ac:dyDescent="0.25">
      <c r="A465">
        <v>463</v>
      </c>
      <c r="B465" t="s">
        <v>346</v>
      </c>
      <c r="C465" t="s">
        <v>392</v>
      </c>
      <c r="D465" t="s">
        <v>435</v>
      </c>
      <c r="E465" t="s">
        <v>34</v>
      </c>
      <c r="F465" t="s">
        <v>609</v>
      </c>
      <c r="G465" t="s">
        <v>35</v>
      </c>
      <c r="H465" t="s">
        <v>620</v>
      </c>
      <c r="I465" t="s">
        <v>53</v>
      </c>
      <c r="J465" t="s">
        <v>638</v>
      </c>
      <c r="K465">
        <v>0</v>
      </c>
      <c r="L465">
        <v>7</v>
      </c>
      <c r="M465">
        <v>5</v>
      </c>
      <c r="N465">
        <v>0</v>
      </c>
    </row>
    <row r="466" spans="1:14" x14ac:dyDescent="0.25">
      <c r="A466">
        <v>464</v>
      </c>
      <c r="B466" t="s">
        <v>346</v>
      </c>
      <c r="C466" t="s">
        <v>392</v>
      </c>
      <c r="D466" t="s">
        <v>435</v>
      </c>
      <c r="E466" t="s">
        <v>14</v>
      </c>
      <c r="F466" t="s">
        <v>394</v>
      </c>
      <c r="G466" t="s">
        <v>35</v>
      </c>
      <c r="H466" t="s">
        <v>513</v>
      </c>
      <c r="I466" t="s">
        <v>37</v>
      </c>
      <c r="J466" t="s">
        <v>639</v>
      </c>
      <c r="K466">
        <v>0</v>
      </c>
      <c r="L466">
        <v>5</v>
      </c>
      <c r="M466">
        <v>5</v>
      </c>
      <c r="N466">
        <v>0</v>
      </c>
    </row>
    <row r="467" spans="1:14" x14ac:dyDescent="0.25">
      <c r="A467">
        <v>465</v>
      </c>
      <c r="B467" t="s">
        <v>346</v>
      </c>
      <c r="C467" t="s">
        <v>392</v>
      </c>
      <c r="D467" t="s">
        <v>435</v>
      </c>
      <c r="E467" t="s">
        <v>80</v>
      </c>
      <c r="F467" t="s">
        <v>394</v>
      </c>
      <c r="G467" t="s">
        <v>35</v>
      </c>
      <c r="H467" t="s">
        <v>513</v>
      </c>
      <c r="I467" t="s">
        <v>27</v>
      </c>
      <c r="J467" t="s">
        <v>640</v>
      </c>
      <c r="K467">
        <v>0</v>
      </c>
      <c r="L467">
        <v>5</v>
      </c>
      <c r="M467">
        <v>5</v>
      </c>
      <c r="N467">
        <v>0</v>
      </c>
    </row>
    <row r="468" spans="1:14" x14ac:dyDescent="0.25">
      <c r="A468">
        <v>466</v>
      </c>
      <c r="B468" t="s">
        <v>346</v>
      </c>
      <c r="C468" t="s">
        <v>392</v>
      </c>
      <c r="D468" t="s">
        <v>641</v>
      </c>
      <c r="E468" t="s">
        <v>34</v>
      </c>
      <c r="F468" t="s">
        <v>609</v>
      </c>
      <c r="G468" t="s">
        <v>35</v>
      </c>
      <c r="H468" t="s">
        <v>620</v>
      </c>
      <c r="I468" t="s">
        <v>53</v>
      </c>
      <c r="J468" t="s">
        <v>642</v>
      </c>
      <c r="K468">
        <v>0</v>
      </c>
      <c r="L468">
        <v>4</v>
      </c>
      <c r="M468">
        <v>5</v>
      </c>
      <c r="N468">
        <v>0</v>
      </c>
    </row>
    <row r="469" spans="1:14" x14ac:dyDescent="0.25">
      <c r="A469">
        <v>467</v>
      </c>
      <c r="B469" t="s">
        <v>346</v>
      </c>
      <c r="C469" t="s">
        <v>392</v>
      </c>
      <c r="D469" t="s">
        <v>641</v>
      </c>
      <c r="E469" t="s">
        <v>34</v>
      </c>
      <c r="F469" t="s">
        <v>609</v>
      </c>
      <c r="G469" t="s">
        <v>26</v>
      </c>
      <c r="H469" t="s">
        <v>620</v>
      </c>
      <c r="I469" t="s">
        <v>41</v>
      </c>
      <c r="J469" t="s">
        <v>643</v>
      </c>
      <c r="K469">
        <v>0</v>
      </c>
      <c r="L469">
        <v>1</v>
      </c>
      <c r="M469">
        <v>5</v>
      </c>
      <c r="N469">
        <v>0</v>
      </c>
    </row>
    <row r="470" spans="1:14" x14ac:dyDescent="0.25">
      <c r="A470">
        <v>468</v>
      </c>
      <c r="B470" t="s">
        <v>346</v>
      </c>
      <c r="C470" t="s">
        <v>392</v>
      </c>
      <c r="D470" t="s">
        <v>641</v>
      </c>
      <c r="E470" t="s">
        <v>34</v>
      </c>
      <c r="F470" t="s">
        <v>609</v>
      </c>
      <c r="G470" t="s">
        <v>26</v>
      </c>
      <c r="H470" t="s">
        <v>1706</v>
      </c>
      <c r="I470" t="s">
        <v>41</v>
      </c>
      <c r="J470" t="s">
        <v>645</v>
      </c>
      <c r="K470">
        <v>0</v>
      </c>
      <c r="L470">
        <v>1</v>
      </c>
      <c r="M470">
        <v>5</v>
      </c>
      <c r="N470">
        <v>0</v>
      </c>
    </row>
    <row r="471" spans="1:14" x14ac:dyDescent="0.25">
      <c r="A471">
        <v>469</v>
      </c>
      <c r="B471" t="s">
        <v>346</v>
      </c>
      <c r="C471" t="s">
        <v>392</v>
      </c>
      <c r="D471" t="s">
        <v>641</v>
      </c>
      <c r="E471" t="s">
        <v>14</v>
      </c>
      <c r="F471" t="s">
        <v>394</v>
      </c>
      <c r="G471" t="s">
        <v>26</v>
      </c>
      <c r="H471" t="s">
        <v>1706</v>
      </c>
      <c r="I471" t="s">
        <v>41</v>
      </c>
      <c r="J471" t="s">
        <v>1707</v>
      </c>
      <c r="K471">
        <v>0</v>
      </c>
      <c r="L471">
        <v>4</v>
      </c>
      <c r="M471">
        <v>5</v>
      </c>
      <c r="N471">
        <v>0</v>
      </c>
    </row>
    <row r="472" spans="1:14" x14ac:dyDescent="0.25">
      <c r="A472">
        <v>470</v>
      </c>
      <c r="B472" t="s">
        <v>346</v>
      </c>
      <c r="C472" t="s">
        <v>392</v>
      </c>
      <c r="D472" t="s">
        <v>641</v>
      </c>
      <c r="E472" t="s">
        <v>14</v>
      </c>
      <c r="F472" t="s">
        <v>394</v>
      </c>
      <c r="G472" t="s">
        <v>26</v>
      </c>
      <c r="H472" t="s">
        <v>646</v>
      </c>
      <c r="I472" t="s">
        <v>37</v>
      </c>
      <c r="J472" t="s">
        <v>1708</v>
      </c>
      <c r="K472">
        <v>0</v>
      </c>
      <c r="L472">
        <v>5</v>
      </c>
      <c r="M472">
        <v>5</v>
      </c>
      <c r="N472">
        <v>0</v>
      </c>
    </row>
    <row r="473" spans="1:14" x14ac:dyDescent="0.25">
      <c r="A473">
        <v>471</v>
      </c>
      <c r="B473" t="s">
        <v>346</v>
      </c>
      <c r="C473" t="s">
        <v>392</v>
      </c>
      <c r="D473" t="s">
        <v>641</v>
      </c>
      <c r="E473" t="s">
        <v>34</v>
      </c>
      <c r="F473" t="s">
        <v>609</v>
      </c>
      <c r="G473" t="s">
        <v>26</v>
      </c>
      <c r="H473" t="s">
        <v>648</v>
      </c>
      <c r="I473" t="s">
        <v>41</v>
      </c>
      <c r="J473" t="s">
        <v>649</v>
      </c>
      <c r="K473">
        <v>0</v>
      </c>
      <c r="L473">
        <v>5</v>
      </c>
      <c r="M473">
        <v>5</v>
      </c>
      <c r="N473">
        <v>0</v>
      </c>
    </row>
    <row r="474" spans="1:14" x14ac:dyDescent="0.25">
      <c r="A474">
        <v>472</v>
      </c>
      <c r="B474" t="s">
        <v>346</v>
      </c>
      <c r="C474" t="s">
        <v>392</v>
      </c>
      <c r="D474" t="s">
        <v>641</v>
      </c>
      <c r="E474" t="s">
        <v>14</v>
      </c>
      <c r="F474" t="s">
        <v>394</v>
      </c>
      <c r="G474" t="s">
        <v>26</v>
      </c>
      <c r="H474" t="s">
        <v>646</v>
      </c>
      <c r="I474" t="s">
        <v>37</v>
      </c>
      <c r="J474" t="s">
        <v>1709</v>
      </c>
      <c r="K474">
        <v>0</v>
      </c>
      <c r="L474">
        <v>4</v>
      </c>
      <c r="M474">
        <v>5</v>
      </c>
      <c r="N474">
        <v>0</v>
      </c>
    </row>
    <row r="475" spans="1:14" x14ac:dyDescent="0.25">
      <c r="A475">
        <v>473</v>
      </c>
      <c r="B475" t="s">
        <v>346</v>
      </c>
      <c r="C475" t="s">
        <v>392</v>
      </c>
      <c r="D475" t="s">
        <v>641</v>
      </c>
      <c r="E475" t="s">
        <v>14</v>
      </c>
      <c r="F475" t="s">
        <v>650</v>
      </c>
      <c r="G475" t="s">
        <v>26</v>
      </c>
      <c r="H475" t="s">
        <v>651</v>
      </c>
      <c r="I475" t="s">
        <v>18</v>
      </c>
      <c r="J475" t="s">
        <v>652</v>
      </c>
      <c r="K475">
        <v>0</v>
      </c>
      <c r="L475">
        <v>5</v>
      </c>
      <c r="M475">
        <v>6</v>
      </c>
      <c r="N475">
        <v>0</v>
      </c>
    </row>
    <row r="476" spans="1:14" x14ac:dyDescent="0.25">
      <c r="A476">
        <v>474</v>
      </c>
      <c r="B476" t="s">
        <v>653</v>
      </c>
      <c r="C476" t="s">
        <v>654</v>
      </c>
      <c r="D476" t="s">
        <v>658</v>
      </c>
      <c r="E476" t="s">
        <v>14</v>
      </c>
      <c r="F476" t="s">
        <v>609</v>
      </c>
      <c r="G476" t="s">
        <v>26</v>
      </c>
      <c r="H476" t="s">
        <v>648</v>
      </c>
      <c r="I476" t="s">
        <v>41</v>
      </c>
      <c r="J476" t="s">
        <v>659</v>
      </c>
      <c r="K476">
        <v>0</v>
      </c>
      <c r="L476">
        <v>4</v>
      </c>
      <c r="M476">
        <v>5</v>
      </c>
      <c r="N476">
        <v>0</v>
      </c>
    </row>
    <row r="477" spans="1:14" x14ac:dyDescent="0.25">
      <c r="A477">
        <v>475</v>
      </c>
      <c r="B477" t="s">
        <v>653</v>
      </c>
      <c r="C477" t="s">
        <v>654</v>
      </c>
      <c r="D477" t="s">
        <v>658</v>
      </c>
      <c r="E477" t="s">
        <v>80</v>
      </c>
      <c r="F477" t="s">
        <v>394</v>
      </c>
      <c r="G477" t="s">
        <v>35</v>
      </c>
      <c r="H477" t="s">
        <v>513</v>
      </c>
      <c r="I477" t="s">
        <v>1612</v>
      </c>
      <c r="J477" t="s">
        <v>660</v>
      </c>
      <c r="K477">
        <v>0</v>
      </c>
      <c r="L477">
        <v>6</v>
      </c>
      <c r="M477">
        <v>5</v>
      </c>
      <c r="N477">
        <v>0</v>
      </c>
    </row>
    <row r="478" spans="1:14" x14ac:dyDescent="0.25">
      <c r="A478">
        <v>476</v>
      </c>
      <c r="B478" t="s">
        <v>653</v>
      </c>
      <c r="C478" t="s">
        <v>654</v>
      </c>
      <c r="D478" t="s">
        <v>658</v>
      </c>
      <c r="E478" t="s">
        <v>14</v>
      </c>
      <c r="F478" t="s">
        <v>609</v>
      </c>
      <c r="G478" t="s">
        <v>26</v>
      </c>
      <c r="H478" t="s">
        <v>648</v>
      </c>
      <c r="I478" t="s">
        <v>141</v>
      </c>
      <c r="J478" t="s">
        <v>661</v>
      </c>
      <c r="K478">
        <v>0</v>
      </c>
      <c r="L478">
        <v>10</v>
      </c>
      <c r="M478">
        <v>5</v>
      </c>
      <c r="N478">
        <v>0</v>
      </c>
    </row>
    <row r="479" spans="1:14" x14ac:dyDescent="0.25">
      <c r="A479">
        <v>477</v>
      </c>
      <c r="B479" t="s">
        <v>653</v>
      </c>
      <c r="C479" t="s">
        <v>654</v>
      </c>
      <c r="D479" t="s">
        <v>658</v>
      </c>
      <c r="E479" t="s">
        <v>34</v>
      </c>
      <c r="F479" t="s">
        <v>394</v>
      </c>
      <c r="G479" t="s">
        <v>35</v>
      </c>
      <c r="H479" t="s">
        <v>648</v>
      </c>
      <c r="I479" t="s">
        <v>352</v>
      </c>
      <c r="J479" t="s">
        <v>658</v>
      </c>
      <c r="K479">
        <v>0</v>
      </c>
      <c r="L479">
        <v>13</v>
      </c>
      <c r="M479">
        <v>5</v>
      </c>
      <c r="N479">
        <v>0</v>
      </c>
    </row>
    <row r="480" spans="1:14" x14ac:dyDescent="0.25">
      <c r="A480">
        <v>478</v>
      </c>
      <c r="B480" t="s">
        <v>653</v>
      </c>
      <c r="C480" t="s">
        <v>654</v>
      </c>
      <c r="D480" t="s">
        <v>658</v>
      </c>
      <c r="E480" t="s">
        <v>34</v>
      </c>
      <c r="F480" t="s">
        <v>394</v>
      </c>
      <c r="G480" t="s">
        <v>35</v>
      </c>
      <c r="H480" t="s">
        <v>648</v>
      </c>
      <c r="I480" t="s">
        <v>37</v>
      </c>
      <c r="J480" t="s">
        <v>662</v>
      </c>
      <c r="K480">
        <v>0</v>
      </c>
      <c r="L480">
        <v>5</v>
      </c>
      <c r="M480">
        <v>5</v>
      </c>
      <c r="N480">
        <v>0</v>
      </c>
    </row>
    <row r="481" spans="1:14" x14ac:dyDescent="0.25">
      <c r="A481">
        <v>479</v>
      </c>
      <c r="B481" t="s">
        <v>346</v>
      </c>
      <c r="C481" t="s">
        <v>516</v>
      </c>
      <c r="D481" t="s">
        <v>517</v>
      </c>
      <c r="E481" t="s">
        <v>34</v>
      </c>
      <c r="F481" t="s">
        <v>394</v>
      </c>
      <c r="G481" t="s">
        <v>35</v>
      </c>
      <c r="H481" t="s">
        <v>513</v>
      </c>
      <c r="I481" t="s">
        <v>43</v>
      </c>
      <c r="J481" t="s">
        <v>663</v>
      </c>
      <c r="K481">
        <v>0</v>
      </c>
      <c r="L481">
        <v>3</v>
      </c>
      <c r="M481">
        <v>3</v>
      </c>
      <c r="N481">
        <v>0</v>
      </c>
    </row>
    <row r="482" spans="1:14" x14ac:dyDescent="0.25">
      <c r="A482">
        <v>480</v>
      </c>
      <c r="B482" t="s">
        <v>346</v>
      </c>
      <c r="C482" t="s">
        <v>516</v>
      </c>
      <c r="D482" t="s">
        <v>517</v>
      </c>
      <c r="E482" t="s">
        <v>14</v>
      </c>
      <c r="F482" t="s">
        <v>394</v>
      </c>
      <c r="G482" t="s">
        <v>35</v>
      </c>
      <c r="H482" t="s">
        <v>513</v>
      </c>
      <c r="I482" t="s">
        <v>73</v>
      </c>
      <c r="J482" t="s">
        <v>664</v>
      </c>
      <c r="K482">
        <v>0</v>
      </c>
      <c r="L482">
        <v>5</v>
      </c>
      <c r="M482">
        <v>3</v>
      </c>
      <c r="N482">
        <v>0</v>
      </c>
    </row>
    <row r="483" spans="1:14" x14ac:dyDescent="0.25">
      <c r="A483">
        <v>481</v>
      </c>
      <c r="B483" t="s">
        <v>346</v>
      </c>
      <c r="C483" t="s">
        <v>516</v>
      </c>
      <c r="D483" t="s">
        <v>517</v>
      </c>
      <c r="E483" t="s">
        <v>14</v>
      </c>
      <c r="F483" t="s">
        <v>394</v>
      </c>
      <c r="G483" t="s">
        <v>35</v>
      </c>
      <c r="H483" t="s">
        <v>513</v>
      </c>
      <c r="I483" t="s">
        <v>27</v>
      </c>
      <c r="J483" t="s">
        <v>665</v>
      </c>
      <c r="K483">
        <v>0</v>
      </c>
      <c r="L483">
        <v>2</v>
      </c>
      <c r="M483">
        <v>3</v>
      </c>
      <c r="N483">
        <v>0</v>
      </c>
    </row>
    <row r="484" spans="1:14" x14ac:dyDescent="0.25">
      <c r="A484">
        <v>482</v>
      </c>
      <c r="B484" t="s">
        <v>653</v>
      </c>
      <c r="C484" t="s">
        <v>654</v>
      </c>
      <c r="D484" t="s">
        <v>658</v>
      </c>
      <c r="E484" t="s">
        <v>14</v>
      </c>
      <c r="F484" t="s">
        <v>609</v>
      </c>
      <c r="G484" t="s">
        <v>26</v>
      </c>
      <c r="H484" t="s">
        <v>648</v>
      </c>
      <c r="I484" t="s">
        <v>352</v>
      </c>
      <c r="J484" t="s">
        <v>666</v>
      </c>
      <c r="K484">
        <v>0</v>
      </c>
      <c r="L484">
        <v>4</v>
      </c>
      <c r="M484">
        <v>3</v>
      </c>
      <c r="N484">
        <v>0</v>
      </c>
    </row>
    <row r="485" spans="1:14" x14ac:dyDescent="0.25">
      <c r="A485">
        <v>483</v>
      </c>
      <c r="B485" t="s">
        <v>653</v>
      </c>
      <c r="C485" t="s">
        <v>654</v>
      </c>
      <c r="D485" t="s">
        <v>658</v>
      </c>
      <c r="E485" t="s">
        <v>80</v>
      </c>
      <c r="F485" t="s">
        <v>394</v>
      </c>
      <c r="G485" t="s">
        <v>26</v>
      </c>
      <c r="H485" t="s">
        <v>648</v>
      </c>
      <c r="I485" t="s">
        <v>27</v>
      </c>
      <c r="J485" t="s">
        <v>667</v>
      </c>
      <c r="K485">
        <v>0</v>
      </c>
      <c r="L485">
        <v>3</v>
      </c>
      <c r="M485">
        <v>3</v>
      </c>
      <c r="N485">
        <v>0</v>
      </c>
    </row>
    <row r="486" spans="1:14" x14ac:dyDescent="0.25">
      <c r="A486">
        <v>484</v>
      </c>
      <c r="B486" t="s">
        <v>346</v>
      </c>
      <c r="C486" t="s">
        <v>516</v>
      </c>
      <c r="D486" t="s">
        <v>517</v>
      </c>
      <c r="E486" t="s">
        <v>14</v>
      </c>
      <c r="F486" t="s">
        <v>394</v>
      </c>
      <c r="G486" t="s">
        <v>35</v>
      </c>
      <c r="H486" t="s">
        <v>513</v>
      </c>
      <c r="I486" t="s">
        <v>37</v>
      </c>
      <c r="J486" t="s">
        <v>668</v>
      </c>
      <c r="K486">
        <v>0</v>
      </c>
      <c r="L486">
        <v>8</v>
      </c>
      <c r="M486">
        <v>3</v>
      </c>
      <c r="N486">
        <v>0</v>
      </c>
    </row>
    <row r="487" spans="1:14" x14ac:dyDescent="0.25">
      <c r="A487">
        <v>485</v>
      </c>
      <c r="B487" t="s">
        <v>653</v>
      </c>
      <c r="C487" t="s">
        <v>654</v>
      </c>
      <c r="D487" t="s">
        <v>655</v>
      </c>
      <c r="E487" t="s">
        <v>34</v>
      </c>
      <c r="F487" t="s">
        <v>394</v>
      </c>
      <c r="G487" t="s">
        <v>26</v>
      </c>
      <c r="H487" t="s">
        <v>1710</v>
      </c>
      <c r="I487" t="s">
        <v>352</v>
      </c>
      <c r="J487" t="s">
        <v>670</v>
      </c>
      <c r="K487">
        <v>0</v>
      </c>
      <c r="L487">
        <v>7</v>
      </c>
      <c r="M487">
        <v>6</v>
      </c>
      <c r="N487">
        <v>0</v>
      </c>
    </row>
    <row r="488" spans="1:14" x14ac:dyDescent="0.25">
      <c r="A488">
        <v>486</v>
      </c>
      <c r="B488" t="s">
        <v>653</v>
      </c>
      <c r="C488" t="s">
        <v>654</v>
      </c>
      <c r="D488" t="s">
        <v>655</v>
      </c>
      <c r="E488" t="s">
        <v>52</v>
      </c>
      <c r="F488" t="s">
        <v>1711</v>
      </c>
      <c r="G488" t="s">
        <v>47</v>
      </c>
      <c r="H488" t="s">
        <v>656</v>
      </c>
      <c r="I488" t="s">
        <v>212</v>
      </c>
      <c r="J488" t="s">
        <v>671</v>
      </c>
      <c r="K488">
        <v>0</v>
      </c>
      <c r="L488">
        <v>2</v>
      </c>
      <c r="M488">
        <v>5</v>
      </c>
      <c r="N488">
        <v>0</v>
      </c>
    </row>
    <row r="489" spans="1:14" x14ac:dyDescent="0.25">
      <c r="A489">
        <v>487</v>
      </c>
      <c r="B489" t="s">
        <v>653</v>
      </c>
      <c r="C489" t="s">
        <v>672</v>
      </c>
      <c r="D489" t="s">
        <v>673</v>
      </c>
      <c r="E489" t="s">
        <v>14</v>
      </c>
      <c r="F489" t="s">
        <v>609</v>
      </c>
      <c r="G489" t="s">
        <v>26</v>
      </c>
      <c r="H489" t="s">
        <v>648</v>
      </c>
      <c r="I489" t="s">
        <v>41</v>
      </c>
      <c r="J489" t="s">
        <v>674</v>
      </c>
      <c r="K489">
        <v>0</v>
      </c>
      <c r="L489">
        <v>9</v>
      </c>
      <c r="M489">
        <v>6</v>
      </c>
      <c r="N489">
        <v>0</v>
      </c>
    </row>
    <row r="490" spans="1:14" x14ac:dyDescent="0.25">
      <c r="A490">
        <v>488</v>
      </c>
      <c r="B490" t="s">
        <v>653</v>
      </c>
      <c r="C490" t="s">
        <v>654</v>
      </c>
      <c r="D490" t="s">
        <v>655</v>
      </c>
      <c r="E490" t="s">
        <v>52</v>
      </c>
      <c r="F490" t="s">
        <v>609</v>
      </c>
      <c r="G490" t="s">
        <v>47</v>
      </c>
      <c r="H490" t="s">
        <v>1710</v>
      </c>
      <c r="I490" t="s">
        <v>141</v>
      </c>
      <c r="J490" t="s">
        <v>675</v>
      </c>
      <c r="K490">
        <v>0</v>
      </c>
      <c r="L490">
        <v>4</v>
      </c>
      <c r="M490">
        <v>6</v>
      </c>
      <c r="N490">
        <v>0</v>
      </c>
    </row>
    <row r="491" spans="1:14" x14ac:dyDescent="0.25">
      <c r="A491">
        <v>489</v>
      </c>
      <c r="B491" t="s">
        <v>653</v>
      </c>
      <c r="C491" t="s">
        <v>654</v>
      </c>
      <c r="D491" t="s">
        <v>655</v>
      </c>
      <c r="E491" t="s">
        <v>34</v>
      </c>
      <c r="F491" t="s">
        <v>609</v>
      </c>
      <c r="G491" t="s">
        <v>47</v>
      </c>
      <c r="H491" t="s">
        <v>1710</v>
      </c>
      <c r="I491" t="s">
        <v>43</v>
      </c>
      <c r="J491" t="s">
        <v>676</v>
      </c>
      <c r="K491">
        <v>0</v>
      </c>
      <c r="L491">
        <v>14</v>
      </c>
      <c r="M491">
        <v>8</v>
      </c>
      <c r="N491">
        <v>0</v>
      </c>
    </row>
    <row r="492" spans="1:14" x14ac:dyDescent="0.25">
      <c r="A492">
        <v>490</v>
      </c>
      <c r="B492" t="s">
        <v>653</v>
      </c>
      <c r="C492" t="s">
        <v>654</v>
      </c>
      <c r="D492" t="s">
        <v>655</v>
      </c>
      <c r="E492" t="s">
        <v>34</v>
      </c>
      <c r="F492" t="s">
        <v>609</v>
      </c>
      <c r="G492" t="s">
        <v>26</v>
      </c>
      <c r="H492" t="s">
        <v>1710</v>
      </c>
      <c r="I492" t="s">
        <v>43</v>
      </c>
      <c r="J492" t="s">
        <v>677</v>
      </c>
      <c r="K492">
        <v>0</v>
      </c>
      <c r="L492">
        <v>12</v>
      </c>
      <c r="M492">
        <v>5</v>
      </c>
      <c r="N492">
        <v>0</v>
      </c>
    </row>
    <row r="493" spans="1:14" x14ac:dyDescent="0.25">
      <c r="A493">
        <v>491</v>
      </c>
      <c r="B493" t="s">
        <v>653</v>
      </c>
      <c r="C493" t="s">
        <v>654</v>
      </c>
      <c r="D493" t="s">
        <v>655</v>
      </c>
      <c r="E493" t="s">
        <v>14</v>
      </c>
      <c r="F493" t="s">
        <v>349</v>
      </c>
      <c r="G493" t="s">
        <v>35</v>
      </c>
      <c r="H493" t="s">
        <v>1710</v>
      </c>
      <c r="I493" t="s">
        <v>1612</v>
      </c>
      <c r="J493" t="s">
        <v>678</v>
      </c>
      <c r="K493">
        <v>0</v>
      </c>
      <c r="L493">
        <v>7</v>
      </c>
      <c r="M493">
        <v>4</v>
      </c>
      <c r="N493">
        <v>0</v>
      </c>
    </row>
    <row r="494" spans="1:14" x14ac:dyDescent="0.25">
      <c r="A494">
        <v>492</v>
      </c>
      <c r="B494" t="s">
        <v>653</v>
      </c>
      <c r="C494" t="s">
        <v>654</v>
      </c>
      <c r="D494" t="s">
        <v>655</v>
      </c>
      <c r="E494" t="s">
        <v>34</v>
      </c>
      <c r="F494" t="s">
        <v>609</v>
      </c>
      <c r="G494" t="s">
        <v>35</v>
      </c>
      <c r="H494" t="s">
        <v>1710</v>
      </c>
      <c r="I494" t="s">
        <v>41</v>
      </c>
      <c r="J494" t="s">
        <v>679</v>
      </c>
      <c r="K494">
        <v>0</v>
      </c>
      <c r="L494">
        <v>5</v>
      </c>
      <c r="M494">
        <v>3</v>
      </c>
      <c r="N494">
        <v>0</v>
      </c>
    </row>
    <row r="495" spans="1:14" x14ac:dyDescent="0.25">
      <c r="A495">
        <v>493</v>
      </c>
      <c r="B495" t="s">
        <v>653</v>
      </c>
      <c r="C495" t="s">
        <v>654</v>
      </c>
      <c r="D495" t="s">
        <v>655</v>
      </c>
      <c r="E495" t="s">
        <v>34</v>
      </c>
      <c r="F495" t="s">
        <v>609</v>
      </c>
      <c r="G495" t="s">
        <v>35</v>
      </c>
      <c r="H495" t="s">
        <v>1710</v>
      </c>
      <c r="I495" t="s">
        <v>43</v>
      </c>
      <c r="J495" t="s">
        <v>680</v>
      </c>
      <c r="K495">
        <v>0</v>
      </c>
      <c r="L495">
        <v>5</v>
      </c>
      <c r="M495">
        <v>3</v>
      </c>
      <c r="N495">
        <v>0</v>
      </c>
    </row>
    <row r="496" spans="1:14" x14ac:dyDescent="0.25">
      <c r="A496">
        <v>494</v>
      </c>
      <c r="B496" t="s">
        <v>653</v>
      </c>
      <c r="C496" t="s">
        <v>654</v>
      </c>
      <c r="D496" t="s">
        <v>655</v>
      </c>
      <c r="E496" t="s">
        <v>52</v>
      </c>
      <c r="F496" t="s">
        <v>609</v>
      </c>
      <c r="G496" t="s">
        <v>47</v>
      </c>
      <c r="H496" t="s">
        <v>1710</v>
      </c>
      <c r="I496" t="s">
        <v>53</v>
      </c>
      <c r="J496" t="s">
        <v>681</v>
      </c>
      <c r="K496">
        <v>0</v>
      </c>
      <c r="L496">
        <v>1</v>
      </c>
      <c r="M496">
        <v>1</v>
      </c>
      <c r="N496">
        <v>0</v>
      </c>
    </row>
    <row r="497" spans="1:14" x14ac:dyDescent="0.25">
      <c r="A497">
        <v>495</v>
      </c>
      <c r="B497" t="s">
        <v>653</v>
      </c>
      <c r="C497" t="s">
        <v>654</v>
      </c>
      <c r="D497" t="s">
        <v>655</v>
      </c>
      <c r="E497" t="s">
        <v>34</v>
      </c>
      <c r="F497" t="s">
        <v>609</v>
      </c>
      <c r="G497" t="s">
        <v>47</v>
      </c>
      <c r="H497" t="s">
        <v>1710</v>
      </c>
      <c r="I497" t="s">
        <v>43</v>
      </c>
      <c r="J497" t="s">
        <v>682</v>
      </c>
      <c r="K497">
        <v>0</v>
      </c>
      <c r="L497">
        <v>4</v>
      </c>
      <c r="M497">
        <v>2</v>
      </c>
      <c r="N497">
        <v>0</v>
      </c>
    </row>
    <row r="498" spans="1:14" x14ac:dyDescent="0.25">
      <c r="A498">
        <v>496</v>
      </c>
      <c r="B498" t="s">
        <v>653</v>
      </c>
      <c r="C498" t="s">
        <v>654</v>
      </c>
      <c r="D498" t="s">
        <v>655</v>
      </c>
      <c r="E498" t="s">
        <v>52</v>
      </c>
      <c r="F498" t="s">
        <v>609</v>
      </c>
      <c r="G498" t="s">
        <v>47</v>
      </c>
      <c r="H498" t="s">
        <v>1710</v>
      </c>
      <c r="I498" t="s">
        <v>41</v>
      </c>
      <c r="J498" t="s">
        <v>683</v>
      </c>
      <c r="K498">
        <v>0</v>
      </c>
      <c r="L498">
        <v>3</v>
      </c>
      <c r="M498">
        <v>2</v>
      </c>
      <c r="N498">
        <v>0</v>
      </c>
    </row>
    <row r="499" spans="1:14" x14ac:dyDescent="0.25">
      <c r="A499">
        <v>497</v>
      </c>
      <c r="B499" t="s">
        <v>653</v>
      </c>
      <c r="C499" t="s">
        <v>654</v>
      </c>
      <c r="D499" t="s">
        <v>684</v>
      </c>
      <c r="E499" t="s">
        <v>52</v>
      </c>
      <c r="F499" t="s">
        <v>609</v>
      </c>
      <c r="G499" t="s">
        <v>47</v>
      </c>
      <c r="H499" t="s">
        <v>1710</v>
      </c>
      <c r="I499" t="s">
        <v>685</v>
      </c>
      <c r="J499" t="s">
        <v>686</v>
      </c>
      <c r="K499">
        <v>9</v>
      </c>
      <c r="L499">
        <v>3</v>
      </c>
      <c r="M499">
        <v>2</v>
      </c>
      <c r="N499">
        <v>0</v>
      </c>
    </row>
    <row r="500" spans="1:14" x14ac:dyDescent="0.25">
      <c r="A500">
        <v>498</v>
      </c>
      <c r="B500" t="s">
        <v>653</v>
      </c>
      <c r="C500" t="s">
        <v>654</v>
      </c>
      <c r="D500" t="s">
        <v>684</v>
      </c>
      <c r="E500" t="s">
        <v>52</v>
      </c>
      <c r="F500" t="s">
        <v>609</v>
      </c>
      <c r="G500" t="s">
        <v>47</v>
      </c>
      <c r="H500" t="s">
        <v>1710</v>
      </c>
      <c r="I500" t="s">
        <v>687</v>
      </c>
      <c r="J500" t="s">
        <v>688</v>
      </c>
      <c r="K500">
        <v>9</v>
      </c>
      <c r="L500">
        <v>3</v>
      </c>
      <c r="M500">
        <v>3</v>
      </c>
      <c r="N500">
        <v>0</v>
      </c>
    </row>
    <row r="501" spans="1:14" x14ac:dyDescent="0.25">
      <c r="A501">
        <v>499</v>
      </c>
      <c r="B501" t="s">
        <v>653</v>
      </c>
      <c r="C501" t="s">
        <v>654</v>
      </c>
      <c r="D501" t="s">
        <v>689</v>
      </c>
      <c r="E501" t="s">
        <v>14</v>
      </c>
      <c r="F501" t="s">
        <v>1711</v>
      </c>
      <c r="G501" t="s">
        <v>47</v>
      </c>
      <c r="H501" t="s">
        <v>1710</v>
      </c>
      <c r="I501" t="s">
        <v>84</v>
      </c>
      <c r="J501" t="s">
        <v>690</v>
      </c>
      <c r="K501">
        <v>7</v>
      </c>
      <c r="L501">
        <v>3</v>
      </c>
      <c r="M501">
        <v>4</v>
      </c>
      <c r="N501">
        <v>0</v>
      </c>
    </row>
    <row r="502" spans="1:14" x14ac:dyDescent="0.25">
      <c r="A502">
        <v>500</v>
      </c>
      <c r="B502" t="s">
        <v>653</v>
      </c>
      <c r="C502" t="s">
        <v>654</v>
      </c>
      <c r="D502" t="s">
        <v>689</v>
      </c>
      <c r="E502" t="s">
        <v>14</v>
      </c>
      <c r="F502" t="s">
        <v>609</v>
      </c>
      <c r="G502" t="s">
        <v>47</v>
      </c>
      <c r="H502" t="s">
        <v>1710</v>
      </c>
      <c r="I502" t="s">
        <v>84</v>
      </c>
      <c r="J502" t="s">
        <v>689</v>
      </c>
      <c r="K502">
        <v>7</v>
      </c>
      <c r="L502">
        <v>5</v>
      </c>
      <c r="M502">
        <v>3</v>
      </c>
      <c r="N502">
        <v>0</v>
      </c>
    </row>
    <row r="503" spans="1:14" x14ac:dyDescent="0.25">
      <c r="A503">
        <v>501</v>
      </c>
      <c r="B503" t="s">
        <v>653</v>
      </c>
      <c r="C503" t="s">
        <v>654</v>
      </c>
      <c r="D503" t="s">
        <v>689</v>
      </c>
      <c r="E503" t="s">
        <v>52</v>
      </c>
      <c r="F503" t="s">
        <v>609</v>
      </c>
      <c r="G503" t="s">
        <v>47</v>
      </c>
      <c r="H503" t="s">
        <v>1710</v>
      </c>
      <c r="I503" t="s">
        <v>41</v>
      </c>
      <c r="J503" t="s">
        <v>691</v>
      </c>
      <c r="K503">
        <v>8</v>
      </c>
      <c r="L503">
        <v>2</v>
      </c>
      <c r="M503">
        <v>2</v>
      </c>
      <c r="N503">
        <v>0</v>
      </c>
    </row>
    <row r="504" spans="1:14" x14ac:dyDescent="0.25">
      <c r="A504">
        <v>502</v>
      </c>
      <c r="B504" t="s">
        <v>653</v>
      </c>
      <c r="C504" t="s">
        <v>654</v>
      </c>
      <c r="D504" t="s">
        <v>689</v>
      </c>
      <c r="E504" t="s">
        <v>14</v>
      </c>
      <c r="F504" t="s">
        <v>609</v>
      </c>
      <c r="G504" t="s">
        <v>47</v>
      </c>
      <c r="H504" t="s">
        <v>1710</v>
      </c>
      <c r="I504" t="s">
        <v>27</v>
      </c>
      <c r="J504" t="s">
        <v>692</v>
      </c>
      <c r="K504">
        <v>6</v>
      </c>
      <c r="L504">
        <v>2</v>
      </c>
      <c r="M504">
        <v>2</v>
      </c>
      <c r="N504">
        <v>0</v>
      </c>
    </row>
    <row r="505" spans="1:14" x14ac:dyDescent="0.25">
      <c r="A505">
        <v>503</v>
      </c>
      <c r="B505" t="s">
        <v>653</v>
      </c>
      <c r="C505" t="s">
        <v>654</v>
      </c>
      <c r="D505" t="s">
        <v>693</v>
      </c>
      <c r="E505" t="s">
        <v>52</v>
      </c>
      <c r="F505" t="s">
        <v>609</v>
      </c>
      <c r="G505" t="s">
        <v>47</v>
      </c>
      <c r="H505" t="s">
        <v>1710</v>
      </c>
      <c r="I505" t="s">
        <v>687</v>
      </c>
      <c r="J505" t="s">
        <v>694</v>
      </c>
      <c r="K505">
        <v>9</v>
      </c>
      <c r="L505">
        <v>1</v>
      </c>
      <c r="M505">
        <v>2</v>
      </c>
      <c r="N505">
        <v>0</v>
      </c>
    </row>
    <row r="506" spans="1:14" x14ac:dyDescent="0.25">
      <c r="A506">
        <v>504</v>
      </c>
      <c r="B506" t="s">
        <v>653</v>
      </c>
      <c r="C506" t="s">
        <v>654</v>
      </c>
      <c r="D506" t="s">
        <v>693</v>
      </c>
      <c r="E506" t="s">
        <v>14</v>
      </c>
      <c r="F506" t="s">
        <v>609</v>
      </c>
      <c r="G506" t="s">
        <v>47</v>
      </c>
      <c r="H506" t="s">
        <v>1710</v>
      </c>
      <c r="I506" t="s">
        <v>685</v>
      </c>
      <c r="J506" t="s">
        <v>695</v>
      </c>
      <c r="K506">
        <v>7</v>
      </c>
      <c r="L506">
        <v>4</v>
      </c>
      <c r="M506">
        <v>5</v>
      </c>
      <c r="N506">
        <v>0</v>
      </c>
    </row>
    <row r="507" spans="1:14" x14ac:dyDescent="0.25">
      <c r="A507">
        <v>505</v>
      </c>
      <c r="B507" t="s">
        <v>653</v>
      </c>
      <c r="C507" t="s">
        <v>654</v>
      </c>
      <c r="D507" t="s">
        <v>693</v>
      </c>
      <c r="E507" t="s">
        <v>14</v>
      </c>
      <c r="F507" t="s">
        <v>609</v>
      </c>
      <c r="G507" t="s">
        <v>47</v>
      </c>
      <c r="H507" t="s">
        <v>1710</v>
      </c>
      <c r="I507" t="s">
        <v>53</v>
      </c>
      <c r="J507" t="s">
        <v>696</v>
      </c>
      <c r="K507">
        <v>9</v>
      </c>
      <c r="L507">
        <v>5</v>
      </c>
      <c r="M507">
        <v>1</v>
      </c>
      <c r="N507">
        <v>0</v>
      </c>
    </row>
    <row r="508" spans="1:14" x14ac:dyDescent="0.25">
      <c r="A508">
        <v>506</v>
      </c>
      <c r="B508" t="s">
        <v>653</v>
      </c>
      <c r="C508" t="s">
        <v>654</v>
      </c>
      <c r="D508" t="s">
        <v>684</v>
      </c>
      <c r="E508" t="s">
        <v>52</v>
      </c>
      <c r="F508" t="s">
        <v>1711</v>
      </c>
      <c r="G508" t="s">
        <v>47</v>
      </c>
      <c r="H508" t="s">
        <v>1710</v>
      </c>
      <c r="I508" t="s">
        <v>685</v>
      </c>
      <c r="J508" t="s">
        <v>697</v>
      </c>
      <c r="K508">
        <v>9</v>
      </c>
      <c r="L508">
        <v>2</v>
      </c>
      <c r="M508">
        <v>2</v>
      </c>
      <c r="N508">
        <v>0</v>
      </c>
    </row>
    <row r="509" spans="1:14" x14ac:dyDescent="0.25">
      <c r="A509">
        <v>507</v>
      </c>
      <c r="B509" t="s">
        <v>653</v>
      </c>
      <c r="C509" t="s">
        <v>654</v>
      </c>
      <c r="D509" t="s">
        <v>684</v>
      </c>
      <c r="E509" t="s">
        <v>52</v>
      </c>
      <c r="F509" t="s">
        <v>1711</v>
      </c>
      <c r="G509" t="s">
        <v>47</v>
      </c>
      <c r="H509" t="s">
        <v>1710</v>
      </c>
      <c r="I509" t="s">
        <v>41</v>
      </c>
      <c r="J509" t="s">
        <v>698</v>
      </c>
      <c r="K509">
        <v>9</v>
      </c>
      <c r="L509">
        <v>1</v>
      </c>
      <c r="M509">
        <v>2</v>
      </c>
      <c r="N509">
        <v>0</v>
      </c>
    </row>
    <row r="510" spans="1:14" x14ac:dyDescent="0.25">
      <c r="A510">
        <v>508</v>
      </c>
      <c r="B510" t="s">
        <v>653</v>
      </c>
      <c r="C510" t="s">
        <v>654</v>
      </c>
      <c r="D510" t="s">
        <v>655</v>
      </c>
      <c r="E510" t="s">
        <v>52</v>
      </c>
      <c r="F510" t="s">
        <v>1711</v>
      </c>
      <c r="G510" t="s">
        <v>47</v>
      </c>
      <c r="H510" t="s">
        <v>1710</v>
      </c>
      <c r="I510" t="s">
        <v>687</v>
      </c>
      <c r="J510" t="s">
        <v>699</v>
      </c>
      <c r="K510">
        <v>7</v>
      </c>
      <c r="L510">
        <v>9</v>
      </c>
      <c r="M510">
        <v>6</v>
      </c>
      <c r="N510">
        <v>0</v>
      </c>
    </row>
    <row r="511" spans="1:14" x14ac:dyDescent="0.25">
      <c r="A511">
        <v>509</v>
      </c>
      <c r="B511" t="s">
        <v>653</v>
      </c>
      <c r="C511" t="s">
        <v>654</v>
      </c>
      <c r="D511" t="s">
        <v>684</v>
      </c>
      <c r="E511" t="s">
        <v>52</v>
      </c>
      <c r="F511" t="s">
        <v>1711</v>
      </c>
      <c r="G511" t="s">
        <v>47</v>
      </c>
      <c r="H511" t="s">
        <v>1710</v>
      </c>
      <c r="I511" t="s">
        <v>685</v>
      </c>
      <c r="J511" t="s">
        <v>700</v>
      </c>
      <c r="K511">
        <v>9</v>
      </c>
      <c r="L511">
        <v>1</v>
      </c>
      <c r="M511">
        <v>3</v>
      </c>
      <c r="N511">
        <v>0</v>
      </c>
    </row>
    <row r="512" spans="1:14" x14ac:dyDescent="0.25">
      <c r="A512">
        <v>510</v>
      </c>
      <c r="B512" t="s">
        <v>653</v>
      </c>
      <c r="C512" t="s">
        <v>701</v>
      </c>
      <c r="D512" t="s">
        <v>702</v>
      </c>
      <c r="E512" t="s">
        <v>22</v>
      </c>
      <c r="F512" t="s">
        <v>609</v>
      </c>
      <c r="G512" t="s">
        <v>122</v>
      </c>
      <c r="H512" t="s">
        <v>620</v>
      </c>
      <c r="I512" t="s">
        <v>20</v>
      </c>
      <c r="J512" t="s">
        <v>704</v>
      </c>
      <c r="K512">
        <v>3</v>
      </c>
      <c r="L512">
        <v>3</v>
      </c>
      <c r="M512">
        <v>2</v>
      </c>
      <c r="N512">
        <v>0</v>
      </c>
    </row>
    <row r="513" spans="1:14" x14ac:dyDescent="0.25">
      <c r="A513">
        <v>511</v>
      </c>
      <c r="B513" t="s">
        <v>653</v>
      </c>
      <c r="C513" t="s">
        <v>701</v>
      </c>
      <c r="D513" t="s">
        <v>702</v>
      </c>
      <c r="E513" t="s">
        <v>22</v>
      </c>
      <c r="F513" t="s">
        <v>609</v>
      </c>
      <c r="G513" t="s">
        <v>122</v>
      </c>
      <c r="H513" t="s">
        <v>620</v>
      </c>
      <c r="I513" t="s">
        <v>20</v>
      </c>
      <c r="J513" t="s">
        <v>705</v>
      </c>
      <c r="K513">
        <v>3</v>
      </c>
      <c r="L513">
        <v>3</v>
      </c>
      <c r="M513">
        <v>1</v>
      </c>
      <c r="N513">
        <v>0</v>
      </c>
    </row>
    <row r="514" spans="1:14" x14ac:dyDescent="0.25">
      <c r="A514">
        <v>512</v>
      </c>
      <c r="B514" t="s">
        <v>653</v>
      </c>
      <c r="C514" t="s">
        <v>701</v>
      </c>
      <c r="D514" t="s">
        <v>702</v>
      </c>
      <c r="E514" t="s">
        <v>34</v>
      </c>
      <c r="F514" t="s">
        <v>609</v>
      </c>
      <c r="G514" t="s">
        <v>26</v>
      </c>
      <c r="H514" t="s">
        <v>620</v>
      </c>
      <c r="I514" t="s">
        <v>41</v>
      </c>
      <c r="J514" t="s">
        <v>706</v>
      </c>
      <c r="K514">
        <v>4</v>
      </c>
      <c r="L514">
        <v>3</v>
      </c>
      <c r="M514">
        <v>1</v>
      </c>
      <c r="N514">
        <v>0</v>
      </c>
    </row>
    <row r="515" spans="1:14" x14ac:dyDescent="0.25">
      <c r="A515">
        <v>513</v>
      </c>
      <c r="B515" t="s">
        <v>653</v>
      </c>
      <c r="C515" t="s">
        <v>701</v>
      </c>
      <c r="D515" t="s">
        <v>702</v>
      </c>
      <c r="E515" t="s">
        <v>34</v>
      </c>
      <c r="F515" t="s">
        <v>609</v>
      </c>
      <c r="G515" t="s">
        <v>26</v>
      </c>
      <c r="H515" t="s">
        <v>620</v>
      </c>
      <c r="I515" t="s">
        <v>43</v>
      </c>
      <c r="J515" t="s">
        <v>708</v>
      </c>
      <c r="K515">
        <v>3</v>
      </c>
      <c r="L515">
        <v>5</v>
      </c>
      <c r="M515">
        <v>1</v>
      </c>
      <c r="N515">
        <v>0</v>
      </c>
    </row>
    <row r="516" spans="1:14" x14ac:dyDescent="0.25">
      <c r="A516">
        <v>514</v>
      </c>
      <c r="B516" t="s">
        <v>653</v>
      </c>
      <c r="C516" t="s">
        <v>701</v>
      </c>
      <c r="D516" t="s">
        <v>702</v>
      </c>
      <c r="E516" t="s">
        <v>34</v>
      </c>
      <c r="F516" t="s">
        <v>609</v>
      </c>
      <c r="G516" t="s">
        <v>122</v>
      </c>
      <c r="H516" t="s">
        <v>620</v>
      </c>
      <c r="I516" t="s">
        <v>43</v>
      </c>
      <c r="J516" t="s">
        <v>709</v>
      </c>
      <c r="K516">
        <v>4</v>
      </c>
      <c r="L516">
        <v>3</v>
      </c>
      <c r="M516">
        <v>1</v>
      </c>
      <c r="N516">
        <v>0</v>
      </c>
    </row>
    <row r="517" spans="1:14" x14ac:dyDescent="0.25">
      <c r="A517">
        <v>515</v>
      </c>
      <c r="B517" t="s">
        <v>653</v>
      </c>
      <c r="C517" t="s">
        <v>701</v>
      </c>
      <c r="D517" t="s">
        <v>702</v>
      </c>
      <c r="E517" t="s">
        <v>34</v>
      </c>
      <c r="F517" t="s">
        <v>609</v>
      </c>
      <c r="G517" t="s">
        <v>26</v>
      </c>
      <c r="H517" t="s">
        <v>620</v>
      </c>
      <c r="I517" t="s">
        <v>41</v>
      </c>
      <c r="J517" t="s">
        <v>710</v>
      </c>
      <c r="K517">
        <v>5</v>
      </c>
      <c r="L517">
        <v>3</v>
      </c>
      <c r="M517">
        <v>1</v>
      </c>
      <c r="N517">
        <v>0</v>
      </c>
    </row>
    <row r="518" spans="1:14" x14ac:dyDescent="0.25">
      <c r="A518">
        <v>516</v>
      </c>
      <c r="B518" t="s">
        <v>653</v>
      </c>
      <c r="C518" t="s">
        <v>672</v>
      </c>
      <c r="D518" t="s">
        <v>711</v>
      </c>
      <c r="E518" t="s">
        <v>34</v>
      </c>
      <c r="F518" t="s">
        <v>609</v>
      </c>
      <c r="G518" t="s">
        <v>26</v>
      </c>
      <c r="H518" t="s">
        <v>620</v>
      </c>
      <c r="I518" t="s">
        <v>53</v>
      </c>
      <c r="J518" t="s">
        <v>713</v>
      </c>
      <c r="K518">
        <v>6</v>
      </c>
      <c r="L518">
        <v>2</v>
      </c>
      <c r="M518">
        <v>2</v>
      </c>
      <c r="N518">
        <v>0</v>
      </c>
    </row>
    <row r="519" spans="1:14" x14ac:dyDescent="0.25">
      <c r="A519">
        <v>517</v>
      </c>
      <c r="B519" t="s">
        <v>653</v>
      </c>
      <c r="C519" t="s">
        <v>672</v>
      </c>
      <c r="D519" t="s">
        <v>711</v>
      </c>
      <c r="E519" t="s">
        <v>34</v>
      </c>
      <c r="F519" t="s">
        <v>609</v>
      </c>
      <c r="G519" t="s">
        <v>26</v>
      </c>
      <c r="H519" t="s">
        <v>620</v>
      </c>
      <c r="I519" t="s">
        <v>41</v>
      </c>
      <c r="J519" t="s">
        <v>715</v>
      </c>
      <c r="K519">
        <v>5</v>
      </c>
      <c r="L519">
        <v>3</v>
      </c>
      <c r="M519">
        <v>2</v>
      </c>
      <c r="N519">
        <v>0</v>
      </c>
    </row>
    <row r="520" spans="1:14" x14ac:dyDescent="0.25">
      <c r="A520">
        <v>518</v>
      </c>
      <c r="B520" t="s">
        <v>653</v>
      </c>
      <c r="C520" t="s">
        <v>672</v>
      </c>
      <c r="D520" t="s">
        <v>711</v>
      </c>
      <c r="E520" t="s">
        <v>34</v>
      </c>
      <c r="F520" t="s">
        <v>609</v>
      </c>
      <c r="G520" t="s">
        <v>26</v>
      </c>
      <c r="H520" t="s">
        <v>620</v>
      </c>
      <c r="I520" t="s">
        <v>41</v>
      </c>
      <c r="J520" t="s">
        <v>716</v>
      </c>
      <c r="K520">
        <v>6</v>
      </c>
      <c r="L520">
        <v>3</v>
      </c>
      <c r="M520">
        <v>2</v>
      </c>
      <c r="N520">
        <v>0</v>
      </c>
    </row>
    <row r="521" spans="1:14" x14ac:dyDescent="0.25">
      <c r="A521">
        <v>519</v>
      </c>
      <c r="B521" t="s">
        <v>653</v>
      </c>
      <c r="C521" t="s">
        <v>672</v>
      </c>
      <c r="D521" t="s">
        <v>711</v>
      </c>
      <c r="E521" t="s">
        <v>52</v>
      </c>
      <c r="F521" t="s">
        <v>609</v>
      </c>
      <c r="G521" t="s">
        <v>26</v>
      </c>
      <c r="H521" t="s">
        <v>620</v>
      </c>
      <c r="I521" t="s">
        <v>41</v>
      </c>
      <c r="J521" t="s">
        <v>717</v>
      </c>
      <c r="K521">
        <v>8</v>
      </c>
      <c r="L521">
        <v>3</v>
      </c>
      <c r="M521">
        <v>4</v>
      </c>
      <c r="N521">
        <v>0</v>
      </c>
    </row>
    <row r="522" spans="1:14" x14ac:dyDescent="0.25">
      <c r="A522">
        <v>520</v>
      </c>
      <c r="B522" t="s">
        <v>653</v>
      </c>
      <c r="C522" t="s">
        <v>672</v>
      </c>
      <c r="D522" t="s">
        <v>711</v>
      </c>
      <c r="E522" t="s">
        <v>52</v>
      </c>
      <c r="F522" t="s">
        <v>609</v>
      </c>
      <c r="G522" t="s">
        <v>47</v>
      </c>
      <c r="H522" t="s">
        <v>620</v>
      </c>
      <c r="I522" t="s">
        <v>41</v>
      </c>
      <c r="J522" t="s">
        <v>718</v>
      </c>
      <c r="K522">
        <v>9</v>
      </c>
      <c r="L522">
        <v>1</v>
      </c>
      <c r="M522">
        <v>2</v>
      </c>
      <c r="N522">
        <v>0</v>
      </c>
    </row>
    <row r="523" spans="1:14" x14ac:dyDescent="0.25">
      <c r="A523">
        <v>521</v>
      </c>
      <c r="B523" t="s">
        <v>653</v>
      </c>
      <c r="C523" t="s">
        <v>672</v>
      </c>
      <c r="D523" t="s">
        <v>711</v>
      </c>
      <c r="E523" t="s">
        <v>52</v>
      </c>
      <c r="F523" t="s">
        <v>609</v>
      </c>
      <c r="G523" t="s">
        <v>47</v>
      </c>
      <c r="H523" t="s">
        <v>1712</v>
      </c>
      <c r="I523" t="s">
        <v>41</v>
      </c>
      <c r="J523" t="s">
        <v>720</v>
      </c>
      <c r="K523">
        <v>8</v>
      </c>
      <c r="L523">
        <v>3</v>
      </c>
      <c r="M523">
        <v>2</v>
      </c>
      <c r="N523">
        <v>0</v>
      </c>
    </row>
    <row r="524" spans="1:14" x14ac:dyDescent="0.25">
      <c r="A524">
        <v>522</v>
      </c>
      <c r="B524" t="s">
        <v>653</v>
      </c>
      <c r="C524" t="s">
        <v>672</v>
      </c>
      <c r="D524" t="s">
        <v>711</v>
      </c>
      <c r="E524" t="s">
        <v>52</v>
      </c>
      <c r="F524" t="s">
        <v>609</v>
      </c>
      <c r="G524" t="s">
        <v>47</v>
      </c>
      <c r="H524" t="s">
        <v>1712</v>
      </c>
      <c r="I524" t="s">
        <v>41</v>
      </c>
      <c r="J524" t="s">
        <v>721</v>
      </c>
      <c r="K524">
        <v>7</v>
      </c>
      <c r="L524">
        <v>7</v>
      </c>
      <c r="M524">
        <v>3</v>
      </c>
      <c r="N524">
        <v>0</v>
      </c>
    </row>
    <row r="525" spans="1:14" x14ac:dyDescent="0.25">
      <c r="A525">
        <v>523</v>
      </c>
      <c r="B525" t="s">
        <v>653</v>
      </c>
      <c r="C525" t="s">
        <v>672</v>
      </c>
      <c r="D525" t="s">
        <v>711</v>
      </c>
      <c r="E525" t="s">
        <v>52</v>
      </c>
      <c r="F525" t="s">
        <v>609</v>
      </c>
      <c r="G525" t="s">
        <v>35</v>
      </c>
      <c r="H525" t="s">
        <v>1712</v>
      </c>
      <c r="I525" t="s">
        <v>41</v>
      </c>
      <c r="J525" t="s">
        <v>722</v>
      </c>
      <c r="K525">
        <v>4</v>
      </c>
      <c r="L525">
        <v>3</v>
      </c>
      <c r="M525">
        <v>3</v>
      </c>
      <c r="N525">
        <v>0</v>
      </c>
    </row>
    <row r="526" spans="1:14" x14ac:dyDescent="0.25">
      <c r="A526">
        <v>524</v>
      </c>
      <c r="B526" t="s">
        <v>653</v>
      </c>
      <c r="C526" t="s">
        <v>672</v>
      </c>
      <c r="D526" t="s">
        <v>711</v>
      </c>
      <c r="E526" t="s">
        <v>52</v>
      </c>
      <c r="F526" t="s">
        <v>609</v>
      </c>
      <c r="G526" t="s">
        <v>35</v>
      </c>
      <c r="H526" t="s">
        <v>1712</v>
      </c>
      <c r="I526" t="s">
        <v>41</v>
      </c>
      <c r="J526" t="s">
        <v>723</v>
      </c>
      <c r="K526">
        <v>4</v>
      </c>
      <c r="L526">
        <v>3</v>
      </c>
      <c r="M526">
        <v>3</v>
      </c>
      <c r="N526">
        <v>0</v>
      </c>
    </row>
    <row r="527" spans="1:14" x14ac:dyDescent="0.25">
      <c r="A527">
        <v>525</v>
      </c>
      <c r="B527" t="s">
        <v>653</v>
      </c>
      <c r="C527" t="s">
        <v>672</v>
      </c>
      <c r="D527" t="s">
        <v>673</v>
      </c>
      <c r="E527" t="s">
        <v>14</v>
      </c>
      <c r="F527" t="s">
        <v>609</v>
      </c>
      <c r="G527" t="s">
        <v>35</v>
      </c>
      <c r="H527" t="s">
        <v>719</v>
      </c>
      <c r="I527" t="s">
        <v>27</v>
      </c>
      <c r="J527" t="s">
        <v>724</v>
      </c>
      <c r="K527">
        <v>6</v>
      </c>
      <c r="L527">
        <v>6</v>
      </c>
      <c r="M527">
        <v>2</v>
      </c>
      <c r="N527">
        <v>0</v>
      </c>
    </row>
    <row r="528" spans="1:14" x14ac:dyDescent="0.25">
      <c r="A528">
        <v>526</v>
      </c>
      <c r="B528" t="s">
        <v>653</v>
      </c>
      <c r="C528" t="s">
        <v>672</v>
      </c>
      <c r="D528" t="s">
        <v>673</v>
      </c>
      <c r="E528" t="s">
        <v>14</v>
      </c>
      <c r="F528" t="s">
        <v>609</v>
      </c>
      <c r="G528" t="s">
        <v>26</v>
      </c>
      <c r="H528" t="s">
        <v>719</v>
      </c>
      <c r="I528" t="s">
        <v>41</v>
      </c>
      <c r="J528" t="s">
        <v>725</v>
      </c>
      <c r="K528">
        <v>8</v>
      </c>
      <c r="L528">
        <v>7</v>
      </c>
      <c r="M528">
        <v>2</v>
      </c>
      <c r="N528">
        <v>0</v>
      </c>
    </row>
    <row r="529" spans="1:14" x14ac:dyDescent="0.25">
      <c r="A529">
        <v>527</v>
      </c>
      <c r="B529" t="s">
        <v>653</v>
      </c>
      <c r="C529" t="s">
        <v>672</v>
      </c>
      <c r="D529" t="s">
        <v>673</v>
      </c>
      <c r="E529" t="s">
        <v>14</v>
      </c>
      <c r="F529" t="s">
        <v>609</v>
      </c>
      <c r="G529" t="s">
        <v>26</v>
      </c>
      <c r="H529" t="s">
        <v>719</v>
      </c>
      <c r="I529" t="s">
        <v>212</v>
      </c>
      <c r="J529" t="s">
        <v>726</v>
      </c>
      <c r="K529">
        <v>8</v>
      </c>
      <c r="L529">
        <v>5</v>
      </c>
      <c r="M529">
        <v>1</v>
      </c>
      <c r="N529">
        <v>0</v>
      </c>
    </row>
    <row r="530" spans="1:14" x14ac:dyDescent="0.25">
      <c r="A530">
        <v>528</v>
      </c>
      <c r="B530" t="s">
        <v>653</v>
      </c>
      <c r="C530" t="s">
        <v>672</v>
      </c>
      <c r="D530" t="s">
        <v>673</v>
      </c>
      <c r="E530" t="s">
        <v>52</v>
      </c>
      <c r="F530" t="s">
        <v>609</v>
      </c>
      <c r="G530" t="s">
        <v>47</v>
      </c>
      <c r="H530" t="s">
        <v>719</v>
      </c>
      <c r="I530" t="s">
        <v>41</v>
      </c>
      <c r="J530" t="s">
        <v>727</v>
      </c>
      <c r="K530">
        <v>9</v>
      </c>
      <c r="L530">
        <v>2</v>
      </c>
      <c r="M530">
        <v>1</v>
      </c>
      <c r="N530">
        <v>0</v>
      </c>
    </row>
    <row r="531" spans="1:14" x14ac:dyDescent="0.25">
      <c r="A531">
        <v>529</v>
      </c>
      <c r="B531" t="s">
        <v>653</v>
      </c>
      <c r="C531" t="s">
        <v>672</v>
      </c>
      <c r="D531" t="s">
        <v>673</v>
      </c>
      <c r="E531" t="s">
        <v>14</v>
      </c>
      <c r="F531" t="s">
        <v>1711</v>
      </c>
      <c r="G531" t="s">
        <v>26</v>
      </c>
      <c r="H531" t="s">
        <v>719</v>
      </c>
      <c r="I531" t="s">
        <v>685</v>
      </c>
      <c r="J531" t="s">
        <v>728</v>
      </c>
      <c r="K531">
        <v>8</v>
      </c>
      <c r="L531">
        <v>16</v>
      </c>
      <c r="M531">
        <v>10</v>
      </c>
      <c r="N531">
        <v>0</v>
      </c>
    </row>
    <row r="532" spans="1:14" x14ac:dyDescent="0.25">
      <c r="A532">
        <v>530</v>
      </c>
      <c r="B532" t="s">
        <v>653</v>
      </c>
      <c r="C532" t="s">
        <v>672</v>
      </c>
      <c r="D532" t="s">
        <v>673</v>
      </c>
      <c r="E532" t="s">
        <v>14</v>
      </c>
      <c r="F532" t="s">
        <v>1711</v>
      </c>
      <c r="G532" t="s">
        <v>35</v>
      </c>
      <c r="H532" t="s">
        <v>719</v>
      </c>
      <c r="I532" t="s">
        <v>685</v>
      </c>
      <c r="J532" t="s">
        <v>729</v>
      </c>
      <c r="K532">
        <v>8</v>
      </c>
      <c r="L532">
        <v>14</v>
      </c>
      <c r="M532">
        <v>8</v>
      </c>
      <c r="N532">
        <v>0</v>
      </c>
    </row>
    <row r="533" spans="1:14" x14ac:dyDescent="0.25">
      <c r="A533">
        <v>531</v>
      </c>
      <c r="B533" t="s">
        <v>653</v>
      </c>
      <c r="C533" t="s">
        <v>672</v>
      </c>
      <c r="D533" t="s">
        <v>673</v>
      </c>
      <c r="E533" t="s">
        <v>14</v>
      </c>
      <c r="F533" t="s">
        <v>1711</v>
      </c>
      <c r="G533" t="s">
        <v>26</v>
      </c>
      <c r="H533" t="s">
        <v>719</v>
      </c>
      <c r="I533" t="s">
        <v>352</v>
      </c>
      <c r="J533" t="s">
        <v>730</v>
      </c>
      <c r="K533">
        <v>8</v>
      </c>
      <c r="L533">
        <v>8</v>
      </c>
      <c r="M533">
        <v>5</v>
      </c>
      <c r="N533">
        <v>0</v>
      </c>
    </row>
    <row r="534" spans="1:14" x14ac:dyDescent="0.25">
      <c r="A534">
        <v>532</v>
      </c>
      <c r="B534" t="s">
        <v>653</v>
      </c>
      <c r="C534" t="s">
        <v>672</v>
      </c>
      <c r="D534" t="s">
        <v>673</v>
      </c>
      <c r="E534" t="s">
        <v>34</v>
      </c>
      <c r="F534" t="s">
        <v>1711</v>
      </c>
      <c r="G534" t="s">
        <v>47</v>
      </c>
      <c r="H534" t="s">
        <v>719</v>
      </c>
      <c r="I534" t="s">
        <v>43</v>
      </c>
      <c r="J534" t="s">
        <v>1713</v>
      </c>
      <c r="K534">
        <v>7</v>
      </c>
      <c r="L534">
        <v>9</v>
      </c>
      <c r="M534">
        <v>6</v>
      </c>
      <c r="N534">
        <v>0</v>
      </c>
    </row>
    <row r="535" spans="1:14" x14ac:dyDescent="0.25">
      <c r="A535">
        <v>533</v>
      </c>
      <c r="B535" t="s">
        <v>653</v>
      </c>
      <c r="C535" t="s">
        <v>672</v>
      </c>
      <c r="D535" t="s">
        <v>673</v>
      </c>
      <c r="E535" t="s">
        <v>14</v>
      </c>
      <c r="F535" t="s">
        <v>609</v>
      </c>
      <c r="G535" t="s">
        <v>47</v>
      </c>
      <c r="H535" t="s">
        <v>719</v>
      </c>
      <c r="I535" t="s">
        <v>685</v>
      </c>
      <c r="J535" t="s">
        <v>732</v>
      </c>
      <c r="K535">
        <v>9</v>
      </c>
      <c r="L535">
        <v>17</v>
      </c>
      <c r="M535">
        <v>12</v>
      </c>
      <c r="N535">
        <v>0</v>
      </c>
    </row>
    <row r="536" spans="1:14" x14ac:dyDescent="0.25">
      <c r="A536">
        <v>534</v>
      </c>
      <c r="B536" t="s">
        <v>653</v>
      </c>
      <c r="C536" t="s">
        <v>672</v>
      </c>
      <c r="D536" t="s">
        <v>673</v>
      </c>
      <c r="E536" t="s">
        <v>14</v>
      </c>
      <c r="F536" t="s">
        <v>609</v>
      </c>
      <c r="G536" t="s">
        <v>47</v>
      </c>
      <c r="H536" t="s">
        <v>719</v>
      </c>
      <c r="I536" t="s">
        <v>687</v>
      </c>
      <c r="J536" t="s">
        <v>733</v>
      </c>
      <c r="K536">
        <v>9</v>
      </c>
      <c r="L536">
        <v>2</v>
      </c>
      <c r="M536">
        <v>5</v>
      </c>
      <c r="N536">
        <v>0</v>
      </c>
    </row>
    <row r="537" spans="1:14" x14ac:dyDescent="0.25">
      <c r="A537">
        <v>535</v>
      </c>
      <c r="B537" t="s">
        <v>653</v>
      </c>
      <c r="C537" t="s">
        <v>672</v>
      </c>
      <c r="D537" t="s">
        <v>673</v>
      </c>
      <c r="E537" t="s">
        <v>14</v>
      </c>
      <c r="F537" t="s">
        <v>609</v>
      </c>
      <c r="G537" t="s">
        <v>26</v>
      </c>
      <c r="H537" t="s">
        <v>719</v>
      </c>
      <c r="I537" t="s">
        <v>685</v>
      </c>
      <c r="J537" t="s">
        <v>734</v>
      </c>
      <c r="K537">
        <v>7</v>
      </c>
      <c r="L537">
        <v>12</v>
      </c>
      <c r="M537">
        <v>7</v>
      </c>
      <c r="N537">
        <v>0</v>
      </c>
    </row>
    <row r="538" spans="1:14" x14ac:dyDescent="0.25">
      <c r="A538">
        <v>536</v>
      </c>
      <c r="B538" t="s">
        <v>653</v>
      </c>
      <c r="C538" t="s">
        <v>672</v>
      </c>
      <c r="D538" t="s">
        <v>735</v>
      </c>
      <c r="E538" t="s">
        <v>14</v>
      </c>
      <c r="F538" t="s">
        <v>1711</v>
      </c>
      <c r="G538" t="s">
        <v>26</v>
      </c>
      <c r="H538" t="s">
        <v>736</v>
      </c>
      <c r="I538" t="s">
        <v>41</v>
      </c>
      <c r="J538" t="s">
        <v>737</v>
      </c>
      <c r="K538">
        <v>8</v>
      </c>
      <c r="L538">
        <v>2</v>
      </c>
      <c r="M538">
        <v>6</v>
      </c>
      <c r="N538">
        <v>0</v>
      </c>
    </row>
    <row r="539" spans="1:14" x14ac:dyDescent="0.25">
      <c r="A539">
        <v>537</v>
      </c>
      <c r="B539" t="s">
        <v>653</v>
      </c>
      <c r="C539" t="s">
        <v>672</v>
      </c>
      <c r="D539" t="s">
        <v>735</v>
      </c>
      <c r="E539" t="s">
        <v>52</v>
      </c>
      <c r="F539" t="s">
        <v>1711</v>
      </c>
      <c r="G539" t="s">
        <v>47</v>
      </c>
      <c r="H539" t="s">
        <v>736</v>
      </c>
      <c r="I539" t="s">
        <v>41</v>
      </c>
      <c r="J539" t="s">
        <v>738</v>
      </c>
      <c r="K539">
        <v>9</v>
      </c>
      <c r="L539">
        <v>1</v>
      </c>
      <c r="M539">
        <v>6</v>
      </c>
      <c r="N539">
        <v>0</v>
      </c>
    </row>
    <row r="540" spans="1:14" x14ac:dyDescent="0.25">
      <c r="A540">
        <v>538</v>
      </c>
      <c r="B540" t="s">
        <v>653</v>
      </c>
      <c r="C540" t="s">
        <v>672</v>
      </c>
      <c r="D540" t="s">
        <v>735</v>
      </c>
      <c r="E540" t="s">
        <v>52</v>
      </c>
      <c r="F540" t="s">
        <v>609</v>
      </c>
      <c r="G540" t="s">
        <v>47</v>
      </c>
      <c r="H540" t="s">
        <v>736</v>
      </c>
      <c r="I540" t="s">
        <v>103</v>
      </c>
      <c r="J540" t="s">
        <v>739</v>
      </c>
      <c r="K540">
        <v>8</v>
      </c>
      <c r="L540">
        <v>1</v>
      </c>
      <c r="M540">
        <v>2</v>
      </c>
      <c r="N540">
        <v>0</v>
      </c>
    </row>
    <row r="541" spans="1:14" x14ac:dyDescent="0.25">
      <c r="A541">
        <v>539</v>
      </c>
      <c r="B541" t="s">
        <v>653</v>
      </c>
      <c r="C541" t="s">
        <v>740</v>
      </c>
      <c r="D541" t="s">
        <v>741</v>
      </c>
      <c r="E541" t="s">
        <v>34</v>
      </c>
      <c r="F541" t="s">
        <v>609</v>
      </c>
      <c r="G541" t="s">
        <v>75</v>
      </c>
      <c r="H541" t="s">
        <v>742</v>
      </c>
      <c r="I541" t="s">
        <v>53</v>
      </c>
      <c r="J541" t="s">
        <v>743</v>
      </c>
      <c r="K541">
        <v>7</v>
      </c>
      <c r="L541">
        <v>7</v>
      </c>
      <c r="M541">
        <v>3</v>
      </c>
      <c r="N541">
        <v>0</v>
      </c>
    </row>
    <row r="542" spans="1:14" x14ac:dyDescent="0.25">
      <c r="A542">
        <v>540</v>
      </c>
      <c r="B542" t="s">
        <v>653</v>
      </c>
      <c r="C542" t="s">
        <v>740</v>
      </c>
      <c r="D542" t="s">
        <v>741</v>
      </c>
      <c r="E542" t="s">
        <v>52</v>
      </c>
      <c r="F542" t="s">
        <v>609</v>
      </c>
      <c r="G542" t="s">
        <v>75</v>
      </c>
      <c r="H542" t="s">
        <v>742</v>
      </c>
      <c r="I542" t="s">
        <v>53</v>
      </c>
      <c r="J542" t="s">
        <v>744</v>
      </c>
      <c r="K542">
        <v>9</v>
      </c>
      <c r="L542">
        <v>4</v>
      </c>
      <c r="M542">
        <v>2</v>
      </c>
      <c r="N542">
        <v>0</v>
      </c>
    </row>
    <row r="543" spans="1:14" x14ac:dyDescent="0.25">
      <c r="A543">
        <v>541</v>
      </c>
      <c r="B543" t="s">
        <v>653</v>
      </c>
      <c r="C543" t="s">
        <v>740</v>
      </c>
      <c r="D543" t="s">
        <v>745</v>
      </c>
      <c r="E543" t="s">
        <v>34</v>
      </c>
      <c r="F543" t="s">
        <v>609</v>
      </c>
      <c r="G543" t="s">
        <v>75</v>
      </c>
      <c r="H543" t="s">
        <v>742</v>
      </c>
      <c r="I543" t="s">
        <v>685</v>
      </c>
      <c r="J543" t="s">
        <v>746</v>
      </c>
      <c r="K543">
        <v>6</v>
      </c>
      <c r="L543">
        <v>5</v>
      </c>
      <c r="M543">
        <v>3</v>
      </c>
      <c r="N543">
        <v>0</v>
      </c>
    </row>
    <row r="544" spans="1:14" x14ac:dyDescent="0.25">
      <c r="A544">
        <v>542</v>
      </c>
      <c r="B544" t="s">
        <v>653</v>
      </c>
      <c r="C544" t="s">
        <v>740</v>
      </c>
      <c r="D544" t="s">
        <v>747</v>
      </c>
      <c r="E544" t="s">
        <v>52</v>
      </c>
      <c r="F544" t="s">
        <v>748</v>
      </c>
      <c r="G544" t="s">
        <v>75</v>
      </c>
      <c r="H544" t="s">
        <v>749</v>
      </c>
      <c r="I544" t="s">
        <v>43</v>
      </c>
      <c r="J544" t="s">
        <v>750</v>
      </c>
      <c r="K544">
        <v>8</v>
      </c>
      <c r="L544">
        <v>12</v>
      </c>
      <c r="M544">
        <v>7</v>
      </c>
      <c r="N544">
        <v>0</v>
      </c>
    </row>
    <row r="545" spans="1:14" x14ac:dyDescent="0.25">
      <c r="A545">
        <v>543</v>
      </c>
      <c r="B545" t="s">
        <v>653</v>
      </c>
      <c r="C545" t="s">
        <v>740</v>
      </c>
      <c r="D545" t="s">
        <v>751</v>
      </c>
      <c r="E545" t="s">
        <v>34</v>
      </c>
      <c r="F545" t="s">
        <v>748</v>
      </c>
      <c r="G545" t="s">
        <v>75</v>
      </c>
      <c r="H545" t="s">
        <v>752</v>
      </c>
      <c r="I545" t="s">
        <v>685</v>
      </c>
      <c r="J545" t="s">
        <v>751</v>
      </c>
      <c r="K545">
        <v>3</v>
      </c>
      <c r="L545">
        <v>19</v>
      </c>
      <c r="M545">
        <v>8</v>
      </c>
      <c r="N545">
        <v>0</v>
      </c>
    </row>
    <row r="546" spans="1:14" x14ac:dyDescent="0.25">
      <c r="A546">
        <v>544</v>
      </c>
      <c r="B546" t="s">
        <v>653</v>
      </c>
      <c r="C546" t="s">
        <v>740</v>
      </c>
      <c r="D546" t="s">
        <v>751</v>
      </c>
      <c r="E546" t="s">
        <v>34</v>
      </c>
      <c r="F546" t="s">
        <v>748</v>
      </c>
      <c r="G546" t="s">
        <v>75</v>
      </c>
      <c r="H546" t="s">
        <v>752</v>
      </c>
      <c r="I546" t="s">
        <v>352</v>
      </c>
      <c r="J546" t="s">
        <v>753</v>
      </c>
      <c r="K546">
        <v>3</v>
      </c>
      <c r="L546">
        <v>16</v>
      </c>
      <c r="M546">
        <v>6</v>
      </c>
      <c r="N546">
        <v>0</v>
      </c>
    </row>
    <row r="547" spans="1:14" x14ac:dyDescent="0.25">
      <c r="A547">
        <v>545</v>
      </c>
      <c r="B547" t="s">
        <v>653</v>
      </c>
      <c r="C547" t="s">
        <v>740</v>
      </c>
      <c r="D547" t="s">
        <v>751</v>
      </c>
      <c r="E547" t="s">
        <v>22</v>
      </c>
      <c r="F547" t="s">
        <v>748</v>
      </c>
      <c r="G547" t="s">
        <v>75</v>
      </c>
      <c r="H547" t="s">
        <v>752</v>
      </c>
      <c r="I547" t="s">
        <v>352</v>
      </c>
      <c r="J547" t="s">
        <v>754</v>
      </c>
      <c r="K547">
        <v>7</v>
      </c>
      <c r="L547">
        <v>7</v>
      </c>
      <c r="M547">
        <v>3</v>
      </c>
      <c r="N547">
        <v>0</v>
      </c>
    </row>
    <row r="548" spans="1:14" x14ac:dyDescent="0.25">
      <c r="A548">
        <v>546</v>
      </c>
      <c r="B548" t="s">
        <v>653</v>
      </c>
      <c r="C548" t="s">
        <v>740</v>
      </c>
      <c r="D548" t="s">
        <v>751</v>
      </c>
      <c r="E548" t="s">
        <v>14</v>
      </c>
      <c r="F548" t="s">
        <v>748</v>
      </c>
      <c r="G548" t="s">
        <v>75</v>
      </c>
      <c r="H548" t="s">
        <v>752</v>
      </c>
      <c r="I548" t="s">
        <v>103</v>
      </c>
      <c r="J548" t="s">
        <v>755</v>
      </c>
      <c r="K548">
        <v>8</v>
      </c>
      <c r="L548">
        <v>12</v>
      </c>
      <c r="M548">
        <v>6</v>
      </c>
      <c r="N548">
        <v>0</v>
      </c>
    </row>
    <row r="549" spans="1:14" x14ac:dyDescent="0.25">
      <c r="A549">
        <v>547</v>
      </c>
      <c r="B549" t="s">
        <v>653</v>
      </c>
      <c r="C549" t="s">
        <v>740</v>
      </c>
      <c r="D549" t="s">
        <v>745</v>
      </c>
      <c r="E549" t="s">
        <v>52</v>
      </c>
      <c r="F549" t="s">
        <v>748</v>
      </c>
      <c r="G549" t="s">
        <v>75</v>
      </c>
      <c r="H549" t="s">
        <v>742</v>
      </c>
      <c r="I549" t="s">
        <v>352</v>
      </c>
      <c r="J549" t="s">
        <v>745</v>
      </c>
      <c r="K549">
        <v>8</v>
      </c>
      <c r="L549">
        <v>7</v>
      </c>
      <c r="M549">
        <v>4</v>
      </c>
      <c r="N549">
        <v>0</v>
      </c>
    </row>
    <row r="550" spans="1:14" x14ac:dyDescent="0.25">
      <c r="A550">
        <v>548</v>
      </c>
      <c r="B550" t="s">
        <v>653</v>
      </c>
      <c r="C550" t="s">
        <v>740</v>
      </c>
      <c r="D550" t="s">
        <v>745</v>
      </c>
      <c r="E550" t="s">
        <v>34</v>
      </c>
      <c r="F550" t="s">
        <v>748</v>
      </c>
      <c r="G550" t="s">
        <v>75</v>
      </c>
      <c r="H550" t="s">
        <v>756</v>
      </c>
      <c r="I550" t="s">
        <v>685</v>
      </c>
      <c r="J550" t="s">
        <v>757</v>
      </c>
      <c r="K550">
        <v>6</v>
      </c>
      <c r="L550">
        <v>9</v>
      </c>
      <c r="M550">
        <v>3</v>
      </c>
      <c r="N550">
        <v>0</v>
      </c>
    </row>
    <row r="551" spans="1:14" x14ac:dyDescent="0.25">
      <c r="A551">
        <v>549</v>
      </c>
      <c r="B551" t="s">
        <v>653</v>
      </c>
      <c r="C551" t="s">
        <v>740</v>
      </c>
      <c r="D551" t="s">
        <v>758</v>
      </c>
      <c r="E551" t="s">
        <v>22</v>
      </c>
      <c r="F551" t="s">
        <v>748</v>
      </c>
      <c r="G551" t="s">
        <v>75</v>
      </c>
      <c r="H551" t="s">
        <v>756</v>
      </c>
      <c r="I551" t="s">
        <v>687</v>
      </c>
      <c r="J551" t="s">
        <v>759</v>
      </c>
      <c r="K551">
        <v>5</v>
      </c>
      <c r="L551">
        <v>8</v>
      </c>
      <c r="M551">
        <v>3</v>
      </c>
      <c r="N551">
        <v>0</v>
      </c>
    </row>
    <row r="552" spans="1:14" x14ac:dyDescent="0.25">
      <c r="A552">
        <v>550</v>
      </c>
      <c r="B552" t="s">
        <v>653</v>
      </c>
      <c r="C552" t="s">
        <v>740</v>
      </c>
      <c r="D552" t="s">
        <v>760</v>
      </c>
      <c r="E552" t="s">
        <v>14</v>
      </c>
      <c r="F552" t="s">
        <v>748</v>
      </c>
      <c r="G552" t="s">
        <v>75</v>
      </c>
      <c r="H552" t="s">
        <v>756</v>
      </c>
      <c r="I552" t="s">
        <v>687</v>
      </c>
      <c r="J552" t="s">
        <v>761</v>
      </c>
      <c r="K552">
        <v>7</v>
      </c>
      <c r="L552">
        <v>12</v>
      </c>
      <c r="M552">
        <v>7</v>
      </c>
      <c r="N552">
        <v>0</v>
      </c>
    </row>
    <row r="553" spans="1:14" x14ac:dyDescent="0.25">
      <c r="A553">
        <v>551</v>
      </c>
      <c r="B553" t="s">
        <v>653</v>
      </c>
      <c r="C553" t="s">
        <v>740</v>
      </c>
      <c r="D553" t="s">
        <v>760</v>
      </c>
      <c r="E553" t="s">
        <v>22</v>
      </c>
      <c r="F553" t="s">
        <v>748</v>
      </c>
      <c r="G553" t="s">
        <v>75</v>
      </c>
      <c r="H553" t="s">
        <v>756</v>
      </c>
      <c r="I553" t="s">
        <v>103</v>
      </c>
      <c r="J553" t="s">
        <v>762</v>
      </c>
      <c r="K553">
        <v>5</v>
      </c>
      <c r="L553">
        <v>8</v>
      </c>
      <c r="M553">
        <v>4</v>
      </c>
      <c r="N553">
        <v>0</v>
      </c>
    </row>
    <row r="554" spans="1:14" x14ac:dyDescent="0.25">
      <c r="A554">
        <v>552</v>
      </c>
      <c r="B554" t="s">
        <v>653</v>
      </c>
      <c r="C554" t="s">
        <v>740</v>
      </c>
      <c r="D554" t="s">
        <v>751</v>
      </c>
      <c r="E554" t="s">
        <v>14</v>
      </c>
      <c r="F554" t="s">
        <v>748</v>
      </c>
      <c r="G554" t="s">
        <v>75</v>
      </c>
      <c r="H554" t="s">
        <v>752</v>
      </c>
      <c r="I554" t="s">
        <v>103</v>
      </c>
      <c r="J554" t="s">
        <v>764</v>
      </c>
      <c r="K554">
        <v>7</v>
      </c>
      <c r="L554">
        <v>8</v>
      </c>
      <c r="M554">
        <v>3</v>
      </c>
      <c r="N554">
        <v>0</v>
      </c>
    </row>
    <row r="555" spans="1:14" x14ac:dyDescent="0.25">
      <c r="A555">
        <v>553</v>
      </c>
      <c r="B555" t="s">
        <v>653</v>
      </c>
      <c r="C555" t="s">
        <v>740</v>
      </c>
      <c r="D555" t="s">
        <v>765</v>
      </c>
      <c r="E555" t="s">
        <v>34</v>
      </c>
      <c r="F555" t="s">
        <v>748</v>
      </c>
      <c r="G555" t="s">
        <v>75</v>
      </c>
      <c r="H555" t="s">
        <v>752</v>
      </c>
      <c r="I555" t="s">
        <v>43</v>
      </c>
      <c r="J555" t="s">
        <v>766</v>
      </c>
      <c r="K555">
        <v>5</v>
      </c>
      <c r="L555">
        <v>5</v>
      </c>
      <c r="M555">
        <v>2</v>
      </c>
      <c r="N555">
        <v>0</v>
      </c>
    </row>
    <row r="556" spans="1:14" x14ac:dyDescent="0.25">
      <c r="A556">
        <v>554</v>
      </c>
      <c r="B556" t="s">
        <v>653</v>
      </c>
      <c r="C556" t="s">
        <v>740</v>
      </c>
      <c r="D556" t="s">
        <v>767</v>
      </c>
      <c r="E556" t="s">
        <v>34</v>
      </c>
      <c r="F556" t="s">
        <v>748</v>
      </c>
      <c r="G556" t="s">
        <v>75</v>
      </c>
      <c r="H556" t="s">
        <v>752</v>
      </c>
      <c r="I556" t="s">
        <v>43</v>
      </c>
      <c r="J556" t="s">
        <v>769</v>
      </c>
      <c r="K556">
        <v>5</v>
      </c>
      <c r="L556">
        <v>7</v>
      </c>
      <c r="M556">
        <v>2</v>
      </c>
      <c r="N556">
        <v>0</v>
      </c>
    </row>
    <row r="557" spans="1:14" x14ac:dyDescent="0.25">
      <c r="A557">
        <v>555</v>
      </c>
      <c r="B557" t="s">
        <v>653</v>
      </c>
      <c r="C557" t="s">
        <v>740</v>
      </c>
      <c r="D557" t="s">
        <v>767</v>
      </c>
      <c r="E557" t="s">
        <v>34</v>
      </c>
      <c r="F557" t="s">
        <v>748</v>
      </c>
      <c r="G557" t="s">
        <v>75</v>
      </c>
      <c r="H557" t="s">
        <v>770</v>
      </c>
      <c r="I557" t="s">
        <v>103</v>
      </c>
      <c r="J557" t="s">
        <v>771</v>
      </c>
      <c r="K557">
        <v>5</v>
      </c>
      <c r="L557">
        <v>5</v>
      </c>
      <c r="M557">
        <v>1</v>
      </c>
      <c r="N557">
        <v>0</v>
      </c>
    </row>
    <row r="558" spans="1:14" x14ac:dyDescent="0.25">
      <c r="A558">
        <v>556</v>
      </c>
      <c r="B558" t="s">
        <v>653</v>
      </c>
      <c r="C558" t="s">
        <v>740</v>
      </c>
      <c r="D558" t="s">
        <v>772</v>
      </c>
      <c r="E558" t="s">
        <v>80</v>
      </c>
      <c r="F558" t="s">
        <v>748</v>
      </c>
      <c r="G558" t="s">
        <v>75</v>
      </c>
      <c r="H558" t="s">
        <v>770</v>
      </c>
      <c r="I558" t="s">
        <v>1612</v>
      </c>
      <c r="J558" t="s">
        <v>773</v>
      </c>
      <c r="K558">
        <v>5</v>
      </c>
      <c r="L558">
        <v>6</v>
      </c>
      <c r="M558">
        <v>2</v>
      </c>
      <c r="N558">
        <v>0</v>
      </c>
    </row>
    <row r="559" spans="1:14" x14ac:dyDescent="0.25">
      <c r="A559">
        <v>557</v>
      </c>
      <c r="B559" t="s">
        <v>653</v>
      </c>
      <c r="C559" t="s">
        <v>740</v>
      </c>
      <c r="D559" t="s">
        <v>772</v>
      </c>
      <c r="E559" t="s">
        <v>80</v>
      </c>
      <c r="F559" t="s">
        <v>748</v>
      </c>
      <c r="G559" t="s">
        <v>75</v>
      </c>
      <c r="H559" t="s">
        <v>770</v>
      </c>
      <c r="I559" t="s">
        <v>685</v>
      </c>
      <c r="J559" t="s">
        <v>774</v>
      </c>
      <c r="K559">
        <v>7</v>
      </c>
      <c r="L559">
        <v>5</v>
      </c>
      <c r="M559">
        <v>3</v>
      </c>
      <c r="N559">
        <v>0</v>
      </c>
    </row>
    <row r="560" spans="1:14" x14ac:dyDescent="0.25">
      <c r="A560">
        <v>558</v>
      </c>
      <c r="B560" t="s">
        <v>653</v>
      </c>
      <c r="C560" t="s">
        <v>740</v>
      </c>
      <c r="D560" t="s">
        <v>772</v>
      </c>
      <c r="E560" t="s">
        <v>80</v>
      </c>
      <c r="F560" t="s">
        <v>748</v>
      </c>
      <c r="G560" t="s">
        <v>75</v>
      </c>
      <c r="H560" t="s">
        <v>770</v>
      </c>
      <c r="I560" t="s">
        <v>687</v>
      </c>
      <c r="J560" t="s">
        <v>775</v>
      </c>
      <c r="K560">
        <v>7</v>
      </c>
      <c r="L560">
        <v>5</v>
      </c>
      <c r="M560">
        <v>4</v>
      </c>
      <c r="N560">
        <v>0</v>
      </c>
    </row>
    <row r="561" spans="1:14" x14ac:dyDescent="0.25">
      <c r="A561">
        <v>559</v>
      </c>
      <c r="B561" t="s">
        <v>653</v>
      </c>
      <c r="C561" t="s">
        <v>740</v>
      </c>
      <c r="D561" t="s">
        <v>765</v>
      </c>
      <c r="E561" t="s">
        <v>34</v>
      </c>
      <c r="F561" t="s">
        <v>748</v>
      </c>
      <c r="G561" t="s">
        <v>75</v>
      </c>
      <c r="H561" t="s">
        <v>752</v>
      </c>
      <c r="I561" t="s">
        <v>776</v>
      </c>
      <c r="J561" t="s">
        <v>777</v>
      </c>
      <c r="K561">
        <v>5</v>
      </c>
      <c r="L561">
        <v>11</v>
      </c>
      <c r="M561">
        <v>5</v>
      </c>
      <c r="N561">
        <v>0</v>
      </c>
    </row>
    <row r="562" spans="1:14" x14ac:dyDescent="0.25">
      <c r="A562">
        <v>560</v>
      </c>
      <c r="B562" t="s">
        <v>653</v>
      </c>
      <c r="C562" t="s">
        <v>740</v>
      </c>
      <c r="D562" t="s">
        <v>778</v>
      </c>
      <c r="E562" t="s">
        <v>34</v>
      </c>
      <c r="F562" t="s">
        <v>748</v>
      </c>
      <c r="G562" t="s">
        <v>75</v>
      </c>
      <c r="H562" t="s">
        <v>770</v>
      </c>
      <c r="I562" t="s">
        <v>103</v>
      </c>
      <c r="J562" t="s">
        <v>779</v>
      </c>
      <c r="K562">
        <v>5</v>
      </c>
      <c r="L562">
        <v>8</v>
      </c>
      <c r="M562">
        <v>5</v>
      </c>
      <c r="N562">
        <v>0</v>
      </c>
    </row>
    <row r="563" spans="1:14" x14ac:dyDescent="0.25">
      <c r="A563">
        <v>561</v>
      </c>
      <c r="B563" t="s">
        <v>653</v>
      </c>
      <c r="C563" t="s">
        <v>740</v>
      </c>
      <c r="D563" t="s">
        <v>778</v>
      </c>
      <c r="E563" t="s">
        <v>22</v>
      </c>
      <c r="F563" t="s">
        <v>748</v>
      </c>
      <c r="G563" t="s">
        <v>75</v>
      </c>
      <c r="H563" t="s">
        <v>770</v>
      </c>
      <c r="I563" t="s">
        <v>776</v>
      </c>
      <c r="J563" t="s">
        <v>780</v>
      </c>
      <c r="K563">
        <v>6</v>
      </c>
      <c r="L563">
        <v>9</v>
      </c>
      <c r="M563">
        <v>3</v>
      </c>
      <c r="N563">
        <v>0</v>
      </c>
    </row>
    <row r="564" spans="1:14" x14ac:dyDescent="0.25">
      <c r="A564">
        <v>562</v>
      </c>
      <c r="B564" t="s">
        <v>653</v>
      </c>
      <c r="C564" t="s">
        <v>740</v>
      </c>
      <c r="D564" t="s">
        <v>765</v>
      </c>
      <c r="E564" t="s">
        <v>34</v>
      </c>
      <c r="F564" t="s">
        <v>748</v>
      </c>
      <c r="G564" t="s">
        <v>75</v>
      </c>
      <c r="H564" t="s">
        <v>752</v>
      </c>
      <c r="I564" t="s">
        <v>776</v>
      </c>
      <c r="J564" t="s">
        <v>781</v>
      </c>
      <c r="K564">
        <v>5</v>
      </c>
      <c r="L564">
        <v>5</v>
      </c>
      <c r="M564">
        <v>2</v>
      </c>
      <c r="N564">
        <v>0</v>
      </c>
    </row>
    <row r="565" spans="1:14" x14ac:dyDescent="0.25">
      <c r="A565">
        <v>563</v>
      </c>
      <c r="B565" t="s">
        <v>653</v>
      </c>
      <c r="C565" t="s">
        <v>740</v>
      </c>
      <c r="D565" t="s">
        <v>765</v>
      </c>
      <c r="E565" t="s">
        <v>14</v>
      </c>
      <c r="F565" t="s">
        <v>748</v>
      </c>
      <c r="G565" t="s">
        <v>75</v>
      </c>
      <c r="H565" t="s">
        <v>782</v>
      </c>
      <c r="I565" t="s">
        <v>212</v>
      </c>
      <c r="J565" t="s">
        <v>783</v>
      </c>
      <c r="K565">
        <v>6</v>
      </c>
      <c r="L565">
        <v>5</v>
      </c>
      <c r="M565">
        <v>2</v>
      </c>
      <c r="N565">
        <v>0</v>
      </c>
    </row>
    <row r="566" spans="1:14" x14ac:dyDescent="0.25">
      <c r="A566">
        <v>564</v>
      </c>
      <c r="B566" t="s">
        <v>653</v>
      </c>
      <c r="C566" t="s">
        <v>740</v>
      </c>
      <c r="D566" t="s">
        <v>778</v>
      </c>
      <c r="E566" t="s">
        <v>22</v>
      </c>
      <c r="F566" t="s">
        <v>748</v>
      </c>
      <c r="G566" t="s">
        <v>75</v>
      </c>
      <c r="H566" t="s">
        <v>782</v>
      </c>
      <c r="I566" t="s">
        <v>687</v>
      </c>
      <c r="J566" t="s">
        <v>784</v>
      </c>
      <c r="K566">
        <v>6</v>
      </c>
      <c r="L566">
        <v>9</v>
      </c>
      <c r="M566">
        <v>3</v>
      </c>
      <c r="N566">
        <v>0</v>
      </c>
    </row>
    <row r="567" spans="1:14" x14ac:dyDescent="0.25">
      <c r="A567">
        <v>565</v>
      </c>
      <c r="B567" t="s">
        <v>653</v>
      </c>
      <c r="C567" t="s">
        <v>740</v>
      </c>
      <c r="D567" t="s">
        <v>778</v>
      </c>
      <c r="E567" t="s">
        <v>22</v>
      </c>
      <c r="F567" t="s">
        <v>748</v>
      </c>
      <c r="G567" t="s">
        <v>75</v>
      </c>
      <c r="H567" t="s">
        <v>782</v>
      </c>
      <c r="I567" t="s">
        <v>685</v>
      </c>
      <c r="J567" t="s">
        <v>785</v>
      </c>
      <c r="K567">
        <v>5</v>
      </c>
      <c r="L567">
        <v>6</v>
      </c>
      <c r="M567">
        <v>2</v>
      </c>
      <c r="N567">
        <v>0</v>
      </c>
    </row>
    <row r="568" spans="1:14" x14ac:dyDescent="0.25">
      <c r="A568">
        <v>566</v>
      </c>
      <c r="B568" t="s">
        <v>653</v>
      </c>
      <c r="C568" t="s">
        <v>740</v>
      </c>
      <c r="D568" t="s">
        <v>760</v>
      </c>
      <c r="E568" t="s">
        <v>14</v>
      </c>
      <c r="F568" t="s">
        <v>748</v>
      </c>
      <c r="G568" t="s">
        <v>75</v>
      </c>
      <c r="H568" t="s">
        <v>782</v>
      </c>
      <c r="I568" t="s">
        <v>103</v>
      </c>
      <c r="J568" t="s">
        <v>760</v>
      </c>
      <c r="K568">
        <v>6</v>
      </c>
      <c r="L568">
        <v>14</v>
      </c>
      <c r="M568">
        <v>8</v>
      </c>
      <c r="N568">
        <v>0</v>
      </c>
    </row>
    <row r="569" spans="1:14" x14ac:dyDescent="0.25">
      <c r="A569">
        <v>567</v>
      </c>
      <c r="B569" t="s">
        <v>653</v>
      </c>
      <c r="C569" t="s">
        <v>740</v>
      </c>
      <c r="D569" t="s">
        <v>786</v>
      </c>
      <c r="E569" t="s">
        <v>14</v>
      </c>
      <c r="F569" t="s">
        <v>748</v>
      </c>
      <c r="G569" t="s">
        <v>75</v>
      </c>
      <c r="H569" t="s">
        <v>1714</v>
      </c>
      <c r="I569" t="s">
        <v>41</v>
      </c>
      <c r="J569" t="s">
        <v>788</v>
      </c>
      <c r="K569">
        <v>7</v>
      </c>
      <c r="L569">
        <v>9</v>
      </c>
      <c r="M569">
        <v>5</v>
      </c>
      <c r="N569">
        <v>0</v>
      </c>
    </row>
    <row r="570" spans="1:14" x14ac:dyDescent="0.25">
      <c r="A570">
        <v>568</v>
      </c>
      <c r="B570" t="s">
        <v>653</v>
      </c>
      <c r="C570" t="s">
        <v>740</v>
      </c>
      <c r="D570" t="s">
        <v>758</v>
      </c>
      <c r="E570" t="s">
        <v>22</v>
      </c>
      <c r="F570" t="s">
        <v>748</v>
      </c>
      <c r="G570" t="s">
        <v>75</v>
      </c>
      <c r="H570" t="s">
        <v>1714</v>
      </c>
      <c r="I570" t="s">
        <v>43</v>
      </c>
      <c r="J570" t="s">
        <v>789</v>
      </c>
      <c r="K570">
        <v>5</v>
      </c>
      <c r="L570">
        <v>6</v>
      </c>
      <c r="M570">
        <v>3</v>
      </c>
      <c r="N570">
        <v>0</v>
      </c>
    </row>
    <row r="571" spans="1:14" x14ac:dyDescent="0.25">
      <c r="A571">
        <v>569</v>
      </c>
      <c r="B571" t="s">
        <v>653</v>
      </c>
      <c r="C571" t="s">
        <v>740</v>
      </c>
      <c r="D571" t="s">
        <v>758</v>
      </c>
      <c r="E571" t="s">
        <v>22</v>
      </c>
      <c r="F571" t="s">
        <v>748</v>
      </c>
      <c r="G571" t="s">
        <v>75</v>
      </c>
      <c r="H571" t="s">
        <v>1714</v>
      </c>
      <c r="I571" t="s">
        <v>687</v>
      </c>
      <c r="J571" t="s">
        <v>790</v>
      </c>
      <c r="K571">
        <v>6</v>
      </c>
      <c r="L571">
        <v>7</v>
      </c>
      <c r="M571">
        <v>3</v>
      </c>
      <c r="N571">
        <v>0</v>
      </c>
    </row>
    <row r="572" spans="1:14" x14ac:dyDescent="0.25">
      <c r="A572">
        <v>570</v>
      </c>
      <c r="B572" t="s">
        <v>653</v>
      </c>
      <c r="C572" t="s">
        <v>740</v>
      </c>
      <c r="D572" t="s">
        <v>786</v>
      </c>
      <c r="E572" t="s">
        <v>14</v>
      </c>
      <c r="F572" t="s">
        <v>748</v>
      </c>
      <c r="G572" t="s">
        <v>75</v>
      </c>
      <c r="H572" t="s">
        <v>1714</v>
      </c>
      <c r="I572" t="s">
        <v>141</v>
      </c>
      <c r="J572" t="s">
        <v>786</v>
      </c>
      <c r="K572">
        <v>7</v>
      </c>
      <c r="L572">
        <v>15</v>
      </c>
      <c r="M572">
        <v>7</v>
      </c>
      <c r="N572">
        <v>0</v>
      </c>
    </row>
    <row r="573" spans="1:14" x14ac:dyDescent="0.25">
      <c r="A573">
        <v>571</v>
      </c>
      <c r="B573" t="s">
        <v>653</v>
      </c>
      <c r="C573" t="s">
        <v>740</v>
      </c>
      <c r="D573" t="s">
        <v>791</v>
      </c>
      <c r="E573" t="s">
        <v>22</v>
      </c>
      <c r="F573" t="s">
        <v>748</v>
      </c>
      <c r="G573" t="s">
        <v>75</v>
      </c>
      <c r="H573" t="s">
        <v>1714</v>
      </c>
      <c r="I573" t="s">
        <v>687</v>
      </c>
      <c r="J573" t="s">
        <v>792</v>
      </c>
      <c r="K573">
        <v>5</v>
      </c>
      <c r="L573">
        <v>8</v>
      </c>
      <c r="M573">
        <v>3</v>
      </c>
      <c r="N573">
        <v>0</v>
      </c>
    </row>
    <row r="574" spans="1:14" x14ac:dyDescent="0.25">
      <c r="A574">
        <v>572</v>
      </c>
      <c r="B574" t="s">
        <v>653</v>
      </c>
      <c r="C574" t="s">
        <v>740</v>
      </c>
      <c r="D574" t="s">
        <v>791</v>
      </c>
      <c r="E574" t="s">
        <v>22</v>
      </c>
      <c r="F574" t="s">
        <v>748</v>
      </c>
      <c r="G574" t="s">
        <v>75</v>
      </c>
      <c r="H574" t="s">
        <v>793</v>
      </c>
      <c r="I574" t="s">
        <v>687</v>
      </c>
      <c r="J574" t="s">
        <v>794</v>
      </c>
      <c r="K574">
        <v>6</v>
      </c>
      <c r="L574">
        <v>7</v>
      </c>
      <c r="M574">
        <v>2</v>
      </c>
      <c r="N574">
        <v>0</v>
      </c>
    </row>
    <row r="575" spans="1:14" x14ac:dyDescent="0.25">
      <c r="A575">
        <v>573</v>
      </c>
      <c r="B575" t="s">
        <v>653</v>
      </c>
      <c r="C575" t="s">
        <v>740</v>
      </c>
      <c r="D575" t="s">
        <v>758</v>
      </c>
      <c r="E575" t="s">
        <v>22</v>
      </c>
      <c r="F575" t="s">
        <v>748</v>
      </c>
      <c r="G575" t="s">
        <v>75</v>
      </c>
      <c r="H575" t="s">
        <v>793</v>
      </c>
      <c r="I575" t="s">
        <v>687</v>
      </c>
      <c r="J575" t="s">
        <v>795</v>
      </c>
      <c r="K575">
        <v>6</v>
      </c>
      <c r="L575">
        <v>5</v>
      </c>
      <c r="M575">
        <v>3</v>
      </c>
      <c r="N575">
        <v>0</v>
      </c>
    </row>
    <row r="576" spans="1:14" x14ac:dyDescent="0.25">
      <c r="A576">
        <v>574</v>
      </c>
      <c r="B576" t="s">
        <v>653</v>
      </c>
      <c r="C576" t="s">
        <v>740</v>
      </c>
      <c r="D576" t="s">
        <v>758</v>
      </c>
      <c r="E576" t="s">
        <v>22</v>
      </c>
      <c r="F576" t="s">
        <v>748</v>
      </c>
      <c r="G576" t="s">
        <v>75</v>
      </c>
      <c r="H576" t="s">
        <v>793</v>
      </c>
      <c r="I576" t="s">
        <v>687</v>
      </c>
      <c r="J576" t="s">
        <v>796</v>
      </c>
      <c r="K576">
        <v>7</v>
      </c>
      <c r="L576">
        <v>6</v>
      </c>
      <c r="M576">
        <v>2</v>
      </c>
      <c r="N576">
        <v>0</v>
      </c>
    </row>
    <row r="577" spans="1:14" x14ac:dyDescent="0.25">
      <c r="A577">
        <v>575</v>
      </c>
      <c r="B577" t="s">
        <v>653</v>
      </c>
      <c r="C577" t="s">
        <v>740</v>
      </c>
      <c r="D577" t="s">
        <v>791</v>
      </c>
      <c r="E577" t="s">
        <v>22</v>
      </c>
      <c r="F577" t="s">
        <v>748</v>
      </c>
      <c r="G577" t="s">
        <v>75</v>
      </c>
      <c r="H577" t="s">
        <v>793</v>
      </c>
      <c r="I577" t="s">
        <v>1612</v>
      </c>
      <c r="J577" t="s">
        <v>797</v>
      </c>
      <c r="K577">
        <v>7</v>
      </c>
      <c r="L577">
        <v>7</v>
      </c>
      <c r="M577">
        <v>2</v>
      </c>
      <c r="N577">
        <v>0</v>
      </c>
    </row>
    <row r="578" spans="1:14" x14ac:dyDescent="0.25">
      <c r="A578">
        <v>576</v>
      </c>
      <c r="B578" t="s">
        <v>653</v>
      </c>
      <c r="C578" t="s">
        <v>740</v>
      </c>
      <c r="D578" t="s">
        <v>798</v>
      </c>
      <c r="E578" t="s">
        <v>14</v>
      </c>
      <c r="F578" t="s">
        <v>799</v>
      </c>
      <c r="G578" t="s">
        <v>75</v>
      </c>
      <c r="H578" t="s">
        <v>793</v>
      </c>
      <c r="I578" t="s">
        <v>687</v>
      </c>
      <c r="J578" t="s">
        <v>800</v>
      </c>
      <c r="K578">
        <v>8</v>
      </c>
      <c r="L578">
        <v>9</v>
      </c>
      <c r="M578">
        <v>3</v>
      </c>
      <c r="N578">
        <v>0</v>
      </c>
    </row>
    <row r="579" spans="1:14" x14ac:dyDescent="0.25">
      <c r="A579">
        <v>577</v>
      </c>
      <c r="B579" t="s">
        <v>653</v>
      </c>
      <c r="C579" t="s">
        <v>740</v>
      </c>
      <c r="D579" t="s">
        <v>798</v>
      </c>
      <c r="E579" t="s">
        <v>80</v>
      </c>
      <c r="F579" t="s">
        <v>799</v>
      </c>
      <c r="G579" t="s">
        <v>75</v>
      </c>
      <c r="H579" t="s">
        <v>793</v>
      </c>
      <c r="I579" t="s">
        <v>687</v>
      </c>
      <c r="J579" t="s">
        <v>801</v>
      </c>
      <c r="K579">
        <v>7</v>
      </c>
      <c r="L579">
        <v>5</v>
      </c>
      <c r="M579">
        <v>2</v>
      </c>
      <c r="N579">
        <v>0</v>
      </c>
    </row>
    <row r="580" spans="1:14" x14ac:dyDescent="0.25">
      <c r="A580">
        <v>578</v>
      </c>
      <c r="B580" t="s">
        <v>653</v>
      </c>
      <c r="C580" t="s">
        <v>701</v>
      </c>
      <c r="D580" t="s">
        <v>702</v>
      </c>
      <c r="E580" t="s">
        <v>34</v>
      </c>
      <c r="F580" t="s">
        <v>15</v>
      </c>
      <c r="G580" t="s">
        <v>122</v>
      </c>
      <c r="H580" t="s">
        <v>620</v>
      </c>
      <c r="I580" t="s">
        <v>43</v>
      </c>
      <c r="J580" t="s">
        <v>802</v>
      </c>
      <c r="K580">
        <v>5</v>
      </c>
      <c r="L580">
        <v>3</v>
      </c>
      <c r="M580">
        <v>1</v>
      </c>
      <c r="N580">
        <v>0</v>
      </c>
    </row>
    <row r="581" spans="1:14" x14ac:dyDescent="0.25">
      <c r="A581">
        <v>579</v>
      </c>
      <c r="B581" t="s">
        <v>653</v>
      </c>
      <c r="C581" t="s">
        <v>701</v>
      </c>
      <c r="D581" t="s">
        <v>803</v>
      </c>
      <c r="E581" t="s">
        <v>34</v>
      </c>
      <c r="F581" t="s">
        <v>609</v>
      </c>
      <c r="G581" t="s">
        <v>26</v>
      </c>
      <c r="H581" t="s">
        <v>620</v>
      </c>
      <c r="I581" t="s">
        <v>141</v>
      </c>
      <c r="J581" t="s">
        <v>804</v>
      </c>
      <c r="K581">
        <v>3</v>
      </c>
      <c r="L581">
        <v>3</v>
      </c>
      <c r="M581">
        <v>1</v>
      </c>
      <c r="N581">
        <v>0</v>
      </c>
    </row>
    <row r="582" spans="1:14" x14ac:dyDescent="0.25">
      <c r="A582">
        <v>580</v>
      </c>
      <c r="B582" t="s">
        <v>653</v>
      </c>
      <c r="C582" t="s">
        <v>701</v>
      </c>
      <c r="D582" t="s">
        <v>803</v>
      </c>
      <c r="E582" t="s">
        <v>34</v>
      </c>
      <c r="F582" t="s">
        <v>15</v>
      </c>
      <c r="G582" t="s">
        <v>122</v>
      </c>
      <c r="H582" t="s">
        <v>703</v>
      </c>
      <c r="I582" t="s">
        <v>43</v>
      </c>
      <c r="J582" t="s">
        <v>803</v>
      </c>
      <c r="K582">
        <v>4</v>
      </c>
      <c r="L582">
        <v>5</v>
      </c>
      <c r="M582">
        <v>1</v>
      </c>
      <c r="N582">
        <v>0</v>
      </c>
    </row>
    <row r="583" spans="1:14" x14ac:dyDescent="0.25">
      <c r="A583">
        <v>581</v>
      </c>
      <c r="B583" t="s">
        <v>653</v>
      </c>
      <c r="C583" t="s">
        <v>701</v>
      </c>
      <c r="D583" t="s">
        <v>803</v>
      </c>
      <c r="E583" t="s">
        <v>22</v>
      </c>
      <c r="F583" t="s">
        <v>15</v>
      </c>
      <c r="G583" t="s">
        <v>122</v>
      </c>
      <c r="H583" t="s">
        <v>703</v>
      </c>
      <c r="I583" t="s">
        <v>20</v>
      </c>
      <c r="J583" t="s">
        <v>805</v>
      </c>
      <c r="K583">
        <v>4</v>
      </c>
      <c r="L583">
        <v>3</v>
      </c>
      <c r="M583">
        <v>1</v>
      </c>
      <c r="N583">
        <v>0</v>
      </c>
    </row>
    <row r="584" spans="1:14" x14ac:dyDescent="0.25">
      <c r="A584">
        <v>582</v>
      </c>
      <c r="B584" t="s">
        <v>653</v>
      </c>
      <c r="C584" t="s">
        <v>701</v>
      </c>
      <c r="D584" t="s">
        <v>803</v>
      </c>
      <c r="E584" t="s">
        <v>34</v>
      </c>
      <c r="F584" t="s">
        <v>15</v>
      </c>
      <c r="G584" t="s">
        <v>122</v>
      </c>
      <c r="H584" t="s">
        <v>703</v>
      </c>
      <c r="I584" t="s">
        <v>18</v>
      </c>
      <c r="J584" t="s">
        <v>806</v>
      </c>
      <c r="K584">
        <v>3</v>
      </c>
      <c r="L584">
        <v>4</v>
      </c>
      <c r="M584">
        <v>1</v>
      </c>
      <c r="N584">
        <v>0</v>
      </c>
    </row>
    <row r="585" spans="1:14" x14ac:dyDescent="0.25">
      <c r="A585">
        <v>583</v>
      </c>
      <c r="B585" t="s">
        <v>653</v>
      </c>
      <c r="C585" t="s">
        <v>701</v>
      </c>
      <c r="D585" t="s">
        <v>803</v>
      </c>
      <c r="E585" t="s">
        <v>22</v>
      </c>
      <c r="F585" t="s">
        <v>15</v>
      </c>
      <c r="G585" t="s">
        <v>122</v>
      </c>
      <c r="H585" t="s">
        <v>703</v>
      </c>
      <c r="I585" t="s">
        <v>20</v>
      </c>
      <c r="J585" t="s">
        <v>807</v>
      </c>
      <c r="K585">
        <v>4</v>
      </c>
      <c r="L585">
        <v>3</v>
      </c>
      <c r="M585">
        <v>1</v>
      </c>
      <c r="N585">
        <v>0</v>
      </c>
    </row>
    <row r="586" spans="1:14" x14ac:dyDescent="0.25">
      <c r="A586">
        <v>584</v>
      </c>
      <c r="B586" t="s">
        <v>653</v>
      </c>
      <c r="C586" t="s">
        <v>701</v>
      </c>
      <c r="D586" t="s">
        <v>803</v>
      </c>
      <c r="E586" t="s">
        <v>34</v>
      </c>
      <c r="F586" t="s">
        <v>15</v>
      </c>
      <c r="G586" t="s">
        <v>122</v>
      </c>
      <c r="H586" t="s">
        <v>703</v>
      </c>
      <c r="I586" t="s">
        <v>43</v>
      </c>
      <c r="J586" t="s">
        <v>808</v>
      </c>
      <c r="K586">
        <v>3</v>
      </c>
      <c r="L586">
        <v>3</v>
      </c>
      <c r="M586">
        <v>1</v>
      </c>
      <c r="N586">
        <v>0</v>
      </c>
    </row>
    <row r="587" spans="1:14" x14ac:dyDescent="0.25">
      <c r="A587">
        <v>585</v>
      </c>
      <c r="B587" t="s">
        <v>653</v>
      </c>
      <c r="C587" t="s">
        <v>701</v>
      </c>
      <c r="D587" t="s">
        <v>803</v>
      </c>
      <c r="E587" t="s">
        <v>34</v>
      </c>
      <c r="F587" t="s">
        <v>15</v>
      </c>
      <c r="G587" t="s">
        <v>122</v>
      </c>
      <c r="H587" t="s">
        <v>703</v>
      </c>
      <c r="I587" t="s">
        <v>41</v>
      </c>
      <c r="J587" t="s">
        <v>809</v>
      </c>
      <c r="K587">
        <v>4</v>
      </c>
      <c r="L587">
        <v>2</v>
      </c>
      <c r="M587">
        <v>1</v>
      </c>
      <c r="N587">
        <v>0</v>
      </c>
    </row>
    <row r="588" spans="1:14" x14ac:dyDescent="0.25">
      <c r="A588">
        <v>586</v>
      </c>
      <c r="B588" t="s">
        <v>653</v>
      </c>
      <c r="C588" t="s">
        <v>701</v>
      </c>
      <c r="D588" t="s">
        <v>803</v>
      </c>
      <c r="E588" t="s">
        <v>22</v>
      </c>
      <c r="F588" t="s">
        <v>15</v>
      </c>
      <c r="G588" t="s">
        <v>122</v>
      </c>
      <c r="H588" t="s">
        <v>703</v>
      </c>
      <c r="I588" t="s">
        <v>20</v>
      </c>
      <c r="J588" t="s">
        <v>810</v>
      </c>
      <c r="K588">
        <v>4</v>
      </c>
      <c r="L588">
        <v>2</v>
      </c>
      <c r="M588">
        <v>1</v>
      </c>
      <c r="N588">
        <v>0</v>
      </c>
    </row>
    <row r="589" spans="1:14" x14ac:dyDescent="0.25">
      <c r="A589">
        <v>587</v>
      </c>
      <c r="B589" t="s">
        <v>653</v>
      </c>
      <c r="C589" t="s">
        <v>701</v>
      </c>
      <c r="D589" t="s">
        <v>803</v>
      </c>
      <c r="E589" t="s">
        <v>34</v>
      </c>
      <c r="F589" t="s">
        <v>15</v>
      </c>
      <c r="G589" t="s">
        <v>26</v>
      </c>
      <c r="H589" t="s">
        <v>703</v>
      </c>
      <c r="I589" t="s">
        <v>41</v>
      </c>
      <c r="J589" t="s">
        <v>811</v>
      </c>
      <c r="K589">
        <v>4</v>
      </c>
      <c r="L589">
        <v>3</v>
      </c>
      <c r="M589">
        <v>1</v>
      </c>
      <c r="N589">
        <v>0</v>
      </c>
    </row>
    <row r="590" spans="1:14" x14ac:dyDescent="0.25">
      <c r="A590">
        <v>588</v>
      </c>
      <c r="B590" t="s">
        <v>653</v>
      </c>
      <c r="C590" t="s">
        <v>701</v>
      </c>
      <c r="D590" t="s">
        <v>803</v>
      </c>
      <c r="E590" t="s">
        <v>22</v>
      </c>
      <c r="F590" t="s">
        <v>15</v>
      </c>
      <c r="G590" t="s">
        <v>122</v>
      </c>
      <c r="H590" t="s">
        <v>703</v>
      </c>
      <c r="I590" t="s">
        <v>20</v>
      </c>
      <c r="J590" t="s">
        <v>812</v>
      </c>
      <c r="K590">
        <v>4</v>
      </c>
      <c r="L590">
        <v>3</v>
      </c>
      <c r="M590">
        <v>1</v>
      </c>
      <c r="N590">
        <v>0</v>
      </c>
    </row>
    <row r="591" spans="1:14" x14ac:dyDescent="0.25">
      <c r="A591">
        <v>589</v>
      </c>
      <c r="B591" t="s">
        <v>653</v>
      </c>
      <c r="C591" t="s">
        <v>701</v>
      </c>
      <c r="D591" t="s">
        <v>803</v>
      </c>
      <c r="E591" t="s">
        <v>22</v>
      </c>
      <c r="F591" t="s">
        <v>15</v>
      </c>
      <c r="G591" t="s">
        <v>122</v>
      </c>
      <c r="H591" t="s">
        <v>703</v>
      </c>
      <c r="I591" t="s">
        <v>20</v>
      </c>
      <c r="J591" t="s">
        <v>813</v>
      </c>
      <c r="K591">
        <v>4</v>
      </c>
      <c r="L591">
        <v>4</v>
      </c>
      <c r="M591">
        <v>1</v>
      </c>
      <c r="N591">
        <v>0</v>
      </c>
    </row>
    <row r="592" spans="1:14" x14ac:dyDescent="0.25">
      <c r="A592">
        <v>590</v>
      </c>
      <c r="B592" t="s">
        <v>653</v>
      </c>
      <c r="C592" t="s">
        <v>701</v>
      </c>
      <c r="D592" t="s">
        <v>814</v>
      </c>
      <c r="E592" t="s">
        <v>22</v>
      </c>
      <c r="F592" t="s">
        <v>15</v>
      </c>
      <c r="G592" t="s">
        <v>122</v>
      </c>
      <c r="H592" t="s">
        <v>821</v>
      </c>
      <c r="I592" t="s">
        <v>20</v>
      </c>
      <c r="J592" t="s">
        <v>815</v>
      </c>
      <c r="K592">
        <v>5</v>
      </c>
      <c r="L592">
        <v>2</v>
      </c>
      <c r="M592">
        <v>1</v>
      </c>
      <c r="N592">
        <v>0</v>
      </c>
    </row>
    <row r="593" spans="1:14" x14ac:dyDescent="0.25">
      <c r="A593">
        <v>591</v>
      </c>
      <c r="B593" t="s">
        <v>653</v>
      </c>
      <c r="C593" t="s">
        <v>701</v>
      </c>
      <c r="D593" t="s">
        <v>814</v>
      </c>
      <c r="E593" t="s">
        <v>34</v>
      </c>
      <c r="F593" t="s">
        <v>15</v>
      </c>
      <c r="G593" t="s">
        <v>122</v>
      </c>
      <c r="H593" t="s">
        <v>821</v>
      </c>
      <c r="I593" t="s">
        <v>20</v>
      </c>
      <c r="J593" t="s">
        <v>816</v>
      </c>
      <c r="K593">
        <v>4</v>
      </c>
      <c r="L593">
        <v>5</v>
      </c>
      <c r="M593">
        <v>1</v>
      </c>
      <c r="N593">
        <v>0</v>
      </c>
    </row>
    <row r="594" spans="1:14" x14ac:dyDescent="0.25">
      <c r="A594">
        <v>592</v>
      </c>
      <c r="B594" t="s">
        <v>653</v>
      </c>
      <c r="C594" t="s">
        <v>701</v>
      </c>
      <c r="D594" t="s">
        <v>814</v>
      </c>
      <c r="E594" t="s">
        <v>34</v>
      </c>
      <c r="F594" t="s">
        <v>15</v>
      </c>
      <c r="G594" t="s">
        <v>122</v>
      </c>
      <c r="H594" t="s">
        <v>821</v>
      </c>
      <c r="I594" t="s">
        <v>20</v>
      </c>
      <c r="J594" t="s">
        <v>817</v>
      </c>
      <c r="K594">
        <v>4</v>
      </c>
      <c r="L594">
        <v>2</v>
      </c>
      <c r="M594">
        <v>1</v>
      </c>
      <c r="N594">
        <v>0</v>
      </c>
    </row>
    <row r="595" spans="1:14" x14ac:dyDescent="0.25">
      <c r="A595">
        <v>593</v>
      </c>
      <c r="B595" t="s">
        <v>653</v>
      </c>
      <c r="C595" t="s">
        <v>701</v>
      </c>
      <c r="D595" t="s">
        <v>814</v>
      </c>
      <c r="E595" t="s">
        <v>22</v>
      </c>
      <c r="F595" t="s">
        <v>15</v>
      </c>
      <c r="G595" t="s">
        <v>122</v>
      </c>
      <c r="H595" t="s">
        <v>821</v>
      </c>
      <c r="I595" t="s">
        <v>20</v>
      </c>
      <c r="J595" t="s">
        <v>818</v>
      </c>
      <c r="K595">
        <v>5</v>
      </c>
      <c r="L595">
        <v>2</v>
      </c>
      <c r="M595">
        <v>1</v>
      </c>
      <c r="N595">
        <v>0</v>
      </c>
    </row>
    <row r="596" spans="1:14" x14ac:dyDescent="0.25">
      <c r="A596">
        <v>594</v>
      </c>
      <c r="B596" t="s">
        <v>653</v>
      </c>
      <c r="C596" t="s">
        <v>701</v>
      </c>
      <c r="D596" t="s">
        <v>814</v>
      </c>
      <c r="E596" t="s">
        <v>34</v>
      </c>
      <c r="F596" t="s">
        <v>15</v>
      </c>
      <c r="G596" t="s">
        <v>122</v>
      </c>
      <c r="H596" t="s">
        <v>821</v>
      </c>
      <c r="I596" t="s">
        <v>20</v>
      </c>
      <c r="J596" t="s">
        <v>819</v>
      </c>
      <c r="K596">
        <v>4</v>
      </c>
      <c r="L596">
        <v>2</v>
      </c>
      <c r="M596">
        <v>1</v>
      </c>
      <c r="N596">
        <v>0</v>
      </c>
    </row>
    <row r="597" spans="1:14" x14ac:dyDescent="0.25">
      <c r="A597">
        <v>595</v>
      </c>
      <c r="B597" t="s">
        <v>653</v>
      </c>
      <c r="C597" t="s">
        <v>701</v>
      </c>
      <c r="D597" t="s">
        <v>820</v>
      </c>
      <c r="E597" t="s">
        <v>34</v>
      </c>
      <c r="F597" t="s">
        <v>15</v>
      </c>
      <c r="G597" t="s">
        <v>122</v>
      </c>
      <c r="H597" t="s">
        <v>821</v>
      </c>
      <c r="I597" t="s">
        <v>20</v>
      </c>
      <c r="J597" t="s">
        <v>822</v>
      </c>
      <c r="K597">
        <v>6</v>
      </c>
      <c r="L597">
        <v>2</v>
      </c>
      <c r="M597">
        <v>1</v>
      </c>
      <c r="N597">
        <v>0</v>
      </c>
    </row>
    <row r="598" spans="1:14" x14ac:dyDescent="0.25">
      <c r="A598">
        <v>596</v>
      </c>
      <c r="B598" t="s">
        <v>653</v>
      </c>
      <c r="C598" t="s">
        <v>701</v>
      </c>
      <c r="D598" t="s">
        <v>814</v>
      </c>
      <c r="E598" t="s">
        <v>14</v>
      </c>
      <c r="F598" t="s">
        <v>15</v>
      </c>
      <c r="G598" t="s">
        <v>122</v>
      </c>
      <c r="H598" t="s">
        <v>821</v>
      </c>
      <c r="I598" t="s">
        <v>20</v>
      </c>
      <c r="J598" t="s">
        <v>823</v>
      </c>
      <c r="K598">
        <v>6</v>
      </c>
      <c r="L598">
        <v>3</v>
      </c>
      <c r="M598">
        <v>1</v>
      </c>
      <c r="N598">
        <v>0</v>
      </c>
    </row>
    <row r="599" spans="1:14" x14ac:dyDescent="0.25">
      <c r="A599">
        <v>597</v>
      </c>
      <c r="B599" t="s">
        <v>653</v>
      </c>
      <c r="C599" t="s">
        <v>701</v>
      </c>
      <c r="D599" t="s">
        <v>820</v>
      </c>
      <c r="E599" t="s">
        <v>14</v>
      </c>
      <c r="F599" t="s">
        <v>15</v>
      </c>
      <c r="G599" t="s">
        <v>122</v>
      </c>
      <c r="H599" t="s">
        <v>821</v>
      </c>
      <c r="I599" t="s">
        <v>20</v>
      </c>
      <c r="J599" t="s">
        <v>824</v>
      </c>
      <c r="K599">
        <v>7</v>
      </c>
      <c r="L599">
        <v>1</v>
      </c>
      <c r="M599">
        <v>1</v>
      </c>
      <c r="N599">
        <v>0</v>
      </c>
    </row>
    <row r="600" spans="1:14" x14ac:dyDescent="0.25">
      <c r="A600">
        <v>598</v>
      </c>
      <c r="B600" t="s">
        <v>653</v>
      </c>
      <c r="C600" t="s">
        <v>701</v>
      </c>
      <c r="D600" t="s">
        <v>820</v>
      </c>
      <c r="E600" t="s">
        <v>34</v>
      </c>
      <c r="F600" t="s">
        <v>15</v>
      </c>
      <c r="G600" t="s">
        <v>122</v>
      </c>
      <c r="H600" t="s">
        <v>821</v>
      </c>
      <c r="I600" t="s">
        <v>20</v>
      </c>
      <c r="J600" t="s">
        <v>825</v>
      </c>
      <c r="K600">
        <v>6</v>
      </c>
      <c r="L600">
        <v>1</v>
      </c>
      <c r="M600">
        <v>1</v>
      </c>
      <c r="N600">
        <v>0</v>
      </c>
    </row>
    <row r="601" spans="1:14" x14ac:dyDescent="0.25">
      <c r="A601">
        <v>599</v>
      </c>
      <c r="B601" t="s">
        <v>653</v>
      </c>
      <c r="C601" t="s">
        <v>701</v>
      </c>
      <c r="D601" t="s">
        <v>820</v>
      </c>
      <c r="E601" t="s">
        <v>14</v>
      </c>
      <c r="F601" t="s">
        <v>15</v>
      </c>
      <c r="G601" t="s">
        <v>122</v>
      </c>
      <c r="H601" t="s">
        <v>821</v>
      </c>
      <c r="I601" t="s">
        <v>20</v>
      </c>
      <c r="J601" t="s">
        <v>826</v>
      </c>
      <c r="K601">
        <v>7</v>
      </c>
      <c r="L601">
        <v>2</v>
      </c>
      <c r="M601">
        <v>1</v>
      </c>
      <c r="N601">
        <v>0</v>
      </c>
    </row>
    <row r="602" spans="1:14" x14ac:dyDescent="0.25">
      <c r="A602">
        <v>600</v>
      </c>
      <c r="B602" t="s">
        <v>653</v>
      </c>
      <c r="C602" t="s">
        <v>701</v>
      </c>
      <c r="D602" t="s">
        <v>820</v>
      </c>
      <c r="E602" t="s">
        <v>34</v>
      </c>
      <c r="F602" t="s">
        <v>15</v>
      </c>
      <c r="G602" t="s">
        <v>122</v>
      </c>
      <c r="H602" t="s">
        <v>821</v>
      </c>
      <c r="I602" t="s">
        <v>20</v>
      </c>
      <c r="J602" t="s">
        <v>827</v>
      </c>
      <c r="K602">
        <v>6</v>
      </c>
      <c r="L602">
        <v>3</v>
      </c>
      <c r="M602">
        <v>1</v>
      </c>
      <c r="N602">
        <v>0</v>
      </c>
    </row>
    <row r="603" spans="1:14" x14ac:dyDescent="0.25">
      <c r="A603">
        <v>601</v>
      </c>
      <c r="B603" t="s">
        <v>653</v>
      </c>
      <c r="C603" t="s">
        <v>701</v>
      </c>
      <c r="D603" t="s">
        <v>820</v>
      </c>
      <c r="E603" t="s">
        <v>14</v>
      </c>
      <c r="F603" t="s">
        <v>15</v>
      </c>
      <c r="G603" t="s">
        <v>122</v>
      </c>
      <c r="H603" t="s">
        <v>821</v>
      </c>
      <c r="I603" t="s">
        <v>20</v>
      </c>
      <c r="J603" t="s">
        <v>828</v>
      </c>
      <c r="K603">
        <v>6</v>
      </c>
      <c r="L603">
        <v>1</v>
      </c>
      <c r="M603">
        <v>1</v>
      </c>
      <c r="N603">
        <v>0</v>
      </c>
    </row>
    <row r="604" spans="1:14" x14ac:dyDescent="0.25">
      <c r="A604">
        <v>602</v>
      </c>
      <c r="B604" t="s">
        <v>653</v>
      </c>
      <c r="C604" t="s">
        <v>701</v>
      </c>
      <c r="D604" t="s">
        <v>820</v>
      </c>
      <c r="E604" t="s">
        <v>34</v>
      </c>
      <c r="F604" t="s">
        <v>15</v>
      </c>
      <c r="G604" t="s">
        <v>122</v>
      </c>
      <c r="H604" t="s">
        <v>821</v>
      </c>
      <c r="I604" t="s">
        <v>41</v>
      </c>
      <c r="J604" t="s">
        <v>829</v>
      </c>
      <c r="K604">
        <v>6</v>
      </c>
      <c r="L604">
        <v>2</v>
      </c>
      <c r="M604">
        <v>1</v>
      </c>
      <c r="N604">
        <v>0</v>
      </c>
    </row>
    <row r="605" spans="1:14" x14ac:dyDescent="0.25">
      <c r="A605">
        <v>603</v>
      </c>
      <c r="B605" t="s">
        <v>653</v>
      </c>
      <c r="C605" t="s">
        <v>701</v>
      </c>
      <c r="D605" t="s">
        <v>820</v>
      </c>
      <c r="E605" t="s">
        <v>22</v>
      </c>
      <c r="F605" t="s">
        <v>15</v>
      </c>
      <c r="G605" t="s">
        <v>122</v>
      </c>
      <c r="H605" t="s">
        <v>821</v>
      </c>
      <c r="I605" t="s">
        <v>20</v>
      </c>
      <c r="J605" t="s">
        <v>830</v>
      </c>
      <c r="K605">
        <v>6</v>
      </c>
      <c r="L605">
        <v>2</v>
      </c>
      <c r="M605">
        <v>1</v>
      </c>
      <c r="N605">
        <v>0</v>
      </c>
    </row>
    <row r="606" spans="1:14" x14ac:dyDescent="0.25">
      <c r="A606">
        <v>604</v>
      </c>
      <c r="B606" t="s">
        <v>653</v>
      </c>
      <c r="C606" t="s">
        <v>701</v>
      </c>
      <c r="D606" t="s">
        <v>820</v>
      </c>
      <c r="E606" t="s">
        <v>14</v>
      </c>
      <c r="F606" t="s">
        <v>15</v>
      </c>
      <c r="G606" t="s">
        <v>122</v>
      </c>
      <c r="H606" t="s">
        <v>821</v>
      </c>
      <c r="I606" t="s">
        <v>20</v>
      </c>
      <c r="J606" t="s">
        <v>831</v>
      </c>
      <c r="K606">
        <v>8</v>
      </c>
      <c r="L606">
        <v>1</v>
      </c>
      <c r="M606">
        <v>1</v>
      </c>
      <c r="N606">
        <v>0</v>
      </c>
    </row>
    <row r="607" spans="1:14" x14ac:dyDescent="0.25">
      <c r="A607">
        <v>605</v>
      </c>
      <c r="B607" t="s">
        <v>653</v>
      </c>
      <c r="C607" t="s">
        <v>701</v>
      </c>
      <c r="D607" t="s">
        <v>820</v>
      </c>
      <c r="E607" t="s">
        <v>22</v>
      </c>
      <c r="F607" t="s">
        <v>15</v>
      </c>
      <c r="G607" t="s">
        <v>122</v>
      </c>
      <c r="H607" t="s">
        <v>821</v>
      </c>
      <c r="I607" t="s">
        <v>41</v>
      </c>
      <c r="J607" t="s">
        <v>832</v>
      </c>
      <c r="K607">
        <v>6</v>
      </c>
      <c r="L607">
        <v>4</v>
      </c>
      <c r="M607">
        <v>1</v>
      </c>
      <c r="N607">
        <v>0</v>
      </c>
    </row>
    <row r="608" spans="1:14" x14ac:dyDescent="0.25">
      <c r="A608">
        <v>606</v>
      </c>
      <c r="B608" t="s">
        <v>653</v>
      </c>
      <c r="C608" t="s">
        <v>701</v>
      </c>
      <c r="D608" t="s">
        <v>820</v>
      </c>
      <c r="E608" t="s">
        <v>22</v>
      </c>
      <c r="F608" t="s">
        <v>15</v>
      </c>
      <c r="G608" t="s">
        <v>122</v>
      </c>
      <c r="H608" t="s">
        <v>821</v>
      </c>
      <c r="I608" t="s">
        <v>20</v>
      </c>
      <c r="J608" t="s">
        <v>833</v>
      </c>
      <c r="K608">
        <v>7</v>
      </c>
      <c r="L608">
        <v>2</v>
      </c>
      <c r="M608">
        <v>1</v>
      </c>
      <c r="N608">
        <v>0</v>
      </c>
    </row>
    <row r="609" spans="1:14" x14ac:dyDescent="0.25">
      <c r="A609">
        <v>607</v>
      </c>
      <c r="B609" t="s">
        <v>653</v>
      </c>
      <c r="C609" t="s">
        <v>701</v>
      </c>
      <c r="D609" t="s">
        <v>834</v>
      </c>
      <c r="E609" t="s">
        <v>14</v>
      </c>
      <c r="F609" t="s">
        <v>15</v>
      </c>
      <c r="G609" t="s">
        <v>122</v>
      </c>
      <c r="H609" t="s">
        <v>821</v>
      </c>
      <c r="I609" t="s">
        <v>18</v>
      </c>
      <c r="J609" t="s">
        <v>835</v>
      </c>
      <c r="K609">
        <v>7</v>
      </c>
      <c r="L609">
        <v>3</v>
      </c>
      <c r="M609">
        <v>1</v>
      </c>
      <c r="N609">
        <v>0</v>
      </c>
    </row>
    <row r="610" spans="1:14" x14ac:dyDescent="0.25">
      <c r="A610">
        <v>608</v>
      </c>
      <c r="B610" t="s">
        <v>653</v>
      </c>
      <c r="C610" t="s">
        <v>701</v>
      </c>
      <c r="D610" t="s">
        <v>834</v>
      </c>
      <c r="E610" t="s">
        <v>14</v>
      </c>
      <c r="F610" t="s">
        <v>15</v>
      </c>
      <c r="G610" t="s">
        <v>122</v>
      </c>
      <c r="H610" t="s">
        <v>821</v>
      </c>
      <c r="I610" t="s">
        <v>212</v>
      </c>
      <c r="J610" t="s">
        <v>836</v>
      </c>
      <c r="K610">
        <v>7</v>
      </c>
      <c r="L610">
        <v>2</v>
      </c>
      <c r="M610">
        <v>1</v>
      </c>
      <c r="N610">
        <v>0</v>
      </c>
    </row>
    <row r="611" spans="1:14" x14ac:dyDescent="0.25">
      <c r="A611">
        <v>609</v>
      </c>
      <c r="B611" t="s">
        <v>653</v>
      </c>
      <c r="C611" t="s">
        <v>701</v>
      </c>
      <c r="D611" t="s">
        <v>834</v>
      </c>
      <c r="E611" t="s">
        <v>14</v>
      </c>
      <c r="F611" t="s">
        <v>15</v>
      </c>
      <c r="G611" t="s">
        <v>122</v>
      </c>
      <c r="H611" t="s">
        <v>821</v>
      </c>
      <c r="I611" t="s">
        <v>20</v>
      </c>
      <c r="J611" t="s">
        <v>837</v>
      </c>
      <c r="K611">
        <v>7</v>
      </c>
      <c r="L611">
        <v>2</v>
      </c>
      <c r="M611">
        <v>1</v>
      </c>
      <c r="N611">
        <v>0</v>
      </c>
    </row>
    <row r="612" spans="1:14" x14ac:dyDescent="0.25">
      <c r="A612">
        <v>610</v>
      </c>
      <c r="B612" t="s">
        <v>653</v>
      </c>
      <c r="C612" t="s">
        <v>701</v>
      </c>
      <c r="D612" t="s">
        <v>834</v>
      </c>
      <c r="E612" t="s">
        <v>22</v>
      </c>
      <c r="F612" t="s">
        <v>15</v>
      </c>
      <c r="G612" t="s">
        <v>122</v>
      </c>
      <c r="H612" t="s">
        <v>703</v>
      </c>
      <c r="I612" t="s">
        <v>20</v>
      </c>
      <c r="J612" t="s">
        <v>838</v>
      </c>
      <c r="K612">
        <v>7</v>
      </c>
      <c r="L612">
        <v>2</v>
      </c>
      <c r="M612">
        <v>1</v>
      </c>
      <c r="N612">
        <v>0</v>
      </c>
    </row>
    <row r="613" spans="1:14" x14ac:dyDescent="0.25">
      <c r="A613">
        <v>611</v>
      </c>
      <c r="B613" t="s">
        <v>653</v>
      </c>
      <c r="C613" t="s">
        <v>701</v>
      </c>
      <c r="D613" t="s">
        <v>834</v>
      </c>
      <c r="E613" t="s">
        <v>22</v>
      </c>
      <c r="F613" t="s">
        <v>15</v>
      </c>
      <c r="G613" t="s">
        <v>122</v>
      </c>
      <c r="H613" t="s">
        <v>703</v>
      </c>
      <c r="I613" t="s">
        <v>20</v>
      </c>
      <c r="J613" t="s">
        <v>839</v>
      </c>
      <c r="K613">
        <v>6</v>
      </c>
      <c r="L613">
        <v>3</v>
      </c>
      <c r="M613">
        <v>1</v>
      </c>
      <c r="N613">
        <v>0</v>
      </c>
    </row>
    <row r="614" spans="1:14" x14ac:dyDescent="0.25">
      <c r="A614">
        <v>612</v>
      </c>
      <c r="B614" t="s">
        <v>653</v>
      </c>
      <c r="C614" t="s">
        <v>701</v>
      </c>
      <c r="D614" t="s">
        <v>834</v>
      </c>
      <c r="E614" t="s">
        <v>14</v>
      </c>
      <c r="F614" t="s">
        <v>15</v>
      </c>
      <c r="G614" t="s">
        <v>122</v>
      </c>
      <c r="H614" t="s">
        <v>703</v>
      </c>
      <c r="I614" t="s">
        <v>20</v>
      </c>
      <c r="J614" t="s">
        <v>840</v>
      </c>
      <c r="K614">
        <v>8</v>
      </c>
      <c r="L614">
        <v>1</v>
      </c>
      <c r="M614">
        <v>1</v>
      </c>
      <c r="N614">
        <v>0</v>
      </c>
    </row>
    <row r="615" spans="1:14" x14ac:dyDescent="0.25">
      <c r="A615">
        <v>613</v>
      </c>
      <c r="B615" t="s">
        <v>653</v>
      </c>
      <c r="C615" t="s">
        <v>701</v>
      </c>
      <c r="D615" t="s">
        <v>841</v>
      </c>
      <c r="E615" t="s">
        <v>22</v>
      </c>
      <c r="F615" t="s">
        <v>15</v>
      </c>
      <c r="G615" t="s">
        <v>122</v>
      </c>
      <c r="H615" t="s">
        <v>703</v>
      </c>
      <c r="I615" t="s">
        <v>20</v>
      </c>
      <c r="J615" t="s">
        <v>842</v>
      </c>
      <c r="K615">
        <v>7</v>
      </c>
      <c r="L615">
        <v>1</v>
      </c>
      <c r="M615">
        <v>1</v>
      </c>
      <c r="N615">
        <v>0</v>
      </c>
    </row>
    <row r="616" spans="1:14" x14ac:dyDescent="0.25">
      <c r="A616">
        <v>614</v>
      </c>
      <c r="B616" t="s">
        <v>653</v>
      </c>
      <c r="C616" t="s">
        <v>701</v>
      </c>
      <c r="D616" t="s">
        <v>841</v>
      </c>
      <c r="E616" t="s">
        <v>22</v>
      </c>
      <c r="F616" t="s">
        <v>15</v>
      </c>
      <c r="G616" t="s">
        <v>122</v>
      </c>
      <c r="H616" t="s">
        <v>703</v>
      </c>
      <c r="I616" t="s">
        <v>27</v>
      </c>
      <c r="J616" t="s">
        <v>843</v>
      </c>
      <c r="K616">
        <v>7</v>
      </c>
      <c r="L616">
        <v>1</v>
      </c>
      <c r="M616">
        <v>1</v>
      </c>
      <c r="N616">
        <v>0</v>
      </c>
    </row>
    <row r="617" spans="1:14" x14ac:dyDescent="0.25">
      <c r="A617">
        <v>615</v>
      </c>
      <c r="B617" t="s">
        <v>653</v>
      </c>
      <c r="C617" t="s">
        <v>701</v>
      </c>
      <c r="D617" t="s">
        <v>841</v>
      </c>
      <c r="E617" t="s">
        <v>14</v>
      </c>
      <c r="F617" t="s">
        <v>15</v>
      </c>
      <c r="G617" t="s">
        <v>122</v>
      </c>
      <c r="H617" t="s">
        <v>703</v>
      </c>
      <c r="I617" t="s">
        <v>20</v>
      </c>
      <c r="J617" t="s">
        <v>844</v>
      </c>
      <c r="K617">
        <v>8</v>
      </c>
      <c r="L617">
        <v>1</v>
      </c>
      <c r="M617">
        <v>1</v>
      </c>
      <c r="N617">
        <v>0</v>
      </c>
    </row>
    <row r="618" spans="1:14" x14ac:dyDescent="0.25">
      <c r="A618">
        <v>616</v>
      </c>
      <c r="B618" t="s">
        <v>653</v>
      </c>
      <c r="C618" t="s">
        <v>701</v>
      </c>
      <c r="D618" t="s">
        <v>841</v>
      </c>
      <c r="E618" t="s">
        <v>22</v>
      </c>
      <c r="F618" t="s">
        <v>15</v>
      </c>
      <c r="G618" t="s">
        <v>122</v>
      </c>
      <c r="H618" t="s">
        <v>703</v>
      </c>
      <c r="I618" t="s">
        <v>27</v>
      </c>
      <c r="J618" t="s">
        <v>845</v>
      </c>
      <c r="K618">
        <v>6</v>
      </c>
      <c r="L618">
        <v>2</v>
      </c>
      <c r="M618">
        <v>1</v>
      </c>
      <c r="N618">
        <v>0</v>
      </c>
    </row>
    <row r="619" spans="1:14" x14ac:dyDescent="0.25">
      <c r="A619">
        <v>617</v>
      </c>
      <c r="B619" t="s">
        <v>653</v>
      </c>
      <c r="C619" t="s">
        <v>701</v>
      </c>
      <c r="D619" t="s">
        <v>841</v>
      </c>
      <c r="E619" t="s">
        <v>14</v>
      </c>
      <c r="F619" t="s">
        <v>15</v>
      </c>
      <c r="G619" t="s">
        <v>122</v>
      </c>
      <c r="H619" t="s">
        <v>703</v>
      </c>
      <c r="I619" t="s">
        <v>20</v>
      </c>
      <c r="J619" t="s">
        <v>846</v>
      </c>
      <c r="K619">
        <v>7</v>
      </c>
      <c r="L619">
        <v>1</v>
      </c>
      <c r="M619">
        <v>1</v>
      </c>
      <c r="N619">
        <v>0</v>
      </c>
    </row>
    <row r="620" spans="1:14" x14ac:dyDescent="0.25">
      <c r="A620">
        <v>618</v>
      </c>
      <c r="B620" t="s">
        <v>653</v>
      </c>
      <c r="C620" t="s">
        <v>701</v>
      </c>
      <c r="D620" t="s">
        <v>847</v>
      </c>
      <c r="E620" t="s">
        <v>14</v>
      </c>
      <c r="F620" t="s">
        <v>15</v>
      </c>
      <c r="G620" t="s">
        <v>16</v>
      </c>
      <c r="H620" t="s">
        <v>703</v>
      </c>
      <c r="I620" t="s">
        <v>212</v>
      </c>
      <c r="J620" t="s">
        <v>848</v>
      </c>
      <c r="K620">
        <v>9</v>
      </c>
      <c r="L620">
        <v>1</v>
      </c>
      <c r="M620">
        <v>1</v>
      </c>
      <c r="N620">
        <v>0</v>
      </c>
    </row>
    <row r="621" spans="1:14" x14ac:dyDescent="0.25">
      <c r="A621">
        <v>619</v>
      </c>
      <c r="B621" t="s">
        <v>653</v>
      </c>
      <c r="C621" t="s">
        <v>701</v>
      </c>
      <c r="D621" t="s">
        <v>847</v>
      </c>
      <c r="E621" t="s">
        <v>14</v>
      </c>
      <c r="F621" t="s">
        <v>15</v>
      </c>
      <c r="G621" t="s">
        <v>16</v>
      </c>
      <c r="H621" t="s">
        <v>703</v>
      </c>
      <c r="I621" t="s">
        <v>20</v>
      </c>
      <c r="J621" t="s">
        <v>849</v>
      </c>
      <c r="K621">
        <v>9</v>
      </c>
      <c r="L621">
        <v>1</v>
      </c>
      <c r="M621">
        <v>1</v>
      </c>
      <c r="N621">
        <v>0</v>
      </c>
    </row>
    <row r="622" spans="1:14" x14ac:dyDescent="0.25">
      <c r="A622">
        <v>620</v>
      </c>
      <c r="B622" t="s">
        <v>653</v>
      </c>
      <c r="C622" t="s">
        <v>701</v>
      </c>
      <c r="D622" t="s">
        <v>847</v>
      </c>
      <c r="E622" t="s">
        <v>14</v>
      </c>
      <c r="F622" t="s">
        <v>15</v>
      </c>
      <c r="G622" t="s">
        <v>16</v>
      </c>
      <c r="H622" t="s">
        <v>703</v>
      </c>
      <c r="I622" t="s">
        <v>20</v>
      </c>
      <c r="J622" t="s">
        <v>850</v>
      </c>
      <c r="K622">
        <v>8</v>
      </c>
      <c r="L622">
        <v>1</v>
      </c>
      <c r="M622">
        <v>1</v>
      </c>
      <c r="N622">
        <v>0</v>
      </c>
    </row>
    <row r="623" spans="1:14" x14ac:dyDescent="0.25">
      <c r="A623">
        <v>621</v>
      </c>
      <c r="B623" t="s">
        <v>653</v>
      </c>
      <c r="C623" t="s">
        <v>701</v>
      </c>
      <c r="D623" t="s">
        <v>847</v>
      </c>
      <c r="E623" t="s">
        <v>14</v>
      </c>
      <c r="F623" t="s">
        <v>15</v>
      </c>
      <c r="G623" t="s">
        <v>16</v>
      </c>
      <c r="H623" t="s">
        <v>703</v>
      </c>
      <c r="I623" t="s">
        <v>20</v>
      </c>
      <c r="J623" t="s">
        <v>851</v>
      </c>
      <c r="K623">
        <v>9</v>
      </c>
      <c r="L623">
        <v>1</v>
      </c>
      <c r="M623">
        <v>1</v>
      </c>
      <c r="N623">
        <v>0</v>
      </c>
    </row>
    <row r="624" spans="1:14" x14ac:dyDescent="0.25">
      <c r="A624">
        <v>622</v>
      </c>
      <c r="B624" t="s">
        <v>653</v>
      </c>
      <c r="C624" t="s">
        <v>701</v>
      </c>
      <c r="D624" t="s">
        <v>847</v>
      </c>
      <c r="E624" t="s">
        <v>14</v>
      </c>
      <c r="F624" t="s">
        <v>15</v>
      </c>
      <c r="G624" t="s">
        <v>16</v>
      </c>
      <c r="H624" t="s">
        <v>703</v>
      </c>
      <c r="I624" t="s">
        <v>20</v>
      </c>
      <c r="J624" t="s">
        <v>852</v>
      </c>
      <c r="K624">
        <v>7</v>
      </c>
      <c r="L624">
        <v>1</v>
      </c>
      <c r="M624">
        <v>1</v>
      </c>
      <c r="N624">
        <v>0</v>
      </c>
    </row>
    <row r="625" spans="1:14" x14ac:dyDescent="0.25">
      <c r="A625">
        <v>623</v>
      </c>
      <c r="B625" t="s">
        <v>653</v>
      </c>
      <c r="C625" t="s">
        <v>701</v>
      </c>
      <c r="D625" t="s">
        <v>841</v>
      </c>
      <c r="E625" t="s">
        <v>14</v>
      </c>
      <c r="F625" t="s">
        <v>15</v>
      </c>
      <c r="G625" t="s">
        <v>122</v>
      </c>
      <c r="H625" t="s">
        <v>703</v>
      </c>
      <c r="I625" t="s">
        <v>1612</v>
      </c>
      <c r="J625" t="s">
        <v>853</v>
      </c>
      <c r="K625">
        <v>7</v>
      </c>
      <c r="L625">
        <v>2</v>
      </c>
      <c r="M625">
        <v>1</v>
      </c>
      <c r="N625">
        <v>0</v>
      </c>
    </row>
    <row r="626" spans="1:14" x14ac:dyDescent="0.25">
      <c r="A626">
        <v>624</v>
      </c>
      <c r="B626" t="s">
        <v>653</v>
      </c>
      <c r="C626" t="s">
        <v>701</v>
      </c>
      <c r="D626" t="s">
        <v>841</v>
      </c>
      <c r="E626" t="s">
        <v>22</v>
      </c>
      <c r="F626" t="s">
        <v>15</v>
      </c>
      <c r="G626" t="s">
        <v>122</v>
      </c>
      <c r="H626" t="s">
        <v>703</v>
      </c>
      <c r="I626" t="s">
        <v>20</v>
      </c>
      <c r="J626" t="s">
        <v>854</v>
      </c>
      <c r="K626">
        <v>7</v>
      </c>
      <c r="L626">
        <v>1</v>
      </c>
      <c r="M626">
        <v>1</v>
      </c>
      <c r="N626">
        <v>0</v>
      </c>
    </row>
    <row r="627" spans="1:14" x14ac:dyDescent="0.25">
      <c r="A627">
        <v>625</v>
      </c>
      <c r="B627" t="s">
        <v>653</v>
      </c>
      <c r="C627" t="s">
        <v>701</v>
      </c>
      <c r="D627" t="s">
        <v>841</v>
      </c>
      <c r="E627" t="s">
        <v>22</v>
      </c>
      <c r="F627" t="s">
        <v>858</v>
      </c>
      <c r="G627" t="s">
        <v>122</v>
      </c>
      <c r="H627" t="s">
        <v>859</v>
      </c>
      <c r="I627" t="s">
        <v>27</v>
      </c>
      <c r="J627" t="s">
        <v>856</v>
      </c>
      <c r="K627">
        <v>6</v>
      </c>
      <c r="L627">
        <v>1</v>
      </c>
      <c r="M627">
        <v>2</v>
      </c>
      <c r="N627">
        <v>0</v>
      </c>
    </row>
    <row r="628" spans="1:14" x14ac:dyDescent="0.25">
      <c r="A628">
        <v>626</v>
      </c>
      <c r="B628" t="s">
        <v>653</v>
      </c>
      <c r="C628" t="s">
        <v>868</v>
      </c>
      <c r="D628" t="s">
        <v>869</v>
      </c>
      <c r="E628" t="s">
        <v>14</v>
      </c>
      <c r="F628" t="s">
        <v>858</v>
      </c>
      <c r="G628" t="s">
        <v>122</v>
      </c>
      <c r="H628" t="s">
        <v>859</v>
      </c>
      <c r="I628" t="s">
        <v>27</v>
      </c>
      <c r="J628" t="s">
        <v>857</v>
      </c>
      <c r="K628">
        <v>7</v>
      </c>
      <c r="L628">
        <v>1</v>
      </c>
      <c r="M628">
        <v>2</v>
      </c>
      <c r="N628">
        <v>0</v>
      </c>
    </row>
    <row r="629" spans="1:14" x14ac:dyDescent="0.25">
      <c r="A629">
        <v>627</v>
      </c>
      <c r="B629" t="s">
        <v>653</v>
      </c>
      <c r="C629" t="s">
        <v>701</v>
      </c>
      <c r="D629" t="s">
        <v>841</v>
      </c>
      <c r="E629" t="s">
        <v>80</v>
      </c>
      <c r="F629" t="s">
        <v>858</v>
      </c>
      <c r="G629" t="s">
        <v>122</v>
      </c>
      <c r="H629" t="s">
        <v>859</v>
      </c>
      <c r="I629" t="s">
        <v>1612</v>
      </c>
      <c r="J629" t="s">
        <v>860</v>
      </c>
      <c r="K629">
        <v>6</v>
      </c>
      <c r="L629">
        <v>1</v>
      </c>
      <c r="M629">
        <v>2</v>
      </c>
      <c r="N629">
        <v>0</v>
      </c>
    </row>
    <row r="630" spans="1:14" x14ac:dyDescent="0.25">
      <c r="A630">
        <v>628</v>
      </c>
      <c r="B630" t="s">
        <v>653</v>
      </c>
      <c r="C630" t="s">
        <v>701</v>
      </c>
      <c r="D630" t="s">
        <v>841</v>
      </c>
      <c r="E630" t="s">
        <v>80</v>
      </c>
      <c r="F630" t="s">
        <v>858</v>
      </c>
      <c r="G630" t="s">
        <v>122</v>
      </c>
      <c r="H630" t="s">
        <v>859</v>
      </c>
      <c r="I630" t="s">
        <v>20</v>
      </c>
      <c r="J630" t="s">
        <v>861</v>
      </c>
      <c r="K630">
        <v>6</v>
      </c>
      <c r="L630">
        <v>2</v>
      </c>
      <c r="M630">
        <v>3</v>
      </c>
      <c r="N630">
        <v>0</v>
      </c>
    </row>
    <row r="631" spans="1:14" x14ac:dyDescent="0.25">
      <c r="A631">
        <v>629</v>
      </c>
      <c r="B631" t="s">
        <v>653</v>
      </c>
      <c r="C631" t="s">
        <v>701</v>
      </c>
      <c r="D631" t="s">
        <v>841</v>
      </c>
      <c r="E631" t="s">
        <v>14</v>
      </c>
      <c r="F631" t="s">
        <v>15</v>
      </c>
      <c r="G631" t="s">
        <v>122</v>
      </c>
      <c r="H631" t="s">
        <v>703</v>
      </c>
      <c r="I631" t="s">
        <v>20</v>
      </c>
      <c r="J631" t="s">
        <v>862</v>
      </c>
      <c r="K631">
        <v>6</v>
      </c>
      <c r="L631">
        <v>2</v>
      </c>
      <c r="M631">
        <v>1</v>
      </c>
      <c r="N631">
        <v>0</v>
      </c>
    </row>
    <row r="632" spans="1:14" x14ac:dyDescent="0.25">
      <c r="A632">
        <v>630</v>
      </c>
      <c r="B632" t="s">
        <v>653</v>
      </c>
      <c r="C632" t="s">
        <v>701</v>
      </c>
      <c r="D632" t="s">
        <v>834</v>
      </c>
      <c r="E632" t="s">
        <v>34</v>
      </c>
      <c r="F632" t="s">
        <v>15</v>
      </c>
      <c r="G632" t="s">
        <v>122</v>
      </c>
      <c r="H632" t="s">
        <v>703</v>
      </c>
      <c r="I632" t="s">
        <v>20</v>
      </c>
      <c r="J632" t="s">
        <v>863</v>
      </c>
      <c r="K632">
        <v>7</v>
      </c>
      <c r="L632">
        <v>2</v>
      </c>
      <c r="M632">
        <v>1</v>
      </c>
      <c r="N632">
        <v>0</v>
      </c>
    </row>
    <row r="633" spans="1:14" x14ac:dyDescent="0.25">
      <c r="A633">
        <v>631</v>
      </c>
      <c r="B633" t="s">
        <v>653</v>
      </c>
      <c r="C633" t="s">
        <v>701</v>
      </c>
      <c r="D633" t="s">
        <v>834</v>
      </c>
      <c r="E633" t="s">
        <v>34</v>
      </c>
      <c r="F633" t="s">
        <v>15</v>
      </c>
      <c r="G633" t="s">
        <v>122</v>
      </c>
      <c r="H633" t="s">
        <v>703</v>
      </c>
      <c r="I633" t="s">
        <v>20</v>
      </c>
      <c r="J633" t="s">
        <v>864</v>
      </c>
      <c r="K633">
        <v>7</v>
      </c>
      <c r="L633">
        <v>3</v>
      </c>
      <c r="M633">
        <v>1</v>
      </c>
      <c r="N633">
        <v>0</v>
      </c>
    </row>
    <row r="634" spans="1:14" x14ac:dyDescent="0.25">
      <c r="A634">
        <v>632</v>
      </c>
      <c r="B634" t="s">
        <v>653</v>
      </c>
      <c r="C634" t="s">
        <v>701</v>
      </c>
      <c r="D634" t="s">
        <v>834</v>
      </c>
      <c r="E634" t="s">
        <v>22</v>
      </c>
      <c r="F634" t="s">
        <v>15</v>
      </c>
      <c r="G634" t="s">
        <v>122</v>
      </c>
      <c r="H634" t="s">
        <v>703</v>
      </c>
      <c r="I634" t="s">
        <v>20</v>
      </c>
      <c r="J634" t="s">
        <v>865</v>
      </c>
      <c r="K634">
        <v>6</v>
      </c>
      <c r="L634">
        <v>3</v>
      </c>
      <c r="M634">
        <v>1</v>
      </c>
      <c r="N634">
        <v>0</v>
      </c>
    </row>
    <row r="635" spans="1:14" x14ac:dyDescent="0.25">
      <c r="A635">
        <v>633</v>
      </c>
      <c r="B635" t="s">
        <v>653</v>
      </c>
      <c r="C635" t="s">
        <v>701</v>
      </c>
      <c r="D635" t="s">
        <v>834</v>
      </c>
      <c r="E635" t="s">
        <v>22</v>
      </c>
      <c r="F635" t="s">
        <v>858</v>
      </c>
      <c r="G635" t="s">
        <v>122</v>
      </c>
      <c r="H635" t="s">
        <v>859</v>
      </c>
      <c r="I635" t="s">
        <v>20</v>
      </c>
      <c r="J635" t="s">
        <v>866</v>
      </c>
      <c r="K635">
        <v>7</v>
      </c>
      <c r="L635">
        <v>2</v>
      </c>
      <c r="M635">
        <v>1</v>
      </c>
      <c r="N635">
        <v>0</v>
      </c>
    </row>
    <row r="636" spans="1:14" x14ac:dyDescent="0.25">
      <c r="A636">
        <v>634</v>
      </c>
      <c r="B636" t="s">
        <v>653</v>
      </c>
      <c r="C636" t="s">
        <v>701</v>
      </c>
      <c r="D636" t="s">
        <v>834</v>
      </c>
      <c r="E636" t="s">
        <v>22</v>
      </c>
      <c r="F636" t="s">
        <v>858</v>
      </c>
      <c r="G636" t="s">
        <v>122</v>
      </c>
      <c r="H636" t="s">
        <v>859</v>
      </c>
      <c r="I636" t="s">
        <v>20</v>
      </c>
      <c r="J636" t="s">
        <v>867</v>
      </c>
      <c r="K636">
        <v>7</v>
      </c>
      <c r="L636">
        <v>2</v>
      </c>
      <c r="M636">
        <v>3</v>
      </c>
      <c r="N636">
        <v>0</v>
      </c>
    </row>
    <row r="637" spans="1:14" x14ac:dyDescent="0.25">
      <c r="A637">
        <v>635</v>
      </c>
      <c r="B637" t="s">
        <v>653</v>
      </c>
      <c r="C637" t="s">
        <v>868</v>
      </c>
      <c r="D637" t="s">
        <v>869</v>
      </c>
      <c r="E637" t="s">
        <v>34</v>
      </c>
      <c r="F637" t="s">
        <v>858</v>
      </c>
      <c r="G637" t="s">
        <v>122</v>
      </c>
      <c r="H637" t="s">
        <v>859</v>
      </c>
      <c r="I637" t="s">
        <v>352</v>
      </c>
      <c r="J637" t="s">
        <v>870</v>
      </c>
      <c r="K637">
        <v>7</v>
      </c>
      <c r="L637">
        <v>4</v>
      </c>
      <c r="M637">
        <v>6</v>
      </c>
      <c r="N637">
        <v>0</v>
      </c>
    </row>
    <row r="638" spans="1:14" x14ac:dyDescent="0.25">
      <c r="A638">
        <v>636</v>
      </c>
      <c r="B638" t="s">
        <v>653</v>
      </c>
      <c r="C638" t="s">
        <v>868</v>
      </c>
      <c r="D638" t="s">
        <v>869</v>
      </c>
      <c r="E638" t="s">
        <v>22</v>
      </c>
      <c r="F638" t="s">
        <v>858</v>
      </c>
      <c r="G638" t="s">
        <v>122</v>
      </c>
      <c r="H638" t="s">
        <v>859</v>
      </c>
      <c r="I638" t="s">
        <v>20</v>
      </c>
      <c r="J638" t="s">
        <v>871</v>
      </c>
      <c r="K638">
        <v>6</v>
      </c>
      <c r="L638">
        <v>2</v>
      </c>
      <c r="M638">
        <v>3</v>
      </c>
      <c r="N638">
        <v>0</v>
      </c>
    </row>
    <row r="639" spans="1:14" x14ac:dyDescent="0.25">
      <c r="A639">
        <v>637</v>
      </c>
      <c r="B639" t="s">
        <v>653</v>
      </c>
      <c r="C639" t="s">
        <v>868</v>
      </c>
      <c r="D639" t="s">
        <v>869</v>
      </c>
      <c r="E639" t="s">
        <v>22</v>
      </c>
      <c r="F639" t="s">
        <v>858</v>
      </c>
      <c r="G639" t="s">
        <v>122</v>
      </c>
      <c r="H639" t="s">
        <v>859</v>
      </c>
      <c r="I639" t="s">
        <v>20</v>
      </c>
      <c r="J639" t="s">
        <v>872</v>
      </c>
      <c r="K639">
        <v>7</v>
      </c>
      <c r="L639">
        <v>1</v>
      </c>
      <c r="M639">
        <v>2</v>
      </c>
      <c r="N639">
        <v>0</v>
      </c>
    </row>
    <row r="640" spans="1:14" x14ac:dyDescent="0.25">
      <c r="A640">
        <v>638</v>
      </c>
      <c r="B640" t="s">
        <v>653</v>
      </c>
      <c r="C640" t="s">
        <v>868</v>
      </c>
      <c r="D640" t="s">
        <v>869</v>
      </c>
      <c r="E640" t="s">
        <v>14</v>
      </c>
      <c r="F640" t="s">
        <v>858</v>
      </c>
      <c r="G640" t="s">
        <v>122</v>
      </c>
      <c r="H640" t="s">
        <v>859</v>
      </c>
      <c r="I640" t="s">
        <v>141</v>
      </c>
      <c r="J640" t="s">
        <v>873</v>
      </c>
      <c r="K640">
        <v>7</v>
      </c>
      <c r="L640">
        <v>1</v>
      </c>
      <c r="M640">
        <v>2</v>
      </c>
      <c r="N640">
        <v>0</v>
      </c>
    </row>
    <row r="641" spans="1:14" x14ac:dyDescent="0.25">
      <c r="A641">
        <v>639</v>
      </c>
      <c r="B641" t="s">
        <v>653</v>
      </c>
      <c r="C641" t="s">
        <v>868</v>
      </c>
      <c r="D641" t="s">
        <v>869</v>
      </c>
      <c r="E641" t="s">
        <v>14</v>
      </c>
      <c r="F641" t="s">
        <v>858</v>
      </c>
      <c r="G641" t="s">
        <v>122</v>
      </c>
      <c r="H641" t="s">
        <v>859</v>
      </c>
      <c r="I641" t="s">
        <v>27</v>
      </c>
      <c r="J641" t="s">
        <v>874</v>
      </c>
      <c r="K641">
        <v>7</v>
      </c>
      <c r="L641">
        <v>1</v>
      </c>
      <c r="M641">
        <v>2</v>
      </c>
      <c r="N641">
        <v>0</v>
      </c>
    </row>
    <row r="642" spans="1:14" x14ac:dyDescent="0.25">
      <c r="A642">
        <v>640</v>
      </c>
      <c r="B642" t="s">
        <v>653</v>
      </c>
      <c r="C642" t="s">
        <v>868</v>
      </c>
      <c r="D642" t="s">
        <v>869</v>
      </c>
      <c r="E642" t="s">
        <v>22</v>
      </c>
      <c r="F642" t="s">
        <v>858</v>
      </c>
      <c r="G642" t="s">
        <v>122</v>
      </c>
      <c r="H642" t="s">
        <v>859</v>
      </c>
      <c r="I642" t="s">
        <v>27</v>
      </c>
      <c r="J642" t="s">
        <v>875</v>
      </c>
      <c r="K642">
        <v>5</v>
      </c>
      <c r="L642">
        <v>3</v>
      </c>
      <c r="M642">
        <v>2</v>
      </c>
      <c r="N642">
        <v>0</v>
      </c>
    </row>
    <row r="643" spans="1:14" x14ac:dyDescent="0.25">
      <c r="A643">
        <v>641</v>
      </c>
      <c r="B643" t="s">
        <v>653</v>
      </c>
      <c r="C643" t="s">
        <v>876</v>
      </c>
      <c r="D643" t="s">
        <v>877</v>
      </c>
      <c r="E643" t="s">
        <v>34</v>
      </c>
      <c r="F643" t="s">
        <v>858</v>
      </c>
      <c r="G643" t="s">
        <v>35</v>
      </c>
      <c r="H643" t="s">
        <v>878</v>
      </c>
      <c r="I643" t="s">
        <v>43</v>
      </c>
      <c r="J643" t="s">
        <v>879</v>
      </c>
      <c r="K643">
        <v>5</v>
      </c>
      <c r="L643">
        <v>9</v>
      </c>
      <c r="M643">
        <v>7</v>
      </c>
      <c r="N643">
        <v>0</v>
      </c>
    </row>
    <row r="644" spans="1:14" x14ac:dyDescent="0.25">
      <c r="A644">
        <v>642</v>
      </c>
      <c r="B644" t="s">
        <v>653</v>
      </c>
      <c r="C644" t="s">
        <v>876</v>
      </c>
      <c r="D644" t="s">
        <v>877</v>
      </c>
      <c r="E644" t="s">
        <v>14</v>
      </c>
      <c r="F644" t="s">
        <v>858</v>
      </c>
      <c r="G644" t="s">
        <v>26</v>
      </c>
      <c r="H644" t="s">
        <v>878</v>
      </c>
      <c r="I644" t="s">
        <v>685</v>
      </c>
      <c r="J644" t="s">
        <v>880</v>
      </c>
      <c r="K644">
        <v>9</v>
      </c>
      <c r="L644">
        <v>13</v>
      </c>
      <c r="M644">
        <v>8</v>
      </c>
      <c r="N644">
        <v>0</v>
      </c>
    </row>
    <row r="645" spans="1:14" x14ac:dyDescent="0.25">
      <c r="A645">
        <v>643</v>
      </c>
      <c r="B645" t="s">
        <v>653</v>
      </c>
      <c r="C645" t="s">
        <v>868</v>
      </c>
      <c r="D645" t="s">
        <v>869</v>
      </c>
      <c r="E645" t="s">
        <v>14</v>
      </c>
      <c r="F645" t="s">
        <v>858</v>
      </c>
      <c r="G645" t="s">
        <v>26</v>
      </c>
      <c r="H645" t="s">
        <v>859</v>
      </c>
      <c r="I645" t="s">
        <v>141</v>
      </c>
      <c r="J645" t="s">
        <v>881</v>
      </c>
      <c r="K645">
        <v>6</v>
      </c>
      <c r="L645">
        <v>6</v>
      </c>
      <c r="M645">
        <v>7</v>
      </c>
      <c r="N645">
        <v>0</v>
      </c>
    </row>
    <row r="646" spans="1:14" x14ac:dyDescent="0.25">
      <c r="A646">
        <v>644</v>
      </c>
      <c r="B646" t="s">
        <v>653</v>
      </c>
      <c r="C646" t="s">
        <v>868</v>
      </c>
      <c r="D646" t="s">
        <v>869</v>
      </c>
      <c r="E646" t="s">
        <v>34</v>
      </c>
      <c r="F646" t="s">
        <v>858</v>
      </c>
      <c r="G646" t="s">
        <v>26</v>
      </c>
      <c r="H646" t="s">
        <v>859</v>
      </c>
      <c r="I646" t="s">
        <v>687</v>
      </c>
      <c r="J646" t="s">
        <v>882</v>
      </c>
      <c r="K646">
        <v>5</v>
      </c>
      <c r="L646">
        <v>6</v>
      </c>
      <c r="M646">
        <v>3</v>
      </c>
      <c r="N646">
        <v>0</v>
      </c>
    </row>
    <row r="647" spans="1:14" x14ac:dyDescent="0.25">
      <c r="A647">
        <v>645</v>
      </c>
      <c r="B647" t="s">
        <v>653</v>
      </c>
      <c r="C647" t="s">
        <v>868</v>
      </c>
      <c r="D647" t="s">
        <v>869</v>
      </c>
      <c r="E647" t="s">
        <v>22</v>
      </c>
      <c r="F647" t="s">
        <v>858</v>
      </c>
      <c r="G647" t="s">
        <v>26</v>
      </c>
      <c r="H647" t="s">
        <v>821</v>
      </c>
      <c r="I647" t="s">
        <v>352</v>
      </c>
      <c r="J647" t="s">
        <v>883</v>
      </c>
      <c r="K647">
        <v>5</v>
      </c>
      <c r="L647">
        <v>9</v>
      </c>
      <c r="M647">
        <v>2</v>
      </c>
      <c r="N647">
        <v>0</v>
      </c>
    </row>
    <row r="648" spans="1:14" x14ac:dyDescent="0.25">
      <c r="A648">
        <v>646</v>
      </c>
      <c r="B648" t="s">
        <v>653</v>
      </c>
      <c r="C648" t="s">
        <v>868</v>
      </c>
      <c r="D648" t="s">
        <v>869</v>
      </c>
      <c r="E648" t="s">
        <v>34</v>
      </c>
      <c r="F648" t="s">
        <v>858</v>
      </c>
      <c r="G648" t="s">
        <v>26</v>
      </c>
      <c r="H648" t="s">
        <v>886</v>
      </c>
      <c r="I648" t="s">
        <v>27</v>
      </c>
      <c r="J648" t="s">
        <v>884</v>
      </c>
      <c r="K648">
        <v>4</v>
      </c>
      <c r="L648">
        <v>8</v>
      </c>
      <c r="M648">
        <v>5</v>
      </c>
      <c r="N648">
        <v>0</v>
      </c>
    </row>
    <row r="649" spans="1:14" x14ac:dyDescent="0.25">
      <c r="A649">
        <v>647</v>
      </c>
      <c r="B649" t="s">
        <v>653</v>
      </c>
      <c r="C649" t="s">
        <v>868</v>
      </c>
      <c r="D649" t="s">
        <v>885</v>
      </c>
      <c r="E649" t="s">
        <v>14</v>
      </c>
      <c r="F649" t="s">
        <v>858</v>
      </c>
      <c r="G649" t="s">
        <v>35</v>
      </c>
      <c r="H649" t="s">
        <v>886</v>
      </c>
      <c r="I649" t="s">
        <v>43</v>
      </c>
      <c r="J649" t="s">
        <v>887</v>
      </c>
      <c r="K649">
        <v>5</v>
      </c>
      <c r="L649">
        <v>19</v>
      </c>
      <c r="M649">
        <v>5</v>
      </c>
      <c r="N649">
        <v>0</v>
      </c>
    </row>
    <row r="650" spans="1:14" x14ac:dyDescent="0.25">
      <c r="A650">
        <v>648</v>
      </c>
      <c r="B650" t="s">
        <v>653</v>
      </c>
      <c r="C650" t="s">
        <v>868</v>
      </c>
      <c r="D650" t="s">
        <v>885</v>
      </c>
      <c r="E650" t="s">
        <v>14</v>
      </c>
      <c r="F650" t="s">
        <v>858</v>
      </c>
      <c r="G650" t="s">
        <v>26</v>
      </c>
      <c r="H650" t="s">
        <v>886</v>
      </c>
      <c r="I650" t="s">
        <v>41</v>
      </c>
      <c r="J650" t="s">
        <v>888</v>
      </c>
      <c r="K650">
        <v>6</v>
      </c>
      <c r="L650">
        <v>9</v>
      </c>
      <c r="M650">
        <v>4</v>
      </c>
      <c r="N650">
        <v>0</v>
      </c>
    </row>
    <row r="651" spans="1:14" x14ac:dyDescent="0.25">
      <c r="A651">
        <v>649</v>
      </c>
      <c r="B651" t="s">
        <v>653</v>
      </c>
      <c r="C651" t="s">
        <v>868</v>
      </c>
      <c r="D651" t="s">
        <v>885</v>
      </c>
      <c r="E651" t="s">
        <v>34</v>
      </c>
      <c r="F651" t="s">
        <v>858</v>
      </c>
      <c r="G651" t="s">
        <v>35</v>
      </c>
      <c r="H651" t="s">
        <v>886</v>
      </c>
      <c r="I651" t="s">
        <v>687</v>
      </c>
      <c r="J651" t="s">
        <v>889</v>
      </c>
      <c r="K651">
        <v>4</v>
      </c>
      <c r="L651">
        <v>15</v>
      </c>
      <c r="M651">
        <v>12</v>
      </c>
      <c r="N651">
        <v>0</v>
      </c>
    </row>
    <row r="652" spans="1:14" x14ac:dyDescent="0.25">
      <c r="A652">
        <v>650</v>
      </c>
      <c r="B652" t="s">
        <v>653</v>
      </c>
      <c r="C652" t="s">
        <v>868</v>
      </c>
      <c r="D652" t="s">
        <v>885</v>
      </c>
      <c r="E652" t="s">
        <v>34</v>
      </c>
      <c r="F652" t="s">
        <v>858</v>
      </c>
      <c r="G652" t="s">
        <v>35</v>
      </c>
      <c r="H652" t="s">
        <v>886</v>
      </c>
      <c r="I652" t="s">
        <v>43</v>
      </c>
      <c r="J652" t="s">
        <v>890</v>
      </c>
      <c r="K652">
        <v>5</v>
      </c>
      <c r="L652">
        <v>10</v>
      </c>
      <c r="M652">
        <v>6</v>
      </c>
      <c r="N652">
        <v>0</v>
      </c>
    </row>
    <row r="653" spans="1:14" x14ac:dyDescent="0.25">
      <c r="A653">
        <v>651</v>
      </c>
      <c r="B653" t="s">
        <v>653</v>
      </c>
      <c r="C653" t="s">
        <v>868</v>
      </c>
      <c r="D653" t="s">
        <v>885</v>
      </c>
      <c r="E653" t="s">
        <v>34</v>
      </c>
      <c r="F653" t="s">
        <v>858</v>
      </c>
      <c r="G653" t="s">
        <v>35</v>
      </c>
      <c r="H653" t="s">
        <v>886</v>
      </c>
      <c r="I653" t="s">
        <v>43</v>
      </c>
      <c r="J653" t="s">
        <v>891</v>
      </c>
      <c r="K653">
        <v>4</v>
      </c>
      <c r="L653">
        <v>12</v>
      </c>
      <c r="M653">
        <v>5</v>
      </c>
      <c r="N653">
        <v>0</v>
      </c>
    </row>
    <row r="654" spans="1:14" x14ac:dyDescent="0.25">
      <c r="A654">
        <v>652</v>
      </c>
      <c r="B654" t="s">
        <v>653</v>
      </c>
      <c r="C654" t="s">
        <v>868</v>
      </c>
      <c r="D654" t="s">
        <v>892</v>
      </c>
      <c r="E654" t="s">
        <v>34</v>
      </c>
      <c r="F654" t="s">
        <v>858</v>
      </c>
      <c r="G654" t="s">
        <v>35</v>
      </c>
      <c r="H654" t="s">
        <v>886</v>
      </c>
      <c r="I654" t="s">
        <v>43</v>
      </c>
      <c r="J654" t="s">
        <v>893</v>
      </c>
      <c r="K654">
        <v>9</v>
      </c>
      <c r="L654">
        <v>15</v>
      </c>
      <c r="M654">
        <v>8</v>
      </c>
      <c r="N654">
        <v>0</v>
      </c>
    </row>
    <row r="655" spans="1:14" x14ac:dyDescent="0.25">
      <c r="A655">
        <v>653</v>
      </c>
      <c r="B655" t="s">
        <v>653</v>
      </c>
      <c r="C655" t="s">
        <v>868</v>
      </c>
      <c r="D655" t="s">
        <v>892</v>
      </c>
      <c r="E655" t="s">
        <v>34</v>
      </c>
      <c r="F655" t="s">
        <v>858</v>
      </c>
      <c r="G655" t="s">
        <v>75</v>
      </c>
      <c r="H655" t="s">
        <v>886</v>
      </c>
      <c r="I655" t="s">
        <v>685</v>
      </c>
      <c r="J655" t="s">
        <v>892</v>
      </c>
      <c r="K655">
        <v>9</v>
      </c>
      <c r="L655">
        <v>18</v>
      </c>
      <c r="M655">
        <v>8</v>
      </c>
      <c r="N655">
        <v>0</v>
      </c>
    </row>
    <row r="656" spans="1:14" x14ac:dyDescent="0.25">
      <c r="A656">
        <v>654</v>
      </c>
      <c r="B656" t="s">
        <v>653</v>
      </c>
      <c r="C656" t="s">
        <v>868</v>
      </c>
      <c r="D656" t="s">
        <v>892</v>
      </c>
      <c r="E656" t="s">
        <v>22</v>
      </c>
      <c r="F656" t="s">
        <v>858</v>
      </c>
      <c r="G656" t="s">
        <v>75</v>
      </c>
      <c r="H656" t="s">
        <v>886</v>
      </c>
      <c r="I656" t="s">
        <v>43</v>
      </c>
      <c r="J656" t="s">
        <v>894</v>
      </c>
      <c r="K656">
        <v>9</v>
      </c>
      <c r="L656">
        <v>16</v>
      </c>
      <c r="M656">
        <v>6</v>
      </c>
      <c r="N656">
        <v>0</v>
      </c>
    </row>
    <row r="657" spans="1:14" x14ac:dyDescent="0.25">
      <c r="A657">
        <v>655</v>
      </c>
      <c r="B657" t="s">
        <v>653</v>
      </c>
      <c r="C657" t="s">
        <v>868</v>
      </c>
      <c r="D657" t="s">
        <v>892</v>
      </c>
      <c r="E657" t="s">
        <v>22</v>
      </c>
      <c r="F657" t="s">
        <v>858</v>
      </c>
      <c r="G657" t="s">
        <v>75</v>
      </c>
      <c r="H657" t="s">
        <v>886</v>
      </c>
      <c r="I657" t="s">
        <v>27</v>
      </c>
      <c r="J657" t="s">
        <v>895</v>
      </c>
      <c r="K657">
        <v>9</v>
      </c>
      <c r="L657">
        <v>15</v>
      </c>
      <c r="M657">
        <v>6</v>
      </c>
      <c r="N657">
        <v>0</v>
      </c>
    </row>
    <row r="658" spans="1:14" x14ac:dyDescent="0.25">
      <c r="A658">
        <v>656</v>
      </c>
      <c r="B658" t="s">
        <v>653</v>
      </c>
      <c r="C658" t="s">
        <v>868</v>
      </c>
      <c r="D658" t="s">
        <v>896</v>
      </c>
      <c r="E658" t="s">
        <v>22</v>
      </c>
      <c r="F658" t="s">
        <v>858</v>
      </c>
      <c r="G658" t="s">
        <v>75</v>
      </c>
      <c r="H658" t="s">
        <v>886</v>
      </c>
      <c r="I658" t="s">
        <v>687</v>
      </c>
      <c r="J658" t="s">
        <v>897</v>
      </c>
      <c r="K658">
        <v>9</v>
      </c>
      <c r="L658">
        <v>9</v>
      </c>
      <c r="M658">
        <v>4</v>
      </c>
      <c r="N658">
        <v>0</v>
      </c>
    </row>
    <row r="659" spans="1:14" x14ac:dyDescent="0.25">
      <c r="A659">
        <v>657</v>
      </c>
      <c r="B659" t="s">
        <v>653</v>
      </c>
      <c r="C659" t="s">
        <v>868</v>
      </c>
      <c r="D659" t="s">
        <v>896</v>
      </c>
      <c r="E659" t="s">
        <v>34</v>
      </c>
      <c r="F659" t="s">
        <v>858</v>
      </c>
      <c r="G659" t="s">
        <v>75</v>
      </c>
      <c r="H659" t="s">
        <v>886</v>
      </c>
      <c r="I659" t="s">
        <v>685</v>
      </c>
      <c r="J659" t="s">
        <v>899</v>
      </c>
      <c r="K659">
        <v>9</v>
      </c>
      <c r="L659">
        <v>10</v>
      </c>
      <c r="M659">
        <v>6</v>
      </c>
      <c r="N659">
        <v>0</v>
      </c>
    </row>
    <row r="660" spans="1:14" x14ac:dyDescent="0.25">
      <c r="A660">
        <v>658</v>
      </c>
      <c r="B660" t="s">
        <v>653</v>
      </c>
      <c r="C660" t="s">
        <v>868</v>
      </c>
      <c r="D660" t="s">
        <v>896</v>
      </c>
      <c r="E660" t="s">
        <v>22</v>
      </c>
      <c r="F660" t="s">
        <v>858</v>
      </c>
      <c r="G660" t="s">
        <v>75</v>
      </c>
      <c r="H660" t="s">
        <v>886</v>
      </c>
      <c r="I660" t="s">
        <v>685</v>
      </c>
      <c r="J660" t="s">
        <v>900</v>
      </c>
      <c r="K660">
        <v>9</v>
      </c>
      <c r="L660">
        <v>8</v>
      </c>
      <c r="M660">
        <v>5</v>
      </c>
      <c r="N660">
        <v>0</v>
      </c>
    </row>
    <row r="661" spans="1:14" x14ac:dyDescent="0.25">
      <c r="A661">
        <v>659</v>
      </c>
      <c r="B661" t="s">
        <v>653</v>
      </c>
      <c r="C661" t="s">
        <v>868</v>
      </c>
      <c r="D661" t="s">
        <v>896</v>
      </c>
      <c r="E661" t="s">
        <v>34</v>
      </c>
      <c r="F661" t="s">
        <v>858</v>
      </c>
      <c r="G661" t="s">
        <v>75</v>
      </c>
      <c r="H661" t="s">
        <v>886</v>
      </c>
      <c r="I661" t="s">
        <v>685</v>
      </c>
      <c r="J661" t="s">
        <v>901</v>
      </c>
      <c r="K661">
        <v>9</v>
      </c>
      <c r="L661">
        <v>19</v>
      </c>
      <c r="M661">
        <v>5</v>
      </c>
      <c r="N661">
        <v>0</v>
      </c>
    </row>
    <row r="662" spans="1:14" x14ac:dyDescent="0.25">
      <c r="A662">
        <v>660</v>
      </c>
      <c r="B662" t="s">
        <v>653</v>
      </c>
      <c r="C662" t="s">
        <v>868</v>
      </c>
      <c r="D662" t="s">
        <v>896</v>
      </c>
      <c r="E662" t="s">
        <v>22</v>
      </c>
      <c r="F662" t="s">
        <v>858</v>
      </c>
      <c r="G662" t="s">
        <v>75</v>
      </c>
      <c r="H662" t="s">
        <v>886</v>
      </c>
      <c r="I662" t="s">
        <v>27</v>
      </c>
      <c r="J662" t="s">
        <v>902</v>
      </c>
      <c r="K662">
        <v>9</v>
      </c>
      <c r="L662">
        <v>6</v>
      </c>
      <c r="M662">
        <v>3</v>
      </c>
      <c r="N662">
        <v>0</v>
      </c>
    </row>
    <row r="663" spans="1:14" x14ac:dyDescent="0.25">
      <c r="A663">
        <v>661</v>
      </c>
      <c r="B663" t="s">
        <v>653</v>
      </c>
      <c r="C663" t="s">
        <v>868</v>
      </c>
      <c r="D663" t="s">
        <v>896</v>
      </c>
      <c r="E663" t="s">
        <v>22</v>
      </c>
      <c r="F663" t="s">
        <v>858</v>
      </c>
      <c r="G663" t="s">
        <v>75</v>
      </c>
      <c r="H663" t="s">
        <v>898</v>
      </c>
      <c r="I663" t="s">
        <v>685</v>
      </c>
      <c r="J663" t="s">
        <v>903</v>
      </c>
      <c r="K663">
        <v>9</v>
      </c>
      <c r="L663">
        <v>9</v>
      </c>
      <c r="M663">
        <v>4</v>
      </c>
      <c r="N663">
        <v>0</v>
      </c>
    </row>
    <row r="664" spans="1:14" x14ac:dyDescent="0.25">
      <c r="A664">
        <v>662</v>
      </c>
      <c r="B664" t="s">
        <v>653</v>
      </c>
      <c r="C664" t="s">
        <v>904</v>
      </c>
      <c r="D664" t="s">
        <v>905</v>
      </c>
      <c r="E664" t="s">
        <v>80</v>
      </c>
      <c r="F664" t="s">
        <v>858</v>
      </c>
      <c r="G664" t="s">
        <v>75</v>
      </c>
      <c r="H664" t="s">
        <v>906</v>
      </c>
      <c r="I664" t="s">
        <v>1612</v>
      </c>
      <c r="J664" t="s">
        <v>907</v>
      </c>
      <c r="K664">
        <v>5</v>
      </c>
      <c r="L664">
        <v>11</v>
      </c>
      <c r="M664">
        <v>6</v>
      </c>
      <c r="N664">
        <v>0</v>
      </c>
    </row>
    <row r="665" spans="1:14" x14ac:dyDescent="0.25">
      <c r="A665">
        <v>663</v>
      </c>
      <c r="B665" t="s">
        <v>653</v>
      </c>
      <c r="C665" t="s">
        <v>904</v>
      </c>
      <c r="D665" t="s">
        <v>905</v>
      </c>
      <c r="E665" t="s">
        <v>22</v>
      </c>
      <c r="F665" t="s">
        <v>858</v>
      </c>
      <c r="G665" t="s">
        <v>75</v>
      </c>
      <c r="H665" t="s">
        <v>906</v>
      </c>
      <c r="I665" t="s">
        <v>27</v>
      </c>
      <c r="J665" t="s">
        <v>908</v>
      </c>
      <c r="K665">
        <v>6</v>
      </c>
      <c r="L665">
        <v>8</v>
      </c>
      <c r="M665">
        <v>5</v>
      </c>
      <c r="N665">
        <v>0</v>
      </c>
    </row>
    <row r="666" spans="1:14" x14ac:dyDescent="0.25">
      <c r="A666">
        <v>664</v>
      </c>
      <c r="B666" t="s">
        <v>653</v>
      </c>
      <c r="C666" t="s">
        <v>904</v>
      </c>
      <c r="D666" t="s">
        <v>905</v>
      </c>
      <c r="E666" t="s">
        <v>14</v>
      </c>
      <c r="F666" t="s">
        <v>748</v>
      </c>
      <c r="G666" t="s">
        <v>75</v>
      </c>
      <c r="H666" t="s">
        <v>909</v>
      </c>
      <c r="I666" t="s">
        <v>685</v>
      </c>
      <c r="J666" t="s">
        <v>910</v>
      </c>
      <c r="K666">
        <v>7</v>
      </c>
      <c r="L666">
        <v>8</v>
      </c>
      <c r="M666">
        <v>5</v>
      </c>
      <c r="N666">
        <v>0</v>
      </c>
    </row>
    <row r="667" spans="1:14" x14ac:dyDescent="0.25">
      <c r="A667">
        <v>665</v>
      </c>
      <c r="B667" t="s">
        <v>653</v>
      </c>
      <c r="C667" t="s">
        <v>904</v>
      </c>
      <c r="D667" t="s">
        <v>905</v>
      </c>
      <c r="E667" t="s">
        <v>22</v>
      </c>
      <c r="F667" t="s">
        <v>748</v>
      </c>
      <c r="G667" t="s">
        <v>75</v>
      </c>
      <c r="H667" t="s">
        <v>909</v>
      </c>
      <c r="I667" t="s">
        <v>27</v>
      </c>
      <c r="J667" t="s">
        <v>911</v>
      </c>
      <c r="K667">
        <v>6</v>
      </c>
      <c r="L667">
        <v>7</v>
      </c>
      <c r="M667">
        <v>3</v>
      </c>
      <c r="N667">
        <v>0</v>
      </c>
    </row>
    <row r="668" spans="1:14" x14ac:dyDescent="0.25">
      <c r="A668">
        <v>666</v>
      </c>
      <c r="B668" t="s">
        <v>653</v>
      </c>
      <c r="C668" t="s">
        <v>904</v>
      </c>
      <c r="D668" t="s">
        <v>905</v>
      </c>
      <c r="E668" t="s">
        <v>80</v>
      </c>
      <c r="F668" t="s">
        <v>799</v>
      </c>
      <c r="G668" t="s">
        <v>75</v>
      </c>
      <c r="H668" t="s">
        <v>912</v>
      </c>
      <c r="I668" t="s">
        <v>687</v>
      </c>
      <c r="J668" t="s">
        <v>913</v>
      </c>
      <c r="K668">
        <v>6</v>
      </c>
      <c r="L668">
        <v>7</v>
      </c>
      <c r="M668">
        <v>4</v>
      </c>
      <c r="N668">
        <v>0</v>
      </c>
    </row>
    <row r="669" spans="1:14" x14ac:dyDescent="0.25">
      <c r="A669">
        <v>667</v>
      </c>
      <c r="B669" t="s">
        <v>653</v>
      </c>
      <c r="C669" t="s">
        <v>904</v>
      </c>
      <c r="D669" t="s">
        <v>914</v>
      </c>
      <c r="E669" t="s">
        <v>80</v>
      </c>
      <c r="F669" t="s">
        <v>799</v>
      </c>
      <c r="G669" t="s">
        <v>75</v>
      </c>
      <c r="H669" t="s">
        <v>912</v>
      </c>
      <c r="I669" t="s">
        <v>915</v>
      </c>
      <c r="J669" t="s">
        <v>916</v>
      </c>
      <c r="K669">
        <v>9</v>
      </c>
      <c r="L669">
        <v>7</v>
      </c>
      <c r="M669">
        <v>3</v>
      </c>
      <c r="N669">
        <v>0</v>
      </c>
    </row>
    <row r="670" spans="1:14" x14ac:dyDescent="0.25">
      <c r="A670">
        <v>668</v>
      </c>
      <c r="B670" t="s">
        <v>653</v>
      </c>
      <c r="C670" t="s">
        <v>904</v>
      </c>
      <c r="D670" t="s">
        <v>914</v>
      </c>
      <c r="E670" t="s">
        <v>22</v>
      </c>
      <c r="F670" t="s">
        <v>799</v>
      </c>
      <c r="G670" t="s">
        <v>75</v>
      </c>
      <c r="H670" t="s">
        <v>912</v>
      </c>
      <c r="I670" t="s">
        <v>1612</v>
      </c>
      <c r="J670" t="s">
        <v>917</v>
      </c>
      <c r="K670">
        <v>9</v>
      </c>
      <c r="L670">
        <v>6</v>
      </c>
      <c r="M670">
        <v>5</v>
      </c>
      <c r="N670">
        <v>0</v>
      </c>
    </row>
    <row r="671" spans="1:14" x14ac:dyDescent="0.25">
      <c r="A671">
        <v>669</v>
      </c>
      <c r="B671" t="s">
        <v>653</v>
      </c>
      <c r="C671" t="s">
        <v>904</v>
      </c>
      <c r="D671" t="s">
        <v>914</v>
      </c>
      <c r="E671" t="s">
        <v>22</v>
      </c>
      <c r="F671" t="s">
        <v>799</v>
      </c>
      <c r="G671" t="s">
        <v>75</v>
      </c>
      <c r="H671" t="s">
        <v>1715</v>
      </c>
      <c r="I671" t="s">
        <v>43</v>
      </c>
      <c r="J671" t="s">
        <v>919</v>
      </c>
      <c r="K671">
        <v>9</v>
      </c>
      <c r="L671">
        <v>7</v>
      </c>
      <c r="M671">
        <v>3</v>
      </c>
      <c r="N671">
        <v>0</v>
      </c>
    </row>
    <row r="672" spans="1:14" x14ac:dyDescent="0.25">
      <c r="A672">
        <v>670</v>
      </c>
      <c r="B672" t="s">
        <v>653</v>
      </c>
      <c r="C672" t="s">
        <v>904</v>
      </c>
      <c r="D672" t="s">
        <v>914</v>
      </c>
      <c r="E672" t="s">
        <v>22</v>
      </c>
      <c r="F672" t="s">
        <v>799</v>
      </c>
      <c r="G672" t="s">
        <v>75</v>
      </c>
      <c r="H672" t="s">
        <v>1715</v>
      </c>
      <c r="I672" t="s">
        <v>685</v>
      </c>
      <c r="J672" t="s">
        <v>920</v>
      </c>
      <c r="K672">
        <v>9</v>
      </c>
      <c r="L672">
        <v>15</v>
      </c>
      <c r="M672">
        <v>6</v>
      </c>
      <c r="N672">
        <v>0</v>
      </c>
    </row>
    <row r="673" spans="1:14" x14ac:dyDescent="0.25">
      <c r="A673">
        <v>671</v>
      </c>
      <c r="B673" t="s">
        <v>653</v>
      </c>
      <c r="C673" t="s">
        <v>904</v>
      </c>
      <c r="D673" t="s">
        <v>921</v>
      </c>
      <c r="E673" t="s">
        <v>14</v>
      </c>
      <c r="F673" t="s">
        <v>799</v>
      </c>
      <c r="G673" t="s">
        <v>75</v>
      </c>
      <c r="H673" t="s">
        <v>770</v>
      </c>
      <c r="I673" t="s">
        <v>1612</v>
      </c>
      <c r="J673" t="s">
        <v>923</v>
      </c>
      <c r="K673">
        <v>4</v>
      </c>
      <c r="L673">
        <v>4</v>
      </c>
      <c r="M673">
        <v>3</v>
      </c>
      <c r="N673">
        <v>0</v>
      </c>
    </row>
    <row r="674" spans="1:14" x14ac:dyDescent="0.25">
      <c r="A674">
        <v>672</v>
      </c>
      <c r="B674" t="s">
        <v>653</v>
      </c>
      <c r="C674" t="s">
        <v>904</v>
      </c>
      <c r="D674" t="s">
        <v>924</v>
      </c>
      <c r="E674" t="s">
        <v>14</v>
      </c>
      <c r="F674" t="s">
        <v>799</v>
      </c>
      <c r="G674" t="s">
        <v>75</v>
      </c>
      <c r="H674" t="s">
        <v>770</v>
      </c>
      <c r="I674" t="s">
        <v>212</v>
      </c>
      <c r="J674" t="s">
        <v>925</v>
      </c>
      <c r="K674">
        <v>8</v>
      </c>
      <c r="L674">
        <v>7</v>
      </c>
      <c r="M674">
        <v>5</v>
      </c>
      <c r="N674">
        <v>0</v>
      </c>
    </row>
    <row r="675" spans="1:14" x14ac:dyDescent="0.25">
      <c r="A675">
        <v>673</v>
      </c>
      <c r="B675" t="s">
        <v>653</v>
      </c>
      <c r="C675" t="s">
        <v>904</v>
      </c>
      <c r="D675" t="s">
        <v>924</v>
      </c>
      <c r="E675" t="s">
        <v>80</v>
      </c>
      <c r="F675" t="s">
        <v>799</v>
      </c>
      <c r="G675" t="s">
        <v>75</v>
      </c>
      <c r="H675" t="s">
        <v>926</v>
      </c>
      <c r="I675" t="s">
        <v>687</v>
      </c>
      <c r="J675" t="s">
        <v>927</v>
      </c>
      <c r="K675">
        <v>9</v>
      </c>
      <c r="L675">
        <v>6</v>
      </c>
      <c r="M675">
        <v>5</v>
      </c>
      <c r="N675">
        <v>0</v>
      </c>
    </row>
    <row r="676" spans="1:14" x14ac:dyDescent="0.25">
      <c r="A676">
        <v>674</v>
      </c>
      <c r="B676" t="s">
        <v>653</v>
      </c>
      <c r="C676" t="s">
        <v>904</v>
      </c>
      <c r="D676" t="s">
        <v>924</v>
      </c>
      <c r="E676" t="s">
        <v>22</v>
      </c>
      <c r="F676" t="s">
        <v>799</v>
      </c>
      <c r="G676" t="s">
        <v>75</v>
      </c>
      <c r="H676" t="s">
        <v>926</v>
      </c>
      <c r="I676" t="s">
        <v>687</v>
      </c>
      <c r="J676" t="s">
        <v>928</v>
      </c>
      <c r="K676">
        <v>9</v>
      </c>
      <c r="L676">
        <v>6</v>
      </c>
      <c r="M676">
        <v>3</v>
      </c>
      <c r="N676">
        <v>0</v>
      </c>
    </row>
    <row r="677" spans="1:14" x14ac:dyDescent="0.25">
      <c r="A677">
        <v>675</v>
      </c>
      <c r="B677" t="s">
        <v>653</v>
      </c>
      <c r="C677" t="s">
        <v>904</v>
      </c>
      <c r="D677" t="s">
        <v>914</v>
      </c>
      <c r="E677" t="s">
        <v>22</v>
      </c>
      <c r="F677" t="s">
        <v>799</v>
      </c>
      <c r="G677" t="s">
        <v>75</v>
      </c>
      <c r="H677" t="s">
        <v>1715</v>
      </c>
      <c r="I677" t="s">
        <v>27</v>
      </c>
      <c r="J677" t="s">
        <v>929</v>
      </c>
      <c r="K677">
        <v>9</v>
      </c>
      <c r="L677">
        <v>6</v>
      </c>
      <c r="M677">
        <v>2</v>
      </c>
      <c r="N677">
        <v>0</v>
      </c>
    </row>
    <row r="678" spans="1:14" x14ac:dyDescent="0.25">
      <c r="A678">
        <v>676</v>
      </c>
      <c r="B678" t="s">
        <v>653</v>
      </c>
      <c r="C678" t="s">
        <v>904</v>
      </c>
      <c r="D678" t="s">
        <v>930</v>
      </c>
      <c r="E678" t="s">
        <v>22</v>
      </c>
      <c r="F678" t="s">
        <v>799</v>
      </c>
      <c r="G678" t="s">
        <v>75</v>
      </c>
      <c r="H678" t="s">
        <v>1715</v>
      </c>
      <c r="I678" t="s">
        <v>27</v>
      </c>
      <c r="J678" t="s">
        <v>932</v>
      </c>
      <c r="K678">
        <v>7</v>
      </c>
      <c r="L678">
        <v>4</v>
      </c>
      <c r="M678">
        <v>3</v>
      </c>
      <c r="N678">
        <v>0</v>
      </c>
    </row>
    <row r="679" spans="1:14" x14ac:dyDescent="0.25">
      <c r="A679">
        <v>677</v>
      </c>
      <c r="B679" t="s">
        <v>653</v>
      </c>
      <c r="C679" t="s">
        <v>904</v>
      </c>
      <c r="D679" t="s">
        <v>930</v>
      </c>
      <c r="E679" t="s">
        <v>22</v>
      </c>
      <c r="F679" t="s">
        <v>748</v>
      </c>
      <c r="G679" t="s">
        <v>75</v>
      </c>
      <c r="H679" t="s">
        <v>931</v>
      </c>
      <c r="I679" t="s">
        <v>687</v>
      </c>
      <c r="J679" t="s">
        <v>933</v>
      </c>
      <c r="K679">
        <v>6</v>
      </c>
      <c r="L679">
        <v>8</v>
      </c>
      <c r="M679">
        <v>6</v>
      </c>
      <c r="N679">
        <v>0</v>
      </c>
    </row>
    <row r="680" spans="1:14" x14ac:dyDescent="0.25">
      <c r="A680">
        <v>678</v>
      </c>
      <c r="B680" t="s">
        <v>653</v>
      </c>
      <c r="C680" t="s">
        <v>904</v>
      </c>
      <c r="D680" t="s">
        <v>930</v>
      </c>
      <c r="E680" t="s">
        <v>80</v>
      </c>
      <c r="F680" t="s">
        <v>748</v>
      </c>
      <c r="G680" t="s">
        <v>75</v>
      </c>
      <c r="H680" t="s">
        <v>931</v>
      </c>
      <c r="I680" t="s">
        <v>27</v>
      </c>
      <c r="J680" t="s">
        <v>934</v>
      </c>
      <c r="K680">
        <v>7</v>
      </c>
      <c r="L680">
        <v>2</v>
      </c>
      <c r="M680">
        <v>2</v>
      </c>
      <c r="N680">
        <v>0</v>
      </c>
    </row>
    <row r="681" spans="1:14" x14ac:dyDescent="0.25">
      <c r="A681">
        <v>679</v>
      </c>
      <c r="B681" t="s">
        <v>653</v>
      </c>
      <c r="C681" t="s">
        <v>935</v>
      </c>
      <c r="D681" t="s">
        <v>936</v>
      </c>
      <c r="E681" t="s">
        <v>14</v>
      </c>
      <c r="F681" t="s">
        <v>609</v>
      </c>
      <c r="G681" t="s">
        <v>75</v>
      </c>
      <c r="H681" t="s">
        <v>931</v>
      </c>
      <c r="I681" t="s">
        <v>687</v>
      </c>
      <c r="J681" t="s">
        <v>936</v>
      </c>
      <c r="K681">
        <v>6</v>
      </c>
      <c r="L681">
        <v>7</v>
      </c>
      <c r="M681">
        <v>5</v>
      </c>
      <c r="N681">
        <v>0</v>
      </c>
    </row>
    <row r="682" spans="1:14" x14ac:dyDescent="0.25">
      <c r="A682">
        <v>680</v>
      </c>
      <c r="B682" t="s">
        <v>653</v>
      </c>
      <c r="C682" t="s">
        <v>935</v>
      </c>
      <c r="D682" t="s">
        <v>936</v>
      </c>
      <c r="E682" t="s">
        <v>80</v>
      </c>
      <c r="F682" t="s">
        <v>799</v>
      </c>
      <c r="G682" t="s">
        <v>75</v>
      </c>
      <c r="H682" t="s">
        <v>931</v>
      </c>
      <c r="I682" t="s">
        <v>1612</v>
      </c>
      <c r="J682" t="s">
        <v>937</v>
      </c>
      <c r="K682">
        <v>9</v>
      </c>
      <c r="L682">
        <v>4</v>
      </c>
      <c r="M682">
        <v>3</v>
      </c>
      <c r="N682">
        <v>0</v>
      </c>
    </row>
    <row r="683" spans="1:14" x14ac:dyDescent="0.25">
      <c r="A683">
        <v>681</v>
      </c>
      <c r="B683" t="s">
        <v>653</v>
      </c>
      <c r="C683" t="s">
        <v>935</v>
      </c>
      <c r="D683" t="s">
        <v>938</v>
      </c>
      <c r="E683" t="s">
        <v>22</v>
      </c>
      <c r="F683" t="s">
        <v>799</v>
      </c>
      <c r="G683" t="s">
        <v>75</v>
      </c>
      <c r="H683" t="s">
        <v>931</v>
      </c>
      <c r="I683" t="s">
        <v>18</v>
      </c>
      <c r="J683" t="s">
        <v>939</v>
      </c>
      <c r="K683">
        <v>5</v>
      </c>
      <c r="L683">
        <v>4</v>
      </c>
      <c r="M683">
        <v>4</v>
      </c>
      <c r="N683">
        <v>0</v>
      </c>
    </row>
    <row r="684" spans="1:14" x14ac:dyDescent="0.25">
      <c r="A684">
        <v>682</v>
      </c>
      <c r="B684" t="s">
        <v>653</v>
      </c>
      <c r="C684" t="s">
        <v>935</v>
      </c>
      <c r="D684" t="s">
        <v>938</v>
      </c>
      <c r="E684" t="s">
        <v>80</v>
      </c>
      <c r="F684" t="s">
        <v>799</v>
      </c>
      <c r="G684" t="s">
        <v>75</v>
      </c>
      <c r="H684" t="s">
        <v>931</v>
      </c>
      <c r="I684" t="s">
        <v>212</v>
      </c>
      <c r="J684" t="s">
        <v>940</v>
      </c>
      <c r="K684">
        <v>5</v>
      </c>
      <c r="L684">
        <v>5</v>
      </c>
      <c r="M684">
        <v>4</v>
      </c>
      <c r="N684">
        <v>0</v>
      </c>
    </row>
    <row r="685" spans="1:14" x14ac:dyDescent="0.25">
      <c r="A685">
        <v>683</v>
      </c>
      <c r="B685" t="s">
        <v>653</v>
      </c>
      <c r="C685" t="s">
        <v>941</v>
      </c>
      <c r="D685" t="s">
        <v>942</v>
      </c>
      <c r="E685" t="s">
        <v>14</v>
      </c>
      <c r="F685" t="s">
        <v>944</v>
      </c>
      <c r="G685" t="s">
        <v>26</v>
      </c>
      <c r="H685" t="s">
        <v>945</v>
      </c>
      <c r="I685" t="s">
        <v>27</v>
      </c>
      <c r="J685" t="s">
        <v>943</v>
      </c>
      <c r="K685">
        <v>7</v>
      </c>
      <c r="L685">
        <v>4</v>
      </c>
      <c r="M685">
        <v>1</v>
      </c>
      <c r="N685">
        <v>0</v>
      </c>
    </row>
    <row r="686" spans="1:14" x14ac:dyDescent="0.25">
      <c r="A686">
        <v>684</v>
      </c>
      <c r="B686" t="s">
        <v>653</v>
      </c>
      <c r="C686" t="s">
        <v>941</v>
      </c>
      <c r="D686" t="s">
        <v>942</v>
      </c>
      <c r="E686" t="s">
        <v>14</v>
      </c>
      <c r="F686" t="s">
        <v>944</v>
      </c>
      <c r="G686" t="s">
        <v>35</v>
      </c>
      <c r="H686" t="s">
        <v>945</v>
      </c>
      <c r="I686" t="s">
        <v>43</v>
      </c>
      <c r="J686" t="s">
        <v>946</v>
      </c>
      <c r="K686">
        <v>5</v>
      </c>
      <c r="L686">
        <v>14</v>
      </c>
      <c r="M686">
        <v>6</v>
      </c>
      <c r="N686">
        <v>0</v>
      </c>
    </row>
    <row r="687" spans="1:14" x14ac:dyDescent="0.25">
      <c r="A687">
        <v>685</v>
      </c>
      <c r="B687" t="s">
        <v>653</v>
      </c>
      <c r="C687" t="s">
        <v>941</v>
      </c>
      <c r="D687" t="s">
        <v>942</v>
      </c>
      <c r="E687" t="s">
        <v>14</v>
      </c>
      <c r="F687" t="s">
        <v>944</v>
      </c>
      <c r="G687" t="s">
        <v>35</v>
      </c>
      <c r="H687" t="s">
        <v>945</v>
      </c>
      <c r="I687" t="s">
        <v>43</v>
      </c>
      <c r="J687" t="s">
        <v>947</v>
      </c>
      <c r="K687">
        <v>3</v>
      </c>
      <c r="L687">
        <v>18</v>
      </c>
      <c r="M687">
        <v>8</v>
      </c>
      <c r="N687">
        <v>0</v>
      </c>
    </row>
    <row r="688" spans="1:14" x14ac:dyDescent="0.25">
      <c r="A688">
        <v>686</v>
      </c>
      <c r="B688" t="s">
        <v>653</v>
      </c>
      <c r="C688" t="s">
        <v>941</v>
      </c>
      <c r="D688" t="s">
        <v>942</v>
      </c>
      <c r="E688" t="s">
        <v>22</v>
      </c>
      <c r="F688" t="s">
        <v>944</v>
      </c>
      <c r="G688" t="s">
        <v>35</v>
      </c>
      <c r="H688" t="s">
        <v>945</v>
      </c>
      <c r="I688" t="s">
        <v>18</v>
      </c>
      <c r="J688" t="s">
        <v>948</v>
      </c>
      <c r="K688">
        <v>3</v>
      </c>
      <c r="L688">
        <v>18</v>
      </c>
      <c r="M688">
        <v>8</v>
      </c>
      <c r="N688">
        <v>0</v>
      </c>
    </row>
    <row r="689" spans="1:14" x14ac:dyDescent="0.25">
      <c r="A689">
        <v>687</v>
      </c>
      <c r="B689" t="s">
        <v>653</v>
      </c>
      <c r="C689" t="s">
        <v>941</v>
      </c>
      <c r="D689" t="s">
        <v>942</v>
      </c>
      <c r="E689" t="s">
        <v>14</v>
      </c>
      <c r="F689" t="s">
        <v>944</v>
      </c>
      <c r="G689" t="s">
        <v>35</v>
      </c>
      <c r="H689" t="s">
        <v>945</v>
      </c>
      <c r="I689" t="s">
        <v>27</v>
      </c>
      <c r="J689" t="s">
        <v>949</v>
      </c>
      <c r="K689">
        <v>3</v>
      </c>
      <c r="L689">
        <v>17</v>
      </c>
      <c r="M689">
        <v>6</v>
      </c>
      <c r="N689">
        <v>0</v>
      </c>
    </row>
    <row r="690" spans="1:14" x14ac:dyDescent="0.25">
      <c r="A690">
        <v>688</v>
      </c>
      <c r="B690" t="s">
        <v>653</v>
      </c>
      <c r="C690" t="s">
        <v>941</v>
      </c>
      <c r="D690" t="s">
        <v>942</v>
      </c>
      <c r="E690" t="s">
        <v>22</v>
      </c>
      <c r="F690" t="s">
        <v>944</v>
      </c>
      <c r="G690" t="s">
        <v>35</v>
      </c>
      <c r="H690" t="s">
        <v>945</v>
      </c>
      <c r="I690" t="s">
        <v>685</v>
      </c>
      <c r="J690" t="s">
        <v>950</v>
      </c>
      <c r="K690">
        <v>3</v>
      </c>
      <c r="L690">
        <v>19</v>
      </c>
      <c r="M690">
        <v>8</v>
      </c>
      <c r="N690">
        <v>0</v>
      </c>
    </row>
    <row r="691" spans="1:14" x14ac:dyDescent="0.25">
      <c r="A691">
        <v>689</v>
      </c>
      <c r="B691" t="s">
        <v>653</v>
      </c>
      <c r="C691" t="s">
        <v>868</v>
      </c>
      <c r="D691" t="s">
        <v>951</v>
      </c>
      <c r="E691" t="s">
        <v>14</v>
      </c>
      <c r="F691" t="s">
        <v>15</v>
      </c>
      <c r="G691" t="s">
        <v>75</v>
      </c>
      <c r="H691" t="s">
        <v>886</v>
      </c>
      <c r="I691" t="s">
        <v>685</v>
      </c>
      <c r="J691" t="s">
        <v>953</v>
      </c>
      <c r="K691">
        <v>9</v>
      </c>
      <c r="L691">
        <v>4</v>
      </c>
      <c r="M691">
        <v>1</v>
      </c>
      <c r="N691">
        <v>0</v>
      </c>
    </row>
    <row r="692" spans="1:14" x14ac:dyDescent="0.25">
      <c r="A692">
        <v>690</v>
      </c>
      <c r="B692" t="s">
        <v>653</v>
      </c>
      <c r="C692" t="s">
        <v>935</v>
      </c>
      <c r="D692" t="s">
        <v>954</v>
      </c>
      <c r="E692" t="s">
        <v>80</v>
      </c>
      <c r="F692" t="s">
        <v>15</v>
      </c>
      <c r="G692" t="s">
        <v>75</v>
      </c>
      <c r="H692" t="s">
        <v>931</v>
      </c>
      <c r="I692" t="s">
        <v>18</v>
      </c>
      <c r="J692" t="s">
        <v>956</v>
      </c>
      <c r="K692">
        <v>4</v>
      </c>
      <c r="L692">
        <v>6</v>
      </c>
      <c r="M692">
        <v>3</v>
      </c>
      <c r="N692">
        <v>0</v>
      </c>
    </row>
    <row r="693" spans="1:14" x14ac:dyDescent="0.25">
      <c r="A693">
        <v>691</v>
      </c>
      <c r="B693" t="s">
        <v>653</v>
      </c>
      <c r="C693" t="s">
        <v>935</v>
      </c>
      <c r="D693" t="s">
        <v>954</v>
      </c>
      <c r="E693" t="s">
        <v>22</v>
      </c>
      <c r="F693" t="s">
        <v>15</v>
      </c>
      <c r="G693" t="s">
        <v>75</v>
      </c>
      <c r="H693" t="s">
        <v>931</v>
      </c>
      <c r="I693" t="s">
        <v>685</v>
      </c>
      <c r="J693" t="s">
        <v>957</v>
      </c>
      <c r="K693">
        <v>5</v>
      </c>
      <c r="L693">
        <v>5</v>
      </c>
      <c r="M693">
        <v>3</v>
      </c>
      <c r="N693">
        <v>0</v>
      </c>
    </row>
    <row r="694" spans="1:14" x14ac:dyDescent="0.25">
      <c r="A694">
        <v>692</v>
      </c>
      <c r="B694" t="s">
        <v>653</v>
      </c>
      <c r="C694" t="s">
        <v>935</v>
      </c>
      <c r="D694" t="s">
        <v>954</v>
      </c>
      <c r="E694" t="s">
        <v>22</v>
      </c>
      <c r="F694" t="s">
        <v>15</v>
      </c>
      <c r="G694" t="s">
        <v>75</v>
      </c>
      <c r="H694" t="s">
        <v>931</v>
      </c>
      <c r="I694" t="s">
        <v>27</v>
      </c>
      <c r="J694" t="s">
        <v>958</v>
      </c>
      <c r="K694">
        <v>5</v>
      </c>
      <c r="L694">
        <v>4</v>
      </c>
      <c r="M694">
        <v>3</v>
      </c>
      <c r="N694">
        <v>0</v>
      </c>
    </row>
    <row r="695" spans="1:14" x14ac:dyDescent="0.25">
      <c r="A695">
        <v>693</v>
      </c>
      <c r="B695" t="s">
        <v>653</v>
      </c>
      <c r="C695" t="s">
        <v>935</v>
      </c>
      <c r="D695" t="s">
        <v>954</v>
      </c>
      <c r="E695" t="s">
        <v>14</v>
      </c>
      <c r="F695" t="s">
        <v>15</v>
      </c>
      <c r="G695" t="s">
        <v>75</v>
      </c>
      <c r="H695" t="s">
        <v>931</v>
      </c>
      <c r="I695" t="s">
        <v>687</v>
      </c>
      <c r="J695" t="s">
        <v>959</v>
      </c>
      <c r="K695">
        <v>6</v>
      </c>
      <c r="L695">
        <v>4</v>
      </c>
      <c r="M695">
        <v>3</v>
      </c>
      <c r="N695">
        <v>0</v>
      </c>
    </row>
    <row r="696" spans="1:14" x14ac:dyDescent="0.25">
      <c r="A696">
        <v>694</v>
      </c>
      <c r="B696" t="s">
        <v>653</v>
      </c>
      <c r="C696" t="s">
        <v>935</v>
      </c>
      <c r="D696" t="s">
        <v>954</v>
      </c>
      <c r="E696" t="s">
        <v>22</v>
      </c>
      <c r="F696" t="s">
        <v>15</v>
      </c>
      <c r="G696" t="s">
        <v>75</v>
      </c>
      <c r="H696" t="s">
        <v>931</v>
      </c>
      <c r="I696" t="s">
        <v>27</v>
      </c>
      <c r="J696" t="s">
        <v>960</v>
      </c>
      <c r="K696">
        <v>7</v>
      </c>
      <c r="L696">
        <v>4</v>
      </c>
      <c r="M696">
        <v>3</v>
      </c>
      <c r="N696">
        <v>0</v>
      </c>
    </row>
    <row r="697" spans="1:14" x14ac:dyDescent="0.25">
      <c r="A697">
        <v>695</v>
      </c>
      <c r="B697" t="s">
        <v>653</v>
      </c>
      <c r="C697" t="s">
        <v>935</v>
      </c>
      <c r="D697" t="s">
        <v>961</v>
      </c>
      <c r="E697" t="s">
        <v>14</v>
      </c>
      <c r="F697" t="s">
        <v>15</v>
      </c>
      <c r="G697" t="s">
        <v>75</v>
      </c>
      <c r="H697" t="s">
        <v>931</v>
      </c>
      <c r="I697" t="s">
        <v>687</v>
      </c>
      <c r="J697" t="s">
        <v>962</v>
      </c>
      <c r="K697">
        <v>4</v>
      </c>
      <c r="L697">
        <v>3</v>
      </c>
      <c r="M697">
        <v>3</v>
      </c>
      <c r="N697">
        <v>0</v>
      </c>
    </row>
    <row r="698" spans="1:14" x14ac:dyDescent="0.25">
      <c r="A698">
        <v>696</v>
      </c>
      <c r="B698" t="s">
        <v>653</v>
      </c>
      <c r="C698" t="s">
        <v>935</v>
      </c>
      <c r="D698" t="s">
        <v>961</v>
      </c>
      <c r="E698" t="s">
        <v>22</v>
      </c>
      <c r="F698" t="s">
        <v>609</v>
      </c>
      <c r="G698" t="s">
        <v>75</v>
      </c>
      <c r="H698" t="s">
        <v>931</v>
      </c>
      <c r="I698" t="s">
        <v>687</v>
      </c>
      <c r="J698" t="s">
        <v>963</v>
      </c>
      <c r="K698">
        <v>4</v>
      </c>
      <c r="L698">
        <v>8</v>
      </c>
      <c r="M698">
        <v>5</v>
      </c>
      <c r="N698">
        <v>0</v>
      </c>
    </row>
    <row r="699" spans="1:14" x14ac:dyDescent="0.25">
      <c r="A699">
        <v>697</v>
      </c>
      <c r="B699" t="s">
        <v>653</v>
      </c>
      <c r="C699" t="s">
        <v>935</v>
      </c>
      <c r="D699" t="s">
        <v>961</v>
      </c>
      <c r="E699" t="s">
        <v>22</v>
      </c>
      <c r="F699" t="s">
        <v>748</v>
      </c>
      <c r="G699" t="s">
        <v>75</v>
      </c>
      <c r="H699" t="s">
        <v>931</v>
      </c>
      <c r="I699" t="s">
        <v>1612</v>
      </c>
      <c r="J699" t="s">
        <v>964</v>
      </c>
      <c r="K699">
        <v>3</v>
      </c>
      <c r="L699">
        <v>3</v>
      </c>
      <c r="M699">
        <v>3</v>
      </c>
      <c r="N699">
        <v>0</v>
      </c>
    </row>
    <row r="700" spans="1:14" x14ac:dyDescent="0.25">
      <c r="A700">
        <v>698</v>
      </c>
      <c r="B700" t="s">
        <v>653</v>
      </c>
      <c r="C700" t="s">
        <v>935</v>
      </c>
      <c r="D700" t="s">
        <v>961</v>
      </c>
      <c r="E700" t="s">
        <v>80</v>
      </c>
      <c r="F700" t="s">
        <v>748</v>
      </c>
      <c r="G700" t="s">
        <v>75</v>
      </c>
      <c r="H700" t="s">
        <v>1716</v>
      </c>
      <c r="I700" t="s">
        <v>141</v>
      </c>
      <c r="J700" t="s">
        <v>966</v>
      </c>
      <c r="K700">
        <v>4</v>
      </c>
      <c r="L700">
        <v>3</v>
      </c>
      <c r="M700">
        <v>3</v>
      </c>
      <c r="N700">
        <v>0</v>
      </c>
    </row>
    <row r="701" spans="1:14" x14ac:dyDescent="0.25">
      <c r="A701">
        <v>699</v>
      </c>
      <c r="B701" t="s">
        <v>653</v>
      </c>
      <c r="C701" t="s">
        <v>935</v>
      </c>
      <c r="D701" t="s">
        <v>961</v>
      </c>
      <c r="E701" t="s">
        <v>80</v>
      </c>
      <c r="F701" t="s">
        <v>748</v>
      </c>
      <c r="G701" t="s">
        <v>75</v>
      </c>
      <c r="H701" t="s">
        <v>1716</v>
      </c>
      <c r="I701" t="s">
        <v>685</v>
      </c>
      <c r="J701" t="s">
        <v>967</v>
      </c>
      <c r="K701">
        <v>4</v>
      </c>
      <c r="L701">
        <v>3</v>
      </c>
      <c r="M701">
        <v>3</v>
      </c>
      <c r="N701">
        <v>0</v>
      </c>
    </row>
    <row r="702" spans="1:14" x14ac:dyDescent="0.25">
      <c r="A702">
        <v>700</v>
      </c>
      <c r="B702" t="s">
        <v>653</v>
      </c>
      <c r="C702" t="s">
        <v>935</v>
      </c>
      <c r="D702" t="s">
        <v>961</v>
      </c>
      <c r="E702" t="s">
        <v>80</v>
      </c>
      <c r="F702" t="s">
        <v>748</v>
      </c>
      <c r="G702" t="s">
        <v>75</v>
      </c>
      <c r="H702" t="s">
        <v>1716</v>
      </c>
      <c r="I702" t="s">
        <v>27</v>
      </c>
      <c r="J702" t="s">
        <v>968</v>
      </c>
      <c r="K702">
        <v>4</v>
      </c>
      <c r="L702">
        <v>2</v>
      </c>
      <c r="M702">
        <v>2</v>
      </c>
      <c r="N702">
        <v>0</v>
      </c>
    </row>
    <row r="703" spans="1:14" x14ac:dyDescent="0.25">
      <c r="A703">
        <v>701</v>
      </c>
      <c r="B703" t="s">
        <v>653</v>
      </c>
      <c r="C703" t="s">
        <v>935</v>
      </c>
      <c r="D703" t="s">
        <v>969</v>
      </c>
      <c r="E703" t="s">
        <v>14</v>
      </c>
      <c r="F703" t="s">
        <v>748</v>
      </c>
      <c r="G703" t="s">
        <v>75</v>
      </c>
      <c r="H703" t="s">
        <v>1716</v>
      </c>
      <c r="I703" t="s">
        <v>687</v>
      </c>
      <c r="J703" t="s">
        <v>970</v>
      </c>
      <c r="K703">
        <v>3</v>
      </c>
      <c r="L703">
        <v>7</v>
      </c>
      <c r="M703">
        <v>4</v>
      </c>
      <c r="N703">
        <v>0</v>
      </c>
    </row>
    <row r="704" spans="1:14" x14ac:dyDescent="0.25">
      <c r="A704">
        <v>702</v>
      </c>
      <c r="B704" t="s">
        <v>653</v>
      </c>
      <c r="C704" t="s">
        <v>935</v>
      </c>
      <c r="D704" t="s">
        <v>969</v>
      </c>
      <c r="E704" t="s">
        <v>80</v>
      </c>
      <c r="F704" t="s">
        <v>748</v>
      </c>
      <c r="G704" t="s">
        <v>75</v>
      </c>
      <c r="H704" t="s">
        <v>1716</v>
      </c>
      <c r="I704" t="s">
        <v>73</v>
      </c>
      <c r="J704" t="s">
        <v>971</v>
      </c>
      <c r="K704">
        <v>3</v>
      </c>
      <c r="L704">
        <v>1</v>
      </c>
      <c r="M704">
        <v>5</v>
      </c>
      <c r="N704">
        <v>0</v>
      </c>
    </row>
    <row r="705" spans="1:14" x14ac:dyDescent="0.25">
      <c r="A705">
        <v>703</v>
      </c>
      <c r="B705" t="s">
        <v>653</v>
      </c>
      <c r="C705" t="s">
        <v>935</v>
      </c>
      <c r="D705" t="s">
        <v>969</v>
      </c>
      <c r="E705" t="s">
        <v>14</v>
      </c>
      <c r="F705" t="s">
        <v>748</v>
      </c>
      <c r="G705" t="s">
        <v>75</v>
      </c>
      <c r="H705" t="s">
        <v>1716</v>
      </c>
      <c r="I705" t="s">
        <v>84</v>
      </c>
      <c r="J705" t="s">
        <v>972</v>
      </c>
      <c r="K705">
        <v>3</v>
      </c>
      <c r="L705">
        <v>7</v>
      </c>
      <c r="M705">
        <v>6</v>
      </c>
      <c r="N705">
        <v>0</v>
      </c>
    </row>
    <row r="706" spans="1:14" x14ac:dyDescent="0.25">
      <c r="A706">
        <v>704</v>
      </c>
      <c r="B706" t="s">
        <v>653</v>
      </c>
      <c r="C706" t="s">
        <v>935</v>
      </c>
      <c r="D706" t="s">
        <v>973</v>
      </c>
      <c r="E706" t="s">
        <v>14</v>
      </c>
      <c r="F706" t="s">
        <v>748</v>
      </c>
      <c r="G706" t="s">
        <v>75</v>
      </c>
      <c r="H706" t="s">
        <v>1716</v>
      </c>
      <c r="I706" t="s">
        <v>84</v>
      </c>
      <c r="J706" t="s">
        <v>974</v>
      </c>
      <c r="K706">
        <v>3</v>
      </c>
      <c r="L706">
        <v>8</v>
      </c>
      <c r="M706">
        <v>6</v>
      </c>
      <c r="N706">
        <v>0</v>
      </c>
    </row>
    <row r="707" spans="1:14" x14ac:dyDescent="0.25">
      <c r="A707">
        <v>705</v>
      </c>
      <c r="B707" t="s">
        <v>653</v>
      </c>
      <c r="C707" t="s">
        <v>935</v>
      </c>
      <c r="D707" t="s">
        <v>973</v>
      </c>
      <c r="E707" t="s">
        <v>80</v>
      </c>
      <c r="F707" t="s">
        <v>748</v>
      </c>
      <c r="G707" t="s">
        <v>75</v>
      </c>
      <c r="H707" t="s">
        <v>1716</v>
      </c>
      <c r="I707" t="s">
        <v>84</v>
      </c>
      <c r="J707" t="s">
        <v>975</v>
      </c>
      <c r="K707">
        <v>3</v>
      </c>
      <c r="L707">
        <v>7</v>
      </c>
      <c r="M707">
        <v>4</v>
      </c>
      <c r="N707">
        <v>0</v>
      </c>
    </row>
    <row r="708" spans="1:14" x14ac:dyDescent="0.25">
      <c r="A708">
        <v>706</v>
      </c>
      <c r="B708" t="s">
        <v>653</v>
      </c>
      <c r="C708" t="s">
        <v>935</v>
      </c>
      <c r="D708" t="s">
        <v>976</v>
      </c>
      <c r="E708" t="s">
        <v>22</v>
      </c>
      <c r="F708" t="s">
        <v>15</v>
      </c>
      <c r="G708" t="s">
        <v>75</v>
      </c>
      <c r="H708" t="s">
        <v>977</v>
      </c>
      <c r="I708" t="s">
        <v>687</v>
      </c>
      <c r="J708" t="s">
        <v>978</v>
      </c>
      <c r="K708">
        <v>3</v>
      </c>
      <c r="L708">
        <v>4</v>
      </c>
      <c r="M708">
        <v>2</v>
      </c>
      <c r="N708">
        <v>0</v>
      </c>
    </row>
    <row r="709" spans="1:14" x14ac:dyDescent="0.25">
      <c r="A709">
        <v>707</v>
      </c>
      <c r="B709" t="s">
        <v>653</v>
      </c>
      <c r="C709" t="s">
        <v>935</v>
      </c>
      <c r="D709" t="s">
        <v>976</v>
      </c>
      <c r="E709" t="s">
        <v>14</v>
      </c>
      <c r="F709" t="s">
        <v>15</v>
      </c>
      <c r="G709" t="s">
        <v>75</v>
      </c>
      <c r="H709" t="s">
        <v>977</v>
      </c>
      <c r="I709" t="s">
        <v>84</v>
      </c>
      <c r="J709" t="s">
        <v>979</v>
      </c>
      <c r="K709">
        <v>3</v>
      </c>
      <c r="L709">
        <v>5</v>
      </c>
      <c r="M709">
        <v>3</v>
      </c>
      <c r="N709">
        <v>0</v>
      </c>
    </row>
    <row r="710" spans="1:14" x14ac:dyDescent="0.25">
      <c r="A710">
        <v>708</v>
      </c>
      <c r="B710" t="s">
        <v>653</v>
      </c>
      <c r="C710" t="s">
        <v>935</v>
      </c>
      <c r="D710" t="s">
        <v>976</v>
      </c>
      <c r="E710" t="s">
        <v>80</v>
      </c>
      <c r="F710" t="s">
        <v>15</v>
      </c>
      <c r="G710" t="s">
        <v>75</v>
      </c>
      <c r="H710" t="s">
        <v>977</v>
      </c>
      <c r="I710" t="s">
        <v>687</v>
      </c>
      <c r="J710" t="s">
        <v>980</v>
      </c>
      <c r="K710">
        <v>3</v>
      </c>
      <c r="L710">
        <v>8</v>
      </c>
      <c r="M710">
        <v>5</v>
      </c>
      <c r="N710">
        <v>0</v>
      </c>
    </row>
    <row r="711" spans="1:14" x14ac:dyDescent="0.25">
      <c r="A711">
        <v>709</v>
      </c>
      <c r="B711" t="s">
        <v>653</v>
      </c>
      <c r="C711" t="s">
        <v>935</v>
      </c>
      <c r="D711" t="s">
        <v>976</v>
      </c>
      <c r="E711" t="s">
        <v>22</v>
      </c>
      <c r="F711" t="s">
        <v>15</v>
      </c>
      <c r="G711" t="s">
        <v>75</v>
      </c>
      <c r="H711" t="s">
        <v>977</v>
      </c>
      <c r="I711" t="s">
        <v>687</v>
      </c>
      <c r="J711" t="s">
        <v>981</v>
      </c>
      <c r="K711">
        <v>3</v>
      </c>
      <c r="L711">
        <v>5</v>
      </c>
      <c r="M711">
        <v>3</v>
      </c>
      <c r="N711">
        <v>0</v>
      </c>
    </row>
    <row r="712" spans="1:14" x14ac:dyDescent="0.25">
      <c r="A712">
        <v>710</v>
      </c>
      <c r="B712" t="s">
        <v>653</v>
      </c>
      <c r="C712" t="s">
        <v>935</v>
      </c>
      <c r="D712" t="s">
        <v>982</v>
      </c>
      <c r="E712" t="s">
        <v>22</v>
      </c>
      <c r="F712" t="s">
        <v>748</v>
      </c>
      <c r="G712" t="s">
        <v>75</v>
      </c>
      <c r="H712" t="s">
        <v>977</v>
      </c>
      <c r="I712" t="s">
        <v>84</v>
      </c>
      <c r="J712" t="s">
        <v>983</v>
      </c>
      <c r="K712">
        <v>3</v>
      </c>
      <c r="L712">
        <v>5</v>
      </c>
      <c r="M712">
        <v>3</v>
      </c>
      <c r="N712">
        <v>0</v>
      </c>
    </row>
    <row r="713" spans="1:14" x14ac:dyDescent="0.25">
      <c r="A713">
        <v>711</v>
      </c>
      <c r="B713" t="s">
        <v>653</v>
      </c>
      <c r="C713" t="s">
        <v>935</v>
      </c>
      <c r="D713" t="s">
        <v>982</v>
      </c>
      <c r="E713" t="s">
        <v>22</v>
      </c>
      <c r="F713" t="s">
        <v>15</v>
      </c>
      <c r="G713" t="s">
        <v>75</v>
      </c>
      <c r="H713" t="s">
        <v>977</v>
      </c>
      <c r="I713" t="s">
        <v>687</v>
      </c>
      <c r="J713" t="s">
        <v>984</v>
      </c>
      <c r="K713">
        <v>3</v>
      </c>
      <c r="L713">
        <v>4</v>
      </c>
      <c r="M713">
        <v>3</v>
      </c>
      <c r="N713">
        <v>0</v>
      </c>
    </row>
    <row r="714" spans="1:14" x14ac:dyDescent="0.25">
      <c r="A714">
        <v>712</v>
      </c>
      <c r="B714" t="s">
        <v>653</v>
      </c>
      <c r="C714" t="s">
        <v>935</v>
      </c>
      <c r="D714" t="s">
        <v>982</v>
      </c>
      <c r="E714" t="s">
        <v>22</v>
      </c>
      <c r="F714" t="s">
        <v>15</v>
      </c>
      <c r="G714" t="s">
        <v>75</v>
      </c>
      <c r="H714" t="s">
        <v>977</v>
      </c>
      <c r="I714" t="s">
        <v>687</v>
      </c>
      <c r="J714" t="s">
        <v>985</v>
      </c>
      <c r="K714">
        <v>5</v>
      </c>
      <c r="L714">
        <v>3</v>
      </c>
      <c r="M714">
        <v>2</v>
      </c>
      <c r="N714">
        <v>0</v>
      </c>
    </row>
    <row r="715" spans="1:14" x14ac:dyDescent="0.25">
      <c r="A715">
        <v>713</v>
      </c>
      <c r="B715" t="s">
        <v>653</v>
      </c>
      <c r="C715" t="s">
        <v>935</v>
      </c>
      <c r="D715" t="s">
        <v>986</v>
      </c>
      <c r="E715" t="s">
        <v>22</v>
      </c>
      <c r="F715" t="s">
        <v>15</v>
      </c>
      <c r="G715" t="s">
        <v>75</v>
      </c>
      <c r="H715" t="s">
        <v>977</v>
      </c>
      <c r="I715" t="s">
        <v>687</v>
      </c>
      <c r="J715" t="s">
        <v>987</v>
      </c>
      <c r="K715">
        <v>4</v>
      </c>
      <c r="L715">
        <v>8</v>
      </c>
      <c r="M715">
        <v>3</v>
      </c>
      <c r="N715">
        <v>0</v>
      </c>
    </row>
    <row r="716" spans="1:14" x14ac:dyDescent="0.25">
      <c r="A716">
        <v>714</v>
      </c>
      <c r="B716" t="s">
        <v>653</v>
      </c>
      <c r="C716" t="s">
        <v>935</v>
      </c>
      <c r="D716" t="s">
        <v>986</v>
      </c>
      <c r="E716" t="s">
        <v>22</v>
      </c>
      <c r="F716" t="s">
        <v>15</v>
      </c>
      <c r="G716" t="s">
        <v>75</v>
      </c>
      <c r="H716" t="s">
        <v>977</v>
      </c>
      <c r="I716" t="s">
        <v>84</v>
      </c>
      <c r="J716" t="s">
        <v>988</v>
      </c>
      <c r="K716">
        <v>5</v>
      </c>
      <c r="L716">
        <v>3</v>
      </c>
      <c r="M716">
        <v>2</v>
      </c>
      <c r="N716">
        <v>0</v>
      </c>
    </row>
    <row r="717" spans="1:14" x14ac:dyDescent="0.25">
      <c r="A717">
        <v>715</v>
      </c>
      <c r="B717" t="s">
        <v>653</v>
      </c>
      <c r="C717" t="s">
        <v>935</v>
      </c>
      <c r="D717" t="s">
        <v>986</v>
      </c>
      <c r="E717" t="s">
        <v>22</v>
      </c>
      <c r="F717" t="s">
        <v>15</v>
      </c>
      <c r="G717" t="s">
        <v>75</v>
      </c>
      <c r="H717" t="s">
        <v>977</v>
      </c>
      <c r="I717" t="s">
        <v>687</v>
      </c>
      <c r="J717" t="s">
        <v>989</v>
      </c>
      <c r="K717">
        <v>5</v>
      </c>
      <c r="L717">
        <v>3</v>
      </c>
      <c r="M717">
        <v>2</v>
      </c>
      <c r="N717">
        <v>0</v>
      </c>
    </row>
    <row r="718" spans="1:14" x14ac:dyDescent="0.25">
      <c r="A718">
        <v>716</v>
      </c>
      <c r="B718" t="s">
        <v>990</v>
      </c>
      <c r="C718" t="s">
        <v>991</v>
      </c>
      <c r="D718" t="s">
        <v>992</v>
      </c>
      <c r="E718" t="s">
        <v>14</v>
      </c>
      <c r="F718" t="s">
        <v>15</v>
      </c>
      <c r="G718" t="s">
        <v>75</v>
      </c>
      <c r="H718" t="s">
        <v>1685</v>
      </c>
      <c r="I718" t="s">
        <v>27</v>
      </c>
      <c r="J718" t="s">
        <v>994</v>
      </c>
      <c r="K718">
        <v>8</v>
      </c>
      <c r="L718">
        <v>1</v>
      </c>
      <c r="M718">
        <v>1</v>
      </c>
      <c r="N718">
        <v>0</v>
      </c>
    </row>
    <row r="719" spans="1:14" x14ac:dyDescent="0.25">
      <c r="A719">
        <v>717</v>
      </c>
      <c r="B719" t="s">
        <v>990</v>
      </c>
      <c r="C719" t="s">
        <v>991</v>
      </c>
      <c r="D719" t="s">
        <v>992</v>
      </c>
      <c r="E719" t="s">
        <v>80</v>
      </c>
      <c r="F719" t="s">
        <v>15</v>
      </c>
      <c r="G719" t="s">
        <v>75</v>
      </c>
      <c r="H719" t="s">
        <v>1685</v>
      </c>
      <c r="I719" t="s">
        <v>27</v>
      </c>
      <c r="J719" t="s">
        <v>995</v>
      </c>
      <c r="K719">
        <v>7</v>
      </c>
      <c r="L719">
        <v>1</v>
      </c>
      <c r="M719">
        <v>1</v>
      </c>
      <c r="N719">
        <v>0</v>
      </c>
    </row>
    <row r="720" spans="1:14" x14ac:dyDescent="0.25">
      <c r="A720">
        <v>718</v>
      </c>
      <c r="B720" t="s">
        <v>990</v>
      </c>
      <c r="C720" t="s">
        <v>991</v>
      </c>
      <c r="D720" t="s">
        <v>992</v>
      </c>
      <c r="E720" t="s">
        <v>22</v>
      </c>
      <c r="F720" t="s">
        <v>15</v>
      </c>
      <c r="G720" t="s">
        <v>75</v>
      </c>
      <c r="H720" t="s">
        <v>1685</v>
      </c>
      <c r="I720" t="s">
        <v>18</v>
      </c>
      <c r="J720" t="s">
        <v>996</v>
      </c>
      <c r="K720">
        <v>9</v>
      </c>
      <c r="L720">
        <v>1</v>
      </c>
      <c r="M720">
        <v>1</v>
      </c>
      <c r="N720">
        <v>0</v>
      </c>
    </row>
    <row r="721" spans="1:14" x14ac:dyDescent="0.25">
      <c r="A721">
        <v>719</v>
      </c>
      <c r="B721" t="s">
        <v>990</v>
      </c>
      <c r="C721" t="s">
        <v>991</v>
      </c>
      <c r="D721" t="s">
        <v>992</v>
      </c>
      <c r="E721" t="s">
        <v>22</v>
      </c>
      <c r="F721" t="s">
        <v>15</v>
      </c>
      <c r="G721" t="s">
        <v>75</v>
      </c>
      <c r="H721" t="s">
        <v>1685</v>
      </c>
      <c r="I721" t="s">
        <v>27</v>
      </c>
      <c r="J721" t="s">
        <v>997</v>
      </c>
      <c r="K721">
        <v>9</v>
      </c>
      <c r="L721">
        <v>1</v>
      </c>
      <c r="M721">
        <v>1</v>
      </c>
      <c r="N721">
        <v>0</v>
      </c>
    </row>
    <row r="722" spans="1:14" x14ac:dyDescent="0.25">
      <c r="A722">
        <v>720</v>
      </c>
      <c r="B722" t="s">
        <v>990</v>
      </c>
      <c r="C722" t="s">
        <v>991</v>
      </c>
      <c r="D722" t="s">
        <v>998</v>
      </c>
      <c r="E722" t="s">
        <v>34</v>
      </c>
      <c r="F722" t="s">
        <v>15</v>
      </c>
      <c r="G722" t="s">
        <v>35</v>
      </c>
      <c r="H722" t="s">
        <v>999</v>
      </c>
      <c r="I722" t="s">
        <v>41</v>
      </c>
      <c r="J722" t="s">
        <v>1000</v>
      </c>
      <c r="K722">
        <v>3</v>
      </c>
      <c r="L722">
        <v>5</v>
      </c>
      <c r="M722">
        <v>1</v>
      </c>
      <c r="N722">
        <v>0</v>
      </c>
    </row>
    <row r="723" spans="1:14" x14ac:dyDescent="0.25">
      <c r="A723">
        <v>721</v>
      </c>
      <c r="B723" t="s">
        <v>990</v>
      </c>
      <c r="C723" t="s">
        <v>991</v>
      </c>
      <c r="D723" t="s">
        <v>998</v>
      </c>
      <c r="E723" t="s">
        <v>34</v>
      </c>
      <c r="F723" t="s">
        <v>15</v>
      </c>
      <c r="G723" t="s">
        <v>35</v>
      </c>
      <c r="H723" t="s">
        <v>999</v>
      </c>
      <c r="I723" t="s">
        <v>41</v>
      </c>
      <c r="J723" t="s">
        <v>1001</v>
      </c>
      <c r="K723">
        <v>3</v>
      </c>
      <c r="L723">
        <v>6</v>
      </c>
      <c r="M723">
        <v>1</v>
      </c>
      <c r="N723">
        <v>0</v>
      </c>
    </row>
    <row r="724" spans="1:14" x14ac:dyDescent="0.25">
      <c r="A724">
        <v>722</v>
      </c>
      <c r="B724" t="s">
        <v>990</v>
      </c>
      <c r="C724" t="s">
        <v>991</v>
      </c>
      <c r="D724" t="s">
        <v>998</v>
      </c>
      <c r="E724" t="s">
        <v>34</v>
      </c>
      <c r="F724" t="s">
        <v>15</v>
      </c>
      <c r="G724" t="s">
        <v>35</v>
      </c>
      <c r="H724" t="s">
        <v>999</v>
      </c>
      <c r="I724" t="s">
        <v>43</v>
      </c>
      <c r="J724" t="s">
        <v>1002</v>
      </c>
      <c r="K724">
        <v>3</v>
      </c>
      <c r="L724">
        <v>8</v>
      </c>
      <c r="M724">
        <v>1</v>
      </c>
      <c r="N724">
        <v>0</v>
      </c>
    </row>
    <row r="725" spans="1:14" x14ac:dyDescent="0.25">
      <c r="A725">
        <v>723</v>
      </c>
      <c r="B725" t="s">
        <v>990</v>
      </c>
      <c r="C725" t="s">
        <v>991</v>
      </c>
      <c r="D725" t="s">
        <v>1003</v>
      </c>
      <c r="E725" t="s">
        <v>34</v>
      </c>
      <c r="F725" t="s">
        <v>15</v>
      </c>
      <c r="G725" t="s">
        <v>35</v>
      </c>
      <c r="H725" t="s">
        <v>999</v>
      </c>
      <c r="I725" t="s">
        <v>41</v>
      </c>
      <c r="J725" t="s">
        <v>1004</v>
      </c>
      <c r="K725">
        <v>3</v>
      </c>
      <c r="L725">
        <v>6</v>
      </c>
      <c r="M725">
        <v>1</v>
      </c>
      <c r="N725">
        <v>0</v>
      </c>
    </row>
    <row r="726" spans="1:14" x14ac:dyDescent="0.25">
      <c r="A726">
        <v>724</v>
      </c>
      <c r="B726" t="s">
        <v>990</v>
      </c>
      <c r="C726" t="s">
        <v>991</v>
      </c>
      <c r="D726" t="s">
        <v>1003</v>
      </c>
      <c r="E726" t="s">
        <v>34</v>
      </c>
      <c r="F726" t="s">
        <v>15</v>
      </c>
      <c r="G726" t="s">
        <v>35</v>
      </c>
      <c r="H726" t="s">
        <v>999</v>
      </c>
      <c r="I726" t="s">
        <v>43</v>
      </c>
      <c r="J726" t="s">
        <v>1005</v>
      </c>
      <c r="K726">
        <v>3</v>
      </c>
      <c r="L726">
        <v>7</v>
      </c>
      <c r="M726">
        <v>1</v>
      </c>
      <c r="N726">
        <v>0</v>
      </c>
    </row>
    <row r="727" spans="1:14" x14ac:dyDescent="0.25">
      <c r="A727">
        <v>725</v>
      </c>
      <c r="B727" t="s">
        <v>990</v>
      </c>
      <c r="C727" t="s">
        <v>991</v>
      </c>
      <c r="D727" t="s">
        <v>1003</v>
      </c>
      <c r="E727" t="s">
        <v>22</v>
      </c>
      <c r="F727" t="s">
        <v>15</v>
      </c>
      <c r="G727" t="s">
        <v>35</v>
      </c>
      <c r="H727" t="s">
        <v>999</v>
      </c>
      <c r="I727" t="s">
        <v>41</v>
      </c>
      <c r="J727" t="s">
        <v>1006</v>
      </c>
      <c r="K727">
        <v>3</v>
      </c>
      <c r="L727">
        <v>5</v>
      </c>
      <c r="M727">
        <v>1</v>
      </c>
      <c r="N727">
        <v>0</v>
      </c>
    </row>
    <row r="728" spans="1:14" x14ac:dyDescent="0.25">
      <c r="A728">
        <v>726</v>
      </c>
      <c r="B728" t="s">
        <v>990</v>
      </c>
      <c r="C728" t="s">
        <v>991</v>
      </c>
      <c r="D728" t="s">
        <v>1003</v>
      </c>
      <c r="E728" t="s">
        <v>22</v>
      </c>
      <c r="F728" t="s">
        <v>15</v>
      </c>
      <c r="G728" t="s">
        <v>75</v>
      </c>
      <c r="H728" t="s">
        <v>999</v>
      </c>
      <c r="I728" t="s">
        <v>27</v>
      </c>
      <c r="J728" t="s">
        <v>1007</v>
      </c>
      <c r="K728">
        <v>4</v>
      </c>
      <c r="L728">
        <v>5</v>
      </c>
      <c r="M728">
        <v>1</v>
      </c>
      <c r="N728">
        <v>0</v>
      </c>
    </row>
    <row r="729" spans="1:14" x14ac:dyDescent="0.25">
      <c r="A729">
        <v>727</v>
      </c>
      <c r="B729" t="s">
        <v>990</v>
      </c>
      <c r="C729" t="s">
        <v>991</v>
      </c>
      <c r="D729" t="s">
        <v>1008</v>
      </c>
      <c r="E729" t="s">
        <v>34</v>
      </c>
      <c r="F729" t="s">
        <v>15</v>
      </c>
      <c r="G729" t="s">
        <v>35</v>
      </c>
      <c r="H729" t="s">
        <v>1717</v>
      </c>
      <c r="I729" t="s">
        <v>43</v>
      </c>
      <c r="J729" t="s">
        <v>1010</v>
      </c>
      <c r="K729">
        <v>4</v>
      </c>
      <c r="L729">
        <v>7</v>
      </c>
      <c r="M729">
        <v>1</v>
      </c>
      <c r="N729">
        <v>0</v>
      </c>
    </row>
    <row r="730" spans="1:14" x14ac:dyDescent="0.25">
      <c r="A730">
        <v>728</v>
      </c>
      <c r="B730" t="s">
        <v>990</v>
      </c>
      <c r="C730" t="s">
        <v>991</v>
      </c>
      <c r="D730" t="s">
        <v>1008</v>
      </c>
      <c r="E730" t="s">
        <v>34</v>
      </c>
      <c r="F730" t="s">
        <v>15</v>
      </c>
      <c r="G730" t="s">
        <v>35</v>
      </c>
      <c r="H730" t="s">
        <v>1717</v>
      </c>
      <c r="I730" t="s">
        <v>41</v>
      </c>
      <c r="J730" t="s">
        <v>1011</v>
      </c>
      <c r="K730">
        <v>4</v>
      </c>
      <c r="L730">
        <v>5</v>
      </c>
      <c r="M730">
        <v>1</v>
      </c>
      <c r="N730">
        <v>0</v>
      </c>
    </row>
    <row r="731" spans="1:14" x14ac:dyDescent="0.25">
      <c r="A731">
        <v>729</v>
      </c>
      <c r="B731" t="s">
        <v>990</v>
      </c>
      <c r="C731" t="s">
        <v>991</v>
      </c>
      <c r="D731" t="s">
        <v>1008</v>
      </c>
      <c r="E731" t="s">
        <v>14</v>
      </c>
      <c r="F731" t="s">
        <v>15</v>
      </c>
      <c r="G731" t="s">
        <v>35</v>
      </c>
      <c r="H731" t="s">
        <v>1717</v>
      </c>
      <c r="I731" t="s">
        <v>41</v>
      </c>
      <c r="J731" t="s">
        <v>1012</v>
      </c>
      <c r="K731">
        <v>4</v>
      </c>
      <c r="L731">
        <v>6</v>
      </c>
      <c r="M731">
        <v>1</v>
      </c>
      <c r="N731">
        <v>0</v>
      </c>
    </row>
    <row r="732" spans="1:14" x14ac:dyDescent="0.25">
      <c r="A732">
        <v>730</v>
      </c>
      <c r="B732" t="s">
        <v>990</v>
      </c>
      <c r="C732" t="s">
        <v>991</v>
      </c>
      <c r="D732" t="s">
        <v>1008</v>
      </c>
      <c r="E732" t="s">
        <v>14</v>
      </c>
      <c r="F732" t="s">
        <v>15</v>
      </c>
      <c r="G732" t="s">
        <v>35</v>
      </c>
      <c r="H732" t="s">
        <v>1717</v>
      </c>
      <c r="I732" t="s">
        <v>41</v>
      </c>
      <c r="J732" t="s">
        <v>1013</v>
      </c>
      <c r="K732">
        <v>5</v>
      </c>
      <c r="L732">
        <v>5</v>
      </c>
      <c r="M732">
        <v>1</v>
      </c>
      <c r="N732">
        <v>0</v>
      </c>
    </row>
    <row r="733" spans="1:14" x14ac:dyDescent="0.25">
      <c r="A733">
        <v>731</v>
      </c>
      <c r="B733" t="s">
        <v>990</v>
      </c>
      <c r="C733" t="s">
        <v>991</v>
      </c>
      <c r="D733" t="s">
        <v>1014</v>
      </c>
      <c r="E733" t="s">
        <v>22</v>
      </c>
      <c r="F733" t="s">
        <v>15</v>
      </c>
      <c r="G733" t="s">
        <v>35</v>
      </c>
      <c r="H733" t="s">
        <v>999</v>
      </c>
      <c r="I733" t="s">
        <v>27</v>
      </c>
      <c r="J733" t="s">
        <v>1015</v>
      </c>
      <c r="K733">
        <v>2</v>
      </c>
      <c r="L733">
        <v>6</v>
      </c>
      <c r="M733">
        <v>1</v>
      </c>
      <c r="N733">
        <v>0</v>
      </c>
    </row>
    <row r="734" spans="1:14" x14ac:dyDescent="0.25">
      <c r="A734">
        <v>732</v>
      </c>
      <c r="B734" t="s">
        <v>1016</v>
      </c>
      <c r="C734" t="s">
        <v>1017</v>
      </c>
      <c r="D734" t="s">
        <v>1018</v>
      </c>
      <c r="E734" t="s">
        <v>34</v>
      </c>
      <c r="F734" t="s">
        <v>609</v>
      </c>
      <c r="G734" t="s">
        <v>35</v>
      </c>
      <c r="H734" t="s">
        <v>1718</v>
      </c>
      <c r="I734" t="s">
        <v>27</v>
      </c>
      <c r="J734" t="s">
        <v>1019</v>
      </c>
      <c r="K734">
        <v>0</v>
      </c>
      <c r="L734">
        <v>8</v>
      </c>
      <c r="M734">
        <v>2</v>
      </c>
      <c r="N734">
        <v>0</v>
      </c>
    </row>
    <row r="735" spans="1:14" x14ac:dyDescent="0.25">
      <c r="A735">
        <v>733</v>
      </c>
      <c r="B735" t="s">
        <v>1016</v>
      </c>
      <c r="C735" t="s">
        <v>1017</v>
      </c>
      <c r="D735" t="s">
        <v>1018</v>
      </c>
      <c r="E735" t="s">
        <v>34</v>
      </c>
      <c r="F735" t="s">
        <v>609</v>
      </c>
      <c r="G735" t="s">
        <v>35</v>
      </c>
      <c r="H735" t="s">
        <v>1718</v>
      </c>
      <c r="I735" t="s">
        <v>43</v>
      </c>
      <c r="J735" t="s">
        <v>1020</v>
      </c>
      <c r="K735">
        <v>0</v>
      </c>
      <c r="L735">
        <v>12</v>
      </c>
      <c r="M735">
        <v>5</v>
      </c>
      <c r="N735">
        <v>0</v>
      </c>
    </row>
    <row r="736" spans="1:14" x14ac:dyDescent="0.25">
      <c r="A736">
        <v>734</v>
      </c>
      <c r="B736" t="s">
        <v>1016</v>
      </c>
      <c r="C736" t="s">
        <v>1017</v>
      </c>
      <c r="D736" t="s">
        <v>1018</v>
      </c>
      <c r="E736" t="s">
        <v>34</v>
      </c>
      <c r="F736" t="s">
        <v>609</v>
      </c>
      <c r="G736" t="s">
        <v>35</v>
      </c>
      <c r="H736" t="s">
        <v>1718</v>
      </c>
      <c r="I736" t="s">
        <v>37</v>
      </c>
      <c r="J736" t="s">
        <v>1021</v>
      </c>
      <c r="K736">
        <v>0</v>
      </c>
      <c r="L736">
        <v>6</v>
      </c>
      <c r="M736">
        <v>3</v>
      </c>
      <c r="N736">
        <v>0</v>
      </c>
    </row>
    <row r="737" spans="1:14" x14ac:dyDescent="0.25">
      <c r="A737">
        <v>735</v>
      </c>
      <c r="B737" t="s">
        <v>1016</v>
      </c>
      <c r="C737" t="s">
        <v>1017</v>
      </c>
      <c r="D737" t="s">
        <v>1018</v>
      </c>
      <c r="E737" t="s">
        <v>14</v>
      </c>
      <c r="F737" t="s">
        <v>609</v>
      </c>
      <c r="G737" t="s">
        <v>35</v>
      </c>
      <c r="H737" t="s">
        <v>616</v>
      </c>
      <c r="I737" t="s">
        <v>41</v>
      </c>
      <c r="J737" t="s">
        <v>1022</v>
      </c>
      <c r="K737">
        <v>0</v>
      </c>
      <c r="L737">
        <v>4</v>
      </c>
      <c r="M737">
        <v>1</v>
      </c>
      <c r="N737">
        <v>0</v>
      </c>
    </row>
    <row r="738" spans="1:14" x14ac:dyDescent="0.25">
      <c r="A738">
        <v>736</v>
      </c>
      <c r="B738" t="s">
        <v>1016</v>
      </c>
      <c r="C738" t="s">
        <v>1017</v>
      </c>
      <c r="D738" t="s">
        <v>1018</v>
      </c>
      <c r="E738" t="s">
        <v>14</v>
      </c>
      <c r="F738" t="s">
        <v>609</v>
      </c>
      <c r="G738" t="s">
        <v>35</v>
      </c>
      <c r="H738" t="s">
        <v>616</v>
      </c>
      <c r="I738" t="s">
        <v>141</v>
      </c>
      <c r="J738" t="s">
        <v>1023</v>
      </c>
      <c r="K738">
        <v>0</v>
      </c>
      <c r="L738">
        <v>4</v>
      </c>
      <c r="M738">
        <v>1</v>
      </c>
      <c r="N738">
        <v>0</v>
      </c>
    </row>
    <row r="739" spans="1:14" x14ac:dyDescent="0.25">
      <c r="A739">
        <v>737</v>
      </c>
      <c r="B739" t="s">
        <v>1016</v>
      </c>
      <c r="C739" t="s">
        <v>1017</v>
      </c>
      <c r="D739" t="s">
        <v>1018</v>
      </c>
      <c r="E739" t="s">
        <v>34</v>
      </c>
      <c r="F739" t="s">
        <v>609</v>
      </c>
      <c r="G739" t="s">
        <v>35</v>
      </c>
      <c r="H739" t="s">
        <v>1718</v>
      </c>
      <c r="I739" t="s">
        <v>43</v>
      </c>
      <c r="J739" t="s">
        <v>1024</v>
      </c>
      <c r="K739">
        <v>0</v>
      </c>
      <c r="L739">
        <v>7</v>
      </c>
      <c r="M739">
        <v>4</v>
      </c>
      <c r="N739">
        <v>0</v>
      </c>
    </row>
    <row r="740" spans="1:14" x14ac:dyDescent="0.25">
      <c r="A740">
        <v>738</v>
      </c>
      <c r="B740" t="s">
        <v>1016</v>
      </c>
      <c r="C740" t="s">
        <v>1017</v>
      </c>
      <c r="D740" t="s">
        <v>1018</v>
      </c>
      <c r="E740" t="s">
        <v>34</v>
      </c>
      <c r="F740" t="s">
        <v>609</v>
      </c>
      <c r="G740" t="s">
        <v>35</v>
      </c>
      <c r="H740" t="s">
        <v>616</v>
      </c>
      <c r="I740" t="s">
        <v>43</v>
      </c>
      <c r="J740" t="s">
        <v>1025</v>
      </c>
      <c r="K740">
        <v>0</v>
      </c>
      <c r="L740">
        <v>5</v>
      </c>
      <c r="M740">
        <v>1</v>
      </c>
      <c r="N740">
        <v>0</v>
      </c>
    </row>
    <row r="741" spans="1:14" x14ac:dyDescent="0.25">
      <c r="A741">
        <v>739</v>
      </c>
      <c r="B741" t="s">
        <v>1016</v>
      </c>
      <c r="C741" t="s">
        <v>1017</v>
      </c>
      <c r="D741" t="s">
        <v>1018</v>
      </c>
      <c r="E741" t="s">
        <v>34</v>
      </c>
      <c r="F741" t="s">
        <v>609</v>
      </c>
      <c r="G741" t="s">
        <v>35</v>
      </c>
      <c r="H741" t="s">
        <v>1718</v>
      </c>
      <c r="I741" t="s">
        <v>43</v>
      </c>
      <c r="J741" t="s">
        <v>1026</v>
      </c>
      <c r="K741">
        <v>0</v>
      </c>
      <c r="L741">
        <v>8</v>
      </c>
      <c r="M741">
        <v>1</v>
      </c>
      <c r="N741">
        <v>0</v>
      </c>
    </row>
    <row r="742" spans="1:14" x14ac:dyDescent="0.25">
      <c r="A742">
        <v>740</v>
      </c>
      <c r="B742" t="s">
        <v>1016</v>
      </c>
      <c r="C742" t="s">
        <v>1017</v>
      </c>
      <c r="D742" t="s">
        <v>1018</v>
      </c>
      <c r="E742" t="s">
        <v>52</v>
      </c>
      <c r="F742" t="s">
        <v>609</v>
      </c>
      <c r="G742" t="s">
        <v>47</v>
      </c>
      <c r="H742" t="s">
        <v>1718</v>
      </c>
      <c r="I742" t="s">
        <v>915</v>
      </c>
      <c r="J742" t="s">
        <v>1027</v>
      </c>
      <c r="K742">
        <v>0</v>
      </c>
      <c r="L742">
        <v>3</v>
      </c>
      <c r="M742">
        <v>1</v>
      </c>
      <c r="N742">
        <v>0</v>
      </c>
    </row>
    <row r="743" spans="1:14" x14ac:dyDescent="0.25">
      <c r="A743">
        <v>741</v>
      </c>
      <c r="B743" t="s">
        <v>1016</v>
      </c>
      <c r="C743" t="s">
        <v>1017</v>
      </c>
      <c r="D743" t="s">
        <v>1018</v>
      </c>
      <c r="E743" t="s">
        <v>52</v>
      </c>
      <c r="F743" t="s">
        <v>609</v>
      </c>
      <c r="G743" t="s">
        <v>47</v>
      </c>
      <c r="H743" t="s">
        <v>1710</v>
      </c>
      <c r="I743" t="s">
        <v>41</v>
      </c>
      <c r="J743" t="s">
        <v>1028</v>
      </c>
      <c r="K743">
        <v>0</v>
      </c>
      <c r="L743">
        <v>3</v>
      </c>
      <c r="M743">
        <v>1</v>
      </c>
      <c r="N743">
        <v>0</v>
      </c>
    </row>
    <row r="744" spans="1:14" x14ac:dyDescent="0.25">
      <c r="A744">
        <v>742</v>
      </c>
      <c r="B744" t="s">
        <v>1016</v>
      </c>
      <c r="C744" t="s">
        <v>1017</v>
      </c>
      <c r="D744" t="s">
        <v>1029</v>
      </c>
      <c r="E744" t="s">
        <v>52</v>
      </c>
      <c r="F744" t="s">
        <v>609</v>
      </c>
      <c r="G744" t="s">
        <v>47</v>
      </c>
      <c r="H744" t="s">
        <v>1710</v>
      </c>
      <c r="I744" t="s">
        <v>41</v>
      </c>
      <c r="J744" t="s">
        <v>1030</v>
      </c>
      <c r="K744">
        <v>0</v>
      </c>
      <c r="L744">
        <v>1</v>
      </c>
      <c r="M744">
        <v>1</v>
      </c>
      <c r="N744">
        <v>0</v>
      </c>
    </row>
    <row r="745" spans="1:14" x14ac:dyDescent="0.25">
      <c r="A745">
        <v>743</v>
      </c>
      <c r="B745" t="s">
        <v>1016</v>
      </c>
      <c r="C745" t="s">
        <v>1017</v>
      </c>
      <c r="D745" t="s">
        <v>1029</v>
      </c>
      <c r="E745" t="s">
        <v>52</v>
      </c>
      <c r="F745" t="s">
        <v>650</v>
      </c>
      <c r="G745" t="s">
        <v>47</v>
      </c>
      <c r="H745" t="s">
        <v>1710</v>
      </c>
      <c r="I745" t="s">
        <v>43</v>
      </c>
      <c r="J745" t="s">
        <v>1031</v>
      </c>
      <c r="K745">
        <v>0</v>
      </c>
      <c r="L745">
        <v>2</v>
      </c>
      <c r="M745">
        <v>1</v>
      </c>
      <c r="N745">
        <v>0</v>
      </c>
    </row>
    <row r="746" spans="1:14" x14ac:dyDescent="0.25">
      <c r="A746">
        <v>744</v>
      </c>
      <c r="B746" t="s">
        <v>1016</v>
      </c>
      <c r="C746" t="s">
        <v>1017</v>
      </c>
      <c r="D746" t="s">
        <v>1029</v>
      </c>
      <c r="E746" t="s">
        <v>52</v>
      </c>
      <c r="F746" t="s">
        <v>609</v>
      </c>
      <c r="G746" t="s">
        <v>47</v>
      </c>
      <c r="H746" t="s">
        <v>1710</v>
      </c>
      <c r="I746" t="s">
        <v>43</v>
      </c>
      <c r="J746" t="s">
        <v>1032</v>
      </c>
      <c r="K746">
        <v>0</v>
      </c>
      <c r="L746">
        <v>11</v>
      </c>
      <c r="M746">
        <v>6</v>
      </c>
      <c r="N746">
        <v>0</v>
      </c>
    </row>
    <row r="747" spans="1:14" x14ac:dyDescent="0.25">
      <c r="A747">
        <v>745</v>
      </c>
      <c r="B747" t="s">
        <v>1016</v>
      </c>
      <c r="C747" t="s">
        <v>1017</v>
      </c>
      <c r="D747" t="s">
        <v>1029</v>
      </c>
      <c r="E747" t="s">
        <v>80</v>
      </c>
      <c r="F747" t="s">
        <v>609</v>
      </c>
      <c r="G747" t="s">
        <v>35</v>
      </c>
      <c r="H747" t="s">
        <v>1710</v>
      </c>
      <c r="I747" t="s">
        <v>27</v>
      </c>
      <c r="J747" t="s">
        <v>1033</v>
      </c>
      <c r="K747">
        <v>0</v>
      </c>
      <c r="L747">
        <v>7</v>
      </c>
      <c r="M747">
        <v>6</v>
      </c>
      <c r="N747">
        <v>0</v>
      </c>
    </row>
    <row r="748" spans="1:14" x14ac:dyDescent="0.25">
      <c r="A748">
        <v>746</v>
      </c>
      <c r="B748" t="s">
        <v>1016</v>
      </c>
      <c r="C748" t="s">
        <v>1017</v>
      </c>
      <c r="D748" t="s">
        <v>1029</v>
      </c>
      <c r="E748" t="s">
        <v>52</v>
      </c>
      <c r="F748" t="s">
        <v>609</v>
      </c>
      <c r="G748" t="s">
        <v>47</v>
      </c>
      <c r="H748" t="s">
        <v>1710</v>
      </c>
      <c r="I748" t="s">
        <v>43</v>
      </c>
      <c r="J748" t="s">
        <v>1029</v>
      </c>
      <c r="K748">
        <v>0</v>
      </c>
      <c r="L748">
        <v>16</v>
      </c>
      <c r="M748">
        <v>6</v>
      </c>
      <c r="N748">
        <v>0</v>
      </c>
    </row>
    <row r="749" spans="1:14" x14ac:dyDescent="0.25">
      <c r="A749">
        <v>747</v>
      </c>
      <c r="B749" t="s">
        <v>1016</v>
      </c>
      <c r="C749" t="s">
        <v>1017</v>
      </c>
      <c r="D749" t="s">
        <v>1029</v>
      </c>
      <c r="E749" t="s">
        <v>52</v>
      </c>
      <c r="F749" t="s">
        <v>609</v>
      </c>
      <c r="G749" t="s">
        <v>47</v>
      </c>
      <c r="H749" t="s">
        <v>1710</v>
      </c>
      <c r="I749" t="s">
        <v>43</v>
      </c>
      <c r="J749" t="s">
        <v>1034</v>
      </c>
      <c r="K749">
        <v>0</v>
      </c>
      <c r="L749">
        <v>9</v>
      </c>
      <c r="M749">
        <v>6</v>
      </c>
      <c r="N749">
        <v>0</v>
      </c>
    </row>
    <row r="750" spans="1:14" x14ac:dyDescent="0.25">
      <c r="A750">
        <v>748</v>
      </c>
      <c r="B750" t="s">
        <v>1016</v>
      </c>
      <c r="C750" t="s">
        <v>1035</v>
      </c>
      <c r="D750" t="s">
        <v>1036</v>
      </c>
      <c r="E750" t="s">
        <v>52</v>
      </c>
      <c r="F750" t="s">
        <v>609</v>
      </c>
      <c r="G750" t="s">
        <v>47</v>
      </c>
      <c r="H750" t="s">
        <v>1037</v>
      </c>
      <c r="I750" t="s">
        <v>915</v>
      </c>
      <c r="J750" t="s">
        <v>1038</v>
      </c>
      <c r="K750">
        <v>7</v>
      </c>
      <c r="L750">
        <v>4</v>
      </c>
      <c r="M750">
        <v>2</v>
      </c>
      <c r="N750">
        <v>0</v>
      </c>
    </row>
    <row r="751" spans="1:14" x14ac:dyDescent="0.25">
      <c r="A751">
        <v>749</v>
      </c>
      <c r="B751" t="s">
        <v>1016</v>
      </c>
      <c r="C751" t="s">
        <v>1035</v>
      </c>
      <c r="D751" t="s">
        <v>1036</v>
      </c>
      <c r="E751" t="s">
        <v>52</v>
      </c>
      <c r="F751" t="s">
        <v>650</v>
      </c>
      <c r="G751" t="s">
        <v>47</v>
      </c>
      <c r="H751" t="s">
        <v>1037</v>
      </c>
      <c r="I751" t="s">
        <v>1039</v>
      </c>
      <c r="J751" t="s">
        <v>1040</v>
      </c>
      <c r="K751">
        <v>9</v>
      </c>
      <c r="L751">
        <v>3</v>
      </c>
      <c r="M751">
        <v>2</v>
      </c>
      <c r="N751">
        <v>0</v>
      </c>
    </row>
    <row r="752" spans="1:14" x14ac:dyDescent="0.25">
      <c r="A752">
        <v>750</v>
      </c>
      <c r="B752" t="s">
        <v>1016</v>
      </c>
      <c r="C752" t="s">
        <v>1035</v>
      </c>
      <c r="D752" t="s">
        <v>1036</v>
      </c>
      <c r="E752" t="s">
        <v>52</v>
      </c>
      <c r="F752" t="s">
        <v>650</v>
      </c>
      <c r="G752" t="s">
        <v>47</v>
      </c>
      <c r="H752" t="s">
        <v>1037</v>
      </c>
      <c r="I752" t="s">
        <v>1039</v>
      </c>
      <c r="J752" t="s">
        <v>1036</v>
      </c>
      <c r="K752">
        <v>9</v>
      </c>
      <c r="L752">
        <v>3</v>
      </c>
      <c r="M752">
        <v>2</v>
      </c>
      <c r="N752">
        <v>0</v>
      </c>
    </row>
    <row r="753" spans="1:14" x14ac:dyDescent="0.25">
      <c r="A753">
        <v>751</v>
      </c>
      <c r="B753" t="s">
        <v>1016</v>
      </c>
      <c r="C753" t="s">
        <v>1035</v>
      </c>
      <c r="D753" t="s">
        <v>1036</v>
      </c>
      <c r="E753" t="s">
        <v>52</v>
      </c>
      <c r="F753" t="s">
        <v>650</v>
      </c>
      <c r="G753" t="s">
        <v>47</v>
      </c>
      <c r="H753" t="s">
        <v>1037</v>
      </c>
      <c r="I753" t="s">
        <v>1039</v>
      </c>
      <c r="J753" t="s">
        <v>1041</v>
      </c>
      <c r="K753">
        <v>9</v>
      </c>
      <c r="L753">
        <v>3</v>
      </c>
      <c r="M753">
        <v>2</v>
      </c>
      <c r="N753">
        <v>0</v>
      </c>
    </row>
    <row r="754" spans="1:14" x14ac:dyDescent="0.25">
      <c r="A754">
        <v>752</v>
      </c>
      <c r="B754" t="s">
        <v>1016</v>
      </c>
      <c r="C754" t="s">
        <v>1035</v>
      </c>
      <c r="D754" t="s">
        <v>1042</v>
      </c>
      <c r="E754" t="s">
        <v>14</v>
      </c>
      <c r="F754" t="s">
        <v>609</v>
      </c>
      <c r="G754" t="s">
        <v>47</v>
      </c>
      <c r="H754" t="s">
        <v>1043</v>
      </c>
      <c r="I754" t="s">
        <v>1039</v>
      </c>
      <c r="J754" t="s">
        <v>1044</v>
      </c>
      <c r="K754">
        <v>9</v>
      </c>
      <c r="L754">
        <v>2</v>
      </c>
      <c r="M754">
        <v>1</v>
      </c>
      <c r="N754">
        <v>0</v>
      </c>
    </row>
    <row r="755" spans="1:14" x14ac:dyDescent="0.25">
      <c r="A755">
        <v>753</v>
      </c>
      <c r="B755" t="s">
        <v>1016</v>
      </c>
      <c r="C755" t="s">
        <v>1035</v>
      </c>
      <c r="D755" t="s">
        <v>1042</v>
      </c>
      <c r="E755" t="s">
        <v>52</v>
      </c>
      <c r="F755" t="s">
        <v>650</v>
      </c>
      <c r="G755" t="s">
        <v>47</v>
      </c>
      <c r="H755" t="s">
        <v>1043</v>
      </c>
      <c r="I755" t="s">
        <v>84</v>
      </c>
      <c r="J755" t="s">
        <v>1045</v>
      </c>
      <c r="K755">
        <v>9</v>
      </c>
      <c r="L755">
        <v>1</v>
      </c>
      <c r="M755">
        <v>1</v>
      </c>
      <c r="N755">
        <v>0</v>
      </c>
    </row>
    <row r="756" spans="1:14" x14ac:dyDescent="0.25">
      <c r="A756">
        <v>754</v>
      </c>
      <c r="B756" t="s">
        <v>1016</v>
      </c>
      <c r="C756" t="s">
        <v>1035</v>
      </c>
      <c r="D756" t="s">
        <v>1046</v>
      </c>
      <c r="E756" t="s">
        <v>52</v>
      </c>
      <c r="F756" t="s">
        <v>609</v>
      </c>
      <c r="G756" t="s">
        <v>47</v>
      </c>
      <c r="H756" t="s">
        <v>1051</v>
      </c>
      <c r="I756" t="s">
        <v>27</v>
      </c>
      <c r="J756" t="s">
        <v>1048</v>
      </c>
      <c r="K756">
        <v>8</v>
      </c>
      <c r="L756">
        <v>2</v>
      </c>
      <c r="M756">
        <v>1</v>
      </c>
      <c r="N756">
        <v>0</v>
      </c>
    </row>
    <row r="757" spans="1:14" x14ac:dyDescent="0.25">
      <c r="A757">
        <v>755</v>
      </c>
      <c r="B757" t="s">
        <v>1016</v>
      </c>
      <c r="C757" t="s">
        <v>1035</v>
      </c>
      <c r="D757" t="s">
        <v>1046</v>
      </c>
      <c r="E757" t="s">
        <v>52</v>
      </c>
      <c r="F757" t="s">
        <v>609</v>
      </c>
      <c r="G757" t="s">
        <v>47</v>
      </c>
      <c r="H757" t="s">
        <v>1051</v>
      </c>
      <c r="I757" t="s">
        <v>1039</v>
      </c>
      <c r="J757" t="s">
        <v>1049</v>
      </c>
      <c r="K757">
        <v>8</v>
      </c>
      <c r="L757">
        <v>1</v>
      </c>
      <c r="M757">
        <v>1</v>
      </c>
      <c r="N757">
        <v>0</v>
      </c>
    </row>
    <row r="758" spans="1:14" x14ac:dyDescent="0.25">
      <c r="A758">
        <v>756</v>
      </c>
      <c r="B758" t="s">
        <v>1016</v>
      </c>
      <c r="C758" t="s">
        <v>1035</v>
      </c>
      <c r="D758" t="s">
        <v>1050</v>
      </c>
      <c r="E758" t="s">
        <v>14</v>
      </c>
      <c r="F758" t="s">
        <v>650</v>
      </c>
      <c r="G758" t="s">
        <v>47</v>
      </c>
      <c r="H758" t="s">
        <v>1710</v>
      </c>
      <c r="I758" t="s">
        <v>27</v>
      </c>
      <c r="J758" t="s">
        <v>1050</v>
      </c>
      <c r="K758">
        <v>8</v>
      </c>
      <c r="L758">
        <v>2</v>
      </c>
      <c r="M758">
        <v>1</v>
      </c>
      <c r="N758">
        <v>0</v>
      </c>
    </row>
    <row r="759" spans="1:14" x14ac:dyDescent="0.25">
      <c r="A759">
        <v>757</v>
      </c>
      <c r="B759" t="s">
        <v>1016</v>
      </c>
      <c r="C759" t="s">
        <v>1035</v>
      </c>
      <c r="D759" t="s">
        <v>1046</v>
      </c>
      <c r="E759" t="s">
        <v>52</v>
      </c>
      <c r="F759" t="s">
        <v>609</v>
      </c>
      <c r="G759" t="s">
        <v>47</v>
      </c>
      <c r="H759" t="s">
        <v>1051</v>
      </c>
      <c r="I759" t="s">
        <v>1039</v>
      </c>
      <c r="J759" t="s">
        <v>1046</v>
      </c>
      <c r="K759">
        <v>8</v>
      </c>
      <c r="L759">
        <v>1</v>
      </c>
      <c r="M759">
        <v>1</v>
      </c>
      <c r="N759">
        <v>0</v>
      </c>
    </row>
    <row r="760" spans="1:14" x14ac:dyDescent="0.25">
      <c r="A760">
        <v>758</v>
      </c>
      <c r="B760" t="s">
        <v>1016</v>
      </c>
      <c r="C760" t="s">
        <v>1035</v>
      </c>
      <c r="D760" t="s">
        <v>1046</v>
      </c>
      <c r="E760" t="s">
        <v>34</v>
      </c>
      <c r="F760" t="s">
        <v>609</v>
      </c>
      <c r="G760" t="s">
        <v>47</v>
      </c>
      <c r="H760" t="s">
        <v>1051</v>
      </c>
      <c r="I760" t="s">
        <v>41</v>
      </c>
      <c r="J760" t="s">
        <v>1052</v>
      </c>
      <c r="K760">
        <v>9</v>
      </c>
      <c r="L760">
        <v>1</v>
      </c>
      <c r="M760">
        <v>1</v>
      </c>
      <c r="N760">
        <v>0</v>
      </c>
    </row>
    <row r="761" spans="1:14" x14ac:dyDescent="0.25">
      <c r="A761">
        <v>759</v>
      </c>
      <c r="B761" t="s">
        <v>1016</v>
      </c>
      <c r="C761" t="s">
        <v>1035</v>
      </c>
      <c r="D761" t="s">
        <v>1046</v>
      </c>
      <c r="E761" t="s">
        <v>52</v>
      </c>
      <c r="F761" t="s">
        <v>609</v>
      </c>
      <c r="G761" t="s">
        <v>47</v>
      </c>
      <c r="H761" t="s">
        <v>1051</v>
      </c>
      <c r="I761" t="s">
        <v>1039</v>
      </c>
      <c r="J761" t="s">
        <v>1053</v>
      </c>
      <c r="K761">
        <v>7</v>
      </c>
      <c r="L761">
        <v>2</v>
      </c>
      <c r="M761">
        <v>1</v>
      </c>
      <c r="N761">
        <v>0</v>
      </c>
    </row>
    <row r="762" spans="1:14" x14ac:dyDescent="0.25">
      <c r="A762">
        <v>760</v>
      </c>
      <c r="B762" t="s">
        <v>1016</v>
      </c>
      <c r="C762" t="s">
        <v>1035</v>
      </c>
      <c r="D762" t="s">
        <v>1046</v>
      </c>
      <c r="E762" t="s">
        <v>52</v>
      </c>
      <c r="F762" t="s">
        <v>609</v>
      </c>
      <c r="G762" t="s">
        <v>47</v>
      </c>
      <c r="H762" t="s">
        <v>1051</v>
      </c>
      <c r="I762" t="s">
        <v>352</v>
      </c>
      <c r="J762" t="s">
        <v>1054</v>
      </c>
      <c r="K762">
        <v>6</v>
      </c>
      <c r="L762">
        <v>3</v>
      </c>
      <c r="M762">
        <v>1</v>
      </c>
      <c r="N762">
        <v>0</v>
      </c>
    </row>
    <row r="763" spans="1:14" x14ac:dyDescent="0.25">
      <c r="A763">
        <v>761</v>
      </c>
      <c r="B763" t="s">
        <v>1016</v>
      </c>
      <c r="C763" t="s">
        <v>1035</v>
      </c>
      <c r="D763" t="s">
        <v>1055</v>
      </c>
      <c r="E763" t="s">
        <v>52</v>
      </c>
      <c r="F763" t="s">
        <v>609</v>
      </c>
      <c r="G763" t="s">
        <v>75</v>
      </c>
      <c r="H763" t="s">
        <v>1056</v>
      </c>
      <c r="I763" t="s">
        <v>1039</v>
      </c>
      <c r="J763" t="s">
        <v>1057</v>
      </c>
      <c r="K763">
        <v>5</v>
      </c>
      <c r="L763">
        <v>3</v>
      </c>
      <c r="M763">
        <v>1</v>
      </c>
      <c r="N763">
        <v>0</v>
      </c>
    </row>
    <row r="764" spans="1:14" x14ac:dyDescent="0.25">
      <c r="A764">
        <v>762</v>
      </c>
      <c r="B764" t="s">
        <v>1016</v>
      </c>
      <c r="C764" t="s">
        <v>1035</v>
      </c>
      <c r="D764" t="s">
        <v>1055</v>
      </c>
      <c r="E764" t="s">
        <v>52</v>
      </c>
      <c r="F764" t="s">
        <v>609</v>
      </c>
      <c r="G764" t="s">
        <v>75</v>
      </c>
      <c r="H764" t="s">
        <v>1056</v>
      </c>
      <c r="I764" t="s">
        <v>1039</v>
      </c>
      <c r="J764" t="s">
        <v>1058</v>
      </c>
      <c r="K764">
        <v>6</v>
      </c>
      <c r="L764">
        <v>2</v>
      </c>
      <c r="M764">
        <v>1</v>
      </c>
      <c r="N764">
        <v>0</v>
      </c>
    </row>
    <row r="765" spans="1:14" x14ac:dyDescent="0.25">
      <c r="A765">
        <v>763</v>
      </c>
      <c r="B765" t="s">
        <v>1016</v>
      </c>
      <c r="C765" t="s">
        <v>1035</v>
      </c>
      <c r="D765" t="s">
        <v>1055</v>
      </c>
      <c r="E765" t="s">
        <v>34</v>
      </c>
      <c r="F765" t="s">
        <v>609</v>
      </c>
      <c r="G765" t="s">
        <v>75</v>
      </c>
      <c r="H765" t="s">
        <v>1056</v>
      </c>
      <c r="I765" t="s">
        <v>1039</v>
      </c>
      <c r="J765" t="s">
        <v>1059</v>
      </c>
      <c r="K765">
        <v>7</v>
      </c>
      <c r="L765">
        <v>4</v>
      </c>
      <c r="M765">
        <v>1</v>
      </c>
      <c r="N765">
        <v>0</v>
      </c>
    </row>
    <row r="766" spans="1:14" x14ac:dyDescent="0.25">
      <c r="A766">
        <v>764</v>
      </c>
      <c r="B766" t="s">
        <v>1016</v>
      </c>
      <c r="C766" t="s">
        <v>1035</v>
      </c>
      <c r="D766" t="s">
        <v>1055</v>
      </c>
      <c r="E766" t="s">
        <v>34</v>
      </c>
      <c r="F766" t="s">
        <v>609</v>
      </c>
      <c r="G766" t="s">
        <v>75</v>
      </c>
      <c r="H766" t="s">
        <v>1056</v>
      </c>
      <c r="I766" t="s">
        <v>1039</v>
      </c>
      <c r="J766" t="s">
        <v>1060</v>
      </c>
      <c r="K766">
        <v>5</v>
      </c>
      <c r="L766">
        <v>3</v>
      </c>
      <c r="M766">
        <v>2</v>
      </c>
      <c r="N766">
        <v>0</v>
      </c>
    </row>
    <row r="767" spans="1:14" x14ac:dyDescent="0.25">
      <c r="A767">
        <v>765</v>
      </c>
      <c r="B767" t="s">
        <v>1016</v>
      </c>
      <c r="C767" t="s">
        <v>1035</v>
      </c>
      <c r="D767" t="s">
        <v>1055</v>
      </c>
      <c r="E767" t="s">
        <v>34</v>
      </c>
      <c r="F767" t="s">
        <v>609</v>
      </c>
      <c r="G767" t="s">
        <v>75</v>
      </c>
      <c r="H767" t="s">
        <v>1056</v>
      </c>
      <c r="I767" t="s">
        <v>915</v>
      </c>
      <c r="J767" t="s">
        <v>1061</v>
      </c>
      <c r="K767">
        <v>0</v>
      </c>
      <c r="L767">
        <v>5</v>
      </c>
      <c r="M767">
        <v>2</v>
      </c>
      <c r="N767">
        <v>0</v>
      </c>
    </row>
    <row r="768" spans="1:14" x14ac:dyDescent="0.25">
      <c r="A768">
        <v>766</v>
      </c>
      <c r="B768" t="s">
        <v>1016</v>
      </c>
      <c r="C768" t="s">
        <v>1035</v>
      </c>
      <c r="D768" t="s">
        <v>1055</v>
      </c>
      <c r="E768" t="s">
        <v>34</v>
      </c>
      <c r="F768" t="s">
        <v>609</v>
      </c>
      <c r="G768" t="s">
        <v>75</v>
      </c>
      <c r="H768" t="s">
        <v>1056</v>
      </c>
      <c r="I768" t="s">
        <v>915</v>
      </c>
      <c r="J768" t="s">
        <v>1062</v>
      </c>
      <c r="K768">
        <v>5</v>
      </c>
      <c r="L768">
        <v>3</v>
      </c>
      <c r="M768">
        <v>2</v>
      </c>
      <c r="N768">
        <v>0</v>
      </c>
    </row>
    <row r="769" spans="1:14" x14ac:dyDescent="0.25">
      <c r="A769">
        <v>767</v>
      </c>
      <c r="B769" t="s">
        <v>1016</v>
      </c>
      <c r="C769" t="s">
        <v>1035</v>
      </c>
      <c r="D769" t="s">
        <v>1055</v>
      </c>
      <c r="E769" t="s">
        <v>34</v>
      </c>
      <c r="F769" t="s">
        <v>609</v>
      </c>
      <c r="G769" t="s">
        <v>75</v>
      </c>
      <c r="H769" t="s">
        <v>1056</v>
      </c>
      <c r="I769" t="s">
        <v>1039</v>
      </c>
      <c r="J769" t="s">
        <v>1063</v>
      </c>
      <c r="K769">
        <v>5</v>
      </c>
      <c r="L769">
        <v>3</v>
      </c>
      <c r="M769">
        <v>2</v>
      </c>
      <c r="N769">
        <v>0</v>
      </c>
    </row>
    <row r="770" spans="1:14" x14ac:dyDescent="0.25">
      <c r="A770">
        <v>768</v>
      </c>
      <c r="B770" t="s">
        <v>1016</v>
      </c>
      <c r="C770" t="s">
        <v>1035</v>
      </c>
      <c r="D770" t="s">
        <v>1055</v>
      </c>
      <c r="E770" t="s">
        <v>34</v>
      </c>
      <c r="F770" t="s">
        <v>609</v>
      </c>
      <c r="G770" t="s">
        <v>75</v>
      </c>
      <c r="H770" t="s">
        <v>1056</v>
      </c>
      <c r="I770" t="s">
        <v>1039</v>
      </c>
      <c r="J770" t="s">
        <v>1064</v>
      </c>
      <c r="K770">
        <v>3</v>
      </c>
      <c r="L770">
        <v>2</v>
      </c>
      <c r="M770">
        <v>2</v>
      </c>
      <c r="N770">
        <v>0</v>
      </c>
    </row>
    <row r="771" spans="1:14" x14ac:dyDescent="0.25">
      <c r="A771">
        <v>769</v>
      </c>
      <c r="B771" t="s">
        <v>1016</v>
      </c>
      <c r="C771" t="s">
        <v>1035</v>
      </c>
      <c r="D771" t="s">
        <v>1055</v>
      </c>
      <c r="E771" t="s">
        <v>34</v>
      </c>
      <c r="F771" t="s">
        <v>609</v>
      </c>
      <c r="G771" t="s">
        <v>75</v>
      </c>
      <c r="H771" t="s">
        <v>1056</v>
      </c>
      <c r="I771" t="s">
        <v>915</v>
      </c>
      <c r="J771" t="s">
        <v>1065</v>
      </c>
      <c r="K771">
        <v>5</v>
      </c>
      <c r="L771">
        <v>2</v>
      </c>
      <c r="M771">
        <v>2</v>
      </c>
      <c r="N771">
        <v>0</v>
      </c>
    </row>
    <row r="772" spans="1:14" x14ac:dyDescent="0.25">
      <c r="A772">
        <v>770</v>
      </c>
      <c r="B772" t="s">
        <v>1016</v>
      </c>
      <c r="C772" t="s">
        <v>1066</v>
      </c>
      <c r="D772" t="s">
        <v>1067</v>
      </c>
      <c r="E772" t="s">
        <v>34</v>
      </c>
      <c r="F772" t="s">
        <v>15</v>
      </c>
      <c r="G772" t="s">
        <v>75</v>
      </c>
      <c r="H772" t="s">
        <v>1068</v>
      </c>
      <c r="I772" t="s">
        <v>1039</v>
      </c>
      <c r="J772" t="s">
        <v>1069</v>
      </c>
      <c r="K772">
        <v>3</v>
      </c>
      <c r="L772">
        <v>2</v>
      </c>
      <c r="M772">
        <v>2</v>
      </c>
      <c r="N772">
        <v>0</v>
      </c>
    </row>
    <row r="773" spans="1:14" x14ac:dyDescent="0.25">
      <c r="A773">
        <v>771</v>
      </c>
      <c r="B773" t="s">
        <v>1016</v>
      </c>
      <c r="C773" t="s">
        <v>1066</v>
      </c>
      <c r="D773" t="s">
        <v>1067</v>
      </c>
      <c r="E773" t="s">
        <v>34</v>
      </c>
      <c r="F773" t="s">
        <v>15</v>
      </c>
      <c r="G773" t="s">
        <v>75</v>
      </c>
      <c r="H773" t="s">
        <v>1068</v>
      </c>
      <c r="I773" t="s">
        <v>1039</v>
      </c>
      <c r="J773" t="s">
        <v>1070</v>
      </c>
      <c r="K773">
        <v>4</v>
      </c>
      <c r="L773">
        <v>3</v>
      </c>
      <c r="M773">
        <v>2</v>
      </c>
      <c r="N773">
        <v>0</v>
      </c>
    </row>
    <row r="774" spans="1:14" x14ac:dyDescent="0.25">
      <c r="A774">
        <v>772</v>
      </c>
      <c r="B774" t="s">
        <v>1016</v>
      </c>
      <c r="C774" t="s">
        <v>1066</v>
      </c>
      <c r="D774" t="s">
        <v>1067</v>
      </c>
      <c r="E774" t="s">
        <v>34</v>
      </c>
      <c r="F774" t="s">
        <v>15</v>
      </c>
      <c r="G774" t="s">
        <v>75</v>
      </c>
      <c r="H774" t="s">
        <v>1068</v>
      </c>
      <c r="I774" t="s">
        <v>915</v>
      </c>
      <c r="J774" t="s">
        <v>1072</v>
      </c>
      <c r="K774">
        <v>4</v>
      </c>
      <c r="L774">
        <v>3</v>
      </c>
      <c r="M774">
        <v>2</v>
      </c>
      <c r="N774">
        <v>0</v>
      </c>
    </row>
    <row r="775" spans="1:14" x14ac:dyDescent="0.25">
      <c r="A775">
        <v>773</v>
      </c>
      <c r="B775" t="s">
        <v>1016</v>
      </c>
      <c r="C775" t="s">
        <v>1066</v>
      </c>
      <c r="D775" t="s">
        <v>1067</v>
      </c>
      <c r="E775" t="s">
        <v>34</v>
      </c>
      <c r="F775" t="s">
        <v>15</v>
      </c>
      <c r="G775" t="s">
        <v>75</v>
      </c>
      <c r="H775" t="s">
        <v>1068</v>
      </c>
      <c r="I775" t="s">
        <v>27</v>
      </c>
      <c r="J775" t="s">
        <v>1074</v>
      </c>
      <c r="K775">
        <v>4</v>
      </c>
      <c r="L775">
        <v>5</v>
      </c>
      <c r="M775">
        <v>4</v>
      </c>
      <c r="N775">
        <v>0</v>
      </c>
    </row>
    <row r="776" spans="1:14" x14ac:dyDescent="0.25">
      <c r="A776">
        <v>774</v>
      </c>
      <c r="B776" t="s">
        <v>1016</v>
      </c>
      <c r="C776" t="s">
        <v>1066</v>
      </c>
      <c r="D776" t="s">
        <v>1075</v>
      </c>
      <c r="E776" t="s">
        <v>34</v>
      </c>
      <c r="F776" t="s">
        <v>15</v>
      </c>
      <c r="G776" t="s">
        <v>75</v>
      </c>
      <c r="H776" t="s">
        <v>1068</v>
      </c>
      <c r="I776" t="s">
        <v>43</v>
      </c>
      <c r="J776" t="s">
        <v>1076</v>
      </c>
      <c r="K776">
        <v>3</v>
      </c>
      <c r="L776">
        <v>5</v>
      </c>
      <c r="M776">
        <v>4</v>
      </c>
      <c r="N776">
        <v>0</v>
      </c>
    </row>
    <row r="777" spans="1:14" x14ac:dyDescent="0.25">
      <c r="A777">
        <v>775</v>
      </c>
      <c r="B777" t="s">
        <v>1016</v>
      </c>
      <c r="C777" t="s">
        <v>1066</v>
      </c>
      <c r="D777" t="s">
        <v>1075</v>
      </c>
      <c r="E777" t="s">
        <v>14</v>
      </c>
      <c r="F777" t="s">
        <v>15</v>
      </c>
      <c r="G777" t="s">
        <v>35</v>
      </c>
      <c r="H777" t="s">
        <v>1719</v>
      </c>
      <c r="I777" t="s">
        <v>41</v>
      </c>
      <c r="J777" t="s">
        <v>1078</v>
      </c>
      <c r="K777">
        <v>3</v>
      </c>
      <c r="L777">
        <v>4</v>
      </c>
      <c r="M777">
        <v>2</v>
      </c>
      <c r="N777">
        <v>0</v>
      </c>
    </row>
    <row r="778" spans="1:14" x14ac:dyDescent="0.25">
      <c r="A778">
        <v>776</v>
      </c>
      <c r="B778" t="s">
        <v>1016</v>
      </c>
      <c r="C778" t="s">
        <v>1066</v>
      </c>
      <c r="D778" t="s">
        <v>1075</v>
      </c>
      <c r="E778" t="s">
        <v>34</v>
      </c>
      <c r="F778" t="s">
        <v>15</v>
      </c>
      <c r="G778" t="s">
        <v>35</v>
      </c>
      <c r="H778" t="s">
        <v>1719</v>
      </c>
      <c r="I778" t="s">
        <v>41</v>
      </c>
      <c r="J778" t="s">
        <v>1079</v>
      </c>
      <c r="K778">
        <v>4</v>
      </c>
      <c r="L778">
        <v>4</v>
      </c>
      <c r="M778">
        <v>1</v>
      </c>
      <c r="N778">
        <v>0</v>
      </c>
    </row>
    <row r="779" spans="1:14" x14ac:dyDescent="0.25">
      <c r="A779">
        <v>777</v>
      </c>
      <c r="B779" t="s">
        <v>1016</v>
      </c>
      <c r="C779" t="s">
        <v>1066</v>
      </c>
      <c r="D779" t="s">
        <v>1075</v>
      </c>
      <c r="E779" t="s">
        <v>34</v>
      </c>
      <c r="F779" t="s">
        <v>15</v>
      </c>
      <c r="G779" t="s">
        <v>35</v>
      </c>
      <c r="H779" t="s">
        <v>1719</v>
      </c>
      <c r="I779" t="s">
        <v>212</v>
      </c>
      <c r="J779" t="s">
        <v>1081</v>
      </c>
      <c r="K779">
        <v>4</v>
      </c>
      <c r="L779">
        <v>3</v>
      </c>
      <c r="M779">
        <v>1</v>
      </c>
      <c r="N779">
        <v>0</v>
      </c>
    </row>
    <row r="780" spans="1:14" x14ac:dyDescent="0.25">
      <c r="A780">
        <v>778</v>
      </c>
      <c r="B780" t="s">
        <v>1016</v>
      </c>
      <c r="C780" t="s">
        <v>1066</v>
      </c>
      <c r="D780" t="s">
        <v>1075</v>
      </c>
      <c r="E780" t="s">
        <v>34</v>
      </c>
      <c r="F780" t="s">
        <v>15</v>
      </c>
      <c r="G780" t="s">
        <v>35</v>
      </c>
      <c r="H780" t="s">
        <v>1719</v>
      </c>
      <c r="I780" t="s">
        <v>37</v>
      </c>
      <c r="J780" t="s">
        <v>1082</v>
      </c>
      <c r="K780">
        <v>3</v>
      </c>
      <c r="L780">
        <v>7</v>
      </c>
      <c r="M780">
        <v>1</v>
      </c>
      <c r="N780">
        <v>0</v>
      </c>
    </row>
    <row r="781" spans="1:14" x14ac:dyDescent="0.25">
      <c r="A781">
        <v>779</v>
      </c>
      <c r="B781" t="s">
        <v>1016</v>
      </c>
      <c r="C781" t="s">
        <v>1066</v>
      </c>
      <c r="D781" t="s">
        <v>1083</v>
      </c>
      <c r="E781" t="s">
        <v>52</v>
      </c>
      <c r="F781" t="s">
        <v>15</v>
      </c>
      <c r="G781" t="s">
        <v>47</v>
      </c>
      <c r="H781" t="s">
        <v>1719</v>
      </c>
      <c r="I781" t="s">
        <v>915</v>
      </c>
      <c r="J781" t="s">
        <v>1084</v>
      </c>
      <c r="K781">
        <v>9</v>
      </c>
      <c r="L781">
        <v>0</v>
      </c>
      <c r="M781">
        <v>1</v>
      </c>
      <c r="N781">
        <v>0</v>
      </c>
    </row>
    <row r="782" spans="1:14" x14ac:dyDescent="0.25">
      <c r="A782">
        <v>780</v>
      </c>
      <c r="B782" t="s">
        <v>1016</v>
      </c>
      <c r="C782" t="s">
        <v>1066</v>
      </c>
      <c r="D782" t="s">
        <v>1083</v>
      </c>
      <c r="E782" t="s">
        <v>52</v>
      </c>
      <c r="F782" t="s">
        <v>15</v>
      </c>
      <c r="G782" t="s">
        <v>47</v>
      </c>
      <c r="H782" t="s">
        <v>1719</v>
      </c>
      <c r="I782" t="s">
        <v>27</v>
      </c>
      <c r="J782" t="s">
        <v>1085</v>
      </c>
      <c r="K782">
        <v>9</v>
      </c>
      <c r="L782">
        <v>1</v>
      </c>
      <c r="M782">
        <v>1</v>
      </c>
      <c r="N782">
        <v>0</v>
      </c>
    </row>
    <row r="783" spans="1:14" x14ac:dyDescent="0.25">
      <c r="A783">
        <v>781</v>
      </c>
      <c r="B783" t="s">
        <v>1016</v>
      </c>
      <c r="C783" t="s">
        <v>1066</v>
      </c>
      <c r="D783" t="s">
        <v>1083</v>
      </c>
      <c r="E783" t="s">
        <v>52</v>
      </c>
      <c r="F783" t="s">
        <v>15</v>
      </c>
      <c r="G783" t="s">
        <v>47</v>
      </c>
      <c r="H783" t="s">
        <v>1720</v>
      </c>
      <c r="I783" t="s">
        <v>915</v>
      </c>
      <c r="J783" t="s">
        <v>1086</v>
      </c>
      <c r="K783">
        <v>9</v>
      </c>
      <c r="L783">
        <v>1</v>
      </c>
      <c r="M783">
        <v>1</v>
      </c>
      <c r="N783">
        <v>0</v>
      </c>
    </row>
    <row r="784" spans="1:14" x14ac:dyDescent="0.25">
      <c r="A784">
        <v>782</v>
      </c>
      <c r="B784" t="s">
        <v>1016</v>
      </c>
      <c r="C784" t="s">
        <v>1066</v>
      </c>
      <c r="D784" t="s">
        <v>1087</v>
      </c>
      <c r="E784" t="s">
        <v>34</v>
      </c>
      <c r="F784" t="s">
        <v>15</v>
      </c>
      <c r="G784" t="s">
        <v>75</v>
      </c>
      <c r="H784" t="s">
        <v>1720</v>
      </c>
      <c r="I784" t="s">
        <v>1039</v>
      </c>
      <c r="J784" t="s">
        <v>1089</v>
      </c>
      <c r="K784">
        <v>4</v>
      </c>
      <c r="L784">
        <v>4</v>
      </c>
      <c r="M784">
        <v>1</v>
      </c>
      <c r="N784">
        <v>0</v>
      </c>
    </row>
    <row r="785" spans="1:14" x14ac:dyDescent="0.25">
      <c r="A785">
        <v>783</v>
      </c>
      <c r="B785" t="s">
        <v>1016</v>
      </c>
      <c r="C785" t="s">
        <v>1066</v>
      </c>
      <c r="D785" t="s">
        <v>1087</v>
      </c>
      <c r="E785" t="s">
        <v>22</v>
      </c>
      <c r="F785" t="s">
        <v>15</v>
      </c>
      <c r="G785" t="s">
        <v>75</v>
      </c>
      <c r="H785" t="s">
        <v>1720</v>
      </c>
      <c r="I785" t="s">
        <v>1039</v>
      </c>
      <c r="J785" t="s">
        <v>1090</v>
      </c>
      <c r="K785">
        <v>3</v>
      </c>
      <c r="L785">
        <v>4</v>
      </c>
      <c r="M785">
        <v>1</v>
      </c>
      <c r="N785">
        <v>0</v>
      </c>
    </row>
    <row r="786" spans="1:14" x14ac:dyDescent="0.25">
      <c r="A786">
        <v>784</v>
      </c>
      <c r="B786" t="s">
        <v>1016</v>
      </c>
      <c r="C786" t="s">
        <v>1066</v>
      </c>
      <c r="D786" t="s">
        <v>1087</v>
      </c>
      <c r="E786" t="s">
        <v>22</v>
      </c>
      <c r="F786" t="s">
        <v>15</v>
      </c>
      <c r="G786" t="s">
        <v>75</v>
      </c>
      <c r="H786" t="s">
        <v>1720</v>
      </c>
      <c r="I786" t="s">
        <v>1039</v>
      </c>
      <c r="J786" t="s">
        <v>1091</v>
      </c>
      <c r="K786">
        <v>3</v>
      </c>
      <c r="L786">
        <v>4</v>
      </c>
      <c r="M786">
        <v>1</v>
      </c>
      <c r="N786">
        <v>0</v>
      </c>
    </row>
    <row r="787" spans="1:14" x14ac:dyDescent="0.25">
      <c r="A787">
        <v>785</v>
      </c>
      <c r="B787" t="s">
        <v>1016</v>
      </c>
      <c r="C787" t="s">
        <v>1066</v>
      </c>
      <c r="D787" t="s">
        <v>1087</v>
      </c>
      <c r="E787" t="s">
        <v>80</v>
      </c>
      <c r="F787" t="s">
        <v>15</v>
      </c>
      <c r="G787" t="s">
        <v>75</v>
      </c>
      <c r="H787" t="s">
        <v>1720</v>
      </c>
      <c r="I787" t="s">
        <v>212</v>
      </c>
      <c r="J787" t="s">
        <v>1092</v>
      </c>
      <c r="K787">
        <v>8</v>
      </c>
      <c r="L787">
        <v>6</v>
      </c>
      <c r="M787">
        <v>5</v>
      </c>
      <c r="N787">
        <v>0</v>
      </c>
    </row>
    <row r="788" spans="1:14" x14ac:dyDescent="0.25">
      <c r="A788">
        <v>786</v>
      </c>
      <c r="B788" t="s">
        <v>1016</v>
      </c>
      <c r="C788" t="s">
        <v>1093</v>
      </c>
      <c r="D788" t="s">
        <v>1094</v>
      </c>
      <c r="E788" t="s">
        <v>22</v>
      </c>
      <c r="F788" t="s">
        <v>15</v>
      </c>
      <c r="G788" t="s">
        <v>75</v>
      </c>
      <c r="H788" t="s">
        <v>1720</v>
      </c>
      <c r="I788" t="s">
        <v>1039</v>
      </c>
      <c r="J788" t="s">
        <v>1096</v>
      </c>
      <c r="K788">
        <v>8</v>
      </c>
      <c r="L788">
        <v>5</v>
      </c>
      <c r="M788">
        <v>5</v>
      </c>
      <c r="N788">
        <v>0</v>
      </c>
    </row>
    <row r="789" spans="1:14" x14ac:dyDescent="0.25">
      <c r="A789">
        <v>787</v>
      </c>
      <c r="B789" t="s">
        <v>1016</v>
      </c>
      <c r="C789" t="s">
        <v>1093</v>
      </c>
      <c r="D789" t="s">
        <v>1094</v>
      </c>
      <c r="E789" t="s">
        <v>22</v>
      </c>
      <c r="F789" t="s">
        <v>15</v>
      </c>
      <c r="G789" t="s">
        <v>75</v>
      </c>
      <c r="H789" t="s">
        <v>1720</v>
      </c>
      <c r="I789" t="s">
        <v>1039</v>
      </c>
      <c r="J789" t="s">
        <v>1097</v>
      </c>
      <c r="K789">
        <v>7</v>
      </c>
      <c r="L789">
        <v>5</v>
      </c>
      <c r="M789">
        <v>5</v>
      </c>
      <c r="N789">
        <v>0</v>
      </c>
    </row>
    <row r="790" spans="1:14" x14ac:dyDescent="0.25">
      <c r="A790">
        <v>788</v>
      </c>
      <c r="B790" t="s">
        <v>1016</v>
      </c>
      <c r="C790" t="s">
        <v>1093</v>
      </c>
      <c r="D790" t="s">
        <v>1098</v>
      </c>
      <c r="E790" t="s">
        <v>80</v>
      </c>
      <c r="F790" t="s">
        <v>15</v>
      </c>
      <c r="G790" t="s">
        <v>75</v>
      </c>
      <c r="H790" t="s">
        <v>1720</v>
      </c>
      <c r="I790" t="s">
        <v>915</v>
      </c>
      <c r="J790" t="s">
        <v>1099</v>
      </c>
      <c r="K790">
        <v>8</v>
      </c>
      <c r="L790">
        <v>2</v>
      </c>
      <c r="M790">
        <v>1</v>
      </c>
      <c r="N790">
        <v>0</v>
      </c>
    </row>
    <row r="791" spans="1:14" x14ac:dyDescent="0.25">
      <c r="A791">
        <v>789</v>
      </c>
      <c r="B791" t="s">
        <v>1016</v>
      </c>
      <c r="C791" t="s">
        <v>1093</v>
      </c>
      <c r="D791" t="s">
        <v>1100</v>
      </c>
      <c r="E791" t="s">
        <v>22</v>
      </c>
      <c r="F791" t="s">
        <v>15</v>
      </c>
      <c r="G791" t="s">
        <v>75</v>
      </c>
      <c r="H791" t="s">
        <v>1720</v>
      </c>
      <c r="I791" t="s">
        <v>1039</v>
      </c>
      <c r="J791" t="s">
        <v>1101</v>
      </c>
      <c r="K791">
        <v>8</v>
      </c>
      <c r="L791">
        <v>2</v>
      </c>
      <c r="M791">
        <v>1</v>
      </c>
      <c r="N791">
        <v>0</v>
      </c>
    </row>
    <row r="792" spans="1:14" x14ac:dyDescent="0.25">
      <c r="A792">
        <v>790</v>
      </c>
      <c r="B792" t="s">
        <v>1016</v>
      </c>
      <c r="C792" t="s">
        <v>1093</v>
      </c>
      <c r="D792" t="s">
        <v>1100</v>
      </c>
      <c r="E792" t="s">
        <v>22</v>
      </c>
      <c r="F792" t="s">
        <v>15</v>
      </c>
      <c r="G792" t="s">
        <v>75</v>
      </c>
      <c r="H792" t="s">
        <v>1720</v>
      </c>
      <c r="I792" t="s">
        <v>1039</v>
      </c>
      <c r="J792" t="s">
        <v>1102</v>
      </c>
      <c r="K792">
        <v>7</v>
      </c>
      <c r="L792">
        <v>2</v>
      </c>
      <c r="M792">
        <v>1</v>
      </c>
      <c r="N792">
        <v>0</v>
      </c>
    </row>
    <row r="793" spans="1:14" x14ac:dyDescent="0.25">
      <c r="A793">
        <v>791</v>
      </c>
      <c r="B793" t="s">
        <v>1016</v>
      </c>
      <c r="C793" t="s">
        <v>1093</v>
      </c>
      <c r="D793" t="s">
        <v>1103</v>
      </c>
      <c r="E793" t="s">
        <v>80</v>
      </c>
      <c r="F793" t="s">
        <v>15</v>
      </c>
      <c r="G793" t="s">
        <v>75</v>
      </c>
      <c r="H793" t="s">
        <v>1104</v>
      </c>
      <c r="I793" t="s">
        <v>1039</v>
      </c>
      <c r="J793" t="s">
        <v>1105</v>
      </c>
      <c r="K793">
        <v>7</v>
      </c>
      <c r="L793">
        <v>2</v>
      </c>
      <c r="M793">
        <v>2</v>
      </c>
      <c r="N793">
        <v>0</v>
      </c>
    </row>
    <row r="794" spans="1:14" x14ac:dyDescent="0.25">
      <c r="A794">
        <v>792</v>
      </c>
      <c r="B794" t="s">
        <v>1016</v>
      </c>
      <c r="C794" t="s">
        <v>1093</v>
      </c>
      <c r="D794" t="s">
        <v>1103</v>
      </c>
      <c r="E794" t="s">
        <v>22</v>
      </c>
      <c r="F794" t="s">
        <v>15</v>
      </c>
      <c r="G794" t="s">
        <v>75</v>
      </c>
      <c r="H794" t="s">
        <v>1104</v>
      </c>
      <c r="I794" t="s">
        <v>687</v>
      </c>
      <c r="J794" t="s">
        <v>1106</v>
      </c>
      <c r="K794">
        <v>7</v>
      </c>
      <c r="L794">
        <v>8</v>
      </c>
      <c r="M794">
        <v>5</v>
      </c>
      <c r="N794">
        <v>0</v>
      </c>
    </row>
    <row r="795" spans="1:14" x14ac:dyDescent="0.25">
      <c r="A795">
        <v>793</v>
      </c>
      <c r="B795" t="s">
        <v>1016</v>
      </c>
      <c r="C795" t="s">
        <v>1093</v>
      </c>
      <c r="D795" t="s">
        <v>1103</v>
      </c>
      <c r="E795" t="s">
        <v>80</v>
      </c>
      <c r="F795" t="s">
        <v>15</v>
      </c>
      <c r="G795" t="s">
        <v>75</v>
      </c>
      <c r="H795" t="s">
        <v>1104</v>
      </c>
      <c r="I795" t="s">
        <v>915</v>
      </c>
      <c r="J795" t="s">
        <v>1107</v>
      </c>
      <c r="K795">
        <v>7</v>
      </c>
      <c r="L795">
        <v>3</v>
      </c>
      <c r="M795">
        <v>2</v>
      </c>
      <c r="N795">
        <v>0</v>
      </c>
    </row>
    <row r="796" spans="1:14" x14ac:dyDescent="0.25">
      <c r="A796">
        <v>794</v>
      </c>
      <c r="B796" t="s">
        <v>1016</v>
      </c>
      <c r="C796" t="s">
        <v>1093</v>
      </c>
      <c r="D796" t="s">
        <v>1103</v>
      </c>
      <c r="E796" t="s">
        <v>80</v>
      </c>
      <c r="F796" t="s">
        <v>15</v>
      </c>
      <c r="G796" t="s">
        <v>75</v>
      </c>
      <c r="H796" t="s">
        <v>1721</v>
      </c>
      <c r="I796" t="s">
        <v>1039</v>
      </c>
      <c r="J796" t="s">
        <v>1109</v>
      </c>
      <c r="K796">
        <v>8</v>
      </c>
      <c r="L796">
        <v>3</v>
      </c>
      <c r="M796">
        <v>2</v>
      </c>
      <c r="N796">
        <v>0</v>
      </c>
    </row>
    <row r="797" spans="1:14" x14ac:dyDescent="0.25">
      <c r="A797">
        <v>795</v>
      </c>
      <c r="B797" t="s">
        <v>1016</v>
      </c>
      <c r="C797" t="s">
        <v>1093</v>
      </c>
      <c r="D797" t="s">
        <v>1110</v>
      </c>
      <c r="E797" t="s">
        <v>22</v>
      </c>
      <c r="F797" t="s">
        <v>15</v>
      </c>
      <c r="G797" t="s">
        <v>75</v>
      </c>
      <c r="H797" t="s">
        <v>1111</v>
      </c>
      <c r="I797" t="s">
        <v>18</v>
      </c>
      <c r="J797" t="s">
        <v>1112</v>
      </c>
      <c r="K797">
        <v>3</v>
      </c>
      <c r="L797">
        <v>5</v>
      </c>
      <c r="M797">
        <v>3</v>
      </c>
      <c r="N797">
        <v>0</v>
      </c>
    </row>
    <row r="798" spans="1:14" x14ac:dyDescent="0.25">
      <c r="A798">
        <v>796</v>
      </c>
      <c r="B798" t="s">
        <v>1016</v>
      </c>
      <c r="C798" t="s">
        <v>1093</v>
      </c>
      <c r="D798" t="s">
        <v>1110</v>
      </c>
      <c r="E798" t="s">
        <v>22</v>
      </c>
      <c r="F798" t="s">
        <v>15</v>
      </c>
      <c r="G798" t="s">
        <v>75</v>
      </c>
      <c r="H798" t="s">
        <v>1722</v>
      </c>
      <c r="I798" t="s">
        <v>1039</v>
      </c>
      <c r="J798" t="s">
        <v>1114</v>
      </c>
      <c r="K798">
        <v>8</v>
      </c>
      <c r="L798">
        <v>4</v>
      </c>
      <c r="M798">
        <v>2</v>
      </c>
      <c r="N798">
        <v>0</v>
      </c>
    </row>
    <row r="799" spans="1:14" x14ac:dyDescent="0.25">
      <c r="A799">
        <v>797</v>
      </c>
      <c r="B799" t="s">
        <v>1016</v>
      </c>
      <c r="C799" t="s">
        <v>1093</v>
      </c>
      <c r="D799" t="s">
        <v>1115</v>
      </c>
      <c r="E799" t="s">
        <v>80</v>
      </c>
      <c r="F799" t="s">
        <v>15</v>
      </c>
      <c r="G799" t="s">
        <v>75</v>
      </c>
      <c r="H799" t="s">
        <v>1722</v>
      </c>
      <c r="I799" t="s">
        <v>687</v>
      </c>
      <c r="J799" t="s">
        <v>1116</v>
      </c>
      <c r="K799">
        <v>8</v>
      </c>
      <c r="L799">
        <v>1</v>
      </c>
      <c r="M799">
        <v>1</v>
      </c>
      <c r="N799">
        <v>0</v>
      </c>
    </row>
    <row r="800" spans="1:14" x14ac:dyDescent="0.25">
      <c r="A800">
        <v>798</v>
      </c>
      <c r="B800" t="s">
        <v>1016</v>
      </c>
      <c r="C800" t="s">
        <v>1093</v>
      </c>
      <c r="D800" t="s">
        <v>1115</v>
      </c>
      <c r="E800" t="s">
        <v>22</v>
      </c>
      <c r="F800" t="s">
        <v>15</v>
      </c>
      <c r="G800" t="s">
        <v>75</v>
      </c>
      <c r="H800" t="s">
        <v>1117</v>
      </c>
      <c r="I800" t="s">
        <v>1039</v>
      </c>
      <c r="J800" t="s">
        <v>1118</v>
      </c>
      <c r="K800">
        <v>8</v>
      </c>
      <c r="L800">
        <v>2</v>
      </c>
      <c r="M800">
        <v>1</v>
      </c>
      <c r="N800">
        <v>0</v>
      </c>
    </row>
    <row r="801" spans="1:14" x14ac:dyDescent="0.25">
      <c r="A801">
        <v>799</v>
      </c>
      <c r="B801" t="s">
        <v>1016</v>
      </c>
      <c r="C801" t="s">
        <v>1093</v>
      </c>
      <c r="D801" t="s">
        <v>1115</v>
      </c>
      <c r="E801" t="s">
        <v>34</v>
      </c>
      <c r="F801" t="s">
        <v>15</v>
      </c>
      <c r="G801" t="s">
        <v>35</v>
      </c>
      <c r="H801" t="s">
        <v>1117</v>
      </c>
      <c r="I801" t="s">
        <v>1039</v>
      </c>
      <c r="J801" t="s">
        <v>1119</v>
      </c>
      <c r="K801">
        <v>8</v>
      </c>
      <c r="L801">
        <v>2</v>
      </c>
      <c r="M801">
        <v>1</v>
      </c>
      <c r="N801">
        <v>0</v>
      </c>
    </row>
    <row r="802" spans="1:14" x14ac:dyDescent="0.25">
      <c r="A802">
        <v>800</v>
      </c>
      <c r="B802" t="s">
        <v>1016</v>
      </c>
      <c r="C802" t="s">
        <v>1093</v>
      </c>
      <c r="D802" t="s">
        <v>1115</v>
      </c>
      <c r="E802" t="s">
        <v>34</v>
      </c>
      <c r="F802" t="s">
        <v>609</v>
      </c>
      <c r="G802" t="s">
        <v>35</v>
      </c>
      <c r="H802" t="s">
        <v>1117</v>
      </c>
      <c r="I802" t="s">
        <v>915</v>
      </c>
      <c r="J802" t="s">
        <v>1115</v>
      </c>
      <c r="K802">
        <v>8</v>
      </c>
      <c r="L802">
        <v>3</v>
      </c>
      <c r="M802">
        <v>1</v>
      </c>
      <c r="N802">
        <v>0</v>
      </c>
    </row>
    <row r="803" spans="1:14" x14ac:dyDescent="0.25">
      <c r="A803">
        <v>801</v>
      </c>
      <c r="B803" t="s">
        <v>1016</v>
      </c>
      <c r="C803" t="s">
        <v>1093</v>
      </c>
      <c r="D803" t="s">
        <v>1115</v>
      </c>
      <c r="E803" t="s">
        <v>34</v>
      </c>
      <c r="F803" t="s">
        <v>609</v>
      </c>
      <c r="G803" t="s">
        <v>47</v>
      </c>
      <c r="H803" t="s">
        <v>1117</v>
      </c>
      <c r="I803" t="s">
        <v>915</v>
      </c>
      <c r="J803" t="s">
        <v>1120</v>
      </c>
      <c r="K803">
        <v>8</v>
      </c>
      <c r="L803">
        <v>1</v>
      </c>
      <c r="M803">
        <v>1</v>
      </c>
      <c r="N803">
        <v>0</v>
      </c>
    </row>
    <row r="804" spans="1:14" x14ac:dyDescent="0.25">
      <c r="A804">
        <v>802</v>
      </c>
      <c r="B804" t="s">
        <v>1016</v>
      </c>
      <c r="C804" t="s">
        <v>1093</v>
      </c>
      <c r="D804" t="s">
        <v>1121</v>
      </c>
      <c r="E804" t="s">
        <v>52</v>
      </c>
      <c r="F804" t="s">
        <v>609</v>
      </c>
      <c r="G804" t="s">
        <v>47</v>
      </c>
      <c r="H804" t="s">
        <v>1723</v>
      </c>
      <c r="I804" t="s">
        <v>1039</v>
      </c>
      <c r="J804" t="s">
        <v>1122</v>
      </c>
      <c r="K804">
        <v>5</v>
      </c>
      <c r="L804">
        <v>1</v>
      </c>
      <c r="M804">
        <v>1</v>
      </c>
      <c r="N804">
        <v>0</v>
      </c>
    </row>
    <row r="805" spans="1:14" x14ac:dyDescent="0.25">
      <c r="A805">
        <v>803</v>
      </c>
      <c r="B805" t="s">
        <v>1016</v>
      </c>
      <c r="C805" t="s">
        <v>1093</v>
      </c>
      <c r="D805" t="s">
        <v>1121</v>
      </c>
      <c r="E805" t="s">
        <v>52</v>
      </c>
      <c r="F805" t="s">
        <v>609</v>
      </c>
      <c r="G805" t="s">
        <v>47</v>
      </c>
      <c r="H805" t="s">
        <v>1723</v>
      </c>
      <c r="I805" t="s">
        <v>27</v>
      </c>
      <c r="J805" t="s">
        <v>1123</v>
      </c>
      <c r="K805">
        <v>9</v>
      </c>
      <c r="L805">
        <v>1</v>
      </c>
      <c r="M805">
        <v>1</v>
      </c>
      <c r="N805">
        <v>0</v>
      </c>
    </row>
    <row r="806" spans="1:14" x14ac:dyDescent="0.25">
      <c r="A806">
        <v>804</v>
      </c>
      <c r="B806" t="s">
        <v>1016</v>
      </c>
      <c r="C806" t="s">
        <v>1093</v>
      </c>
      <c r="D806" t="s">
        <v>1121</v>
      </c>
      <c r="E806" t="s">
        <v>52</v>
      </c>
      <c r="F806" t="s">
        <v>609</v>
      </c>
      <c r="G806" t="s">
        <v>47</v>
      </c>
      <c r="H806" t="s">
        <v>1723</v>
      </c>
      <c r="I806" t="s">
        <v>1039</v>
      </c>
      <c r="J806" t="s">
        <v>1124</v>
      </c>
      <c r="K806">
        <v>9</v>
      </c>
      <c r="L806">
        <v>1</v>
      </c>
      <c r="M806">
        <v>1</v>
      </c>
      <c r="N806">
        <v>0</v>
      </c>
    </row>
    <row r="807" spans="1:14" x14ac:dyDescent="0.25">
      <c r="A807">
        <v>805</v>
      </c>
      <c r="B807" t="s">
        <v>1016</v>
      </c>
      <c r="C807" t="s">
        <v>1093</v>
      </c>
      <c r="D807" t="s">
        <v>1121</v>
      </c>
      <c r="E807" t="s">
        <v>52</v>
      </c>
      <c r="F807" t="s">
        <v>609</v>
      </c>
      <c r="G807" t="s">
        <v>47</v>
      </c>
      <c r="H807" t="s">
        <v>616</v>
      </c>
      <c r="I807" t="s">
        <v>1039</v>
      </c>
      <c r="J807" t="s">
        <v>1125</v>
      </c>
      <c r="K807">
        <v>9</v>
      </c>
      <c r="L807">
        <v>4</v>
      </c>
      <c r="M807">
        <v>1</v>
      </c>
      <c r="N807">
        <v>0</v>
      </c>
    </row>
    <row r="808" spans="1:14" x14ac:dyDescent="0.25">
      <c r="A808">
        <v>806</v>
      </c>
      <c r="B808" t="s">
        <v>1016</v>
      </c>
      <c r="C808" t="s">
        <v>1017</v>
      </c>
      <c r="D808" t="s">
        <v>1018</v>
      </c>
      <c r="E808" t="s">
        <v>14</v>
      </c>
      <c r="F808" t="s">
        <v>609</v>
      </c>
      <c r="G808" t="s">
        <v>35</v>
      </c>
      <c r="H808" t="s">
        <v>1718</v>
      </c>
      <c r="I808" t="s">
        <v>41</v>
      </c>
      <c r="J808" t="s">
        <v>1126</v>
      </c>
      <c r="K808">
        <v>0</v>
      </c>
      <c r="L808">
        <v>10</v>
      </c>
      <c r="M808">
        <v>2</v>
      </c>
      <c r="N808">
        <v>0</v>
      </c>
    </row>
    <row r="809" spans="1:14" x14ac:dyDescent="0.25">
      <c r="A809">
        <v>807</v>
      </c>
      <c r="B809" t="s">
        <v>1016</v>
      </c>
      <c r="C809" t="s">
        <v>1035</v>
      </c>
      <c r="D809" t="s">
        <v>1127</v>
      </c>
      <c r="E809" t="s">
        <v>22</v>
      </c>
      <c r="F809" t="s">
        <v>15</v>
      </c>
      <c r="G809" t="s">
        <v>75</v>
      </c>
      <c r="H809" t="s">
        <v>1724</v>
      </c>
      <c r="I809" t="s">
        <v>1039</v>
      </c>
      <c r="J809" t="s">
        <v>1129</v>
      </c>
      <c r="K809">
        <v>5</v>
      </c>
      <c r="L809">
        <v>2</v>
      </c>
      <c r="M809">
        <v>1</v>
      </c>
      <c r="N809">
        <v>0</v>
      </c>
    </row>
    <row r="810" spans="1:14" x14ac:dyDescent="0.25">
      <c r="A810">
        <v>808</v>
      </c>
      <c r="B810" t="s">
        <v>1016</v>
      </c>
      <c r="C810" t="s">
        <v>1035</v>
      </c>
      <c r="D810" t="s">
        <v>1127</v>
      </c>
      <c r="E810" t="s">
        <v>22</v>
      </c>
      <c r="F810" t="s">
        <v>15</v>
      </c>
      <c r="G810" t="s">
        <v>75</v>
      </c>
      <c r="H810" t="s">
        <v>1724</v>
      </c>
      <c r="I810" t="s">
        <v>1039</v>
      </c>
      <c r="J810" t="s">
        <v>1130</v>
      </c>
      <c r="K810">
        <v>6</v>
      </c>
      <c r="L810">
        <v>2</v>
      </c>
      <c r="M810">
        <v>1</v>
      </c>
      <c r="N810">
        <v>0</v>
      </c>
    </row>
    <row r="811" spans="1:14" x14ac:dyDescent="0.25">
      <c r="A811">
        <v>809</v>
      </c>
      <c r="B811" t="s">
        <v>1016</v>
      </c>
      <c r="C811" t="s">
        <v>1035</v>
      </c>
      <c r="D811" t="s">
        <v>1131</v>
      </c>
      <c r="E811" t="s">
        <v>22</v>
      </c>
      <c r="F811" t="s">
        <v>15</v>
      </c>
      <c r="G811" t="s">
        <v>75</v>
      </c>
      <c r="H811" t="s">
        <v>1724</v>
      </c>
      <c r="I811" t="s">
        <v>84</v>
      </c>
      <c r="J811" t="s">
        <v>1132</v>
      </c>
      <c r="K811">
        <v>3</v>
      </c>
      <c r="L811">
        <v>5</v>
      </c>
      <c r="M811">
        <v>1</v>
      </c>
      <c r="N811">
        <v>0</v>
      </c>
    </row>
    <row r="812" spans="1:14" x14ac:dyDescent="0.25">
      <c r="A812">
        <v>810</v>
      </c>
      <c r="B812" t="s">
        <v>1016</v>
      </c>
      <c r="C812" t="s">
        <v>1035</v>
      </c>
      <c r="D812" t="s">
        <v>1131</v>
      </c>
      <c r="E812" t="s">
        <v>22</v>
      </c>
      <c r="F812" t="s">
        <v>15</v>
      </c>
      <c r="G812" t="s">
        <v>75</v>
      </c>
      <c r="H812" t="s">
        <v>1724</v>
      </c>
      <c r="I812" t="s">
        <v>73</v>
      </c>
      <c r="J812" t="s">
        <v>1133</v>
      </c>
      <c r="K812">
        <v>3</v>
      </c>
      <c r="L812">
        <v>5</v>
      </c>
      <c r="M812">
        <v>1</v>
      </c>
      <c r="N812">
        <v>0</v>
      </c>
    </row>
    <row r="813" spans="1:14" x14ac:dyDescent="0.25">
      <c r="A813">
        <v>811</v>
      </c>
      <c r="B813" t="s">
        <v>1016</v>
      </c>
      <c r="C813" t="s">
        <v>1035</v>
      </c>
      <c r="D813" t="s">
        <v>1134</v>
      </c>
      <c r="E813" t="s">
        <v>34</v>
      </c>
      <c r="F813" t="s">
        <v>15</v>
      </c>
      <c r="G813" t="s">
        <v>75</v>
      </c>
      <c r="H813" t="s">
        <v>1724</v>
      </c>
      <c r="I813" t="s">
        <v>27</v>
      </c>
      <c r="J813" t="s">
        <v>1135</v>
      </c>
      <c r="K813">
        <v>4</v>
      </c>
      <c r="L813">
        <v>2</v>
      </c>
      <c r="M813">
        <v>1</v>
      </c>
      <c r="N813">
        <v>0</v>
      </c>
    </row>
    <row r="814" spans="1:14" x14ac:dyDescent="0.25">
      <c r="A814">
        <v>812</v>
      </c>
      <c r="B814" t="s">
        <v>990</v>
      </c>
      <c r="C814" t="s">
        <v>1136</v>
      </c>
      <c r="D814" t="s">
        <v>1137</v>
      </c>
      <c r="E814" t="s">
        <v>14</v>
      </c>
      <c r="F814" t="s">
        <v>15</v>
      </c>
      <c r="G814" t="s">
        <v>75</v>
      </c>
      <c r="H814" t="s">
        <v>1685</v>
      </c>
      <c r="I814" t="s">
        <v>73</v>
      </c>
      <c r="J814" t="s">
        <v>1138</v>
      </c>
      <c r="K814">
        <v>4</v>
      </c>
      <c r="L814">
        <v>3</v>
      </c>
      <c r="M814">
        <v>1</v>
      </c>
      <c r="N814">
        <v>0</v>
      </c>
    </row>
    <row r="815" spans="1:14" x14ac:dyDescent="0.25">
      <c r="A815">
        <v>813</v>
      </c>
      <c r="B815" t="s">
        <v>990</v>
      </c>
      <c r="C815" t="s">
        <v>1136</v>
      </c>
      <c r="D815" t="s">
        <v>1137</v>
      </c>
      <c r="E815" t="s">
        <v>22</v>
      </c>
      <c r="F815" t="s">
        <v>15</v>
      </c>
      <c r="G815" t="s">
        <v>75</v>
      </c>
      <c r="H815" t="s">
        <v>1685</v>
      </c>
      <c r="I815" t="s">
        <v>73</v>
      </c>
      <c r="J815" t="s">
        <v>1139</v>
      </c>
      <c r="K815">
        <v>4</v>
      </c>
      <c r="L815">
        <v>3</v>
      </c>
      <c r="M815">
        <v>1</v>
      </c>
      <c r="N815">
        <v>0</v>
      </c>
    </row>
    <row r="816" spans="1:14" x14ac:dyDescent="0.25">
      <c r="A816">
        <v>814</v>
      </c>
      <c r="B816" t="s">
        <v>990</v>
      </c>
      <c r="C816" t="s">
        <v>1136</v>
      </c>
      <c r="D816" t="s">
        <v>1140</v>
      </c>
      <c r="E816" t="s">
        <v>22</v>
      </c>
      <c r="F816" t="s">
        <v>15</v>
      </c>
      <c r="G816" t="s">
        <v>75</v>
      </c>
      <c r="H816" t="s">
        <v>1717</v>
      </c>
      <c r="I816" t="s">
        <v>687</v>
      </c>
      <c r="J816" t="s">
        <v>1141</v>
      </c>
      <c r="K816">
        <v>2</v>
      </c>
      <c r="L816">
        <v>3</v>
      </c>
      <c r="M816">
        <v>1</v>
      </c>
      <c r="N816">
        <v>0</v>
      </c>
    </row>
    <row r="817" spans="1:14" x14ac:dyDescent="0.25">
      <c r="A817">
        <v>815</v>
      </c>
      <c r="B817" t="s">
        <v>990</v>
      </c>
      <c r="C817" t="s">
        <v>1136</v>
      </c>
      <c r="D817" t="s">
        <v>1142</v>
      </c>
      <c r="E817" t="s">
        <v>22</v>
      </c>
      <c r="F817" t="s">
        <v>15</v>
      </c>
      <c r="G817" t="s">
        <v>75</v>
      </c>
      <c r="H817" t="s">
        <v>1717</v>
      </c>
      <c r="I817" t="s">
        <v>73</v>
      </c>
      <c r="J817" t="s">
        <v>1143</v>
      </c>
      <c r="K817">
        <v>5</v>
      </c>
      <c r="L817">
        <v>3</v>
      </c>
      <c r="M817">
        <v>1</v>
      </c>
      <c r="N817">
        <v>0</v>
      </c>
    </row>
    <row r="818" spans="1:14" x14ac:dyDescent="0.25">
      <c r="A818">
        <v>816</v>
      </c>
      <c r="B818" t="s">
        <v>1016</v>
      </c>
      <c r="C818" t="s">
        <v>1093</v>
      </c>
      <c r="D818" t="s">
        <v>1100</v>
      </c>
      <c r="E818" t="s">
        <v>22</v>
      </c>
      <c r="F818" t="s">
        <v>15</v>
      </c>
      <c r="G818" t="s">
        <v>75</v>
      </c>
      <c r="H818" t="s">
        <v>1104</v>
      </c>
      <c r="I818" t="s">
        <v>73</v>
      </c>
      <c r="J818" t="s">
        <v>1144</v>
      </c>
      <c r="K818">
        <v>3</v>
      </c>
      <c r="L818">
        <v>2</v>
      </c>
      <c r="M818">
        <v>1</v>
      </c>
      <c r="N818">
        <v>0</v>
      </c>
    </row>
    <row r="819" spans="1:14" x14ac:dyDescent="0.25">
      <c r="A819">
        <v>817</v>
      </c>
      <c r="B819" t="s">
        <v>1016</v>
      </c>
      <c r="C819" t="s">
        <v>1093</v>
      </c>
      <c r="D819" t="s">
        <v>1145</v>
      </c>
      <c r="E819" t="s">
        <v>14</v>
      </c>
      <c r="F819" t="s">
        <v>349</v>
      </c>
      <c r="G819" t="s">
        <v>35</v>
      </c>
      <c r="H819" t="s">
        <v>1705</v>
      </c>
      <c r="I819" t="s">
        <v>73</v>
      </c>
      <c r="J819" t="s">
        <v>1731</v>
      </c>
      <c r="K819">
        <v>0</v>
      </c>
      <c r="L819">
        <v>3</v>
      </c>
      <c r="M819">
        <v>1</v>
      </c>
      <c r="N819">
        <v>0</v>
      </c>
    </row>
    <row r="820" spans="1:14" x14ac:dyDescent="0.25">
      <c r="A820">
        <v>818</v>
      </c>
      <c r="B820" t="s">
        <v>1016</v>
      </c>
      <c r="C820" t="s">
        <v>1093</v>
      </c>
      <c r="D820" t="s">
        <v>1146</v>
      </c>
      <c r="E820" t="s">
        <v>22</v>
      </c>
      <c r="F820" t="s">
        <v>15</v>
      </c>
      <c r="G820" t="s">
        <v>75</v>
      </c>
      <c r="H820" t="s">
        <v>1117</v>
      </c>
      <c r="I820" t="s">
        <v>53</v>
      </c>
      <c r="J820" t="s">
        <v>1146</v>
      </c>
      <c r="K820">
        <v>3</v>
      </c>
      <c r="L820">
        <v>2</v>
      </c>
      <c r="M820">
        <v>1</v>
      </c>
      <c r="N820">
        <v>0</v>
      </c>
    </row>
    <row r="821" spans="1:14" x14ac:dyDescent="0.25">
      <c r="A821">
        <v>819</v>
      </c>
      <c r="B821" t="s">
        <v>346</v>
      </c>
      <c r="C821" t="s">
        <v>516</v>
      </c>
      <c r="D821" t="s">
        <v>517</v>
      </c>
      <c r="E821" t="s">
        <v>22</v>
      </c>
      <c r="F821" t="s">
        <v>349</v>
      </c>
      <c r="G821" t="s">
        <v>35</v>
      </c>
      <c r="H821" t="s">
        <v>1147</v>
      </c>
      <c r="I821" t="s">
        <v>27</v>
      </c>
      <c r="J821" t="s">
        <v>1148</v>
      </c>
      <c r="K821">
        <v>0</v>
      </c>
      <c r="L821">
        <v>3</v>
      </c>
      <c r="M821">
        <v>2</v>
      </c>
      <c r="N821">
        <v>0</v>
      </c>
    </row>
    <row r="822" spans="1:14" x14ac:dyDescent="0.25">
      <c r="A822">
        <v>820</v>
      </c>
      <c r="B822" t="s">
        <v>346</v>
      </c>
      <c r="C822" t="s">
        <v>516</v>
      </c>
      <c r="D822" t="s">
        <v>517</v>
      </c>
      <c r="E822" t="s">
        <v>14</v>
      </c>
      <c r="F822" t="s">
        <v>394</v>
      </c>
      <c r="G822" t="s">
        <v>35</v>
      </c>
      <c r="H822" t="s">
        <v>513</v>
      </c>
      <c r="I822" t="s">
        <v>27</v>
      </c>
      <c r="J822" t="s">
        <v>1149</v>
      </c>
      <c r="K822">
        <v>0</v>
      </c>
      <c r="L822">
        <v>4</v>
      </c>
      <c r="M822">
        <v>3</v>
      </c>
      <c r="N822">
        <v>0</v>
      </c>
    </row>
    <row r="823" spans="1:14" x14ac:dyDescent="0.25">
      <c r="A823">
        <v>821</v>
      </c>
      <c r="B823" t="s">
        <v>346</v>
      </c>
      <c r="C823" t="s">
        <v>516</v>
      </c>
      <c r="D823" t="s">
        <v>517</v>
      </c>
      <c r="E823" t="s">
        <v>14</v>
      </c>
      <c r="F823" t="s">
        <v>349</v>
      </c>
      <c r="G823" t="s">
        <v>35</v>
      </c>
      <c r="H823" t="s">
        <v>1704</v>
      </c>
      <c r="I823" t="s">
        <v>27</v>
      </c>
      <c r="J823" t="s">
        <v>1732</v>
      </c>
      <c r="K823">
        <v>0</v>
      </c>
      <c r="L823">
        <v>4</v>
      </c>
      <c r="M823">
        <v>1</v>
      </c>
      <c r="N823">
        <v>0</v>
      </c>
    </row>
    <row r="824" spans="1:14" x14ac:dyDescent="0.25">
      <c r="A824">
        <v>822</v>
      </c>
      <c r="B824" t="s">
        <v>11</v>
      </c>
      <c r="C824" t="s">
        <v>45</v>
      </c>
      <c r="D824" t="s">
        <v>83</v>
      </c>
      <c r="E824" t="s">
        <v>22</v>
      </c>
      <c r="F824" t="s">
        <v>15</v>
      </c>
      <c r="G824" t="s">
        <v>75</v>
      </c>
      <c r="H824" t="s">
        <v>88</v>
      </c>
      <c r="I824" t="s">
        <v>1612</v>
      </c>
      <c r="J824" t="s">
        <v>83</v>
      </c>
      <c r="K824">
        <v>5</v>
      </c>
      <c r="L824">
        <v>3</v>
      </c>
      <c r="M824">
        <v>1</v>
      </c>
      <c r="N824">
        <v>0</v>
      </c>
    </row>
    <row r="825" spans="1:14" x14ac:dyDescent="0.25">
      <c r="A825">
        <v>823</v>
      </c>
      <c r="B825" t="s">
        <v>346</v>
      </c>
      <c r="C825" t="s">
        <v>516</v>
      </c>
      <c r="D825" t="s">
        <v>594</v>
      </c>
      <c r="E825" t="s">
        <v>14</v>
      </c>
      <c r="F825" t="s">
        <v>349</v>
      </c>
      <c r="G825" t="s">
        <v>35</v>
      </c>
      <c r="H825" t="s">
        <v>604</v>
      </c>
      <c r="I825" t="s">
        <v>73</v>
      </c>
      <c r="J825" t="s">
        <v>1733</v>
      </c>
      <c r="K825">
        <v>0</v>
      </c>
      <c r="L825">
        <v>3</v>
      </c>
      <c r="M825">
        <v>1</v>
      </c>
      <c r="N825">
        <v>0</v>
      </c>
    </row>
    <row r="826" spans="1:14" x14ac:dyDescent="0.25">
      <c r="A826">
        <v>824</v>
      </c>
      <c r="B826" t="s">
        <v>1016</v>
      </c>
      <c r="C826" t="s">
        <v>1093</v>
      </c>
      <c r="D826" t="s">
        <v>1150</v>
      </c>
      <c r="E826" t="s">
        <v>14</v>
      </c>
      <c r="F826" t="s">
        <v>15</v>
      </c>
      <c r="G826" t="s">
        <v>35</v>
      </c>
      <c r="H826" t="s">
        <v>1685</v>
      </c>
      <c r="I826" t="s">
        <v>27</v>
      </c>
      <c r="J826" t="s">
        <v>1734</v>
      </c>
      <c r="K826">
        <v>3</v>
      </c>
      <c r="L826">
        <v>1</v>
      </c>
      <c r="M826">
        <v>1</v>
      </c>
      <c r="N826">
        <v>0</v>
      </c>
    </row>
    <row r="827" spans="1:14" x14ac:dyDescent="0.25">
      <c r="A827">
        <v>825</v>
      </c>
      <c r="B827" t="s">
        <v>11</v>
      </c>
      <c r="C827" t="s">
        <v>1640</v>
      </c>
      <c r="D827" t="s">
        <v>1641</v>
      </c>
      <c r="E827" t="s">
        <v>1316</v>
      </c>
      <c r="G827" t="s">
        <v>26</v>
      </c>
      <c r="J827" t="s">
        <v>1735</v>
      </c>
      <c r="N827">
        <v>0</v>
      </c>
    </row>
    <row r="828" spans="1:14" x14ac:dyDescent="0.25">
      <c r="A828">
        <v>826</v>
      </c>
      <c r="B828" t="s">
        <v>11</v>
      </c>
      <c r="C828" t="s">
        <v>1642</v>
      </c>
      <c r="D828" t="s">
        <v>1641</v>
      </c>
      <c r="E828" t="s">
        <v>1316</v>
      </c>
      <c r="G828" t="s">
        <v>122</v>
      </c>
      <c r="J828" t="s">
        <v>1736</v>
      </c>
      <c r="N828">
        <v>0</v>
      </c>
    </row>
    <row r="829" spans="1:14" x14ac:dyDescent="0.25">
      <c r="A829">
        <v>827</v>
      </c>
      <c r="B829" t="s">
        <v>11</v>
      </c>
      <c r="C829" t="s">
        <v>1642</v>
      </c>
      <c r="D829" t="s">
        <v>1641</v>
      </c>
      <c r="E829" t="s">
        <v>1316</v>
      </c>
      <c r="G829" t="s">
        <v>122</v>
      </c>
      <c r="J829" t="s">
        <v>1605</v>
      </c>
      <c r="N829">
        <v>0</v>
      </c>
    </row>
    <row r="830" spans="1:14" x14ac:dyDescent="0.25">
      <c r="A830">
        <v>828</v>
      </c>
      <c r="B830" t="s">
        <v>11</v>
      </c>
      <c r="C830" t="s">
        <v>1642</v>
      </c>
      <c r="D830" t="s">
        <v>1641</v>
      </c>
      <c r="E830" t="s">
        <v>1316</v>
      </c>
      <c r="G830" t="s">
        <v>122</v>
      </c>
      <c r="J830" t="s">
        <v>1577</v>
      </c>
      <c r="N830">
        <v>0</v>
      </c>
    </row>
    <row r="831" spans="1:14" x14ac:dyDescent="0.25">
      <c r="A831">
        <v>829</v>
      </c>
      <c r="B831" t="s">
        <v>11</v>
      </c>
      <c r="C831" t="s">
        <v>1643</v>
      </c>
      <c r="D831" t="s">
        <v>1644</v>
      </c>
      <c r="E831" t="s">
        <v>1316</v>
      </c>
      <c r="G831" t="s">
        <v>122</v>
      </c>
      <c r="J831" t="s">
        <v>210</v>
      </c>
      <c r="N831">
        <v>0</v>
      </c>
    </row>
    <row r="832" spans="1:14" x14ac:dyDescent="0.25">
      <c r="A832">
        <v>830</v>
      </c>
      <c r="B832" t="s">
        <v>11</v>
      </c>
      <c r="C832" t="s">
        <v>1643</v>
      </c>
      <c r="D832" t="s">
        <v>1641</v>
      </c>
      <c r="E832" t="s">
        <v>1316</v>
      </c>
      <c r="G832" t="s">
        <v>122</v>
      </c>
      <c r="J832" t="s">
        <v>1581</v>
      </c>
      <c r="N832">
        <v>0</v>
      </c>
    </row>
    <row r="833" spans="1:14" x14ac:dyDescent="0.25">
      <c r="A833">
        <v>831</v>
      </c>
      <c r="B833" t="s">
        <v>11</v>
      </c>
      <c r="C833" t="s">
        <v>1643</v>
      </c>
      <c r="D833" t="s">
        <v>1641</v>
      </c>
      <c r="E833" t="s">
        <v>1316</v>
      </c>
      <c r="G833" t="s">
        <v>122</v>
      </c>
      <c r="J833" t="s">
        <v>1580</v>
      </c>
      <c r="N833">
        <v>0</v>
      </c>
    </row>
    <row r="834" spans="1:14" x14ac:dyDescent="0.25">
      <c r="A834">
        <v>832</v>
      </c>
      <c r="B834" t="s">
        <v>11</v>
      </c>
      <c r="C834" t="s">
        <v>1643</v>
      </c>
      <c r="D834" t="s">
        <v>1641</v>
      </c>
      <c r="E834" t="s">
        <v>1316</v>
      </c>
      <c r="G834" t="s">
        <v>26</v>
      </c>
      <c r="J834" t="s">
        <v>1579</v>
      </c>
      <c r="N834">
        <v>0</v>
      </c>
    </row>
    <row r="835" spans="1:14" x14ac:dyDescent="0.25">
      <c r="A835">
        <v>833</v>
      </c>
      <c r="B835" t="s">
        <v>11</v>
      </c>
      <c r="C835" t="s">
        <v>1643</v>
      </c>
      <c r="D835" t="s">
        <v>1641</v>
      </c>
      <c r="E835" t="s">
        <v>1316</v>
      </c>
      <c r="J835" t="s">
        <v>1527</v>
      </c>
      <c r="N835">
        <v>0</v>
      </c>
    </row>
    <row r="836" spans="1:14" x14ac:dyDescent="0.25">
      <c r="A836">
        <v>834</v>
      </c>
      <c r="B836" t="s">
        <v>11</v>
      </c>
      <c r="C836" t="s">
        <v>1643</v>
      </c>
      <c r="D836" t="s">
        <v>1641</v>
      </c>
      <c r="E836" t="s">
        <v>1316</v>
      </c>
      <c r="G836" t="s">
        <v>26</v>
      </c>
      <c r="J836" t="s">
        <v>1430</v>
      </c>
      <c r="N836">
        <v>0</v>
      </c>
    </row>
    <row r="837" spans="1:14" x14ac:dyDescent="0.25">
      <c r="A837">
        <v>835</v>
      </c>
      <c r="B837" t="s">
        <v>11</v>
      </c>
      <c r="C837" t="s">
        <v>1645</v>
      </c>
      <c r="D837" t="s">
        <v>1641</v>
      </c>
      <c r="E837" t="s">
        <v>1316</v>
      </c>
      <c r="G837" t="s">
        <v>26</v>
      </c>
      <c r="J837" t="s">
        <v>1429</v>
      </c>
      <c r="N837">
        <v>0</v>
      </c>
    </row>
    <row r="838" spans="1:14" x14ac:dyDescent="0.25">
      <c r="A838">
        <v>836</v>
      </c>
      <c r="B838" t="s">
        <v>346</v>
      </c>
      <c r="C838" t="s">
        <v>1645</v>
      </c>
      <c r="D838" t="s">
        <v>1641</v>
      </c>
      <c r="E838" t="s">
        <v>1316</v>
      </c>
      <c r="J838" t="s">
        <v>1487</v>
      </c>
      <c r="N838">
        <v>0</v>
      </c>
    </row>
    <row r="839" spans="1:14" x14ac:dyDescent="0.25">
      <c r="A839">
        <v>837</v>
      </c>
      <c r="B839" t="s">
        <v>346</v>
      </c>
      <c r="C839" t="s">
        <v>1645</v>
      </c>
      <c r="D839" t="s">
        <v>1641</v>
      </c>
      <c r="E839" t="s">
        <v>1316</v>
      </c>
      <c r="G839" t="s">
        <v>26</v>
      </c>
      <c r="J839" t="s">
        <v>1737</v>
      </c>
      <c r="N839">
        <v>0</v>
      </c>
    </row>
    <row r="840" spans="1:14" x14ac:dyDescent="0.25">
      <c r="A840">
        <v>838</v>
      </c>
      <c r="B840" t="s">
        <v>346</v>
      </c>
      <c r="C840" t="s">
        <v>1645</v>
      </c>
      <c r="D840" t="s">
        <v>1641</v>
      </c>
      <c r="E840" t="s">
        <v>1316</v>
      </c>
      <c r="G840" t="s">
        <v>26</v>
      </c>
      <c r="J840" t="s">
        <v>1486</v>
      </c>
      <c r="N840">
        <v>0</v>
      </c>
    </row>
    <row r="841" spans="1:14" x14ac:dyDescent="0.25">
      <c r="A841">
        <v>839</v>
      </c>
      <c r="B841" t="s">
        <v>346</v>
      </c>
      <c r="C841" t="s">
        <v>1645</v>
      </c>
      <c r="D841" t="s">
        <v>1641</v>
      </c>
      <c r="E841" t="s">
        <v>1316</v>
      </c>
      <c r="G841" t="s">
        <v>26</v>
      </c>
      <c r="J841" t="s">
        <v>1485</v>
      </c>
      <c r="N841">
        <v>0</v>
      </c>
    </row>
    <row r="842" spans="1:14" x14ac:dyDescent="0.25">
      <c r="A842">
        <v>840</v>
      </c>
      <c r="B842" t="s">
        <v>346</v>
      </c>
      <c r="C842" t="s">
        <v>1645</v>
      </c>
      <c r="D842" t="s">
        <v>1641</v>
      </c>
      <c r="E842" t="s">
        <v>1316</v>
      </c>
      <c r="J842" t="s">
        <v>1481</v>
      </c>
      <c r="N842">
        <v>0</v>
      </c>
    </row>
    <row r="843" spans="1:14" x14ac:dyDescent="0.25">
      <c r="A843">
        <v>841</v>
      </c>
      <c r="B843" t="s">
        <v>346</v>
      </c>
      <c r="C843" t="s">
        <v>1645</v>
      </c>
      <c r="D843" t="s">
        <v>1641</v>
      </c>
      <c r="E843" t="s">
        <v>1316</v>
      </c>
      <c r="J843" t="s">
        <v>1738</v>
      </c>
      <c r="N843">
        <v>0</v>
      </c>
    </row>
    <row r="844" spans="1:14" x14ac:dyDescent="0.25">
      <c r="A844">
        <v>842</v>
      </c>
      <c r="B844" t="s">
        <v>346</v>
      </c>
      <c r="C844" t="s">
        <v>1645</v>
      </c>
      <c r="D844" t="s">
        <v>1641</v>
      </c>
      <c r="E844" t="s">
        <v>1316</v>
      </c>
      <c r="G844" t="s">
        <v>26</v>
      </c>
      <c r="J844" t="s">
        <v>1480</v>
      </c>
      <c r="N844">
        <v>0</v>
      </c>
    </row>
    <row r="845" spans="1:14" x14ac:dyDescent="0.25">
      <c r="A845">
        <v>843</v>
      </c>
      <c r="B845" t="s">
        <v>346</v>
      </c>
      <c r="C845" t="s">
        <v>1645</v>
      </c>
      <c r="D845" t="s">
        <v>1641</v>
      </c>
      <c r="E845" t="s">
        <v>1316</v>
      </c>
      <c r="G845" t="s">
        <v>122</v>
      </c>
      <c r="J845" t="s">
        <v>1322</v>
      </c>
      <c r="N845">
        <v>0</v>
      </c>
    </row>
    <row r="846" spans="1:14" x14ac:dyDescent="0.25">
      <c r="A846">
        <v>844</v>
      </c>
      <c r="B846" t="s">
        <v>653</v>
      </c>
      <c r="C846" t="s">
        <v>1646</v>
      </c>
      <c r="D846" t="s">
        <v>1641</v>
      </c>
      <c r="E846" t="s">
        <v>1316</v>
      </c>
      <c r="G846" t="s">
        <v>26</v>
      </c>
      <c r="J846" t="s">
        <v>1368</v>
      </c>
      <c r="N846">
        <v>0</v>
      </c>
    </row>
    <row r="847" spans="1:14" x14ac:dyDescent="0.25">
      <c r="A847">
        <v>845</v>
      </c>
      <c r="B847" t="s">
        <v>653</v>
      </c>
      <c r="C847" t="s">
        <v>1646</v>
      </c>
      <c r="D847" t="s">
        <v>1641</v>
      </c>
      <c r="E847" t="s">
        <v>1316</v>
      </c>
      <c r="G847" t="s">
        <v>26</v>
      </c>
      <c r="J847" t="s">
        <v>1369</v>
      </c>
      <c r="N847">
        <v>0</v>
      </c>
    </row>
    <row r="848" spans="1:14" x14ac:dyDescent="0.25">
      <c r="A848">
        <v>846</v>
      </c>
      <c r="B848" t="s">
        <v>653</v>
      </c>
      <c r="C848" t="s">
        <v>1646</v>
      </c>
      <c r="D848" t="s">
        <v>1641</v>
      </c>
      <c r="E848" t="s">
        <v>1316</v>
      </c>
      <c r="G848" t="s">
        <v>26</v>
      </c>
      <c r="J848" t="s">
        <v>1739</v>
      </c>
      <c r="N848">
        <v>0</v>
      </c>
    </row>
    <row r="849" spans="1:14" x14ac:dyDescent="0.25">
      <c r="A849">
        <v>847</v>
      </c>
      <c r="B849" t="s">
        <v>653</v>
      </c>
      <c r="C849" t="s">
        <v>1646</v>
      </c>
      <c r="D849" t="s">
        <v>1641</v>
      </c>
      <c r="E849" t="s">
        <v>1316</v>
      </c>
      <c r="G849" t="s">
        <v>122</v>
      </c>
      <c r="J849" t="s">
        <v>1372</v>
      </c>
      <c r="N849">
        <v>0</v>
      </c>
    </row>
    <row r="850" spans="1:14" x14ac:dyDescent="0.25">
      <c r="A850">
        <v>848</v>
      </c>
      <c r="B850" t="s">
        <v>653</v>
      </c>
      <c r="C850" t="s">
        <v>1646</v>
      </c>
      <c r="D850" t="s">
        <v>1641</v>
      </c>
      <c r="E850" t="s">
        <v>1316</v>
      </c>
      <c r="G850" t="s">
        <v>26</v>
      </c>
      <c r="J850" t="s">
        <v>1371</v>
      </c>
      <c r="N850">
        <v>0</v>
      </c>
    </row>
    <row r="851" spans="1:14" x14ac:dyDescent="0.25">
      <c r="A851">
        <v>849</v>
      </c>
      <c r="B851" t="s">
        <v>653</v>
      </c>
      <c r="C851" t="s">
        <v>1646</v>
      </c>
      <c r="D851" t="s">
        <v>1641</v>
      </c>
      <c r="E851" t="s">
        <v>1316</v>
      </c>
      <c r="J851" t="s">
        <v>1373</v>
      </c>
      <c r="N851">
        <v>0</v>
      </c>
    </row>
    <row r="852" spans="1:14" x14ac:dyDescent="0.25">
      <c r="A852">
        <v>850</v>
      </c>
      <c r="B852" t="s">
        <v>653</v>
      </c>
      <c r="C852" t="s">
        <v>1646</v>
      </c>
      <c r="D852" t="s">
        <v>1641</v>
      </c>
      <c r="E852" t="s">
        <v>1316</v>
      </c>
      <c r="J852" t="s">
        <v>1740</v>
      </c>
      <c r="N852">
        <v>0</v>
      </c>
    </row>
    <row r="853" spans="1:14" x14ac:dyDescent="0.25">
      <c r="A853">
        <v>851</v>
      </c>
      <c r="B853" t="s">
        <v>653</v>
      </c>
      <c r="C853" t="s">
        <v>1646</v>
      </c>
      <c r="D853" t="s">
        <v>1641</v>
      </c>
      <c r="E853" t="s">
        <v>1316</v>
      </c>
      <c r="G853" t="s">
        <v>26</v>
      </c>
      <c r="J853" t="s">
        <v>1741</v>
      </c>
      <c r="N853">
        <v>0</v>
      </c>
    </row>
    <row r="854" spans="1:14" x14ac:dyDescent="0.25">
      <c r="A854">
        <v>852</v>
      </c>
      <c r="B854" t="s">
        <v>653</v>
      </c>
      <c r="C854" t="s">
        <v>1646</v>
      </c>
      <c r="D854" t="s">
        <v>1641</v>
      </c>
      <c r="E854" t="s">
        <v>1316</v>
      </c>
      <c r="G854" t="s">
        <v>122</v>
      </c>
      <c r="J854" t="s">
        <v>1606</v>
      </c>
      <c r="N854">
        <v>0</v>
      </c>
    </row>
    <row r="855" spans="1:14" x14ac:dyDescent="0.25">
      <c r="A855">
        <v>853</v>
      </c>
      <c r="B855" t="s">
        <v>653</v>
      </c>
      <c r="C855" t="s">
        <v>1640</v>
      </c>
      <c r="D855" t="s">
        <v>1641</v>
      </c>
      <c r="E855" t="s">
        <v>1316</v>
      </c>
      <c r="G855" t="s">
        <v>122</v>
      </c>
      <c r="J855" t="s">
        <v>1582</v>
      </c>
      <c r="N855">
        <v>0</v>
      </c>
    </row>
    <row r="856" spans="1:14" x14ac:dyDescent="0.25">
      <c r="A856">
        <v>854</v>
      </c>
      <c r="B856" t="s">
        <v>653</v>
      </c>
      <c r="C856" t="s">
        <v>1640</v>
      </c>
      <c r="D856" t="s">
        <v>1641</v>
      </c>
      <c r="E856" t="s">
        <v>1316</v>
      </c>
      <c r="G856" t="s">
        <v>122</v>
      </c>
      <c r="J856" t="s">
        <v>1742</v>
      </c>
      <c r="N856">
        <v>0</v>
      </c>
    </row>
    <row r="857" spans="1:14" x14ac:dyDescent="0.25">
      <c r="A857">
        <v>855</v>
      </c>
      <c r="B857" t="s">
        <v>653</v>
      </c>
      <c r="C857" t="s">
        <v>1640</v>
      </c>
      <c r="D857" t="s">
        <v>1641</v>
      </c>
      <c r="E857" t="s">
        <v>1316</v>
      </c>
      <c r="G857" t="s">
        <v>122</v>
      </c>
      <c r="J857" t="s">
        <v>1743</v>
      </c>
      <c r="N857">
        <v>0</v>
      </c>
    </row>
    <row r="858" spans="1:14" x14ac:dyDescent="0.25">
      <c r="A858">
        <v>856</v>
      </c>
      <c r="B858" t="s">
        <v>11</v>
      </c>
      <c r="C858" t="s">
        <v>1640</v>
      </c>
      <c r="D858" t="s">
        <v>1641</v>
      </c>
      <c r="E858" t="s">
        <v>1316</v>
      </c>
      <c r="J858" t="s">
        <v>1744</v>
      </c>
      <c r="N858">
        <v>0</v>
      </c>
    </row>
    <row r="859" spans="1:14" x14ac:dyDescent="0.25">
      <c r="A859">
        <v>857</v>
      </c>
      <c r="B859" t="s">
        <v>11</v>
      </c>
      <c r="C859" t="s">
        <v>1642</v>
      </c>
      <c r="D859" t="s">
        <v>1641</v>
      </c>
      <c r="E859" t="s">
        <v>1316</v>
      </c>
      <c r="J859" t="s">
        <v>1745</v>
      </c>
      <c r="N859">
        <v>0</v>
      </c>
    </row>
    <row r="860" spans="1:14" x14ac:dyDescent="0.25">
      <c r="A860">
        <v>858</v>
      </c>
      <c r="B860" t="s">
        <v>11</v>
      </c>
      <c r="C860" t="s">
        <v>1642</v>
      </c>
      <c r="D860" t="s">
        <v>1641</v>
      </c>
      <c r="E860" t="s">
        <v>1316</v>
      </c>
      <c r="G860" t="s">
        <v>26</v>
      </c>
      <c r="J860" t="s">
        <v>1746</v>
      </c>
      <c r="N860">
        <v>0</v>
      </c>
    </row>
    <row r="861" spans="1:14" x14ac:dyDescent="0.25">
      <c r="A861">
        <v>859</v>
      </c>
      <c r="B861" t="s">
        <v>11</v>
      </c>
      <c r="C861" t="s">
        <v>1642</v>
      </c>
      <c r="D861" t="s">
        <v>1641</v>
      </c>
      <c r="E861" t="s">
        <v>1316</v>
      </c>
      <c r="J861" t="s">
        <v>1745</v>
      </c>
      <c r="N861">
        <v>0</v>
      </c>
    </row>
    <row r="862" spans="1:14" x14ac:dyDescent="0.25">
      <c r="A862">
        <v>860</v>
      </c>
      <c r="B862" t="s">
        <v>11</v>
      </c>
      <c r="C862" t="s">
        <v>1642</v>
      </c>
      <c r="D862" t="s">
        <v>1641</v>
      </c>
      <c r="E862" t="s">
        <v>1316</v>
      </c>
      <c r="J862" t="s">
        <v>1575</v>
      </c>
      <c r="N862">
        <v>0</v>
      </c>
    </row>
    <row r="863" spans="1:14" x14ac:dyDescent="0.25">
      <c r="A863">
        <v>861</v>
      </c>
      <c r="B863" t="s">
        <v>11</v>
      </c>
      <c r="C863" t="s">
        <v>1642</v>
      </c>
      <c r="D863" t="s">
        <v>1641</v>
      </c>
      <c r="E863" t="s">
        <v>1316</v>
      </c>
      <c r="J863" t="s">
        <v>1576</v>
      </c>
      <c r="N863">
        <v>0</v>
      </c>
    </row>
    <row r="864" spans="1:14" x14ac:dyDescent="0.25">
      <c r="A864">
        <v>862</v>
      </c>
      <c r="B864" t="s">
        <v>11</v>
      </c>
      <c r="C864" t="s">
        <v>1647</v>
      </c>
      <c r="D864" t="s">
        <v>1641</v>
      </c>
      <c r="E864" t="s">
        <v>1316</v>
      </c>
      <c r="J864" t="s">
        <v>1747</v>
      </c>
      <c r="N864">
        <v>0</v>
      </c>
    </row>
    <row r="865" spans="1:14" x14ac:dyDescent="0.25">
      <c r="A865">
        <v>863</v>
      </c>
      <c r="B865" t="s">
        <v>11</v>
      </c>
      <c r="C865" t="s">
        <v>1647</v>
      </c>
      <c r="D865" t="s">
        <v>1641</v>
      </c>
      <c r="E865" t="s">
        <v>1316</v>
      </c>
      <c r="J865" t="s">
        <v>1748</v>
      </c>
      <c r="N865">
        <v>0</v>
      </c>
    </row>
    <row r="866" spans="1:14" x14ac:dyDescent="0.25">
      <c r="A866">
        <v>864</v>
      </c>
      <c r="B866" t="s">
        <v>11</v>
      </c>
      <c r="C866" t="s">
        <v>1643</v>
      </c>
      <c r="D866" t="s">
        <v>1641</v>
      </c>
      <c r="E866" t="s">
        <v>1316</v>
      </c>
      <c r="J866" t="s">
        <v>1749</v>
      </c>
      <c r="N866">
        <v>0</v>
      </c>
    </row>
    <row r="867" spans="1:14" x14ac:dyDescent="0.25">
      <c r="A867">
        <v>865</v>
      </c>
      <c r="B867" t="s">
        <v>11</v>
      </c>
      <c r="C867" t="s">
        <v>1643</v>
      </c>
      <c r="D867" t="s">
        <v>1641</v>
      </c>
      <c r="E867" t="s">
        <v>1316</v>
      </c>
      <c r="J867" t="s">
        <v>1431</v>
      </c>
      <c r="N867">
        <v>0</v>
      </c>
    </row>
    <row r="868" spans="1:14" x14ac:dyDescent="0.25">
      <c r="A868">
        <v>866</v>
      </c>
      <c r="B868" t="s">
        <v>11</v>
      </c>
      <c r="C868" t="s">
        <v>1648</v>
      </c>
      <c r="D868" t="s">
        <v>1641</v>
      </c>
      <c r="E868" t="s">
        <v>1316</v>
      </c>
      <c r="J868" t="s">
        <v>1434</v>
      </c>
      <c r="N868">
        <v>0</v>
      </c>
    </row>
    <row r="869" spans="1:14" x14ac:dyDescent="0.25">
      <c r="A869">
        <v>867</v>
      </c>
      <c r="B869" t="s">
        <v>346</v>
      </c>
      <c r="C869" t="s">
        <v>1648</v>
      </c>
      <c r="D869" t="s">
        <v>1641</v>
      </c>
      <c r="E869" t="s">
        <v>1316</v>
      </c>
      <c r="G869" t="s">
        <v>122</v>
      </c>
      <c r="J869" t="s">
        <v>1750</v>
      </c>
      <c r="N869">
        <v>0</v>
      </c>
    </row>
    <row r="870" spans="1:14" x14ac:dyDescent="0.25">
      <c r="A870">
        <v>868</v>
      </c>
      <c r="B870" t="s">
        <v>346</v>
      </c>
      <c r="C870" t="s">
        <v>1648</v>
      </c>
      <c r="D870" t="s">
        <v>1641</v>
      </c>
      <c r="E870" t="s">
        <v>1316</v>
      </c>
      <c r="G870" t="s">
        <v>122</v>
      </c>
      <c r="J870" t="s">
        <v>1750</v>
      </c>
      <c r="N870">
        <v>-1</v>
      </c>
    </row>
    <row r="871" spans="1:14" x14ac:dyDescent="0.25">
      <c r="A871">
        <v>869</v>
      </c>
      <c r="B871" t="s">
        <v>346</v>
      </c>
      <c r="C871" t="s">
        <v>1649</v>
      </c>
      <c r="D871" t="s">
        <v>1641</v>
      </c>
      <c r="E871" t="s">
        <v>1316</v>
      </c>
      <c r="G871" t="s">
        <v>122</v>
      </c>
      <c r="J871" t="s">
        <v>1750</v>
      </c>
      <c r="N871">
        <v>0</v>
      </c>
    </row>
    <row r="872" spans="1:14" x14ac:dyDescent="0.25">
      <c r="A872">
        <v>870</v>
      </c>
      <c r="B872" t="s">
        <v>346</v>
      </c>
      <c r="C872" t="s">
        <v>1649</v>
      </c>
      <c r="D872" t="s">
        <v>1641</v>
      </c>
      <c r="E872" t="s">
        <v>1316</v>
      </c>
      <c r="G872" t="s">
        <v>122</v>
      </c>
      <c r="J872" t="s">
        <v>1750</v>
      </c>
      <c r="N872">
        <v>0</v>
      </c>
    </row>
    <row r="873" spans="1:14" x14ac:dyDescent="0.25">
      <c r="A873">
        <v>871</v>
      </c>
      <c r="B873" t="s">
        <v>346</v>
      </c>
      <c r="C873" t="s">
        <v>1649</v>
      </c>
      <c r="D873" t="s">
        <v>1641</v>
      </c>
      <c r="E873" t="s">
        <v>1316</v>
      </c>
      <c r="J873" t="s">
        <v>1159</v>
      </c>
      <c r="N873">
        <v>0</v>
      </c>
    </row>
    <row r="874" spans="1:14" x14ac:dyDescent="0.25">
      <c r="A874">
        <v>872</v>
      </c>
      <c r="B874" t="s">
        <v>346</v>
      </c>
      <c r="C874" t="s">
        <v>1649</v>
      </c>
      <c r="D874" t="s">
        <v>1641</v>
      </c>
      <c r="E874" t="s">
        <v>1316</v>
      </c>
      <c r="J874" t="s">
        <v>1751</v>
      </c>
      <c r="N874">
        <v>0</v>
      </c>
    </row>
    <row r="875" spans="1:14" x14ac:dyDescent="0.25">
      <c r="A875">
        <v>873</v>
      </c>
      <c r="B875" t="s">
        <v>346</v>
      </c>
      <c r="C875" t="s">
        <v>1649</v>
      </c>
      <c r="D875" t="s">
        <v>1641</v>
      </c>
      <c r="E875" t="s">
        <v>1316</v>
      </c>
      <c r="J875" t="s">
        <v>1338</v>
      </c>
      <c r="N875">
        <v>0</v>
      </c>
    </row>
    <row r="876" spans="1:14" x14ac:dyDescent="0.25">
      <c r="A876">
        <v>874</v>
      </c>
      <c r="B876" t="s">
        <v>346</v>
      </c>
      <c r="C876" t="s">
        <v>1649</v>
      </c>
      <c r="D876" t="s">
        <v>1641</v>
      </c>
      <c r="E876" t="s">
        <v>1316</v>
      </c>
      <c r="J876" t="s">
        <v>1326</v>
      </c>
      <c r="N876">
        <v>0</v>
      </c>
    </row>
    <row r="877" spans="1:14" x14ac:dyDescent="0.25">
      <c r="A877">
        <v>875</v>
      </c>
      <c r="B877" t="s">
        <v>346</v>
      </c>
      <c r="C877" t="s">
        <v>1650</v>
      </c>
      <c r="D877" t="s">
        <v>1641</v>
      </c>
      <c r="E877" t="s">
        <v>1316</v>
      </c>
      <c r="J877" t="s">
        <v>1317</v>
      </c>
      <c r="N877">
        <v>0</v>
      </c>
    </row>
    <row r="878" spans="1:14" x14ac:dyDescent="0.25">
      <c r="A878">
        <v>876</v>
      </c>
      <c r="B878" t="s">
        <v>346</v>
      </c>
      <c r="C878" t="s">
        <v>1650</v>
      </c>
      <c r="D878" t="s">
        <v>1641</v>
      </c>
      <c r="E878" t="s">
        <v>1316</v>
      </c>
      <c r="J878" t="s">
        <v>1752</v>
      </c>
      <c r="N878">
        <v>0</v>
      </c>
    </row>
    <row r="879" spans="1:14" x14ac:dyDescent="0.25">
      <c r="A879">
        <v>877</v>
      </c>
      <c r="B879" t="s">
        <v>346</v>
      </c>
      <c r="C879" t="s">
        <v>1650</v>
      </c>
      <c r="D879" t="s">
        <v>1641</v>
      </c>
      <c r="E879" t="s">
        <v>1316</v>
      </c>
      <c r="J879" t="s">
        <v>1318</v>
      </c>
      <c r="N879">
        <v>0</v>
      </c>
    </row>
    <row r="880" spans="1:14" x14ac:dyDescent="0.25">
      <c r="A880">
        <v>878</v>
      </c>
      <c r="B880" t="s">
        <v>346</v>
      </c>
      <c r="C880" t="s">
        <v>1650</v>
      </c>
      <c r="D880" t="s">
        <v>1641</v>
      </c>
      <c r="E880" t="s">
        <v>1316</v>
      </c>
      <c r="J880" t="s">
        <v>1319</v>
      </c>
      <c r="N880">
        <v>0</v>
      </c>
    </row>
    <row r="881" spans="1:14" x14ac:dyDescent="0.25">
      <c r="A881">
        <v>879</v>
      </c>
      <c r="B881" t="s">
        <v>346</v>
      </c>
      <c r="C881" t="s">
        <v>1650</v>
      </c>
      <c r="D881" t="s">
        <v>1641</v>
      </c>
      <c r="E881" t="s">
        <v>1316</v>
      </c>
      <c r="G881" t="s">
        <v>122</v>
      </c>
      <c r="J881" t="s">
        <v>1320</v>
      </c>
      <c r="N881">
        <v>0</v>
      </c>
    </row>
    <row r="882" spans="1:14" x14ac:dyDescent="0.25">
      <c r="A882">
        <v>880</v>
      </c>
      <c r="B882" t="s">
        <v>346</v>
      </c>
      <c r="C882" t="s">
        <v>1650</v>
      </c>
      <c r="D882" t="s">
        <v>1641</v>
      </c>
      <c r="E882" t="s">
        <v>1316</v>
      </c>
      <c r="G882" t="s">
        <v>122</v>
      </c>
      <c r="J882" t="s">
        <v>1753</v>
      </c>
      <c r="N882">
        <v>0</v>
      </c>
    </row>
    <row r="883" spans="1:14" x14ac:dyDescent="0.25">
      <c r="A883">
        <v>881</v>
      </c>
      <c r="B883" t="s">
        <v>346</v>
      </c>
      <c r="C883" t="s">
        <v>1650</v>
      </c>
      <c r="D883" t="s">
        <v>1641</v>
      </c>
      <c r="E883" t="s">
        <v>1316</v>
      </c>
      <c r="G883" t="s">
        <v>122</v>
      </c>
      <c r="J883" t="s">
        <v>1323</v>
      </c>
      <c r="N883">
        <v>0</v>
      </c>
    </row>
    <row r="884" spans="1:14" x14ac:dyDescent="0.25">
      <c r="A884">
        <v>882</v>
      </c>
      <c r="B884" t="s">
        <v>346</v>
      </c>
      <c r="C884" t="s">
        <v>1650</v>
      </c>
      <c r="D884" t="s">
        <v>1641</v>
      </c>
      <c r="E884" t="s">
        <v>1316</v>
      </c>
      <c r="G884" t="s">
        <v>122</v>
      </c>
      <c r="J884" t="s">
        <v>1324</v>
      </c>
      <c r="N884">
        <v>0</v>
      </c>
    </row>
    <row r="885" spans="1:14" x14ac:dyDescent="0.25">
      <c r="A885">
        <v>883</v>
      </c>
      <c r="B885" t="s">
        <v>653</v>
      </c>
      <c r="C885" t="s">
        <v>1646</v>
      </c>
      <c r="D885" t="s">
        <v>1641</v>
      </c>
      <c r="E885" t="s">
        <v>1316</v>
      </c>
      <c r="G885" t="s">
        <v>26</v>
      </c>
      <c r="J885" t="s">
        <v>1367</v>
      </c>
      <c r="N885">
        <v>0</v>
      </c>
    </row>
    <row r="886" spans="1:14" x14ac:dyDescent="0.25">
      <c r="A886">
        <v>884</v>
      </c>
      <c r="B886" t="s">
        <v>653</v>
      </c>
      <c r="C886" t="s">
        <v>1646</v>
      </c>
      <c r="D886" t="s">
        <v>1641</v>
      </c>
      <c r="E886" t="s">
        <v>1316</v>
      </c>
      <c r="G886" t="s">
        <v>26</v>
      </c>
      <c r="J886" t="s">
        <v>1754</v>
      </c>
      <c r="N886">
        <v>0</v>
      </c>
    </row>
    <row r="887" spans="1:14" x14ac:dyDescent="0.25">
      <c r="A887">
        <v>885</v>
      </c>
      <c r="B887" t="s">
        <v>653</v>
      </c>
      <c r="C887" t="s">
        <v>1651</v>
      </c>
      <c r="D887" t="s">
        <v>1641</v>
      </c>
      <c r="E887" t="s">
        <v>1316</v>
      </c>
      <c r="J887" t="s">
        <v>1374</v>
      </c>
      <c r="N887">
        <v>0</v>
      </c>
    </row>
    <row r="888" spans="1:14" x14ac:dyDescent="0.25">
      <c r="A888">
        <v>886</v>
      </c>
      <c r="B888" t="s">
        <v>653</v>
      </c>
      <c r="C888" t="s">
        <v>1651</v>
      </c>
      <c r="D888" t="s">
        <v>1641</v>
      </c>
      <c r="E888" t="s">
        <v>1316</v>
      </c>
      <c r="J888" t="s">
        <v>1755</v>
      </c>
      <c r="N888">
        <v>0</v>
      </c>
    </row>
    <row r="889" spans="1:14" x14ac:dyDescent="0.25">
      <c r="A889">
        <v>887</v>
      </c>
      <c r="B889" t="s">
        <v>653</v>
      </c>
      <c r="C889" t="s">
        <v>1651</v>
      </c>
      <c r="D889" t="s">
        <v>1641</v>
      </c>
      <c r="E889" t="s">
        <v>1316</v>
      </c>
      <c r="J889" t="s">
        <v>1375</v>
      </c>
      <c r="N889">
        <v>0</v>
      </c>
    </row>
    <row r="890" spans="1:14" x14ac:dyDescent="0.25">
      <c r="A890">
        <v>888</v>
      </c>
      <c r="B890" t="s">
        <v>653</v>
      </c>
      <c r="C890" t="s">
        <v>1651</v>
      </c>
      <c r="D890" t="s">
        <v>1641</v>
      </c>
      <c r="E890" t="s">
        <v>1316</v>
      </c>
      <c r="G890" t="s">
        <v>122</v>
      </c>
      <c r="J890" t="s">
        <v>1756</v>
      </c>
      <c r="N890">
        <v>0</v>
      </c>
    </row>
    <row r="891" spans="1:14" x14ac:dyDescent="0.25">
      <c r="A891">
        <v>889</v>
      </c>
      <c r="B891" t="s">
        <v>653</v>
      </c>
      <c r="C891" t="s">
        <v>1640</v>
      </c>
      <c r="D891" t="s">
        <v>1641</v>
      </c>
      <c r="E891" t="s">
        <v>1316</v>
      </c>
      <c r="G891" t="s">
        <v>122</v>
      </c>
      <c r="J891" t="s">
        <v>1756</v>
      </c>
      <c r="N891">
        <v>0</v>
      </c>
    </row>
    <row r="892" spans="1:14" x14ac:dyDescent="0.25">
      <c r="A892">
        <v>890</v>
      </c>
      <c r="B892" t="s">
        <v>653</v>
      </c>
      <c r="C892" t="s">
        <v>1640</v>
      </c>
      <c r="D892" t="s">
        <v>1641</v>
      </c>
      <c r="E892" t="s">
        <v>1316</v>
      </c>
      <c r="J892" t="s">
        <v>1746</v>
      </c>
      <c r="N892">
        <v>0</v>
      </c>
    </row>
    <row r="893" spans="1:14" x14ac:dyDescent="0.25">
      <c r="A893">
        <v>891</v>
      </c>
      <c r="B893" t="s">
        <v>653</v>
      </c>
      <c r="C893" t="s">
        <v>1640</v>
      </c>
      <c r="D893" t="s">
        <v>1641</v>
      </c>
      <c r="E893" t="s">
        <v>1316</v>
      </c>
      <c r="J893" t="s">
        <v>1746</v>
      </c>
      <c r="N893">
        <v>0</v>
      </c>
    </row>
    <row r="894" spans="1:14" x14ac:dyDescent="0.25">
      <c r="A894">
        <v>892</v>
      </c>
      <c r="B894" t="s">
        <v>653</v>
      </c>
      <c r="C894" t="s">
        <v>1640</v>
      </c>
      <c r="D894" t="s">
        <v>1641</v>
      </c>
      <c r="E894" t="s">
        <v>1316</v>
      </c>
      <c r="J894" t="s">
        <v>1746</v>
      </c>
      <c r="N894">
        <v>0</v>
      </c>
    </row>
    <row r="895" spans="1:14" x14ac:dyDescent="0.25">
      <c r="A895">
        <v>893</v>
      </c>
      <c r="B895" t="s">
        <v>653</v>
      </c>
      <c r="C895" t="s">
        <v>1640</v>
      </c>
      <c r="D895" t="s">
        <v>1641</v>
      </c>
      <c r="E895" t="s">
        <v>1316</v>
      </c>
      <c r="G895" t="s">
        <v>122</v>
      </c>
      <c r="J895" t="s">
        <v>1757</v>
      </c>
      <c r="N895">
        <v>-1</v>
      </c>
    </row>
    <row r="896" spans="1:14" x14ac:dyDescent="0.25">
      <c r="A896">
        <v>894</v>
      </c>
      <c r="B896" t="s">
        <v>11</v>
      </c>
      <c r="C896" t="s">
        <v>1642</v>
      </c>
      <c r="D896" t="s">
        <v>1641</v>
      </c>
      <c r="E896" t="s">
        <v>1316</v>
      </c>
      <c r="G896" t="s">
        <v>122</v>
      </c>
      <c r="J896" t="s">
        <v>1757</v>
      </c>
      <c r="N896">
        <v>0</v>
      </c>
    </row>
    <row r="897" spans="1:14" x14ac:dyDescent="0.25">
      <c r="A897">
        <v>895</v>
      </c>
      <c r="B897" t="s">
        <v>11</v>
      </c>
      <c r="C897" t="s">
        <v>1642</v>
      </c>
      <c r="D897" t="s">
        <v>1641</v>
      </c>
      <c r="E897" t="s">
        <v>1316</v>
      </c>
      <c r="G897" t="s">
        <v>122</v>
      </c>
      <c r="J897" t="s">
        <v>1757</v>
      </c>
      <c r="N897">
        <v>0</v>
      </c>
    </row>
    <row r="898" spans="1:14" x14ac:dyDescent="0.25">
      <c r="A898">
        <v>896</v>
      </c>
      <c r="B898" t="s">
        <v>11</v>
      </c>
      <c r="C898" t="s">
        <v>1642</v>
      </c>
      <c r="D898" t="s">
        <v>1641</v>
      </c>
      <c r="E898" t="s">
        <v>1316</v>
      </c>
      <c r="G898" t="s">
        <v>122</v>
      </c>
      <c r="J898" t="s">
        <v>1757</v>
      </c>
      <c r="N898">
        <v>0</v>
      </c>
    </row>
    <row r="899" spans="1:14" x14ac:dyDescent="0.25">
      <c r="A899">
        <v>897</v>
      </c>
      <c r="B899" t="s">
        <v>11</v>
      </c>
      <c r="C899" t="s">
        <v>1642</v>
      </c>
      <c r="D899" t="s">
        <v>1641</v>
      </c>
      <c r="E899" t="s">
        <v>1316</v>
      </c>
      <c r="J899" t="s">
        <v>1574</v>
      </c>
      <c r="N899">
        <v>0</v>
      </c>
    </row>
    <row r="900" spans="1:14" x14ac:dyDescent="0.25">
      <c r="A900">
        <v>898</v>
      </c>
      <c r="B900" t="s">
        <v>11</v>
      </c>
      <c r="C900" t="s">
        <v>1652</v>
      </c>
      <c r="D900" t="s">
        <v>1641</v>
      </c>
      <c r="E900" t="s">
        <v>1316</v>
      </c>
      <c r="J900" t="s">
        <v>1746</v>
      </c>
      <c r="N900">
        <v>0</v>
      </c>
    </row>
    <row r="901" spans="1:14" x14ac:dyDescent="0.25">
      <c r="A901">
        <v>899</v>
      </c>
      <c r="B901" t="s">
        <v>11</v>
      </c>
      <c r="C901" t="s">
        <v>1652</v>
      </c>
      <c r="D901" t="s">
        <v>1641</v>
      </c>
      <c r="E901" t="s">
        <v>1316</v>
      </c>
      <c r="J901" t="s">
        <v>1573</v>
      </c>
      <c r="N901">
        <v>0</v>
      </c>
    </row>
    <row r="902" spans="1:14" x14ac:dyDescent="0.25">
      <c r="A902">
        <v>900</v>
      </c>
      <c r="B902" t="s">
        <v>11</v>
      </c>
      <c r="C902" t="s">
        <v>1652</v>
      </c>
      <c r="D902" t="s">
        <v>1641</v>
      </c>
      <c r="E902" t="s">
        <v>1316</v>
      </c>
      <c r="J902" t="s">
        <v>1758</v>
      </c>
      <c r="N902">
        <v>0</v>
      </c>
    </row>
    <row r="903" spans="1:14" x14ac:dyDescent="0.25">
      <c r="A903">
        <v>901</v>
      </c>
      <c r="B903" t="s">
        <v>11</v>
      </c>
      <c r="C903" t="s">
        <v>1652</v>
      </c>
      <c r="D903" t="s">
        <v>1641</v>
      </c>
      <c r="E903" t="s">
        <v>1316</v>
      </c>
      <c r="J903" t="s">
        <v>1572</v>
      </c>
      <c r="N903">
        <v>0</v>
      </c>
    </row>
    <row r="904" spans="1:14" x14ac:dyDescent="0.25">
      <c r="A904">
        <v>902</v>
      </c>
      <c r="B904" t="s">
        <v>11</v>
      </c>
      <c r="C904" t="s">
        <v>1653</v>
      </c>
      <c r="D904" t="s">
        <v>1641</v>
      </c>
      <c r="E904" t="s">
        <v>1316</v>
      </c>
      <c r="J904" t="s">
        <v>1532</v>
      </c>
      <c r="N904">
        <v>0</v>
      </c>
    </row>
    <row r="905" spans="1:14" x14ac:dyDescent="0.25">
      <c r="A905">
        <v>903</v>
      </c>
      <c r="B905" t="s">
        <v>11</v>
      </c>
      <c r="C905" t="s">
        <v>1653</v>
      </c>
      <c r="D905" t="s">
        <v>1641</v>
      </c>
      <c r="E905" t="s">
        <v>1316</v>
      </c>
      <c r="J905" t="s">
        <v>1533</v>
      </c>
      <c r="N905">
        <v>0</v>
      </c>
    </row>
    <row r="906" spans="1:14" x14ac:dyDescent="0.25">
      <c r="A906">
        <v>904</v>
      </c>
      <c r="B906" t="s">
        <v>11</v>
      </c>
      <c r="C906" t="s">
        <v>1653</v>
      </c>
      <c r="D906" t="s">
        <v>1641</v>
      </c>
      <c r="E906" t="s">
        <v>1316</v>
      </c>
      <c r="G906" t="s">
        <v>16</v>
      </c>
      <c r="J906" t="s">
        <v>1534</v>
      </c>
      <c r="N906">
        <v>0</v>
      </c>
    </row>
    <row r="907" spans="1:14" x14ac:dyDescent="0.25">
      <c r="A907">
        <v>905</v>
      </c>
      <c r="B907" t="s">
        <v>11</v>
      </c>
      <c r="C907" t="s">
        <v>1653</v>
      </c>
      <c r="D907" t="s">
        <v>1641</v>
      </c>
      <c r="E907" t="s">
        <v>1316</v>
      </c>
      <c r="J907" t="s">
        <v>1759</v>
      </c>
      <c r="N907">
        <v>0</v>
      </c>
    </row>
    <row r="908" spans="1:14" x14ac:dyDescent="0.25">
      <c r="A908">
        <v>906</v>
      </c>
      <c r="B908" t="s">
        <v>11</v>
      </c>
      <c r="C908" t="s">
        <v>1653</v>
      </c>
      <c r="D908" t="s">
        <v>1641</v>
      </c>
      <c r="E908" t="s">
        <v>1316</v>
      </c>
      <c r="J908" t="s">
        <v>1531</v>
      </c>
      <c r="N908">
        <v>0</v>
      </c>
    </row>
    <row r="909" spans="1:14" x14ac:dyDescent="0.25">
      <c r="A909">
        <v>907</v>
      </c>
      <c r="B909" t="s">
        <v>11</v>
      </c>
      <c r="C909" t="s">
        <v>1647</v>
      </c>
      <c r="D909" t="s">
        <v>1641</v>
      </c>
      <c r="E909" t="s">
        <v>1316</v>
      </c>
      <c r="J909" t="s">
        <v>1760</v>
      </c>
      <c r="N909">
        <v>0</v>
      </c>
    </row>
    <row r="910" spans="1:14" x14ac:dyDescent="0.25">
      <c r="A910">
        <v>908</v>
      </c>
      <c r="B910" t="s">
        <v>11</v>
      </c>
      <c r="C910" t="s">
        <v>1647</v>
      </c>
      <c r="D910" t="s">
        <v>1641</v>
      </c>
      <c r="E910" t="s">
        <v>1316</v>
      </c>
      <c r="J910" t="s">
        <v>1761</v>
      </c>
      <c r="N910">
        <v>0</v>
      </c>
    </row>
    <row r="911" spans="1:14" x14ac:dyDescent="0.25">
      <c r="A911">
        <v>909</v>
      </c>
      <c r="B911" t="s">
        <v>11</v>
      </c>
      <c r="C911" t="s">
        <v>1647</v>
      </c>
      <c r="D911" t="s">
        <v>1641</v>
      </c>
      <c r="E911" t="s">
        <v>1316</v>
      </c>
      <c r="J911" t="s">
        <v>1529</v>
      </c>
      <c r="N911">
        <v>0</v>
      </c>
    </row>
    <row r="912" spans="1:14" x14ac:dyDescent="0.25">
      <c r="A912">
        <v>910</v>
      </c>
      <c r="B912" t="s">
        <v>11</v>
      </c>
      <c r="C912" t="s">
        <v>1647</v>
      </c>
      <c r="D912" t="s">
        <v>1641</v>
      </c>
      <c r="E912" t="s">
        <v>1316</v>
      </c>
      <c r="J912" t="s">
        <v>1762</v>
      </c>
      <c r="N912">
        <v>0</v>
      </c>
    </row>
    <row r="913" spans="1:14" x14ac:dyDescent="0.25">
      <c r="A913">
        <v>911</v>
      </c>
      <c r="B913" t="s">
        <v>11</v>
      </c>
      <c r="C913" t="s">
        <v>1647</v>
      </c>
      <c r="D913" t="s">
        <v>1641</v>
      </c>
      <c r="E913" t="s">
        <v>1316</v>
      </c>
      <c r="G913" t="s">
        <v>122</v>
      </c>
      <c r="J913" t="s">
        <v>1763</v>
      </c>
      <c r="N913">
        <v>0</v>
      </c>
    </row>
    <row r="914" spans="1:14" x14ac:dyDescent="0.25">
      <c r="A914">
        <v>912</v>
      </c>
      <c r="B914" t="s">
        <v>11</v>
      </c>
      <c r="C914" t="s">
        <v>1647</v>
      </c>
      <c r="D914" t="s">
        <v>1641</v>
      </c>
      <c r="E914" t="s">
        <v>1316</v>
      </c>
      <c r="J914" t="s">
        <v>1436</v>
      </c>
      <c r="N914">
        <v>0</v>
      </c>
    </row>
    <row r="915" spans="1:14" x14ac:dyDescent="0.25">
      <c r="A915">
        <v>913</v>
      </c>
      <c r="B915" t="s">
        <v>11</v>
      </c>
      <c r="C915" t="s">
        <v>1647</v>
      </c>
      <c r="D915" t="s">
        <v>1641</v>
      </c>
      <c r="E915" t="s">
        <v>1316</v>
      </c>
      <c r="G915" t="s">
        <v>122</v>
      </c>
      <c r="J915" t="s">
        <v>1763</v>
      </c>
      <c r="N915">
        <v>0</v>
      </c>
    </row>
    <row r="916" spans="1:14" x14ac:dyDescent="0.25">
      <c r="A916">
        <v>914</v>
      </c>
      <c r="B916" t="s">
        <v>11</v>
      </c>
      <c r="C916" t="s">
        <v>1648</v>
      </c>
      <c r="D916" t="s">
        <v>1641</v>
      </c>
      <c r="E916" t="s">
        <v>1316</v>
      </c>
      <c r="J916" t="s">
        <v>1764</v>
      </c>
      <c r="N916">
        <v>0</v>
      </c>
    </row>
    <row r="917" spans="1:14" x14ac:dyDescent="0.25">
      <c r="A917">
        <v>915</v>
      </c>
      <c r="B917" t="s">
        <v>11</v>
      </c>
      <c r="C917" t="s">
        <v>1648</v>
      </c>
      <c r="D917" t="s">
        <v>1641</v>
      </c>
      <c r="E917" t="s">
        <v>1316</v>
      </c>
      <c r="G917" t="s">
        <v>122</v>
      </c>
      <c r="J917" t="s">
        <v>1750</v>
      </c>
      <c r="N917">
        <v>0</v>
      </c>
    </row>
    <row r="918" spans="1:14" x14ac:dyDescent="0.25">
      <c r="A918">
        <v>916</v>
      </c>
      <c r="B918" t="s">
        <v>346</v>
      </c>
      <c r="C918" t="s">
        <v>1648</v>
      </c>
      <c r="D918" t="s">
        <v>1641</v>
      </c>
      <c r="E918" t="s">
        <v>1316</v>
      </c>
      <c r="G918" t="s">
        <v>122</v>
      </c>
      <c r="J918" t="s">
        <v>1750</v>
      </c>
      <c r="N918">
        <v>0</v>
      </c>
    </row>
    <row r="919" spans="1:14" x14ac:dyDescent="0.25">
      <c r="A919">
        <v>917</v>
      </c>
      <c r="B919" t="s">
        <v>346</v>
      </c>
      <c r="C919" t="s">
        <v>1648</v>
      </c>
      <c r="D919" t="s">
        <v>1641</v>
      </c>
      <c r="E919" t="s">
        <v>1316</v>
      </c>
      <c r="J919" t="s">
        <v>1764</v>
      </c>
      <c r="N919">
        <v>0</v>
      </c>
    </row>
    <row r="920" spans="1:14" x14ac:dyDescent="0.25">
      <c r="A920">
        <v>918</v>
      </c>
      <c r="B920" t="s">
        <v>346</v>
      </c>
      <c r="C920" t="s">
        <v>1648</v>
      </c>
      <c r="D920" t="s">
        <v>1641</v>
      </c>
      <c r="E920" t="s">
        <v>1316</v>
      </c>
      <c r="J920" t="s">
        <v>1489</v>
      </c>
      <c r="N920">
        <v>0</v>
      </c>
    </row>
    <row r="921" spans="1:14" x14ac:dyDescent="0.25">
      <c r="A921">
        <v>919</v>
      </c>
      <c r="B921" t="s">
        <v>346</v>
      </c>
      <c r="C921" t="s">
        <v>1654</v>
      </c>
      <c r="D921" t="s">
        <v>1641</v>
      </c>
      <c r="E921" t="s">
        <v>1316</v>
      </c>
      <c r="J921" t="s">
        <v>1475</v>
      </c>
      <c r="N921">
        <v>0</v>
      </c>
    </row>
    <row r="922" spans="1:14" x14ac:dyDescent="0.25">
      <c r="A922">
        <v>920</v>
      </c>
      <c r="B922" t="s">
        <v>346</v>
      </c>
      <c r="C922" t="s">
        <v>1654</v>
      </c>
      <c r="D922" t="s">
        <v>1641</v>
      </c>
      <c r="E922" t="s">
        <v>1316</v>
      </c>
      <c r="J922" t="s">
        <v>1476</v>
      </c>
      <c r="N922">
        <v>0</v>
      </c>
    </row>
    <row r="923" spans="1:14" x14ac:dyDescent="0.25">
      <c r="A923">
        <v>921</v>
      </c>
      <c r="B923" t="s">
        <v>346</v>
      </c>
      <c r="C923" t="s">
        <v>1654</v>
      </c>
      <c r="D923" t="s">
        <v>1641</v>
      </c>
      <c r="E923" t="s">
        <v>1316</v>
      </c>
      <c r="J923" t="s">
        <v>1765</v>
      </c>
      <c r="N923">
        <v>0</v>
      </c>
    </row>
    <row r="924" spans="1:14" x14ac:dyDescent="0.25">
      <c r="A924">
        <v>922</v>
      </c>
      <c r="B924" t="s">
        <v>346</v>
      </c>
      <c r="C924" t="s">
        <v>1654</v>
      </c>
      <c r="D924" t="s">
        <v>1641</v>
      </c>
      <c r="E924" t="s">
        <v>1316</v>
      </c>
      <c r="J924" t="s">
        <v>1477</v>
      </c>
      <c r="N924">
        <v>0</v>
      </c>
    </row>
    <row r="925" spans="1:14" x14ac:dyDescent="0.25">
      <c r="A925">
        <v>923</v>
      </c>
      <c r="B925" t="s">
        <v>346</v>
      </c>
      <c r="C925" t="s">
        <v>1654</v>
      </c>
      <c r="D925" t="s">
        <v>1641</v>
      </c>
      <c r="E925" t="s">
        <v>1316</v>
      </c>
      <c r="J925" t="s">
        <v>1478</v>
      </c>
      <c r="N925">
        <v>0</v>
      </c>
    </row>
    <row r="926" spans="1:14" x14ac:dyDescent="0.25">
      <c r="A926">
        <v>924</v>
      </c>
      <c r="B926" t="s">
        <v>346</v>
      </c>
      <c r="C926" t="s">
        <v>1654</v>
      </c>
      <c r="D926" t="s">
        <v>1641</v>
      </c>
      <c r="E926" t="s">
        <v>1316</v>
      </c>
      <c r="J926" t="s">
        <v>1583</v>
      </c>
      <c r="N926">
        <v>0</v>
      </c>
    </row>
    <row r="927" spans="1:14" x14ac:dyDescent="0.25">
      <c r="A927">
        <v>925</v>
      </c>
      <c r="B927" t="s">
        <v>346</v>
      </c>
      <c r="C927" t="s">
        <v>1654</v>
      </c>
      <c r="D927" t="s">
        <v>1641</v>
      </c>
      <c r="E927" t="s">
        <v>1316</v>
      </c>
      <c r="J927" t="s">
        <v>1766</v>
      </c>
      <c r="N927">
        <v>0</v>
      </c>
    </row>
    <row r="928" spans="1:14" x14ac:dyDescent="0.25">
      <c r="A928">
        <v>926</v>
      </c>
      <c r="B928" t="s">
        <v>346</v>
      </c>
      <c r="C928" t="s">
        <v>1654</v>
      </c>
      <c r="D928" t="s">
        <v>1641</v>
      </c>
      <c r="E928" t="s">
        <v>1316</v>
      </c>
      <c r="J928" t="s">
        <v>1333</v>
      </c>
      <c r="N928">
        <v>0</v>
      </c>
    </row>
    <row r="929" spans="1:14" x14ac:dyDescent="0.25">
      <c r="A929">
        <v>927</v>
      </c>
      <c r="B929" t="s">
        <v>346</v>
      </c>
      <c r="C929" t="s">
        <v>1649</v>
      </c>
      <c r="D929" t="s">
        <v>1641</v>
      </c>
      <c r="E929" t="s">
        <v>1316</v>
      </c>
      <c r="J929" t="s">
        <v>1484</v>
      </c>
      <c r="N929">
        <v>0</v>
      </c>
    </row>
    <row r="930" spans="1:14" x14ac:dyDescent="0.25">
      <c r="A930">
        <v>928</v>
      </c>
      <c r="B930" t="s">
        <v>346</v>
      </c>
      <c r="C930" t="s">
        <v>1649</v>
      </c>
      <c r="D930" t="s">
        <v>1641</v>
      </c>
      <c r="E930" t="s">
        <v>1316</v>
      </c>
      <c r="J930" t="s">
        <v>1483</v>
      </c>
      <c r="N930">
        <v>0</v>
      </c>
    </row>
    <row r="931" spans="1:14" x14ac:dyDescent="0.25">
      <c r="A931">
        <v>929</v>
      </c>
      <c r="B931" t="s">
        <v>346</v>
      </c>
      <c r="C931" t="s">
        <v>1649</v>
      </c>
      <c r="D931" t="s">
        <v>1641</v>
      </c>
      <c r="E931" t="s">
        <v>1316</v>
      </c>
      <c r="J931" t="s">
        <v>1334</v>
      </c>
      <c r="N931">
        <v>0</v>
      </c>
    </row>
    <row r="932" spans="1:14" x14ac:dyDescent="0.25">
      <c r="A932">
        <v>930</v>
      </c>
      <c r="B932" t="s">
        <v>346</v>
      </c>
      <c r="C932" t="s">
        <v>1649</v>
      </c>
      <c r="D932" t="s">
        <v>1641</v>
      </c>
      <c r="E932" t="s">
        <v>1316</v>
      </c>
      <c r="J932" t="s">
        <v>1335</v>
      </c>
      <c r="N932">
        <v>0</v>
      </c>
    </row>
    <row r="933" spans="1:14" x14ac:dyDescent="0.25">
      <c r="A933">
        <v>931</v>
      </c>
      <c r="B933" t="s">
        <v>346</v>
      </c>
      <c r="C933" t="s">
        <v>1649</v>
      </c>
      <c r="D933" t="s">
        <v>1641</v>
      </c>
      <c r="E933" t="s">
        <v>1316</v>
      </c>
      <c r="J933" t="s">
        <v>1330</v>
      </c>
      <c r="N933">
        <v>0</v>
      </c>
    </row>
    <row r="934" spans="1:14" x14ac:dyDescent="0.25">
      <c r="A934">
        <v>932</v>
      </c>
      <c r="B934" t="s">
        <v>346</v>
      </c>
      <c r="C934" t="s">
        <v>1649</v>
      </c>
      <c r="D934" t="s">
        <v>1641</v>
      </c>
      <c r="E934" t="s">
        <v>1316</v>
      </c>
      <c r="J934" t="s">
        <v>1767</v>
      </c>
      <c r="N934">
        <v>0</v>
      </c>
    </row>
    <row r="935" spans="1:14" x14ac:dyDescent="0.25">
      <c r="A935">
        <v>933</v>
      </c>
      <c r="B935" t="s">
        <v>346</v>
      </c>
      <c r="C935" t="s">
        <v>1649</v>
      </c>
      <c r="D935" t="s">
        <v>1641</v>
      </c>
      <c r="E935" t="s">
        <v>1316</v>
      </c>
      <c r="J935" t="s">
        <v>1768</v>
      </c>
      <c r="N935">
        <v>0</v>
      </c>
    </row>
    <row r="936" spans="1:14" x14ac:dyDescent="0.25">
      <c r="A936">
        <v>934</v>
      </c>
      <c r="B936" t="s">
        <v>346</v>
      </c>
      <c r="C936" t="s">
        <v>1649</v>
      </c>
      <c r="D936" t="s">
        <v>1641</v>
      </c>
      <c r="E936" t="s">
        <v>1316</v>
      </c>
      <c r="J936" t="s">
        <v>1329</v>
      </c>
      <c r="N936">
        <v>0</v>
      </c>
    </row>
    <row r="937" spans="1:14" x14ac:dyDescent="0.25">
      <c r="A937">
        <v>935</v>
      </c>
      <c r="B937" t="s">
        <v>346</v>
      </c>
      <c r="C937" t="s">
        <v>1649</v>
      </c>
      <c r="D937" t="s">
        <v>1641</v>
      </c>
      <c r="E937" t="s">
        <v>1316</v>
      </c>
      <c r="J937" t="s">
        <v>1769</v>
      </c>
      <c r="N937">
        <v>0</v>
      </c>
    </row>
    <row r="938" spans="1:14" x14ac:dyDescent="0.25">
      <c r="A938">
        <v>936</v>
      </c>
      <c r="B938" t="s">
        <v>346</v>
      </c>
      <c r="C938" t="s">
        <v>1654</v>
      </c>
      <c r="D938" t="s">
        <v>1641</v>
      </c>
      <c r="E938" t="s">
        <v>1316</v>
      </c>
      <c r="J938" t="s">
        <v>1332</v>
      </c>
      <c r="N938">
        <v>0</v>
      </c>
    </row>
    <row r="939" spans="1:14" x14ac:dyDescent="0.25">
      <c r="A939">
        <v>937</v>
      </c>
      <c r="B939" t="s">
        <v>346</v>
      </c>
      <c r="C939" t="s">
        <v>1649</v>
      </c>
      <c r="D939" t="s">
        <v>1641</v>
      </c>
      <c r="E939" t="s">
        <v>1316</v>
      </c>
      <c r="J939" t="s">
        <v>1331</v>
      </c>
      <c r="N939">
        <v>0</v>
      </c>
    </row>
    <row r="940" spans="1:14" x14ac:dyDescent="0.25">
      <c r="A940">
        <v>938</v>
      </c>
      <c r="B940" t="s">
        <v>346</v>
      </c>
      <c r="C940" t="s">
        <v>1649</v>
      </c>
      <c r="D940" t="s">
        <v>1641</v>
      </c>
      <c r="E940" t="s">
        <v>1316</v>
      </c>
      <c r="J940" t="s">
        <v>1328</v>
      </c>
      <c r="N940">
        <v>0</v>
      </c>
    </row>
    <row r="941" spans="1:14" x14ac:dyDescent="0.25">
      <c r="A941">
        <v>939</v>
      </c>
      <c r="B941" t="s">
        <v>346</v>
      </c>
      <c r="C941" t="s">
        <v>1649</v>
      </c>
      <c r="D941" t="s">
        <v>1641</v>
      </c>
      <c r="E941" t="s">
        <v>1316</v>
      </c>
      <c r="J941" t="s">
        <v>1327</v>
      </c>
      <c r="N941">
        <v>0</v>
      </c>
    </row>
    <row r="942" spans="1:14" x14ac:dyDescent="0.25">
      <c r="A942">
        <v>940</v>
      </c>
      <c r="B942" t="s">
        <v>653</v>
      </c>
      <c r="C942" t="s">
        <v>1655</v>
      </c>
      <c r="D942" t="s">
        <v>1641</v>
      </c>
      <c r="E942" t="s">
        <v>1316</v>
      </c>
      <c r="J942" t="s">
        <v>1770</v>
      </c>
      <c r="N942">
        <v>0</v>
      </c>
    </row>
    <row r="943" spans="1:14" x14ac:dyDescent="0.25">
      <c r="A943">
        <v>941</v>
      </c>
      <c r="B943" t="s">
        <v>653</v>
      </c>
      <c r="C943" t="s">
        <v>1655</v>
      </c>
      <c r="D943" t="s">
        <v>1641</v>
      </c>
      <c r="E943" t="s">
        <v>1316</v>
      </c>
      <c r="J943" t="s">
        <v>1358</v>
      </c>
      <c r="N943">
        <v>0</v>
      </c>
    </row>
    <row r="944" spans="1:14" x14ac:dyDescent="0.25">
      <c r="A944">
        <v>942</v>
      </c>
      <c r="B944" t="s">
        <v>653</v>
      </c>
      <c r="C944" t="s">
        <v>1651</v>
      </c>
      <c r="D944" t="s">
        <v>1641</v>
      </c>
      <c r="E944" t="s">
        <v>1316</v>
      </c>
      <c r="J944" t="s">
        <v>1359</v>
      </c>
      <c r="N944">
        <v>0</v>
      </c>
    </row>
    <row r="945" spans="1:14" x14ac:dyDescent="0.25">
      <c r="A945">
        <v>943</v>
      </c>
      <c r="B945" t="s">
        <v>653</v>
      </c>
      <c r="C945" t="s">
        <v>1651</v>
      </c>
      <c r="D945" t="s">
        <v>1641</v>
      </c>
      <c r="E945" t="s">
        <v>1316</v>
      </c>
      <c r="J945" t="s">
        <v>1360</v>
      </c>
      <c r="N945">
        <v>0</v>
      </c>
    </row>
    <row r="946" spans="1:14" x14ac:dyDescent="0.25">
      <c r="A946">
        <v>944</v>
      </c>
      <c r="B946" t="s">
        <v>653</v>
      </c>
      <c r="C946" t="s">
        <v>1651</v>
      </c>
      <c r="D946" t="s">
        <v>1641</v>
      </c>
      <c r="E946" t="s">
        <v>1316</v>
      </c>
      <c r="J946" t="s">
        <v>1771</v>
      </c>
      <c r="N946">
        <v>0</v>
      </c>
    </row>
    <row r="947" spans="1:14" x14ac:dyDescent="0.25">
      <c r="A947">
        <v>945</v>
      </c>
      <c r="B947" t="s">
        <v>653</v>
      </c>
      <c r="C947" t="s">
        <v>1651</v>
      </c>
      <c r="D947" t="s">
        <v>1641</v>
      </c>
      <c r="E947" t="s">
        <v>1316</v>
      </c>
      <c r="J947" t="s">
        <v>1362</v>
      </c>
      <c r="N947">
        <v>0</v>
      </c>
    </row>
    <row r="948" spans="1:14" x14ac:dyDescent="0.25">
      <c r="A948">
        <v>946</v>
      </c>
      <c r="B948" t="s">
        <v>653</v>
      </c>
      <c r="C948" t="s">
        <v>1651</v>
      </c>
      <c r="D948" t="s">
        <v>1641</v>
      </c>
      <c r="E948" t="s">
        <v>1316</v>
      </c>
      <c r="J948" t="s">
        <v>1361</v>
      </c>
      <c r="N948">
        <v>0</v>
      </c>
    </row>
    <row r="949" spans="1:14" x14ac:dyDescent="0.25">
      <c r="A949">
        <v>947</v>
      </c>
      <c r="B949" t="s">
        <v>653</v>
      </c>
      <c r="C949" t="s">
        <v>1651</v>
      </c>
      <c r="D949" t="s">
        <v>1641</v>
      </c>
      <c r="E949" t="s">
        <v>1316</v>
      </c>
      <c r="J949" t="s">
        <v>1772</v>
      </c>
      <c r="N949">
        <v>0</v>
      </c>
    </row>
    <row r="950" spans="1:14" x14ac:dyDescent="0.25">
      <c r="A950">
        <v>948</v>
      </c>
      <c r="B950" t="s">
        <v>653</v>
      </c>
      <c r="C950" t="s">
        <v>1651</v>
      </c>
      <c r="D950" t="s">
        <v>1641</v>
      </c>
      <c r="E950" t="s">
        <v>1316</v>
      </c>
      <c r="J950" t="s">
        <v>1773</v>
      </c>
      <c r="N950">
        <v>0</v>
      </c>
    </row>
    <row r="951" spans="1:14" x14ac:dyDescent="0.25">
      <c r="A951">
        <v>949</v>
      </c>
      <c r="B951" t="s">
        <v>653</v>
      </c>
      <c r="C951" t="s">
        <v>1651</v>
      </c>
      <c r="D951" t="s">
        <v>1641</v>
      </c>
      <c r="E951" t="s">
        <v>1316</v>
      </c>
      <c r="J951" t="s">
        <v>1774</v>
      </c>
      <c r="N951">
        <v>0</v>
      </c>
    </row>
    <row r="952" spans="1:14" x14ac:dyDescent="0.25">
      <c r="A952">
        <v>950</v>
      </c>
      <c r="B952" t="s">
        <v>653</v>
      </c>
      <c r="C952" t="s">
        <v>1651</v>
      </c>
      <c r="D952" t="s">
        <v>1641</v>
      </c>
      <c r="E952" t="s">
        <v>1316</v>
      </c>
      <c r="G952" t="s">
        <v>122</v>
      </c>
      <c r="J952" t="s">
        <v>1756</v>
      </c>
      <c r="N952">
        <v>0</v>
      </c>
    </row>
    <row r="953" spans="1:14" x14ac:dyDescent="0.25">
      <c r="A953">
        <v>951</v>
      </c>
      <c r="B953" t="s">
        <v>653</v>
      </c>
      <c r="C953" t="s">
        <v>1656</v>
      </c>
      <c r="D953" t="s">
        <v>1641</v>
      </c>
      <c r="E953" t="s">
        <v>1316</v>
      </c>
      <c r="J953" t="s">
        <v>1775</v>
      </c>
      <c r="N953">
        <v>0</v>
      </c>
    </row>
    <row r="954" spans="1:14" x14ac:dyDescent="0.25">
      <c r="A954">
        <v>952</v>
      </c>
      <c r="B954" t="s">
        <v>653</v>
      </c>
      <c r="C954" t="s">
        <v>1656</v>
      </c>
      <c r="D954" t="s">
        <v>1641</v>
      </c>
      <c r="E954" t="s">
        <v>1316</v>
      </c>
      <c r="G954" t="s">
        <v>16</v>
      </c>
      <c r="J954" t="s">
        <v>1746</v>
      </c>
      <c r="N954">
        <v>0</v>
      </c>
    </row>
    <row r="955" spans="1:14" x14ac:dyDescent="0.25">
      <c r="A955">
        <v>953</v>
      </c>
      <c r="B955" t="s">
        <v>653</v>
      </c>
      <c r="C955" t="s">
        <v>1640</v>
      </c>
      <c r="D955" t="s">
        <v>1641</v>
      </c>
      <c r="E955" t="s">
        <v>1316</v>
      </c>
      <c r="G955" t="s">
        <v>122</v>
      </c>
      <c r="J955" t="s">
        <v>1757</v>
      </c>
      <c r="N955">
        <v>0</v>
      </c>
    </row>
    <row r="956" spans="1:14" x14ac:dyDescent="0.25">
      <c r="A956">
        <v>954</v>
      </c>
      <c r="B956" t="s">
        <v>653</v>
      </c>
      <c r="C956" t="s">
        <v>1640</v>
      </c>
      <c r="D956" t="s">
        <v>1641</v>
      </c>
      <c r="E956" t="s">
        <v>1316</v>
      </c>
      <c r="G956" t="s">
        <v>122</v>
      </c>
      <c r="J956" t="s">
        <v>1757</v>
      </c>
      <c r="N956">
        <v>0</v>
      </c>
    </row>
    <row r="957" spans="1:14" x14ac:dyDescent="0.25">
      <c r="A957">
        <v>955</v>
      </c>
      <c r="B957" t="s">
        <v>653</v>
      </c>
      <c r="C957" t="s">
        <v>1656</v>
      </c>
      <c r="D957" t="s">
        <v>1641</v>
      </c>
      <c r="E957" t="s">
        <v>1316</v>
      </c>
      <c r="J957" t="s">
        <v>1746</v>
      </c>
      <c r="N957">
        <v>0</v>
      </c>
    </row>
    <row r="958" spans="1:14" x14ac:dyDescent="0.25">
      <c r="A958">
        <v>956</v>
      </c>
      <c r="B958" t="s">
        <v>990</v>
      </c>
      <c r="C958" t="s">
        <v>1652</v>
      </c>
      <c r="D958" t="s">
        <v>1641</v>
      </c>
      <c r="E958" t="s">
        <v>1316</v>
      </c>
      <c r="G958" t="s">
        <v>16</v>
      </c>
      <c r="J958" t="s">
        <v>1776</v>
      </c>
      <c r="N958">
        <v>0</v>
      </c>
    </row>
    <row r="959" spans="1:14" x14ac:dyDescent="0.25">
      <c r="A959">
        <v>957</v>
      </c>
      <c r="B959" t="s">
        <v>990</v>
      </c>
      <c r="C959" t="s">
        <v>1652</v>
      </c>
      <c r="D959" t="s">
        <v>1641</v>
      </c>
      <c r="E959" t="s">
        <v>1316</v>
      </c>
      <c r="G959" t="s">
        <v>16</v>
      </c>
      <c r="J959" t="s">
        <v>1777</v>
      </c>
      <c r="N959">
        <v>0</v>
      </c>
    </row>
    <row r="960" spans="1:14" x14ac:dyDescent="0.25">
      <c r="A960">
        <v>958</v>
      </c>
      <c r="B960" t="s">
        <v>990</v>
      </c>
      <c r="C960" t="s">
        <v>1652</v>
      </c>
      <c r="D960" t="s">
        <v>1641</v>
      </c>
      <c r="E960" t="s">
        <v>1316</v>
      </c>
      <c r="G960" t="s">
        <v>16</v>
      </c>
      <c r="J960" t="s">
        <v>1778</v>
      </c>
      <c r="N960">
        <v>0</v>
      </c>
    </row>
    <row r="961" spans="1:14" x14ac:dyDescent="0.25">
      <c r="A961">
        <v>959</v>
      </c>
      <c r="B961" t="s">
        <v>990</v>
      </c>
      <c r="C961" t="s">
        <v>1652</v>
      </c>
      <c r="D961" t="s">
        <v>1641</v>
      </c>
      <c r="E961" t="s">
        <v>1316</v>
      </c>
      <c r="J961" t="s">
        <v>1778</v>
      </c>
      <c r="N961">
        <v>0</v>
      </c>
    </row>
    <row r="962" spans="1:14" x14ac:dyDescent="0.25">
      <c r="A962">
        <v>960</v>
      </c>
      <c r="B962" t="s">
        <v>11</v>
      </c>
      <c r="C962" t="s">
        <v>1652</v>
      </c>
      <c r="D962" t="s">
        <v>1641</v>
      </c>
      <c r="E962" t="s">
        <v>1316</v>
      </c>
      <c r="G962" t="s">
        <v>122</v>
      </c>
      <c r="J962" t="s">
        <v>1779</v>
      </c>
      <c r="N962">
        <v>0</v>
      </c>
    </row>
    <row r="963" spans="1:14" x14ac:dyDescent="0.25">
      <c r="A963">
        <v>961</v>
      </c>
      <c r="B963" t="s">
        <v>11</v>
      </c>
      <c r="C963" t="s">
        <v>1652</v>
      </c>
      <c r="D963" t="s">
        <v>1641</v>
      </c>
      <c r="E963" t="s">
        <v>1316</v>
      </c>
      <c r="G963" t="s">
        <v>122</v>
      </c>
      <c r="J963" t="s">
        <v>1779</v>
      </c>
      <c r="N963">
        <v>0</v>
      </c>
    </row>
    <row r="964" spans="1:14" x14ac:dyDescent="0.25">
      <c r="A964">
        <v>962</v>
      </c>
      <c r="B964" t="s">
        <v>11</v>
      </c>
      <c r="C964" t="s">
        <v>1652</v>
      </c>
      <c r="D964" t="s">
        <v>1641</v>
      </c>
      <c r="E964" t="s">
        <v>1316</v>
      </c>
      <c r="J964" t="s">
        <v>1571</v>
      </c>
      <c r="N964">
        <v>0</v>
      </c>
    </row>
    <row r="965" spans="1:14" x14ac:dyDescent="0.25">
      <c r="A965">
        <v>963</v>
      </c>
      <c r="B965" t="s">
        <v>11</v>
      </c>
      <c r="C965" t="s">
        <v>1652</v>
      </c>
      <c r="D965" t="s">
        <v>1641</v>
      </c>
      <c r="E965" t="s">
        <v>1316</v>
      </c>
      <c r="J965" t="s">
        <v>1570</v>
      </c>
      <c r="N965">
        <v>0</v>
      </c>
    </row>
    <row r="966" spans="1:14" x14ac:dyDescent="0.25">
      <c r="A966">
        <v>964</v>
      </c>
      <c r="B966" t="s">
        <v>11</v>
      </c>
      <c r="C966" t="s">
        <v>1653</v>
      </c>
      <c r="D966" t="s">
        <v>1641</v>
      </c>
      <c r="E966" t="s">
        <v>1316</v>
      </c>
      <c r="J966" t="s">
        <v>1535</v>
      </c>
      <c r="N966">
        <v>0</v>
      </c>
    </row>
    <row r="967" spans="1:14" x14ac:dyDescent="0.25">
      <c r="A967">
        <v>965</v>
      </c>
      <c r="B967" t="s">
        <v>11</v>
      </c>
      <c r="C967" t="s">
        <v>1653</v>
      </c>
      <c r="D967" t="s">
        <v>1641</v>
      </c>
      <c r="E967" t="s">
        <v>1316</v>
      </c>
      <c r="J967" t="s">
        <v>1536</v>
      </c>
      <c r="N967">
        <v>0</v>
      </c>
    </row>
    <row r="968" spans="1:14" x14ac:dyDescent="0.25">
      <c r="A968">
        <v>966</v>
      </c>
      <c r="B968" t="s">
        <v>11</v>
      </c>
      <c r="C968" t="s">
        <v>1653</v>
      </c>
      <c r="D968" t="s">
        <v>1641</v>
      </c>
      <c r="E968" t="s">
        <v>1316</v>
      </c>
      <c r="G968" t="s">
        <v>16</v>
      </c>
      <c r="J968" t="s">
        <v>1780</v>
      </c>
      <c r="N968">
        <v>0</v>
      </c>
    </row>
    <row r="969" spans="1:14" x14ac:dyDescent="0.25">
      <c r="A969">
        <v>967</v>
      </c>
      <c r="B969" t="s">
        <v>11</v>
      </c>
      <c r="C969" t="s">
        <v>1653</v>
      </c>
      <c r="D969" t="s">
        <v>1641</v>
      </c>
      <c r="E969" t="s">
        <v>1316</v>
      </c>
      <c r="J969" t="s">
        <v>1781</v>
      </c>
      <c r="N969">
        <v>0</v>
      </c>
    </row>
    <row r="970" spans="1:14" x14ac:dyDescent="0.25">
      <c r="A970">
        <v>968</v>
      </c>
      <c r="B970" t="s">
        <v>11</v>
      </c>
      <c r="C970" t="s">
        <v>1647</v>
      </c>
      <c r="D970" t="s">
        <v>1641</v>
      </c>
      <c r="E970" t="s">
        <v>1316</v>
      </c>
      <c r="G970" t="s">
        <v>16</v>
      </c>
      <c r="J970" t="s">
        <v>1432</v>
      </c>
      <c r="N970">
        <v>0</v>
      </c>
    </row>
    <row r="971" spans="1:14" x14ac:dyDescent="0.25">
      <c r="A971">
        <v>969</v>
      </c>
      <c r="B971" t="s">
        <v>11</v>
      </c>
      <c r="C971" t="s">
        <v>1653</v>
      </c>
      <c r="D971" t="s">
        <v>1641</v>
      </c>
      <c r="E971" t="s">
        <v>1316</v>
      </c>
      <c r="J971" t="s">
        <v>1782</v>
      </c>
      <c r="N971">
        <v>0</v>
      </c>
    </row>
    <row r="972" spans="1:14" x14ac:dyDescent="0.25">
      <c r="A972">
        <v>970</v>
      </c>
      <c r="B972" t="s">
        <v>11</v>
      </c>
      <c r="C972" t="s">
        <v>1657</v>
      </c>
      <c r="D972" t="s">
        <v>1641</v>
      </c>
      <c r="E972" t="s">
        <v>1316</v>
      </c>
      <c r="G972" t="s">
        <v>16</v>
      </c>
      <c r="J972" t="s">
        <v>1433</v>
      </c>
      <c r="N972">
        <v>0</v>
      </c>
    </row>
    <row r="973" spans="1:14" x14ac:dyDescent="0.25">
      <c r="A973">
        <v>971</v>
      </c>
      <c r="B973" t="s">
        <v>11</v>
      </c>
      <c r="C973" t="s">
        <v>1657</v>
      </c>
      <c r="D973" t="s">
        <v>1641</v>
      </c>
      <c r="E973" t="s">
        <v>1316</v>
      </c>
      <c r="G973" t="s">
        <v>16</v>
      </c>
      <c r="J973" t="s">
        <v>1433</v>
      </c>
      <c r="N973">
        <v>0</v>
      </c>
    </row>
    <row r="974" spans="1:14" x14ac:dyDescent="0.25">
      <c r="A974">
        <v>972</v>
      </c>
      <c r="B974" t="s">
        <v>11</v>
      </c>
      <c r="C974" t="s">
        <v>1657</v>
      </c>
      <c r="D974" t="s">
        <v>1641</v>
      </c>
      <c r="E974" t="s">
        <v>1316</v>
      </c>
      <c r="J974" t="s">
        <v>1433</v>
      </c>
      <c r="N974">
        <v>0</v>
      </c>
    </row>
    <row r="975" spans="1:14" x14ac:dyDescent="0.25">
      <c r="A975">
        <v>973</v>
      </c>
      <c r="B975" t="s">
        <v>11</v>
      </c>
      <c r="C975" t="s">
        <v>1657</v>
      </c>
      <c r="D975" t="s">
        <v>1641</v>
      </c>
      <c r="E975" t="s">
        <v>1316</v>
      </c>
      <c r="J975" t="s">
        <v>1433</v>
      </c>
      <c r="N975">
        <v>0</v>
      </c>
    </row>
    <row r="976" spans="1:14" x14ac:dyDescent="0.25">
      <c r="A976">
        <v>974</v>
      </c>
      <c r="B976" t="s">
        <v>11</v>
      </c>
      <c r="C976" t="s">
        <v>1657</v>
      </c>
      <c r="D976" t="s">
        <v>1641</v>
      </c>
      <c r="E976" t="s">
        <v>1316</v>
      </c>
      <c r="J976" t="s">
        <v>1433</v>
      </c>
      <c r="N976">
        <v>0</v>
      </c>
    </row>
    <row r="977" spans="1:14" x14ac:dyDescent="0.25">
      <c r="A977">
        <v>975</v>
      </c>
      <c r="B977" t="s">
        <v>11</v>
      </c>
      <c r="C977" t="s">
        <v>1657</v>
      </c>
      <c r="D977" t="s">
        <v>1641</v>
      </c>
      <c r="E977" t="s">
        <v>1316</v>
      </c>
      <c r="G977" t="s">
        <v>16</v>
      </c>
      <c r="J977" t="s">
        <v>1433</v>
      </c>
      <c r="N977">
        <v>0</v>
      </c>
    </row>
    <row r="978" spans="1:14" x14ac:dyDescent="0.25">
      <c r="A978">
        <v>976</v>
      </c>
      <c r="B978" t="s">
        <v>346</v>
      </c>
      <c r="C978" t="s">
        <v>1658</v>
      </c>
      <c r="D978" t="s">
        <v>1641</v>
      </c>
      <c r="E978" t="s">
        <v>1316</v>
      </c>
      <c r="J978" t="s">
        <v>1435</v>
      </c>
      <c r="N978">
        <v>0</v>
      </c>
    </row>
    <row r="979" spans="1:14" x14ac:dyDescent="0.25">
      <c r="A979">
        <v>977</v>
      </c>
      <c r="B979" t="s">
        <v>346</v>
      </c>
      <c r="C979" t="s">
        <v>1658</v>
      </c>
      <c r="D979" t="s">
        <v>1641</v>
      </c>
      <c r="E979" t="s">
        <v>1316</v>
      </c>
      <c r="J979" t="s">
        <v>1433</v>
      </c>
      <c r="N979">
        <v>0</v>
      </c>
    </row>
    <row r="980" spans="1:14" x14ac:dyDescent="0.25">
      <c r="A980">
        <v>978</v>
      </c>
      <c r="B980" t="s">
        <v>346</v>
      </c>
      <c r="C980" t="s">
        <v>1658</v>
      </c>
      <c r="D980" t="s">
        <v>1641</v>
      </c>
      <c r="E980" t="s">
        <v>1316</v>
      </c>
      <c r="J980" t="s">
        <v>1433</v>
      </c>
      <c r="N980">
        <v>0</v>
      </c>
    </row>
    <row r="981" spans="1:14" x14ac:dyDescent="0.25">
      <c r="A981">
        <v>979</v>
      </c>
      <c r="B981" t="s">
        <v>346</v>
      </c>
      <c r="C981" t="s">
        <v>1658</v>
      </c>
      <c r="D981" t="s">
        <v>1641</v>
      </c>
      <c r="E981" t="s">
        <v>1316</v>
      </c>
      <c r="J981" t="s">
        <v>1474</v>
      </c>
      <c r="N981">
        <v>0</v>
      </c>
    </row>
    <row r="982" spans="1:14" x14ac:dyDescent="0.25">
      <c r="A982">
        <v>980</v>
      </c>
      <c r="B982" t="s">
        <v>346</v>
      </c>
      <c r="C982" t="s">
        <v>1658</v>
      </c>
      <c r="D982" t="s">
        <v>1641</v>
      </c>
      <c r="E982" t="s">
        <v>1316</v>
      </c>
      <c r="J982" t="s">
        <v>1473</v>
      </c>
      <c r="N982">
        <v>0</v>
      </c>
    </row>
    <row r="983" spans="1:14" x14ac:dyDescent="0.25">
      <c r="A983">
        <v>981</v>
      </c>
      <c r="B983" t="s">
        <v>1016</v>
      </c>
      <c r="C983" t="s">
        <v>1658</v>
      </c>
      <c r="D983" t="s">
        <v>1641</v>
      </c>
      <c r="E983" t="s">
        <v>1316</v>
      </c>
      <c r="J983" t="s">
        <v>1433</v>
      </c>
      <c r="N983">
        <v>0</v>
      </c>
    </row>
    <row r="984" spans="1:14" x14ac:dyDescent="0.25">
      <c r="A984">
        <v>982</v>
      </c>
      <c r="B984" t="s">
        <v>346</v>
      </c>
      <c r="C984" t="s">
        <v>1658</v>
      </c>
      <c r="D984" t="s">
        <v>1641</v>
      </c>
      <c r="E984" t="s">
        <v>1316</v>
      </c>
      <c r="J984" t="s">
        <v>1472</v>
      </c>
      <c r="N984">
        <v>0</v>
      </c>
    </row>
    <row r="985" spans="1:14" x14ac:dyDescent="0.25">
      <c r="A985">
        <v>983</v>
      </c>
      <c r="B985" t="s">
        <v>346</v>
      </c>
      <c r="C985" t="s">
        <v>1659</v>
      </c>
      <c r="D985" t="s">
        <v>1641</v>
      </c>
      <c r="E985" t="s">
        <v>1316</v>
      </c>
      <c r="J985" t="s">
        <v>1471</v>
      </c>
      <c r="N985">
        <v>0</v>
      </c>
    </row>
    <row r="986" spans="1:14" x14ac:dyDescent="0.25">
      <c r="A986">
        <v>984</v>
      </c>
      <c r="B986" t="s">
        <v>346</v>
      </c>
      <c r="C986" t="s">
        <v>1659</v>
      </c>
      <c r="D986" t="s">
        <v>1641</v>
      </c>
      <c r="E986" t="s">
        <v>1316</v>
      </c>
      <c r="J986" t="s">
        <v>1469</v>
      </c>
      <c r="N986">
        <v>0</v>
      </c>
    </row>
    <row r="987" spans="1:14" x14ac:dyDescent="0.25">
      <c r="A987">
        <v>985</v>
      </c>
      <c r="B987" t="s">
        <v>346</v>
      </c>
      <c r="C987" t="s">
        <v>1659</v>
      </c>
      <c r="D987" t="s">
        <v>1641</v>
      </c>
      <c r="E987" t="s">
        <v>1316</v>
      </c>
      <c r="J987" t="s">
        <v>1468</v>
      </c>
      <c r="N987">
        <v>0</v>
      </c>
    </row>
    <row r="988" spans="1:14" x14ac:dyDescent="0.25">
      <c r="A988">
        <v>986</v>
      </c>
      <c r="B988" t="s">
        <v>346</v>
      </c>
      <c r="C988" t="s">
        <v>1659</v>
      </c>
      <c r="D988" t="s">
        <v>1641</v>
      </c>
      <c r="E988" t="s">
        <v>1316</v>
      </c>
      <c r="J988" t="s">
        <v>1470</v>
      </c>
      <c r="N988">
        <v>0</v>
      </c>
    </row>
    <row r="989" spans="1:14" x14ac:dyDescent="0.25">
      <c r="A989">
        <v>987</v>
      </c>
      <c r="B989" t="s">
        <v>346</v>
      </c>
      <c r="C989" t="s">
        <v>1659</v>
      </c>
      <c r="D989" t="s">
        <v>1641</v>
      </c>
      <c r="E989" t="s">
        <v>1316</v>
      </c>
      <c r="J989" t="s">
        <v>1467</v>
      </c>
      <c r="N989">
        <v>0</v>
      </c>
    </row>
    <row r="990" spans="1:14" x14ac:dyDescent="0.25">
      <c r="A990">
        <v>988</v>
      </c>
      <c r="B990" t="s">
        <v>346</v>
      </c>
      <c r="C990" t="s">
        <v>1659</v>
      </c>
      <c r="D990" t="s">
        <v>1641</v>
      </c>
      <c r="E990" t="s">
        <v>1316</v>
      </c>
      <c r="J990" t="s">
        <v>1783</v>
      </c>
      <c r="N990">
        <v>0</v>
      </c>
    </row>
    <row r="991" spans="1:14" x14ac:dyDescent="0.25">
      <c r="A991">
        <v>989</v>
      </c>
      <c r="B991" t="s">
        <v>346</v>
      </c>
      <c r="C991" t="s">
        <v>1659</v>
      </c>
      <c r="D991" t="s">
        <v>1641</v>
      </c>
      <c r="E991" t="s">
        <v>1316</v>
      </c>
      <c r="J991" t="s">
        <v>1466</v>
      </c>
      <c r="N991">
        <v>0</v>
      </c>
    </row>
    <row r="992" spans="1:14" x14ac:dyDescent="0.25">
      <c r="A992">
        <v>990</v>
      </c>
      <c r="B992" t="s">
        <v>346</v>
      </c>
      <c r="C992" t="s">
        <v>1659</v>
      </c>
      <c r="D992" t="s">
        <v>1641</v>
      </c>
      <c r="E992" t="s">
        <v>1316</v>
      </c>
      <c r="J992" t="s">
        <v>1460</v>
      </c>
      <c r="N992">
        <v>0</v>
      </c>
    </row>
    <row r="993" spans="1:14" x14ac:dyDescent="0.25">
      <c r="A993">
        <v>991</v>
      </c>
      <c r="B993" t="s">
        <v>346</v>
      </c>
      <c r="C993" t="s">
        <v>1659</v>
      </c>
      <c r="D993" t="s">
        <v>1641</v>
      </c>
      <c r="E993" t="s">
        <v>1316</v>
      </c>
      <c r="J993" t="s">
        <v>1459</v>
      </c>
      <c r="N993">
        <v>0</v>
      </c>
    </row>
    <row r="994" spans="1:14" x14ac:dyDescent="0.25">
      <c r="A994">
        <v>992</v>
      </c>
      <c r="B994" t="s">
        <v>346</v>
      </c>
      <c r="C994" t="s">
        <v>1659</v>
      </c>
      <c r="D994" t="s">
        <v>1641</v>
      </c>
      <c r="E994" t="s">
        <v>1316</v>
      </c>
      <c r="J994" t="s">
        <v>1458</v>
      </c>
      <c r="N994">
        <v>0</v>
      </c>
    </row>
    <row r="995" spans="1:14" x14ac:dyDescent="0.25">
      <c r="A995">
        <v>993</v>
      </c>
      <c r="B995" t="s">
        <v>346</v>
      </c>
      <c r="C995" t="s">
        <v>1659</v>
      </c>
      <c r="D995" t="s">
        <v>1641</v>
      </c>
      <c r="E995" t="s">
        <v>1316</v>
      </c>
      <c r="J995" t="s">
        <v>1457</v>
      </c>
      <c r="N995">
        <v>0</v>
      </c>
    </row>
    <row r="996" spans="1:14" x14ac:dyDescent="0.25">
      <c r="A996">
        <v>994</v>
      </c>
      <c r="B996" t="s">
        <v>346</v>
      </c>
      <c r="C996" t="s">
        <v>1659</v>
      </c>
      <c r="D996" t="s">
        <v>1641</v>
      </c>
      <c r="E996" t="s">
        <v>1316</v>
      </c>
      <c r="J996" t="s">
        <v>1456</v>
      </c>
      <c r="N996">
        <v>0</v>
      </c>
    </row>
    <row r="997" spans="1:14" x14ac:dyDescent="0.25">
      <c r="A997">
        <v>995</v>
      </c>
      <c r="B997" t="s">
        <v>346</v>
      </c>
      <c r="C997" t="s">
        <v>1660</v>
      </c>
      <c r="D997" t="s">
        <v>1641</v>
      </c>
      <c r="E997" t="s">
        <v>1316</v>
      </c>
      <c r="J997" t="s">
        <v>1455</v>
      </c>
      <c r="N997">
        <v>0</v>
      </c>
    </row>
    <row r="998" spans="1:14" x14ac:dyDescent="0.25">
      <c r="A998">
        <v>996</v>
      </c>
      <c r="B998" t="s">
        <v>346</v>
      </c>
      <c r="C998" t="s">
        <v>1660</v>
      </c>
      <c r="D998" t="s">
        <v>1641</v>
      </c>
      <c r="E998" t="s">
        <v>1316</v>
      </c>
      <c r="J998" t="s">
        <v>1454</v>
      </c>
      <c r="N998">
        <v>0</v>
      </c>
    </row>
    <row r="999" spans="1:14" x14ac:dyDescent="0.25">
      <c r="A999">
        <v>997</v>
      </c>
      <c r="B999" t="s">
        <v>346</v>
      </c>
      <c r="C999" t="s">
        <v>1660</v>
      </c>
      <c r="D999" t="s">
        <v>1641</v>
      </c>
      <c r="E999" t="s">
        <v>1316</v>
      </c>
      <c r="J999" t="s">
        <v>1453</v>
      </c>
      <c r="N999">
        <v>0</v>
      </c>
    </row>
    <row r="1000" spans="1:14" x14ac:dyDescent="0.25">
      <c r="A1000">
        <v>998</v>
      </c>
      <c r="B1000" t="s">
        <v>346</v>
      </c>
      <c r="C1000" t="s">
        <v>1660</v>
      </c>
      <c r="D1000" t="s">
        <v>1641</v>
      </c>
      <c r="E1000" t="s">
        <v>1316</v>
      </c>
      <c r="J1000" t="s">
        <v>1465</v>
      </c>
      <c r="N1000">
        <v>0</v>
      </c>
    </row>
    <row r="1001" spans="1:14" x14ac:dyDescent="0.25">
      <c r="A1001">
        <v>999</v>
      </c>
      <c r="B1001" t="s">
        <v>346</v>
      </c>
      <c r="C1001" t="s">
        <v>1660</v>
      </c>
      <c r="D1001" t="s">
        <v>1641</v>
      </c>
      <c r="E1001" t="s">
        <v>1316</v>
      </c>
      <c r="J1001" t="s">
        <v>1461</v>
      </c>
      <c r="N1001">
        <v>0</v>
      </c>
    </row>
    <row r="1002" spans="1:14" x14ac:dyDescent="0.25">
      <c r="A1002">
        <v>1000</v>
      </c>
      <c r="B1002" t="s">
        <v>346</v>
      </c>
      <c r="C1002" t="s">
        <v>1660</v>
      </c>
      <c r="D1002" t="s">
        <v>1641</v>
      </c>
      <c r="E1002" t="s">
        <v>1316</v>
      </c>
      <c r="J1002" t="s">
        <v>1462</v>
      </c>
      <c r="N1002">
        <v>0</v>
      </c>
    </row>
    <row r="1003" spans="1:14" x14ac:dyDescent="0.25">
      <c r="A1003">
        <v>1001</v>
      </c>
      <c r="B1003" t="s">
        <v>346</v>
      </c>
      <c r="C1003" t="s">
        <v>1660</v>
      </c>
      <c r="D1003" t="s">
        <v>1641</v>
      </c>
      <c r="E1003" t="s">
        <v>1316</v>
      </c>
      <c r="J1003" t="s">
        <v>1463</v>
      </c>
      <c r="N1003">
        <v>0</v>
      </c>
    </row>
    <row r="1004" spans="1:14" x14ac:dyDescent="0.25">
      <c r="A1004">
        <v>1002</v>
      </c>
      <c r="B1004" t="s">
        <v>346</v>
      </c>
      <c r="C1004" t="s">
        <v>1660</v>
      </c>
      <c r="D1004" t="s">
        <v>1641</v>
      </c>
      <c r="E1004" t="s">
        <v>1316</v>
      </c>
      <c r="J1004" t="s">
        <v>1464</v>
      </c>
      <c r="N1004">
        <v>0</v>
      </c>
    </row>
    <row r="1005" spans="1:14" x14ac:dyDescent="0.25">
      <c r="A1005">
        <v>1003</v>
      </c>
      <c r="B1005" t="s">
        <v>346</v>
      </c>
      <c r="C1005" t="s">
        <v>1660</v>
      </c>
      <c r="D1005" t="s">
        <v>1641</v>
      </c>
      <c r="E1005" t="s">
        <v>1316</v>
      </c>
      <c r="J1005" t="s">
        <v>1447</v>
      </c>
      <c r="N1005">
        <v>0</v>
      </c>
    </row>
    <row r="1006" spans="1:14" x14ac:dyDescent="0.25">
      <c r="A1006">
        <v>1004</v>
      </c>
      <c r="B1006" t="s">
        <v>346</v>
      </c>
      <c r="C1006" t="s">
        <v>1660</v>
      </c>
      <c r="D1006" t="s">
        <v>1641</v>
      </c>
      <c r="E1006" t="s">
        <v>1316</v>
      </c>
      <c r="J1006" t="s">
        <v>1448</v>
      </c>
      <c r="N1006">
        <v>0</v>
      </c>
    </row>
    <row r="1007" spans="1:14" x14ac:dyDescent="0.25">
      <c r="A1007">
        <v>1005</v>
      </c>
      <c r="B1007" t="s">
        <v>346</v>
      </c>
      <c r="C1007" t="s">
        <v>1660</v>
      </c>
      <c r="D1007" t="s">
        <v>1641</v>
      </c>
      <c r="E1007" t="s">
        <v>1316</v>
      </c>
      <c r="J1007" t="s">
        <v>1449</v>
      </c>
      <c r="N1007">
        <v>0</v>
      </c>
    </row>
    <row r="1008" spans="1:14" x14ac:dyDescent="0.25">
      <c r="A1008">
        <v>1006</v>
      </c>
      <c r="B1008" t="s">
        <v>346</v>
      </c>
      <c r="C1008" t="s">
        <v>1660</v>
      </c>
      <c r="D1008" t="s">
        <v>1641</v>
      </c>
      <c r="E1008" t="s">
        <v>1316</v>
      </c>
      <c r="J1008" t="s">
        <v>1784</v>
      </c>
      <c r="N1008">
        <v>0</v>
      </c>
    </row>
    <row r="1009" spans="1:14" x14ac:dyDescent="0.25">
      <c r="A1009">
        <v>1007</v>
      </c>
      <c r="B1009" t="s">
        <v>346</v>
      </c>
      <c r="C1009" t="s">
        <v>1660</v>
      </c>
      <c r="D1009" t="s">
        <v>1641</v>
      </c>
      <c r="E1009" t="s">
        <v>1316</v>
      </c>
      <c r="J1009" t="s">
        <v>1785</v>
      </c>
      <c r="N1009">
        <v>0</v>
      </c>
    </row>
    <row r="1010" spans="1:14" x14ac:dyDescent="0.25">
      <c r="A1010">
        <v>1008</v>
      </c>
      <c r="B1010" t="s">
        <v>346</v>
      </c>
      <c r="C1010" t="s">
        <v>1660</v>
      </c>
      <c r="D1010" t="s">
        <v>1641</v>
      </c>
      <c r="E1010" t="s">
        <v>1316</v>
      </c>
      <c r="J1010" t="s">
        <v>1446</v>
      </c>
      <c r="N1010">
        <v>0</v>
      </c>
    </row>
    <row r="1011" spans="1:14" x14ac:dyDescent="0.25">
      <c r="A1011">
        <v>1009</v>
      </c>
      <c r="B1011" t="s">
        <v>346</v>
      </c>
      <c r="C1011" t="s">
        <v>1660</v>
      </c>
      <c r="D1011" t="s">
        <v>1641</v>
      </c>
      <c r="E1011" t="s">
        <v>1316</v>
      </c>
      <c r="J1011" t="s">
        <v>1786</v>
      </c>
      <c r="N1011">
        <v>0</v>
      </c>
    </row>
    <row r="1012" spans="1:14" x14ac:dyDescent="0.25">
      <c r="A1012">
        <v>1010</v>
      </c>
      <c r="B1012" t="s">
        <v>346</v>
      </c>
      <c r="C1012" t="s">
        <v>1660</v>
      </c>
      <c r="D1012" t="s">
        <v>1641</v>
      </c>
      <c r="E1012" t="s">
        <v>1316</v>
      </c>
      <c r="J1012" t="s">
        <v>1787</v>
      </c>
      <c r="N1012">
        <v>0</v>
      </c>
    </row>
    <row r="1013" spans="1:14" x14ac:dyDescent="0.25">
      <c r="A1013">
        <v>1011</v>
      </c>
      <c r="B1013" t="s">
        <v>346</v>
      </c>
      <c r="C1013" t="s">
        <v>1660</v>
      </c>
      <c r="D1013" t="s">
        <v>1641</v>
      </c>
      <c r="E1013" t="s">
        <v>1316</v>
      </c>
      <c r="J1013" t="s">
        <v>1788</v>
      </c>
      <c r="N1013">
        <v>0</v>
      </c>
    </row>
    <row r="1014" spans="1:14" x14ac:dyDescent="0.25">
      <c r="A1014">
        <v>1012</v>
      </c>
      <c r="B1014" t="s">
        <v>346</v>
      </c>
      <c r="C1014" t="s">
        <v>1660</v>
      </c>
      <c r="D1014" t="s">
        <v>1641</v>
      </c>
      <c r="E1014" t="s">
        <v>1316</v>
      </c>
      <c r="J1014" t="s">
        <v>1445</v>
      </c>
      <c r="N1014">
        <v>0</v>
      </c>
    </row>
    <row r="1015" spans="1:14" x14ac:dyDescent="0.25">
      <c r="A1015">
        <v>1013</v>
      </c>
      <c r="B1015" t="s">
        <v>346</v>
      </c>
      <c r="C1015" t="s">
        <v>1660</v>
      </c>
      <c r="D1015" t="s">
        <v>1641</v>
      </c>
      <c r="E1015" t="s">
        <v>1316</v>
      </c>
      <c r="J1015" t="s">
        <v>1444</v>
      </c>
      <c r="N1015">
        <v>0</v>
      </c>
    </row>
    <row r="1016" spans="1:14" x14ac:dyDescent="0.25">
      <c r="A1016">
        <v>1014</v>
      </c>
      <c r="B1016" t="s">
        <v>346</v>
      </c>
      <c r="C1016" t="s">
        <v>1660</v>
      </c>
      <c r="D1016" t="s">
        <v>1641</v>
      </c>
      <c r="E1016" t="s">
        <v>1316</v>
      </c>
      <c r="J1016" t="s">
        <v>1443</v>
      </c>
      <c r="N1016">
        <v>0</v>
      </c>
    </row>
    <row r="1017" spans="1:14" x14ac:dyDescent="0.25">
      <c r="A1017">
        <v>1015</v>
      </c>
      <c r="B1017" t="s">
        <v>346</v>
      </c>
      <c r="C1017" t="s">
        <v>1660</v>
      </c>
      <c r="D1017" t="s">
        <v>1641</v>
      </c>
      <c r="E1017" t="s">
        <v>1316</v>
      </c>
      <c r="J1017" t="s">
        <v>1441</v>
      </c>
      <c r="N1017">
        <v>0</v>
      </c>
    </row>
    <row r="1018" spans="1:14" x14ac:dyDescent="0.25">
      <c r="A1018">
        <v>1016</v>
      </c>
      <c r="B1018" t="s">
        <v>346</v>
      </c>
      <c r="C1018" t="s">
        <v>1660</v>
      </c>
      <c r="D1018" t="s">
        <v>1641</v>
      </c>
      <c r="E1018" t="s">
        <v>1316</v>
      </c>
      <c r="J1018" t="s">
        <v>1442</v>
      </c>
      <c r="N1018">
        <v>0</v>
      </c>
    </row>
    <row r="1019" spans="1:14" x14ac:dyDescent="0.25">
      <c r="A1019">
        <v>1017</v>
      </c>
      <c r="B1019" t="s">
        <v>346</v>
      </c>
      <c r="C1019" t="s">
        <v>1660</v>
      </c>
      <c r="D1019" t="s">
        <v>1641</v>
      </c>
      <c r="E1019" t="s">
        <v>1316</v>
      </c>
      <c r="J1019" t="s">
        <v>1440</v>
      </c>
      <c r="N1019">
        <v>0</v>
      </c>
    </row>
    <row r="1020" spans="1:14" x14ac:dyDescent="0.25">
      <c r="A1020">
        <v>1018</v>
      </c>
      <c r="B1020" t="s">
        <v>653</v>
      </c>
      <c r="C1020" t="s">
        <v>1655</v>
      </c>
      <c r="D1020" t="s">
        <v>1641</v>
      </c>
      <c r="E1020" t="s">
        <v>1316</v>
      </c>
      <c r="J1020" t="s">
        <v>1357</v>
      </c>
      <c r="N1020">
        <v>0</v>
      </c>
    </row>
    <row r="1021" spans="1:14" x14ac:dyDescent="0.25">
      <c r="A1021">
        <v>1019</v>
      </c>
      <c r="B1021" t="s">
        <v>653</v>
      </c>
      <c r="C1021" t="s">
        <v>1655</v>
      </c>
      <c r="D1021" t="s">
        <v>1641</v>
      </c>
      <c r="E1021" t="s">
        <v>1316</v>
      </c>
      <c r="J1021" t="s">
        <v>1365</v>
      </c>
      <c r="N1021">
        <v>0</v>
      </c>
    </row>
    <row r="1022" spans="1:14" x14ac:dyDescent="0.25">
      <c r="A1022">
        <v>1020</v>
      </c>
      <c r="B1022" t="s">
        <v>653</v>
      </c>
      <c r="C1022" t="s">
        <v>1651</v>
      </c>
      <c r="D1022" t="s">
        <v>1641</v>
      </c>
      <c r="E1022" t="s">
        <v>1316</v>
      </c>
      <c r="J1022" t="s">
        <v>1789</v>
      </c>
      <c r="N1022">
        <v>0</v>
      </c>
    </row>
    <row r="1023" spans="1:14" x14ac:dyDescent="0.25">
      <c r="A1023">
        <v>1021</v>
      </c>
      <c r="B1023" t="s">
        <v>653</v>
      </c>
      <c r="C1023" t="s">
        <v>1651</v>
      </c>
      <c r="D1023" t="s">
        <v>1641</v>
      </c>
      <c r="E1023" t="s">
        <v>1316</v>
      </c>
      <c r="J1023" t="s">
        <v>1363</v>
      </c>
      <c r="N1023">
        <v>0</v>
      </c>
    </row>
    <row r="1024" spans="1:14" x14ac:dyDescent="0.25">
      <c r="A1024">
        <v>1022</v>
      </c>
      <c r="B1024" t="s">
        <v>653</v>
      </c>
      <c r="C1024" t="s">
        <v>1651</v>
      </c>
      <c r="D1024" t="s">
        <v>1641</v>
      </c>
      <c r="E1024" t="s">
        <v>1316</v>
      </c>
      <c r="G1024" t="s">
        <v>16</v>
      </c>
      <c r="J1024" t="s">
        <v>1596</v>
      </c>
      <c r="N1024">
        <v>0</v>
      </c>
    </row>
    <row r="1025" spans="1:14" x14ac:dyDescent="0.25">
      <c r="A1025">
        <v>1023</v>
      </c>
      <c r="B1025" t="s">
        <v>653</v>
      </c>
      <c r="C1025" t="s">
        <v>1656</v>
      </c>
      <c r="D1025" t="s">
        <v>1641</v>
      </c>
      <c r="E1025" t="s">
        <v>1316</v>
      </c>
      <c r="G1025" t="s">
        <v>16</v>
      </c>
      <c r="J1025" t="s">
        <v>1745</v>
      </c>
      <c r="N1025">
        <v>0</v>
      </c>
    </row>
    <row r="1026" spans="1:14" x14ac:dyDescent="0.25">
      <c r="A1026">
        <v>1024</v>
      </c>
      <c r="B1026" t="s">
        <v>653</v>
      </c>
      <c r="C1026" t="s">
        <v>1656</v>
      </c>
      <c r="D1026" t="s">
        <v>1641</v>
      </c>
      <c r="E1026" t="s">
        <v>1316</v>
      </c>
      <c r="J1026" t="s">
        <v>1745</v>
      </c>
      <c r="N1026">
        <v>0</v>
      </c>
    </row>
    <row r="1027" spans="1:14" x14ac:dyDescent="0.25">
      <c r="A1027">
        <v>1025</v>
      </c>
      <c r="B1027" t="s">
        <v>653</v>
      </c>
      <c r="C1027" t="s">
        <v>1656</v>
      </c>
      <c r="D1027" t="s">
        <v>1641</v>
      </c>
      <c r="E1027" t="s">
        <v>1316</v>
      </c>
      <c r="J1027" t="s">
        <v>1745</v>
      </c>
      <c r="N1027">
        <v>0</v>
      </c>
    </row>
    <row r="1028" spans="1:14" x14ac:dyDescent="0.25">
      <c r="A1028">
        <v>1026</v>
      </c>
      <c r="B1028" t="s">
        <v>990</v>
      </c>
      <c r="C1028" t="s">
        <v>1656</v>
      </c>
      <c r="D1028" t="s">
        <v>1641</v>
      </c>
      <c r="E1028" t="s">
        <v>1316</v>
      </c>
      <c r="J1028" t="s">
        <v>1745</v>
      </c>
      <c r="N1028">
        <v>0</v>
      </c>
    </row>
    <row r="1029" spans="1:14" x14ac:dyDescent="0.25">
      <c r="A1029">
        <v>1027</v>
      </c>
      <c r="B1029" t="s">
        <v>653</v>
      </c>
      <c r="C1029" t="s">
        <v>1640</v>
      </c>
      <c r="D1029" t="s">
        <v>1641</v>
      </c>
      <c r="E1029" t="s">
        <v>1316</v>
      </c>
      <c r="G1029" t="s">
        <v>16</v>
      </c>
      <c r="J1029" t="s">
        <v>1745</v>
      </c>
      <c r="N1029">
        <v>0</v>
      </c>
    </row>
    <row r="1030" spans="1:14" x14ac:dyDescent="0.25">
      <c r="A1030">
        <v>1028</v>
      </c>
      <c r="B1030" t="s">
        <v>990</v>
      </c>
      <c r="C1030" t="s">
        <v>1656</v>
      </c>
      <c r="D1030" t="s">
        <v>1641</v>
      </c>
      <c r="E1030" t="s">
        <v>1316</v>
      </c>
      <c r="G1030" t="s">
        <v>122</v>
      </c>
      <c r="J1030" t="s">
        <v>1779</v>
      </c>
      <c r="N1030">
        <v>-1</v>
      </c>
    </row>
    <row r="1031" spans="1:14" x14ac:dyDescent="0.25">
      <c r="A1031">
        <v>1029</v>
      </c>
      <c r="B1031" t="s">
        <v>990</v>
      </c>
      <c r="C1031" t="s">
        <v>1652</v>
      </c>
      <c r="D1031" t="s">
        <v>1641</v>
      </c>
      <c r="E1031" t="s">
        <v>1316</v>
      </c>
      <c r="J1031" t="s">
        <v>1790</v>
      </c>
      <c r="N1031">
        <v>0</v>
      </c>
    </row>
    <row r="1032" spans="1:14" x14ac:dyDescent="0.25">
      <c r="A1032">
        <v>1030</v>
      </c>
      <c r="B1032" t="s">
        <v>990</v>
      </c>
      <c r="C1032" t="s">
        <v>1652</v>
      </c>
      <c r="D1032" t="s">
        <v>1641</v>
      </c>
      <c r="E1032" t="s">
        <v>1316</v>
      </c>
      <c r="G1032" t="s">
        <v>122</v>
      </c>
      <c r="J1032" t="s">
        <v>1779</v>
      </c>
      <c r="N1032">
        <v>0</v>
      </c>
    </row>
    <row r="1033" spans="1:14" x14ac:dyDescent="0.25">
      <c r="A1033">
        <v>1031</v>
      </c>
      <c r="B1033" t="s">
        <v>990</v>
      </c>
      <c r="C1033" t="s">
        <v>1652</v>
      </c>
      <c r="D1033" t="s">
        <v>1641</v>
      </c>
      <c r="E1033" t="s">
        <v>1316</v>
      </c>
      <c r="G1033" t="s">
        <v>122</v>
      </c>
      <c r="J1033" t="s">
        <v>1779</v>
      </c>
      <c r="N1033">
        <v>0</v>
      </c>
    </row>
    <row r="1034" spans="1:14" x14ac:dyDescent="0.25">
      <c r="A1034">
        <v>1032</v>
      </c>
      <c r="B1034" t="s">
        <v>990</v>
      </c>
      <c r="C1034" t="s">
        <v>1652</v>
      </c>
      <c r="D1034" t="s">
        <v>1641</v>
      </c>
      <c r="E1034" t="s">
        <v>1316</v>
      </c>
      <c r="G1034" t="s">
        <v>122</v>
      </c>
      <c r="J1034" t="s">
        <v>1791</v>
      </c>
      <c r="N1034">
        <v>0</v>
      </c>
    </row>
    <row r="1035" spans="1:14" x14ac:dyDescent="0.25">
      <c r="A1035">
        <v>1033</v>
      </c>
      <c r="B1035" t="s">
        <v>990</v>
      </c>
      <c r="C1035" t="s">
        <v>1652</v>
      </c>
      <c r="D1035" t="s">
        <v>1641</v>
      </c>
      <c r="E1035" t="s">
        <v>1316</v>
      </c>
      <c r="G1035" t="s">
        <v>122</v>
      </c>
      <c r="J1035" t="s">
        <v>1791</v>
      </c>
      <c r="N1035">
        <v>0</v>
      </c>
    </row>
    <row r="1036" spans="1:14" x14ac:dyDescent="0.25">
      <c r="A1036">
        <v>1034</v>
      </c>
      <c r="B1036" t="s">
        <v>990</v>
      </c>
      <c r="C1036" t="s">
        <v>1661</v>
      </c>
      <c r="D1036" t="s">
        <v>1641</v>
      </c>
      <c r="E1036" t="s">
        <v>1316</v>
      </c>
      <c r="G1036" t="s">
        <v>122</v>
      </c>
      <c r="J1036" t="s">
        <v>1791</v>
      </c>
      <c r="N1036">
        <v>0</v>
      </c>
    </row>
    <row r="1037" spans="1:14" x14ac:dyDescent="0.25">
      <c r="A1037">
        <v>1035</v>
      </c>
      <c r="B1037" t="s">
        <v>990</v>
      </c>
      <c r="C1037" t="s">
        <v>1652</v>
      </c>
      <c r="D1037" t="s">
        <v>1641</v>
      </c>
      <c r="E1037" t="s">
        <v>1316</v>
      </c>
      <c r="J1037" t="s">
        <v>1778</v>
      </c>
      <c r="N1037">
        <v>0</v>
      </c>
    </row>
    <row r="1038" spans="1:14" x14ac:dyDescent="0.25">
      <c r="A1038">
        <v>1036</v>
      </c>
      <c r="B1038" t="s">
        <v>11</v>
      </c>
      <c r="C1038" t="s">
        <v>1652</v>
      </c>
      <c r="D1038" t="s">
        <v>1641</v>
      </c>
      <c r="E1038" t="s">
        <v>1316</v>
      </c>
      <c r="G1038" t="s">
        <v>122</v>
      </c>
      <c r="J1038" t="s">
        <v>1779</v>
      </c>
      <c r="N1038">
        <v>0</v>
      </c>
    </row>
    <row r="1039" spans="1:14" x14ac:dyDescent="0.25">
      <c r="A1039">
        <v>1037</v>
      </c>
      <c r="B1039" t="s">
        <v>11</v>
      </c>
      <c r="C1039" t="s">
        <v>1652</v>
      </c>
      <c r="D1039" t="s">
        <v>1641</v>
      </c>
      <c r="E1039" t="s">
        <v>1316</v>
      </c>
      <c r="J1039" t="s">
        <v>1778</v>
      </c>
      <c r="N1039">
        <v>0</v>
      </c>
    </row>
    <row r="1040" spans="1:14" x14ac:dyDescent="0.25">
      <c r="A1040">
        <v>1038</v>
      </c>
      <c r="B1040" t="s">
        <v>11</v>
      </c>
      <c r="C1040" t="s">
        <v>1652</v>
      </c>
      <c r="D1040" t="s">
        <v>1641</v>
      </c>
      <c r="E1040" t="s">
        <v>1316</v>
      </c>
      <c r="J1040" t="s">
        <v>1569</v>
      </c>
      <c r="N1040">
        <v>0</v>
      </c>
    </row>
    <row r="1041" spans="1:14" x14ac:dyDescent="0.25">
      <c r="A1041">
        <v>1039</v>
      </c>
      <c r="B1041" t="s">
        <v>11</v>
      </c>
      <c r="C1041" t="s">
        <v>1652</v>
      </c>
      <c r="D1041" t="s">
        <v>1641</v>
      </c>
      <c r="E1041" t="s">
        <v>1316</v>
      </c>
      <c r="J1041" t="s">
        <v>1568</v>
      </c>
      <c r="N1041">
        <v>0</v>
      </c>
    </row>
    <row r="1042" spans="1:14" x14ac:dyDescent="0.25">
      <c r="A1042">
        <v>1040</v>
      </c>
      <c r="B1042" t="s">
        <v>11</v>
      </c>
      <c r="C1042" t="s">
        <v>1661</v>
      </c>
      <c r="D1042" t="s">
        <v>1641</v>
      </c>
      <c r="E1042" t="s">
        <v>1316</v>
      </c>
      <c r="J1042" t="s">
        <v>1566</v>
      </c>
      <c r="N1042">
        <v>0</v>
      </c>
    </row>
    <row r="1043" spans="1:14" x14ac:dyDescent="0.25">
      <c r="A1043">
        <v>1041</v>
      </c>
      <c r="B1043" t="s">
        <v>11</v>
      </c>
      <c r="C1043" t="s">
        <v>1661</v>
      </c>
      <c r="D1043" t="s">
        <v>1641</v>
      </c>
      <c r="E1043" t="s">
        <v>1316</v>
      </c>
      <c r="J1043" t="s">
        <v>1567</v>
      </c>
      <c r="N1043">
        <v>0</v>
      </c>
    </row>
    <row r="1044" spans="1:14" x14ac:dyDescent="0.25">
      <c r="A1044">
        <v>1042</v>
      </c>
      <c r="B1044" t="s">
        <v>11</v>
      </c>
      <c r="C1044" t="s">
        <v>1653</v>
      </c>
      <c r="D1044" t="s">
        <v>1641</v>
      </c>
      <c r="E1044" t="s">
        <v>1316</v>
      </c>
      <c r="J1044" t="s">
        <v>1537</v>
      </c>
      <c r="N1044">
        <v>0</v>
      </c>
    </row>
    <row r="1045" spans="1:14" x14ac:dyDescent="0.25">
      <c r="A1045">
        <v>1043</v>
      </c>
      <c r="B1045" t="s">
        <v>11</v>
      </c>
      <c r="C1045" t="s">
        <v>1653</v>
      </c>
      <c r="D1045" t="s">
        <v>1641</v>
      </c>
      <c r="E1045" t="s">
        <v>1316</v>
      </c>
      <c r="J1045" t="s">
        <v>1538</v>
      </c>
      <c r="N1045">
        <v>0</v>
      </c>
    </row>
    <row r="1046" spans="1:14" x14ac:dyDescent="0.25">
      <c r="A1046">
        <v>1044</v>
      </c>
      <c r="B1046" t="s">
        <v>11</v>
      </c>
      <c r="C1046" t="s">
        <v>1653</v>
      </c>
      <c r="D1046" t="s">
        <v>1641</v>
      </c>
      <c r="E1046" t="s">
        <v>1316</v>
      </c>
      <c r="G1046" t="s">
        <v>16</v>
      </c>
      <c r="J1046" t="s">
        <v>1541</v>
      </c>
      <c r="N1046">
        <v>0</v>
      </c>
    </row>
    <row r="1047" spans="1:14" x14ac:dyDescent="0.25">
      <c r="A1047">
        <v>1045</v>
      </c>
      <c r="B1047" t="s">
        <v>11</v>
      </c>
      <c r="C1047" t="s">
        <v>1653</v>
      </c>
      <c r="D1047" t="s">
        <v>1641</v>
      </c>
      <c r="E1047" t="s">
        <v>1316</v>
      </c>
      <c r="J1047" t="s">
        <v>1544</v>
      </c>
      <c r="N1047">
        <v>0</v>
      </c>
    </row>
    <row r="1048" spans="1:14" x14ac:dyDescent="0.25">
      <c r="A1048">
        <v>1046</v>
      </c>
      <c r="B1048" t="s">
        <v>11</v>
      </c>
      <c r="C1048" t="s">
        <v>1653</v>
      </c>
      <c r="D1048" t="s">
        <v>1641</v>
      </c>
      <c r="E1048" t="s">
        <v>1316</v>
      </c>
      <c r="J1048" t="s">
        <v>1542</v>
      </c>
      <c r="N1048">
        <v>0</v>
      </c>
    </row>
    <row r="1049" spans="1:14" x14ac:dyDescent="0.25">
      <c r="A1049">
        <v>1047</v>
      </c>
      <c r="B1049" t="s">
        <v>11</v>
      </c>
      <c r="C1049" t="s">
        <v>1653</v>
      </c>
      <c r="D1049" t="s">
        <v>1641</v>
      </c>
      <c r="E1049" t="s">
        <v>1316</v>
      </c>
      <c r="J1049" t="s">
        <v>1546</v>
      </c>
      <c r="N1049">
        <v>0</v>
      </c>
    </row>
    <row r="1050" spans="1:14" x14ac:dyDescent="0.25">
      <c r="A1050">
        <v>1048</v>
      </c>
      <c r="B1050" t="s">
        <v>11</v>
      </c>
      <c r="C1050" t="s">
        <v>1653</v>
      </c>
      <c r="D1050" t="s">
        <v>1641</v>
      </c>
      <c r="E1050" t="s">
        <v>1316</v>
      </c>
      <c r="J1050" t="s">
        <v>1792</v>
      </c>
      <c r="N1050">
        <v>0</v>
      </c>
    </row>
    <row r="1051" spans="1:14" x14ac:dyDescent="0.25">
      <c r="A1051">
        <v>1049</v>
      </c>
      <c r="B1051" t="s">
        <v>11</v>
      </c>
      <c r="C1051" t="s">
        <v>1653</v>
      </c>
      <c r="D1051" t="s">
        <v>1641</v>
      </c>
      <c r="E1051" t="s">
        <v>1316</v>
      </c>
      <c r="G1051" t="s">
        <v>122</v>
      </c>
      <c r="J1051" t="s">
        <v>1793</v>
      </c>
      <c r="N1051">
        <v>0</v>
      </c>
    </row>
    <row r="1052" spans="1:14" x14ac:dyDescent="0.25">
      <c r="A1052">
        <v>1050</v>
      </c>
      <c r="B1052" t="s">
        <v>11</v>
      </c>
      <c r="C1052" t="s">
        <v>1653</v>
      </c>
      <c r="D1052" t="s">
        <v>1641</v>
      </c>
      <c r="E1052" t="s">
        <v>1316</v>
      </c>
      <c r="G1052" t="s">
        <v>122</v>
      </c>
      <c r="J1052" t="s">
        <v>1794</v>
      </c>
      <c r="N1052">
        <v>0</v>
      </c>
    </row>
    <row r="1053" spans="1:14" x14ac:dyDescent="0.25">
      <c r="A1053">
        <v>1051</v>
      </c>
      <c r="B1053" t="s">
        <v>11</v>
      </c>
      <c r="C1053" t="s">
        <v>1657</v>
      </c>
      <c r="D1053" t="s">
        <v>1641</v>
      </c>
      <c r="E1053" t="s">
        <v>1316</v>
      </c>
      <c r="J1053" t="s">
        <v>1433</v>
      </c>
      <c r="N1053">
        <v>0</v>
      </c>
    </row>
    <row r="1054" spans="1:14" x14ac:dyDescent="0.25">
      <c r="A1054">
        <v>1052</v>
      </c>
      <c r="B1054" t="s">
        <v>11</v>
      </c>
      <c r="C1054" t="s">
        <v>1657</v>
      </c>
      <c r="D1054" t="s">
        <v>1641</v>
      </c>
      <c r="E1054" t="s">
        <v>1316</v>
      </c>
      <c r="G1054" t="s">
        <v>122</v>
      </c>
      <c r="J1054" t="s">
        <v>1794</v>
      </c>
      <c r="N1054">
        <v>0</v>
      </c>
    </row>
    <row r="1055" spans="1:14" x14ac:dyDescent="0.25">
      <c r="A1055">
        <v>1053</v>
      </c>
      <c r="B1055" t="s">
        <v>1016</v>
      </c>
      <c r="C1055" t="s">
        <v>1657</v>
      </c>
      <c r="D1055" t="s">
        <v>1641</v>
      </c>
      <c r="E1055" t="s">
        <v>1316</v>
      </c>
      <c r="J1055" t="s">
        <v>1433</v>
      </c>
      <c r="N1055">
        <v>0</v>
      </c>
    </row>
    <row r="1056" spans="1:14" x14ac:dyDescent="0.25">
      <c r="A1056">
        <v>1054</v>
      </c>
      <c r="B1056" t="s">
        <v>1016</v>
      </c>
      <c r="C1056" t="s">
        <v>1657</v>
      </c>
      <c r="D1056" t="s">
        <v>1641</v>
      </c>
      <c r="E1056" t="s">
        <v>1316</v>
      </c>
      <c r="G1056" t="s">
        <v>122</v>
      </c>
      <c r="J1056" t="s">
        <v>1794</v>
      </c>
      <c r="N1056">
        <v>0</v>
      </c>
    </row>
    <row r="1057" spans="1:14" x14ac:dyDescent="0.25">
      <c r="A1057">
        <v>1055</v>
      </c>
      <c r="B1057" t="s">
        <v>1016</v>
      </c>
      <c r="C1057" t="s">
        <v>1658</v>
      </c>
      <c r="D1057" t="s">
        <v>1641</v>
      </c>
      <c r="E1057" t="s">
        <v>1316</v>
      </c>
      <c r="G1057" t="s">
        <v>122</v>
      </c>
      <c r="J1057" t="s">
        <v>1794</v>
      </c>
      <c r="N1057">
        <v>0</v>
      </c>
    </row>
    <row r="1058" spans="1:14" x14ac:dyDescent="0.25">
      <c r="A1058">
        <v>1056</v>
      </c>
      <c r="B1058" t="s">
        <v>1016</v>
      </c>
      <c r="C1058" t="s">
        <v>1662</v>
      </c>
      <c r="D1058" t="s">
        <v>1641</v>
      </c>
      <c r="E1058" t="s">
        <v>1316</v>
      </c>
      <c r="J1058" t="s">
        <v>1492</v>
      </c>
      <c r="N1058">
        <v>0</v>
      </c>
    </row>
    <row r="1059" spans="1:14" x14ac:dyDescent="0.25">
      <c r="A1059">
        <v>1057</v>
      </c>
      <c r="B1059" t="s">
        <v>1016</v>
      </c>
      <c r="C1059" t="s">
        <v>1658</v>
      </c>
      <c r="D1059" t="s">
        <v>1641</v>
      </c>
      <c r="E1059" t="s">
        <v>1316</v>
      </c>
      <c r="J1059" t="s">
        <v>1491</v>
      </c>
      <c r="N1059">
        <v>0</v>
      </c>
    </row>
    <row r="1060" spans="1:14" x14ac:dyDescent="0.25">
      <c r="A1060">
        <v>1058</v>
      </c>
      <c r="B1060" t="s">
        <v>1016</v>
      </c>
      <c r="C1060" t="s">
        <v>1658</v>
      </c>
      <c r="D1060" t="s">
        <v>1641</v>
      </c>
      <c r="E1060" t="s">
        <v>1316</v>
      </c>
      <c r="J1060" t="s">
        <v>1490</v>
      </c>
      <c r="N1060">
        <v>0</v>
      </c>
    </row>
    <row r="1061" spans="1:14" x14ac:dyDescent="0.25">
      <c r="A1061">
        <v>1059</v>
      </c>
      <c r="B1061" t="s">
        <v>1016</v>
      </c>
      <c r="C1061" t="s">
        <v>1663</v>
      </c>
      <c r="D1061" t="s">
        <v>1641</v>
      </c>
      <c r="E1061" t="s">
        <v>1316</v>
      </c>
      <c r="J1061" t="s">
        <v>1451</v>
      </c>
      <c r="N1061">
        <v>0</v>
      </c>
    </row>
    <row r="1062" spans="1:14" x14ac:dyDescent="0.25">
      <c r="A1062">
        <v>1060</v>
      </c>
      <c r="B1062" t="s">
        <v>1016</v>
      </c>
      <c r="C1062" t="s">
        <v>1663</v>
      </c>
      <c r="D1062" t="s">
        <v>1641</v>
      </c>
      <c r="E1062" t="s">
        <v>1316</v>
      </c>
      <c r="J1062" t="s">
        <v>1452</v>
      </c>
      <c r="N1062">
        <v>0</v>
      </c>
    </row>
    <row r="1063" spans="1:14" x14ac:dyDescent="0.25">
      <c r="A1063">
        <v>1061</v>
      </c>
      <c r="B1063" t="s">
        <v>1016</v>
      </c>
      <c r="C1063" t="s">
        <v>1663</v>
      </c>
      <c r="D1063" t="s">
        <v>1641</v>
      </c>
      <c r="E1063" t="s">
        <v>1316</v>
      </c>
      <c r="J1063" t="s">
        <v>1795</v>
      </c>
      <c r="N1063">
        <v>0</v>
      </c>
    </row>
    <row r="1064" spans="1:14" x14ac:dyDescent="0.25">
      <c r="A1064">
        <v>1062</v>
      </c>
      <c r="B1064" t="s">
        <v>1016</v>
      </c>
      <c r="C1064" t="s">
        <v>1663</v>
      </c>
      <c r="D1064" t="s">
        <v>1641</v>
      </c>
      <c r="E1064" t="s">
        <v>1316</v>
      </c>
      <c r="J1064" t="s">
        <v>1796</v>
      </c>
      <c r="N1064">
        <v>0</v>
      </c>
    </row>
    <row r="1065" spans="1:14" x14ac:dyDescent="0.25">
      <c r="A1065">
        <v>1063</v>
      </c>
      <c r="B1065" t="s">
        <v>653</v>
      </c>
      <c r="C1065" t="s">
        <v>1664</v>
      </c>
      <c r="D1065" t="s">
        <v>1641</v>
      </c>
      <c r="E1065" t="s">
        <v>1316</v>
      </c>
      <c r="J1065" t="s">
        <v>1797</v>
      </c>
      <c r="N1065">
        <v>0</v>
      </c>
    </row>
    <row r="1066" spans="1:14" x14ac:dyDescent="0.25">
      <c r="A1066">
        <v>1064</v>
      </c>
      <c r="B1066" t="s">
        <v>653</v>
      </c>
      <c r="C1066" t="s">
        <v>1664</v>
      </c>
      <c r="D1066" t="s">
        <v>1641</v>
      </c>
      <c r="E1066" t="s">
        <v>1316</v>
      </c>
      <c r="J1066" t="s">
        <v>1798</v>
      </c>
      <c r="N1066">
        <v>0</v>
      </c>
    </row>
    <row r="1067" spans="1:14" x14ac:dyDescent="0.25">
      <c r="A1067">
        <v>1065</v>
      </c>
      <c r="B1067" t="s">
        <v>653</v>
      </c>
      <c r="C1067" t="s">
        <v>1664</v>
      </c>
      <c r="D1067" t="s">
        <v>1641</v>
      </c>
      <c r="E1067" t="s">
        <v>1316</v>
      </c>
      <c r="J1067" t="s">
        <v>1517</v>
      </c>
      <c r="N1067">
        <v>0</v>
      </c>
    </row>
    <row r="1068" spans="1:14" x14ac:dyDescent="0.25">
      <c r="A1068">
        <v>1066</v>
      </c>
      <c r="B1068" t="s">
        <v>653</v>
      </c>
      <c r="C1068" t="s">
        <v>1664</v>
      </c>
      <c r="D1068" t="s">
        <v>1641</v>
      </c>
      <c r="E1068" t="s">
        <v>1316</v>
      </c>
      <c r="J1068" t="s">
        <v>1516</v>
      </c>
      <c r="N1068">
        <v>0</v>
      </c>
    </row>
    <row r="1069" spans="1:14" x14ac:dyDescent="0.25">
      <c r="A1069">
        <v>1067</v>
      </c>
      <c r="B1069" t="s">
        <v>653</v>
      </c>
      <c r="C1069" t="s">
        <v>1664</v>
      </c>
      <c r="D1069" t="s">
        <v>1641</v>
      </c>
      <c r="E1069" t="s">
        <v>1316</v>
      </c>
      <c r="J1069" t="s">
        <v>1426</v>
      </c>
      <c r="N1069">
        <v>0</v>
      </c>
    </row>
    <row r="1070" spans="1:14" x14ac:dyDescent="0.25">
      <c r="A1070">
        <v>1068</v>
      </c>
      <c r="B1070" t="s">
        <v>653</v>
      </c>
      <c r="C1070" t="s">
        <v>1665</v>
      </c>
      <c r="D1070" t="s">
        <v>1641</v>
      </c>
      <c r="E1070" t="s">
        <v>1316</v>
      </c>
      <c r="G1070" t="s">
        <v>16</v>
      </c>
      <c r="J1070" t="s">
        <v>1799</v>
      </c>
      <c r="N1070">
        <v>0</v>
      </c>
    </row>
    <row r="1071" spans="1:14" x14ac:dyDescent="0.25">
      <c r="A1071">
        <v>1069</v>
      </c>
      <c r="B1071" t="s">
        <v>653</v>
      </c>
      <c r="C1071" t="s">
        <v>1665</v>
      </c>
      <c r="D1071" t="s">
        <v>1641</v>
      </c>
      <c r="E1071" t="s">
        <v>1316</v>
      </c>
      <c r="J1071" t="s">
        <v>1519</v>
      </c>
      <c r="N1071">
        <v>0</v>
      </c>
    </row>
    <row r="1072" spans="1:14" x14ac:dyDescent="0.25">
      <c r="A1072">
        <v>1070</v>
      </c>
      <c r="B1072" t="s">
        <v>653</v>
      </c>
      <c r="C1072" t="s">
        <v>1665</v>
      </c>
      <c r="D1072" t="s">
        <v>1641</v>
      </c>
      <c r="E1072" t="s">
        <v>1316</v>
      </c>
      <c r="J1072" t="s">
        <v>1520</v>
      </c>
      <c r="N1072">
        <v>0</v>
      </c>
    </row>
    <row r="1073" spans="1:14" x14ac:dyDescent="0.25">
      <c r="A1073">
        <v>1071</v>
      </c>
      <c r="B1073" t="s">
        <v>653</v>
      </c>
      <c r="C1073" t="s">
        <v>1665</v>
      </c>
      <c r="D1073" t="s">
        <v>1641</v>
      </c>
      <c r="E1073" t="s">
        <v>1316</v>
      </c>
      <c r="G1073" t="s">
        <v>16</v>
      </c>
      <c r="J1073" t="s">
        <v>1521</v>
      </c>
      <c r="N1073">
        <v>0</v>
      </c>
    </row>
    <row r="1074" spans="1:14" x14ac:dyDescent="0.25">
      <c r="A1074">
        <v>1072</v>
      </c>
      <c r="B1074" t="s">
        <v>653</v>
      </c>
      <c r="C1074" t="s">
        <v>1666</v>
      </c>
      <c r="D1074" t="s">
        <v>1641</v>
      </c>
      <c r="E1074" t="s">
        <v>1316</v>
      </c>
      <c r="J1074" t="s">
        <v>1341</v>
      </c>
      <c r="N1074">
        <v>0</v>
      </c>
    </row>
    <row r="1075" spans="1:14" x14ac:dyDescent="0.25">
      <c r="A1075">
        <v>1073</v>
      </c>
      <c r="B1075" t="s">
        <v>653</v>
      </c>
      <c r="C1075" t="s">
        <v>1666</v>
      </c>
      <c r="D1075" t="s">
        <v>1641</v>
      </c>
      <c r="E1075" t="s">
        <v>1316</v>
      </c>
      <c r="J1075" t="s">
        <v>1342</v>
      </c>
      <c r="N1075">
        <v>0</v>
      </c>
    </row>
    <row r="1076" spans="1:14" x14ac:dyDescent="0.25">
      <c r="A1076">
        <v>1074</v>
      </c>
      <c r="B1076" t="s">
        <v>653</v>
      </c>
      <c r="C1076" t="s">
        <v>1666</v>
      </c>
      <c r="D1076" t="s">
        <v>1641</v>
      </c>
      <c r="E1076" t="s">
        <v>1316</v>
      </c>
      <c r="J1076" t="s">
        <v>1343</v>
      </c>
      <c r="N1076">
        <v>0</v>
      </c>
    </row>
    <row r="1077" spans="1:14" x14ac:dyDescent="0.25">
      <c r="A1077">
        <v>1075</v>
      </c>
      <c r="B1077" t="s">
        <v>653</v>
      </c>
      <c r="C1077" t="s">
        <v>1666</v>
      </c>
      <c r="D1077" t="s">
        <v>1641</v>
      </c>
      <c r="E1077" t="s">
        <v>1316</v>
      </c>
      <c r="J1077" t="s">
        <v>1422</v>
      </c>
      <c r="N1077">
        <v>0</v>
      </c>
    </row>
    <row r="1078" spans="1:14" x14ac:dyDescent="0.25">
      <c r="A1078">
        <v>1076</v>
      </c>
      <c r="B1078" t="s">
        <v>653</v>
      </c>
      <c r="C1078" t="s">
        <v>1666</v>
      </c>
      <c r="D1078" t="s">
        <v>1641</v>
      </c>
      <c r="E1078" t="s">
        <v>1316</v>
      </c>
      <c r="J1078" t="s">
        <v>1423</v>
      </c>
      <c r="N1078">
        <v>0</v>
      </c>
    </row>
    <row r="1079" spans="1:14" x14ac:dyDescent="0.25">
      <c r="A1079">
        <v>1077</v>
      </c>
      <c r="B1079" t="s">
        <v>653</v>
      </c>
      <c r="C1079" t="s">
        <v>1666</v>
      </c>
      <c r="D1079" t="s">
        <v>1641</v>
      </c>
      <c r="E1079" t="s">
        <v>1316</v>
      </c>
      <c r="G1079" t="s">
        <v>16</v>
      </c>
      <c r="J1079" t="s">
        <v>1421</v>
      </c>
      <c r="N1079">
        <v>0</v>
      </c>
    </row>
    <row r="1080" spans="1:14" x14ac:dyDescent="0.25">
      <c r="A1080">
        <v>1078</v>
      </c>
      <c r="B1080" t="s">
        <v>653</v>
      </c>
      <c r="C1080" t="s">
        <v>1666</v>
      </c>
      <c r="D1080" t="s">
        <v>1641</v>
      </c>
      <c r="E1080" t="s">
        <v>1316</v>
      </c>
      <c r="J1080" t="s">
        <v>1344</v>
      </c>
      <c r="N1080">
        <v>0</v>
      </c>
    </row>
    <row r="1081" spans="1:14" x14ac:dyDescent="0.25">
      <c r="A1081">
        <v>1079</v>
      </c>
      <c r="B1081" t="s">
        <v>653</v>
      </c>
      <c r="C1081" t="s">
        <v>1666</v>
      </c>
      <c r="D1081" t="s">
        <v>1641</v>
      </c>
      <c r="E1081" t="s">
        <v>1316</v>
      </c>
      <c r="J1081" t="s">
        <v>1800</v>
      </c>
      <c r="N1081">
        <v>0</v>
      </c>
    </row>
    <row r="1082" spans="1:14" x14ac:dyDescent="0.25">
      <c r="A1082">
        <v>1080</v>
      </c>
      <c r="B1082" t="s">
        <v>653</v>
      </c>
      <c r="C1082" t="s">
        <v>1666</v>
      </c>
      <c r="D1082" t="s">
        <v>1641</v>
      </c>
      <c r="E1082" t="s">
        <v>1316</v>
      </c>
      <c r="J1082" t="s">
        <v>1346</v>
      </c>
      <c r="N1082">
        <v>0</v>
      </c>
    </row>
    <row r="1083" spans="1:14" x14ac:dyDescent="0.25">
      <c r="A1083">
        <v>1081</v>
      </c>
      <c r="B1083" t="s">
        <v>653</v>
      </c>
      <c r="C1083" t="s">
        <v>1667</v>
      </c>
      <c r="D1083" t="s">
        <v>1641</v>
      </c>
      <c r="E1083" t="s">
        <v>1316</v>
      </c>
      <c r="J1083" t="s">
        <v>1351</v>
      </c>
      <c r="N1083">
        <v>0</v>
      </c>
    </row>
    <row r="1084" spans="1:14" x14ac:dyDescent="0.25">
      <c r="A1084">
        <v>1082</v>
      </c>
      <c r="B1084" t="s">
        <v>653</v>
      </c>
      <c r="C1084" t="s">
        <v>1667</v>
      </c>
      <c r="D1084" t="s">
        <v>1641</v>
      </c>
      <c r="E1084" t="s">
        <v>1316</v>
      </c>
      <c r="J1084" t="s">
        <v>1354</v>
      </c>
      <c r="N1084">
        <v>0</v>
      </c>
    </row>
    <row r="1085" spans="1:14" x14ac:dyDescent="0.25">
      <c r="A1085">
        <v>1083</v>
      </c>
      <c r="B1085" t="s">
        <v>653</v>
      </c>
      <c r="C1085" t="s">
        <v>1667</v>
      </c>
      <c r="D1085" t="s">
        <v>1641</v>
      </c>
      <c r="E1085" t="s">
        <v>1316</v>
      </c>
      <c r="J1085" t="s">
        <v>1353</v>
      </c>
      <c r="N1085">
        <v>0</v>
      </c>
    </row>
    <row r="1086" spans="1:14" x14ac:dyDescent="0.25">
      <c r="A1086">
        <v>1084</v>
      </c>
      <c r="B1086" t="s">
        <v>653</v>
      </c>
      <c r="C1086" t="s">
        <v>1667</v>
      </c>
      <c r="D1086" t="s">
        <v>1641</v>
      </c>
      <c r="E1086" t="s">
        <v>1316</v>
      </c>
      <c r="G1086" t="s">
        <v>16</v>
      </c>
      <c r="J1086" t="s">
        <v>1801</v>
      </c>
      <c r="N1086">
        <v>0</v>
      </c>
    </row>
    <row r="1087" spans="1:14" x14ac:dyDescent="0.25">
      <c r="A1087">
        <v>1085</v>
      </c>
      <c r="B1087" t="s">
        <v>653</v>
      </c>
      <c r="C1087" t="s">
        <v>1655</v>
      </c>
      <c r="D1087" t="s">
        <v>1641</v>
      </c>
      <c r="E1087" t="s">
        <v>1316</v>
      </c>
      <c r="J1087" t="s">
        <v>1355</v>
      </c>
      <c r="N1087">
        <v>0</v>
      </c>
    </row>
    <row r="1088" spans="1:14" x14ac:dyDescent="0.25">
      <c r="A1088">
        <v>1086</v>
      </c>
      <c r="B1088" t="s">
        <v>653</v>
      </c>
      <c r="C1088" t="s">
        <v>1655</v>
      </c>
      <c r="D1088" t="s">
        <v>1641</v>
      </c>
      <c r="E1088" t="s">
        <v>1316</v>
      </c>
      <c r="G1088" t="s">
        <v>16</v>
      </c>
      <c r="J1088" t="s">
        <v>1376</v>
      </c>
      <c r="N1088">
        <v>0</v>
      </c>
    </row>
    <row r="1089" spans="1:14" x14ac:dyDescent="0.25">
      <c r="A1089">
        <v>1087</v>
      </c>
      <c r="B1089" t="s">
        <v>653</v>
      </c>
      <c r="C1089" t="s">
        <v>1655</v>
      </c>
      <c r="D1089" t="s">
        <v>1641</v>
      </c>
      <c r="E1089" t="s">
        <v>1316</v>
      </c>
      <c r="J1089" t="s">
        <v>1356</v>
      </c>
      <c r="N1089">
        <v>0</v>
      </c>
    </row>
    <row r="1090" spans="1:14" x14ac:dyDescent="0.25">
      <c r="A1090">
        <v>1088</v>
      </c>
      <c r="B1090" t="s">
        <v>653</v>
      </c>
      <c r="C1090" t="s">
        <v>1655</v>
      </c>
      <c r="D1090" t="s">
        <v>1641</v>
      </c>
      <c r="E1090" t="s">
        <v>1316</v>
      </c>
      <c r="J1090" t="s">
        <v>1802</v>
      </c>
      <c r="N1090">
        <v>0</v>
      </c>
    </row>
    <row r="1091" spans="1:14" x14ac:dyDescent="0.25">
      <c r="A1091">
        <v>1089</v>
      </c>
      <c r="B1091" t="s">
        <v>653</v>
      </c>
      <c r="C1091" t="s">
        <v>1655</v>
      </c>
      <c r="D1091" t="s">
        <v>1641</v>
      </c>
      <c r="E1091" t="s">
        <v>1316</v>
      </c>
      <c r="G1091" t="s">
        <v>16</v>
      </c>
      <c r="J1091" t="s">
        <v>1595</v>
      </c>
      <c r="N1091">
        <v>0</v>
      </c>
    </row>
    <row r="1092" spans="1:14" x14ac:dyDescent="0.25">
      <c r="A1092">
        <v>1090</v>
      </c>
      <c r="B1092" t="s">
        <v>653</v>
      </c>
      <c r="C1092" t="s">
        <v>1656</v>
      </c>
      <c r="D1092" t="s">
        <v>1641</v>
      </c>
      <c r="E1092" t="s">
        <v>1316</v>
      </c>
      <c r="G1092" t="s">
        <v>122</v>
      </c>
      <c r="J1092" t="s">
        <v>1779</v>
      </c>
      <c r="N1092">
        <v>0</v>
      </c>
    </row>
    <row r="1093" spans="1:14" x14ac:dyDescent="0.25">
      <c r="A1093">
        <v>1091</v>
      </c>
      <c r="B1093" t="s">
        <v>990</v>
      </c>
      <c r="C1093" t="s">
        <v>1656</v>
      </c>
      <c r="D1093" t="s">
        <v>1641</v>
      </c>
      <c r="E1093" t="s">
        <v>1316</v>
      </c>
      <c r="G1093" t="s">
        <v>122</v>
      </c>
      <c r="J1093" t="s">
        <v>1779</v>
      </c>
      <c r="N1093">
        <v>-1</v>
      </c>
    </row>
    <row r="1094" spans="1:14" x14ac:dyDescent="0.25">
      <c r="A1094">
        <v>1092</v>
      </c>
      <c r="B1094" t="s">
        <v>990</v>
      </c>
      <c r="C1094" t="s">
        <v>1656</v>
      </c>
      <c r="D1094" t="s">
        <v>1641</v>
      </c>
      <c r="E1094" t="s">
        <v>1316</v>
      </c>
      <c r="G1094" t="s">
        <v>122</v>
      </c>
      <c r="J1094" t="s">
        <v>1779</v>
      </c>
      <c r="N1094">
        <v>0</v>
      </c>
    </row>
    <row r="1095" spans="1:14" x14ac:dyDescent="0.25">
      <c r="A1095">
        <v>1093</v>
      </c>
      <c r="B1095" t="s">
        <v>990</v>
      </c>
      <c r="C1095" t="s">
        <v>1656</v>
      </c>
      <c r="D1095" t="s">
        <v>1641</v>
      </c>
      <c r="E1095" t="s">
        <v>1316</v>
      </c>
      <c r="G1095" t="s">
        <v>122</v>
      </c>
      <c r="J1095" t="s">
        <v>1779</v>
      </c>
      <c r="N1095">
        <v>0</v>
      </c>
    </row>
    <row r="1096" spans="1:14" x14ac:dyDescent="0.25">
      <c r="A1096">
        <v>1094</v>
      </c>
      <c r="B1096" t="s">
        <v>990</v>
      </c>
      <c r="C1096" t="s">
        <v>1668</v>
      </c>
      <c r="D1096" t="s">
        <v>1641</v>
      </c>
      <c r="E1096" t="s">
        <v>1316</v>
      </c>
      <c r="G1096" t="s">
        <v>122</v>
      </c>
      <c r="J1096" t="s">
        <v>1791</v>
      </c>
      <c r="N1096">
        <v>-1</v>
      </c>
    </row>
    <row r="1097" spans="1:14" x14ac:dyDescent="0.25">
      <c r="A1097">
        <v>1095</v>
      </c>
      <c r="B1097" t="s">
        <v>990</v>
      </c>
      <c r="C1097" t="s">
        <v>1652</v>
      </c>
      <c r="D1097" t="s">
        <v>1641</v>
      </c>
      <c r="E1097" t="s">
        <v>1316</v>
      </c>
      <c r="G1097" t="s">
        <v>122</v>
      </c>
      <c r="J1097" t="s">
        <v>1791</v>
      </c>
      <c r="N1097">
        <v>0</v>
      </c>
    </row>
    <row r="1098" spans="1:14" x14ac:dyDescent="0.25">
      <c r="A1098">
        <v>1096</v>
      </c>
      <c r="B1098" t="s">
        <v>990</v>
      </c>
      <c r="C1098" t="s">
        <v>1652</v>
      </c>
      <c r="D1098" t="s">
        <v>1641</v>
      </c>
      <c r="E1098" t="s">
        <v>1316</v>
      </c>
      <c r="G1098" t="s">
        <v>122</v>
      </c>
      <c r="J1098" t="s">
        <v>1791</v>
      </c>
      <c r="N1098">
        <v>0</v>
      </c>
    </row>
    <row r="1099" spans="1:14" x14ac:dyDescent="0.25">
      <c r="A1099">
        <v>1097</v>
      </c>
      <c r="B1099" t="s">
        <v>990</v>
      </c>
      <c r="C1099" t="s">
        <v>1661</v>
      </c>
      <c r="D1099" t="s">
        <v>1641</v>
      </c>
      <c r="E1099" t="s">
        <v>1316</v>
      </c>
      <c r="G1099" t="s">
        <v>16</v>
      </c>
      <c r="J1099" t="s">
        <v>1790</v>
      </c>
      <c r="N1099">
        <v>0</v>
      </c>
    </row>
    <row r="1100" spans="1:14" x14ac:dyDescent="0.25">
      <c r="A1100">
        <v>1098</v>
      </c>
      <c r="B1100" t="s">
        <v>990</v>
      </c>
      <c r="C1100" t="s">
        <v>1661</v>
      </c>
      <c r="D1100" t="s">
        <v>1641</v>
      </c>
      <c r="E1100" t="s">
        <v>1316</v>
      </c>
      <c r="J1100" t="s">
        <v>1790</v>
      </c>
      <c r="N1100">
        <v>0</v>
      </c>
    </row>
    <row r="1101" spans="1:14" x14ac:dyDescent="0.25">
      <c r="A1101">
        <v>1099</v>
      </c>
      <c r="B1101" t="s">
        <v>990</v>
      </c>
      <c r="C1101" t="s">
        <v>1661</v>
      </c>
      <c r="D1101" t="s">
        <v>1641</v>
      </c>
      <c r="E1101" t="s">
        <v>1316</v>
      </c>
      <c r="J1101" t="s">
        <v>1790</v>
      </c>
      <c r="N1101">
        <v>0</v>
      </c>
    </row>
    <row r="1102" spans="1:14" x14ac:dyDescent="0.25">
      <c r="A1102">
        <v>1100</v>
      </c>
      <c r="B1102" t="s">
        <v>990</v>
      </c>
      <c r="C1102" t="s">
        <v>1661</v>
      </c>
      <c r="D1102" t="s">
        <v>1641</v>
      </c>
      <c r="E1102" t="s">
        <v>1316</v>
      </c>
      <c r="J1102" t="s">
        <v>1790</v>
      </c>
      <c r="N1102">
        <v>0</v>
      </c>
    </row>
    <row r="1103" spans="1:14" x14ac:dyDescent="0.25">
      <c r="A1103">
        <v>1101</v>
      </c>
      <c r="B1103" t="s">
        <v>11</v>
      </c>
      <c r="C1103" t="s">
        <v>1661</v>
      </c>
      <c r="D1103" t="s">
        <v>1641</v>
      </c>
      <c r="E1103" t="s">
        <v>1316</v>
      </c>
      <c r="J1103" t="s">
        <v>1565</v>
      </c>
      <c r="N1103">
        <v>0</v>
      </c>
    </row>
    <row r="1104" spans="1:14" x14ac:dyDescent="0.25">
      <c r="A1104">
        <v>1102</v>
      </c>
      <c r="B1104" t="s">
        <v>11</v>
      </c>
      <c r="C1104" t="s">
        <v>1661</v>
      </c>
      <c r="D1104" t="s">
        <v>1641</v>
      </c>
      <c r="E1104" t="s">
        <v>1316</v>
      </c>
      <c r="J1104" t="s">
        <v>1790</v>
      </c>
      <c r="N1104">
        <v>0</v>
      </c>
    </row>
    <row r="1105" spans="1:14" x14ac:dyDescent="0.25">
      <c r="A1105">
        <v>1103</v>
      </c>
      <c r="B1105" t="s">
        <v>11</v>
      </c>
      <c r="C1105" t="s">
        <v>1661</v>
      </c>
      <c r="D1105" t="s">
        <v>1641</v>
      </c>
      <c r="E1105" t="s">
        <v>1316</v>
      </c>
      <c r="J1105" t="s">
        <v>1803</v>
      </c>
      <c r="N1105">
        <v>0</v>
      </c>
    </row>
    <row r="1106" spans="1:14" x14ac:dyDescent="0.25">
      <c r="A1106">
        <v>1104</v>
      </c>
      <c r="B1106" t="s">
        <v>11</v>
      </c>
      <c r="C1106" t="s">
        <v>1661</v>
      </c>
      <c r="D1106" t="s">
        <v>1641</v>
      </c>
      <c r="E1106" t="s">
        <v>1316</v>
      </c>
      <c r="J1106" t="s">
        <v>1563</v>
      </c>
      <c r="N1106">
        <v>0</v>
      </c>
    </row>
    <row r="1107" spans="1:14" x14ac:dyDescent="0.25">
      <c r="A1107">
        <v>1105</v>
      </c>
      <c r="B1107" t="s">
        <v>11</v>
      </c>
      <c r="C1107" t="s">
        <v>1661</v>
      </c>
      <c r="D1107" t="s">
        <v>1641</v>
      </c>
      <c r="E1107" t="s">
        <v>1316</v>
      </c>
      <c r="J1107" t="s">
        <v>1564</v>
      </c>
      <c r="N1107">
        <v>0</v>
      </c>
    </row>
    <row r="1108" spans="1:14" x14ac:dyDescent="0.25">
      <c r="A1108">
        <v>1106</v>
      </c>
      <c r="B1108" t="s">
        <v>11</v>
      </c>
      <c r="C1108" t="s">
        <v>1653</v>
      </c>
      <c r="D1108" t="s">
        <v>1641</v>
      </c>
      <c r="E1108" t="s">
        <v>1316</v>
      </c>
      <c r="J1108" t="s">
        <v>1547</v>
      </c>
      <c r="N1108">
        <v>0</v>
      </c>
    </row>
    <row r="1109" spans="1:14" x14ac:dyDescent="0.25">
      <c r="A1109">
        <v>1107</v>
      </c>
      <c r="B1109" t="s">
        <v>11</v>
      </c>
      <c r="C1109" t="s">
        <v>1653</v>
      </c>
      <c r="D1109" t="s">
        <v>1641</v>
      </c>
      <c r="E1109" t="s">
        <v>1316</v>
      </c>
      <c r="J1109" t="s">
        <v>1548</v>
      </c>
      <c r="N1109">
        <v>0</v>
      </c>
    </row>
    <row r="1110" spans="1:14" x14ac:dyDescent="0.25">
      <c r="A1110">
        <v>1108</v>
      </c>
      <c r="B1110" t="s">
        <v>11</v>
      </c>
      <c r="C1110" t="s">
        <v>1669</v>
      </c>
      <c r="D1110" t="s">
        <v>1641</v>
      </c>
      <c r="E1110" t="s">
        <v>1316</v>
      </c>
      <c r="J1110" t="s">
        <v>1549</v>
      </c>
      <c r="N1110">
        <v>0</v>
      </c>
    </row>
    <row r="1111" spans="1:14" x14ac:dyDescent="0.25">
      <c r="A1111">
        <v>1109</v>
      </c>
      <c r="B1111" t="s">
        <v>11</v>
      </c>
      <c r="C1111" t="s">
        <v>1669</v>
      </c>
      <c r="D1111" t="s">
        <v>1641</v>
      </c>
      <c r="E1111" t="s">
        <v>1316</v>
      </c>
      <c r="J1111" t="s">
        <v>1433</v>
      </c>
      <c r="N1111">
        <v>0</v>
      </c>
    </row>
    <row r="1112" spans="1:14" x14ac:dyDescent="0.25">
      <c r="A1112">
        <v>1110</v>
      </c>
      <c r="B1112" t="s">
        <v>11</v>
      </c>
      <c r="C1112" t="s">
        <v>1669</v>
      </c>
      <c r="D1112" t="s">
        <v>1641</v>
      </c>
      <c r="E1112" t="s">
        <v>1316</v>
      </c>
      <c r="J1112" t="s">
        <v>1550</v>
      </c>
      <c r="N1112">
        <v>0</v>
      </c>
    </row>
    <row r="1113" spans="1:14" x14ac:dyDescent="0.25">
      <c r="A1113">
        <v>1111</v>
      </c>
      <c r="B1113" t="s">
        <v>11</v>
      </c>
      <c r="C1113" t="s">
        <v>1669</v>
      </c>
      <c r="D1113" t="s">
        <v>1641</v>
      </c>
      <c r="E1113" t="s">
        <v>1316</v>
      </c>
      <c r="J1113" t="s">
        <v>1437</v>
      </c>
      <c r="N1113">
        <v>0</v>
      </c>
    </row>
    <row r="1114" spans="1:14" x14ac:dyDescent="0.25">
      <c r="A1114">
        <v>1112</v>
      </c>
      <c r="B1114" t="s">
        <v>11</v>
      </c>
      <c r="C1114" t="s">
        <v>1669</v>
      </c>
      <c r="D1114" t="s">
        <v>1641</v>
      </c>
      <c r="E1114" t="s">
        <v>1316</v>
      </c>
      <c r="J1114" t="s">
        <v>1551</v>
      </c>
      <c r="N1114">
        <v>0</v>
      </c>
    </row>
    <row r="1115" spans="1:14" x14ac:dyDescent="0.25">
      <c r="A1115">
        <v>1113</v>
      </c>
      <c r="B1115" t="s">
        <v>11</v>
      </c>
      <c r="C1115" t="s">
        <v>1669</v>
      </c>
      <c r="D1115" t="s">
        <v>1641</v>
      </c>
      <c r="E1115" t="s">
        <v>1316</v>
      </c>
      <c r="J1115" t="s">
        <v>1552</v>
      </c>
      <c r="N1115">
        <v>0</v>
      </c>
    </row>
    <row r="1116" spans="1:14" x14ac:dyDescent="0.25">
      <c r="A1116">
        <v>1114</v>
      </c>
      <c r="B1116" t="s">
        <v>11</v>
      </c>
      <c r="C1116" t="s">
        <v>1669</v>
      </c>
      <c r="D1116" t="s">
        <v>1641</v>
      </c>
      <c r="E1116" t="s">
        <v>1316</v>
      </c>
      <c r="J1116" t="s">
        <v>1553</v>
      </c>
      <c r="N1116">
        <v>0</v>
      </c>
    </row>
    <row r="1117" spans="1:14" x14ac:dyDescent="0.25">
      <c r="A1117">
        <v>1115</v>
      </c>
      <c r="B1117" t="s">
        <v>11</v>
      </c>
      <c r="C1117" t="s">
        <v>1669</v>
      </c>
      <c r="D1117" t="s">
        <v>1641</v>
      </c>
      <c r="E1117" t="s">
        <v>1316</v>
      </c>
      <c r="J1117" t="s">
        <v>1554</v>
      </c>
      <c r="N1117">
        <v>0</v>
      </c>
    </row>
    <row r="1118" spans="1:14" x14ac:dyDescent="0.25">
      <c r="A1118">
        <v>1116</v>
      </c>
      <c r="B1118" t="s">
        <v>11</v>
      </c>
      <c r="C1118" t="s">
        <v>1669</v>
      </c>
      <c r="D1118" t="s">
        <v>1641</v>
      </c>
      <c r="E1118" t="s">
        <v>1316</v>
      </c>
      <c r="J1118" t="s">
        <v>1437</v>
      </c>
      <c r="N1118">
        <v>0</v>
      </c>
    </row>
    <row r="1119" spans="1:14" x14ac:dyDescent="0.25">
      <c r="A1119">
        <v>1117</v>
      </c>
      <c r="B1119" t="s">
        <v>11</v>
      </c>
      <c r="C1119" t="s">
        <v>1669</v>
      </c>
      <c r="D1119" t="s">
        <v>1641</v>
      </c>
      <c r="E1119" t="s">
        <v>1316</v>
      </c>
      <c r="G1119" t="s">
        <v>16</v>
      </c>
      <c r="J1119" t="s">
        <v>1437</v>
      </c>
      <c r="N1119">
        <v>0</v>
      </c>
    </row>
    <row r="1120" spans="1:14" x14ac:dyDescent="0.25">
      <c r="A1120">
        <v>1118</v>
      </c>
      <c r="B1120" t="s">
        <v>11</v>
      </c>
      <c r="C1120" t="s">
        <v>1669</v>
      </c>
      <c r="D1120" t="s">
        <v>1641</v>
      </c>
      <c r="E1120" t="s">
        <v>1316</v>
      </c>
      <c r="J1120" t="s">
        <v>1437</v>
      </c>
      <c r="N1120">
        <v>0</v>
      </c>
    </row>
    <row r="1121" spans="1:14" x14ac:dyDescent="0.25">
      <c r="A1121">
        <v>1119</v>
      </c>
      <c r="B1121" t="s">
        <v>11</v>
      </c>
      <c r="C1121" t="s">
        <v>1669</v>
      </c>
      <c r="D1121" t="s">
        <v>1641</v>
      </c>
      <c r="E1121" t="s">
        <v>1316</v>
      </c>
      <c r="J1121" t="s">
        <v>1437</v>
      </c>
      <c r="N1121">
        <v>0</v>
      </c>
    </row>
    <row r="1122" spans="1:14" x14ac:dyDescent="0.25">
      <c r="A1122">
        <v>1120</v>
      </c>
      <c r="B1122" t="s">
        <v>11</v>
      </c>
      <c r="C1122" t="s">
        <v>1662</v>
      </c>
      <c r="D1122" t="s">
        <v>1641</v>
      </c>
      <c r="E1122" t="s">
        <v>1316</v>
      </c>
      <c r="J1122" t="s">
        <v>1437</v>
      </c>
      <c r="N1122">
        <v>0</v>
      </c>
    </row>
    <row r="1123" spans="1:14" x14ac:dyDescent="0.25">
      <c r="A1123">
        <v>1121</v>
      </c>
      <c r="B1123" t="s">
        <v>1016</v>
      </c>
      <c r="C1123" t="s">
        <v>1662</v>
      </c>
      <c r="D1123" t="s">
        <v>1641</v>
      </c>
      <c r="E1123" t="s">
        <v>1316</v>
      </c>
      <c r="J1123" t="s">
        <v>1428</v>
      </c>
      <c r="N1123">
        <v>0</v>
      </c>
    </row>
    <row r="1124" spans="1:14" x14ac:dyDescent="0.25">
      <c r="A1124">
        <v>1122</v>
      </c>
      <c r="B1124" t="s">
        <v>1016</v>
      </c>
      <c r="C1124" t="s">
        <v>1662</v>
      </c>
      <c r="D1124" t="s">
        <v>1641</v>
      </c>
      <c r="E1124" t="s">
        <v>1316</v>
      </c>
      <c r="G1124" t="s">
        <v>16</v>
      </c>
      <c r="J1124" t="s">
        <v>1437</v>
      </c>
      <c r="N1124">
        <v>0</v>
      </c>
    </row>
    <row r="1125" spans="1:14" x14ac:dyDescent="0.25">
      <c r="A1125">
        <v>1123</v>
      </c>
      <c r="B1125" t="s">
        <v>1016</v>
      </c>
      <c r="C1125" t="s">
        <v>1662</v>
      </c>
      <c r="D1125" t="s">
        <v>1641</v>
      </c>
      <c r="E1125" t="s">
        <v>1316</v>
      </c>
      <c r="J1125" t="s">
        <v>1437</v>
      </c>
      <c r="N1125">
        <v>0</v>
      </c>
    </row>
    <row r="1126" spans="1:14" x14ac:dyDescent="0.25">
      <c r="A1126">
        <v>1124</v>
      </c>
      <c r="B1126" t="s">
        <v>1016</v>
      </c>
      <c r="C1126" t="s">
        <v>1669</v>
      </c>
      <c r="D1126" t="s">
        <v>1641</v>
      </c>
      <c r="E1126" t="s">
        <v>1316</v>
      </c>
      <c r="J1126" t="s">
        <v>1804</v>
      </c>
      <c r="N1126">
        <v>0</v>
      </c>
    </row>
    <row r="1127" spans="1:14" x14ac:dyDescent="0.25">
      <c r="A1127">
        <v>1125</v>
      </c>
      <c r="B1127" t="s">
        <v>1016</v>
      </c>
      <c r="C1127" t="s">
        <v>1662</v>
      </c>
      <c r="D1127" t="s">
        <v>1641</v>
      </c>
      <c r="E1127" t="s">
        <v>1316</v>
      </c>
      <c r="J1127" t="s">
        <v>1805</v>
      </c>
      <c r="N1127">
        <v>0</v>
      </c>
    </row>
    <row r="1128" spans="1:14" x14ac:dyDescent="0.25">
      <c r="A1128">
        <v>1126</v>
      </c>
      <c r="B1128" t="s">
        <v>1016</v>
      </c>
      <c r="C1128" t="s">
        <v>1662</v>
      </c>
      <c r="D1128" t="s">
        <v>1641</v>
      </c>
      <c r="E1128" t="s">
        <v>1316</v>
      </c>
      <c r="J1128" t="s">
        <v>1437</v>
      </c>
      <c r="N1128">
        <v>0</v>
      </c>
    </row>
    <row r="1129" spans="1:14" x14ac:dyDescent="0.25">
      <c r="A1129">
        <v>1127</v>
      </c>
      <c r="B1129" t="s">
        <v>1016</v>
      </c>
      <c r="C1129" t="s">
        <v>1662</v>
      </c>
      <c r="D1129" t="s">
        <v>1641</v>
      </c>
      <c r="E1129" t="s">
        <v>1316</v>
      </c>
      <c r="J1129" t="s">
        <v>1806</v>
      </c>
      <c r="N1129">
        <v>0</v>
      </c>
    </row>
    <row r="1130" spans="1:14" x14ac:dyDescent="0.25">
      <c r="A1130">
        <v>1128</v>
      </c>
      <c r="B1130" t="s">
        <v>1016</v>
      </c>
      <c r="C1130" t="s">
        <v>1662</v>
      </c>
      <c r="D1130" t="s">
        <v>1641</v>
      </c>
      <c r="E1130" t="s">
        <v>1316</v>
      </c>
      <c r="J1130" t="s">
        <v>1493</v>
      </c>
      <c r="N1130">
        <v>0</v>
      </c>
    </row>
    <row r="1131" spans="1:14" x14ac:dyDescent="0.25">
      <c r="A1131">
        <v>1129</v>
      </c>
      <c r="B1131" t="s">
        <v>1016</v>
      </c>
      <c r="C1131" t="s">
        <v>1662</v>
      </c>
      <c r="D1131" t="s">
        <v>1641</v>
      </c>
      <c r="E1131" t="s">
        <v>1316</v>
      </c>
      <c r="J1131" t="s">
        <v>1494</v>
      </c>
      <c r="N1131">
        <v>0</v>
      </c>
    </row>
    <row r="1132" spans="1:14" x14ac:dyDescent="0.25">
      <c r="A1132">
        <v>1130</v>
      </c>
      <c r="B1132" t="s">
        <v>1016</v>
      </c>
      <c r="C1132" t="s">
        <v>1670</v>
      </c>
      <c r="D1132" t="s">
        <v>1641</v>
      </c>
      <c r="E1132" t="s">
        <v>1316</v>
      </c>
      <c r="J1132" t="s">
        <v>1496</v>
      </c>
      <c r="N1132">
        <v>0</v>
      </c>
    </row>
    <row r="1133" spans="1:14" x14ac:dyDescent="0.25">
      <c r="A1133">
        <v>1131</v>
      </c>
      <c r="B1133" t="s">
        <v>1016</v>
      </c>
      <c r="C1133" t="s">
        <v>1670</v>
      </c>
      <c r="D1133" t="s">
        <v>1641</v>
      </c>
      <c r="E1133" t="s">
        <v>1316</v>
      </c>
      <c r="J1133" t="s">
        <v>1439</v>
      </c>
      <c r="N1133">
        <v>0</v>
      </c>
    </row>
    <row r="1134" spans="1:14" x14ac:dyDescent="0.25">
      <c r="A1134">
        <v>1132</v>
      </c>
      <c r="B1134" t="s">
        <v>1016</v>
      </c>
      <c r="C1134" t="s">
        <v>1670</v>
      </c>
      <c r="D1134" t="s">
        <v>1641</v>
      </c>
      <c r="E1134" t="s">
        <v>1316</v>
      </c>
      <c r="J1134" t="s">
        <v>1497</v>
      </c>
      <c r="N1134">
        <v>0</v>
      </c>
    </row>
    <row r="1135" spans="1:14" x14ac:dyDescent="0.25">
      <c r="A1135">
        <v>1133</v>
      </c>
      <c r="B1135" t="s">
        <v>1016</v>
      </c>
      <c r="C1135" t="s">
        <v>1671</v>
      </c>
      <c r="D1135" t="s">
        <v>1641</v>
      </c>
      <c r="E1135" t="s">
        <v>1316</v>
      </c>
      <c r="J1135" t="s">
        <v>1510</v>
      </c>
      <c r="N1135">
        <v>0</v>
      </c>
    </row>
    <row r="1136" spans="1:14" x14ac:dyDescent="0.25">
      <c r="A1136">
        <v>1134</v>
      </c>
      <c r="B1136" t="s">
        <v>1016</v>
      </c>
      <c r="C1136" t="s">
        <v>1671</v>
      </c>
      <c r="D1136" t="s">
        <v>1641</v>
      </c>
      <c r="E1136" t="s">
        <v>1316</v>
      </c>
      <c r="J1136" t="s">
        <v>1511</v>
      </c>
      <c r="N1136">
        <v>0</v>
      </c>
    </row>
    <row r="1137" spans="1:14" x14ac:dyDescent="0.25">
      <c r="A1137">
        <v>1135</v>
      </c>
      <c r="B1137" t="s">
        <v>1016</v>
      </c>
      <c r="C1137" t="s">
        <v>1664</v>
      </c>
      <c r="D1137" t="s">
        <v>1641</v>
      </c>
      <c r="E1137" t="s">
        <v>1316</v>
      </c>
      <c r="G1137" t="s">
        <v>16</v>
      </c>
      <c r="J1137" t="s">
        <v>1427</v>
      </c>
      <c r="N1137">
        <v>0</v>
      </c>
    </row>
    <row r="1138" spans="1:14" x14ac:dyDescent="0.25">
      <c r="A1138">
        <v>1136</v>
      </c>
      <c r="B1138" t="s">
        <v>653</v>
      </c>
      <c r="C1138" t="s">
        <v>1671</v>
      </c>
      <c r="D1138" t="s">
        <v>1641</v>
      </c>
      <c r="E1138" t="s">
        <v>1316</v>
      </c>
      <c r="G1138" t="s">
        <v>16</v>
      </c>
      <c r="J1138" t="s">
        <v>1518</v>
      </c>
      <c r="N1138">
        <v>0</v>
      </c>
    </row>
    <row r="1139" spans="1:14" x14ac:dyDescent="0.25">
      <c r="A1139">
        <v>1137</v>
      </c>
      <c r="B1139" t="s">
        <v>653</v>
      </c>
      <c r="C1139" t="s">
        <v>1671</v>
      </c>
      <c r="D1139" t="s">
        <v>1641</v>
      </c>
      <c r="E1139" t="s">
        <v>1316</v>
      </c>
      <c r="J1139" t="s">
        <v>1593</v>
      </c>
      <c r="N1139">
        <v>0</v>
      </c>
    </row>
    <row r="1140" spans="1:14" x14ac:dyDescent="0.25">
      <c r="A1140">
        <v>1138</v>
      </c>
      <c r="B1140" t="s">
        <v>653</v>
      </c>
      <c r="C1140" t="s">
        <v>1665</v>
      </c>
      <c r="D1140" t="s">
        <v>1641</v>
      </c>
      <c r="E1140" t="s">
        <v>1316</v>
      </c>
      <c r="J1140" t="s">
        <v>1339</v>
      </c>
      <c r="N1140">
        <v>0</v>
      </c>
    </row>
    <row r="1141" spans="1:14" x14ac:dyDescent="0.25">
      <c r="A1141">
        <v>1139</v>
      </c>
      <c r="B1141" t="s">
        <v>653</v>
      </c>
      <c r="C1141" t="s">
        <v>1671</v>
      </c>
      <c r="D1141" t="s">
        <v>1641</v>
      </c>
      <c r="E1141" t="s">
        <v>1316</v>
      </c>
      <c r="G1141" t="s">
        <v>16</v>
      </c>
      <c r="J1141" t="s">
        <v>1594</v>
      </c>
      <c r="N1141">
        <v>0</v>
      </c>
    </row>
    <row r="1142" spans="1:14" x14ac:dyDescent="0.25">
      <c r="A1142">
        <v>1140</v>
      </c>
      <c r="B1142" t="s">
        <v>653</v>
      </c>
      <c r="C1142" t="s">
        <v>1665</v>
      </c>
      <c r="D1142" t="s">
        <v>1641</v>
      </c>
      <c r="E1142" t="s">
        <v>1316</v>
      </c>
      <c r="J1142" t="s">
        <v>1340</v>
      </c>
      <c r="N1142">
        <v>0</v>
      </c>
    </row>
    <row r="1143" spans="1:14" x14ac:dyDescent="0.25">
      <c r="A1143">
        <v>1141</v>
      </c>
      <c r="B1143" t="s">
        <v>653</v>
      </c>
      <c r="C1143" t="s">
        <v>1666</v>
      </c>
      <c r="D1143" t="s">
        <v>1641</v>
      </c>
      <c r="E1143" t="s">
        <v>1316</v>
      </c>
      <c r="G1143" t="s">
        <v>16</v>
      </c>
      <c r="J1143" t="s">
        <v>1424</v>
      </c>
      <c r="N1143">
        <v>0</v>
      </c>
    </row>
    <row r="1144" spans="1:14" x14ac:dyDescent="0.25">
      <c r="A1144">
        <v>1142</v>
      </c>
      <c r="B1144" t="s">
        <v>653</v>
      </c>
      <c r="C1144" t="s">
        <v>1666</v>
      </c>
      <c r="D1144" t="s">
        <v>1641</v>
      </c>
      <c r="E1144" t="s">
        <v>1316</v>
      </c>
      <c r="J1144" t="s">
        <v>1807</v>
      </c>
      <c r="N1144">
        <v>0</v>
      </c>
    </row>
    <row r="1145" spans="1:14" x14ac:dyDescent="0.25">
      <c r="A1145">
        <v>1143</v>
      </c>
      <c r="B1145" t="s">
        <v>653</v>
      </c>
      <c r="C1145" t="s">
        <v>1666</v>
      </c>
      <c r="D1145" t="s">
        <v>1641</v>
      </c>
      <c r="E1145" t="s">
        <v>1316</v>
      </c>
      <c r="J1145" t="s">
        <v>1347</v>
      </c>
      <c r="N1145">
        <v>0</v>
      </c>
    </row>
    <row r="1146" spans="1:14" x14ac:dyDescent="0.25">
      <c r="A1146">
        <v>1144</v>
      </c>
      <c r="B1146" t="s">
        <v>653</v>
      </c>
      <c r="C1146" t="s">
        <v>1666</v>
      </c>
      <c r="D1146" t="s">
        <v>1641</v>
      </c>
      <c r="E1146" t="s">
        <v>1316</v>
      </c>
      <c r="J1146" t="s">
        <v>1349</v>
      </c>
      <c r="N1146">
        <v>0</v>
      </c>
    </row>
    <row r="1147" spans="1:14" x14ac:dyDescent="0.25">
      <c r="A1147">
        <v>1145</v>
      </c>
      <c r="B1147" t="s">
        <v>653</v>
      </c>
      <c r="C1147" t="s">
        <v>1666</v>
      </c>
      <c r="D1147" t="s">
        <v>1641</v>
      </c>
      <c r="E1147" t="s">
        <v>1316</v>
      </c>
      <c r="J1147" t="s">
        <v>1808</v>
      </c>
      <c r="N1147">
        <v>0</v>
      </c>
    </row>
    <row r="1148" spans="1:14" x14ac:dyDescent="0.25">
      <c r="A1148">
        <v>1146</v>
      </c>
      <c r="B1148" t="s">
        <v>653</v>
      </c>
      <c r="C1148" t="s">
        <v>1667</v>
      </c>
      <c r="D1148" t="s">
        <v>1641</v>
      </c>
      <c r="E1148" t="s">
        <v>1316</v>
      </c>
      <c r="J1148" t="s">
        <v>1809</v>
      </c>
      <c r="N1148">
        <v>0</v>
      </c>
    </row>
    <row r="1149" spans="1:14" x14ac:dyDescent="0.25">
      <c r="A1149">
        <v>1147</v>
      </c>
      <c r="B1149" t="s">
        <v>653</v>
      </c>
      <c r="C1149" t="s">
        <v>1667</v>
      </c>
      <c r="D1149" t="s">
        <v>1641</v>
      </c>
      <c r="E1149" t="s">
        <v>1316</v>
      </c>
      <c r="G1149" t="s">
        <v>16</v>
      </c>
      <c r="J1149" t="s">
        <v>1393</v>
      </c>
      <c r="N1149">
        <v>0</v>
      </c>
    </row>
    <row r="1150" spans="1:14" x14ac:dyDescent="0.25">
      <c r="A1150">
        <v>1148</v>
      </c>
      <c r="B1150" t="s">
        <v>653</v>
      </c>
      <c r="C1150" t="s">
        <v>1672</v>
      </c>
      <c r="D1150" t="s">
        <v>1641</v>
      </c>
      <c r="E1150" t="s">
        <v>1316</v>
      </c>
      <c r="J1150" t="s">
        <v>1383</v>
      </c>
      <c r="N1150">
        <v>0</v>
      </c>
    </row>
    <row r="1151" spans="1:14" x14ac:dyDescent="0.25">
      <c r="A1151">
        <v>1149</v>
      </c>
      <c r="B1151" t="s">
        <v>653</v>
      </c>
      <c r="C1151" t="s">
        <v>1667</v>
      </c>
      <c r="D1151" t="s">
        <v>1641</v>
      </c>
      <c r="E1151" t="s">
        <v>1316</v>
      </c>
      <c r="G1151" t="s">
        <v>16</v>
      </c>
      <c r="J1151" t="s">
        <v>1393</v>
      </c>
      <c r="N1151">
        <v>0</v>
      </c>
    </row>
    <row r="1152" spans="1:14" x14ac:dyDescent="0.25">
      <c r="A1152">
        <v>1150</v>
      </c>
      <c r="B1152" t="s">
        <v>653</v>
      </c>
      <c r="C1152" t="s">
        <v>1656</v>
      </c>
      <c r="D1152" t="s">
        <v>1641</v>
      </c>
      <c r="E1152" t="s">
        <v>1316</v>
      </c>
      <c r="J1152" t="s">
        <v>1379</v>
      </c>
      <c r="N1152">
        <v>0</v>
      </c>
    </row>
    <row r="1153" spans="1:14" x14ac:dyDescent="0.25">
      <c r="A1153">
        <v>1151</v>
      </c>
      <c r="B1153" t="s">
        <v>653</v>
      </c>
      <c r="C1153" t="s">
        <v>1656</v>
      </c>
      <c r="D1153" t="s">
        <v>1641</v>
      </c>
      <c r="E1153" t="s">
        <v>1316</v>
      </c>
      <c r="J1153" t="s">
        <v>1378</v>
      </c>
      <c r="N1153">
        <v>0</v>
      </c>
    </row>
    <row r="1154" spans="1:14" x14ac:dyDescent="0.25">
      <c r="A1154">
        <v>1152</v>
      </c>
      <c r="B1154" t="s">
        <v>653</v>
      </c>
      <c r="C1154" t="s">
        <v>1656</v>
      </c>
      <c r="D1154" t="s">
        <v>1641</v>
      </c>
      <c r="E1154" t="s">
        <v>1316</v>
      </c>
      <c r="G1154" t="s">
        <v>16</v>
      </c>
      <c r="J1154" t="s">
        <v>1377</v>
      </c>
      <c r="N1154">
        <v>0</v>
      </c>
    </row>
    <row r="1155" spans="1:14" x14ac:dyDescent="0.25">
      <c r="A1155">
        <v>1153</v>
      </c>
      <c r="B1155" t="s">
        <v>653</v>
      </c>
      <c r="C1155" t="s">
        <v>1655</v>
      </c>
      <c r="D1155" t="s">
        <v>1641</v>
      </c>
      <c r="E1155" t="s">
        <v>1316</v>
      </c>
      <c r="G1155" t="s">
        <v>122</v>
      </c>
      <c r="J1155" t="s">
        <v>1779</v>
      </c>
      <c r="N1155">
        <v>0</v>
      </c>
    </row>
    <row r="1156" spans="1:14" x14ac:dyDescent="0.25">
      <c r="A1156">
        <v>1154</v>
      </c>
      <c r="B1156" t="s">
        <v>653</v>
      </c>
      <c r="C1156" t="s">
        <v>1656</v>
      </c>
      <c r="D1156" t="s">
        <v>1641</v>
      </c>
      <c r="E1156" t="s">
        <v>1316</v>
      </c>
      <c r="G1156" t="s">
        <v>122</v>
      </c>
      <c r="J1156" t="s">
        <v>1791</v>
      </c>
      <c r="N1156">
        <v>0</v>
      </c>
    </row>
    <row r="1157" spans="1:14" x14ac:dyDescent="0.25">
      <c r="A1157">
        <v>1155</v>
      </c>
      <c r="B1157" t="s">
        <v>653</v>
      </c>
      <c r="C1157" t="s">
        <v>1656</v>
      </c>
      <c r="D1157" t="s">
        <v>1641</v>
      </c>
      <c r="E1157" t="s">
        <v>1316</v>
      </c>
      <c r="J1157" t="s">
        <v>1598</v>
      </c>
      <c r="N1157">
        <v>0</v>
      </c>
    </row>
    <row r="1158" spans="1:14" x14ac:dyDescent="0.25">
      <c r="A1158">
        <v>1156</v>
      </c>
      <c r="B1158" t="s">
        <v>653</v>
      </c>
      <c r="C1158" t="s">
        <v>1672</v>
      </c>
      <c r="D1158" t="s">
        <v>1641</v>
      </c>
      <c r="E1158" t="s">
        <v>1316</v>
      </c>
      <c r="J1158" t="s">
        <v>1600</v>
      </c>
      <c r="N1158">
        <v>0</v>
      </c>
    </row>
    <row r="1159" spans="1:14" x14ac:dyDescent="0.25">
      <c r="A1159">
        <v>1157</v>
      </c>
      <c r="B1159" t="s">
        <v>990</v>
      </c>
      <c r="C1159" t="s">
        <v>1656</v>
      </c>
      <c r="D1159" t="s">
        <v>1641</v>
      </c>
      <c r="E1159" t="s">
        <v>1316</v>
      </c>
      <c r="G1159" t="s">
        <v>122</v>
      </c>
      <c r="J1159" t="s">
        <v>1791</v>
      </c>
      <c r="N1159">
        <v>0</v>
      </c>
    </row>
    <row r="1160" spans="1:14" x14ac:dyDescent="0.25">
      <c r="A1160">
        <v>1158</v>
      </c>
      <c r="B1160" t="s">
        <v>990</v>
      </c>
      <c r="C1160" t="s">
        <v>1672</v>
      </c>
      <c r="D1160" t="s">
        <v>1641</v>
      </c>
      <c r="E1160" t="s">
        <v>1316</v>
      </c>
      <c r="J1160" t="s">
        <v>1810</v>
      </c>
      <c r="N1160">
        <v>0</v>
      </c>
    </row>
    <row r="1161" spans="1:14" x14ac:dyDescent="0.25">
      <c r="A1161">
        <v>1159</v>
      </c>
      <c r="B1161" t="s">
        <v>990</v>
      </c>
      <c r="C1161" t="s">
        <v>1656</v>
      </c>
      <c r="D1161" t="s">
        <v>1641</v>
      </c>
      <c r="E1161" t="s">
        <v>1316</v>
      </c>
      <c r="G1161" t="s">
        <v>122</v>
      </c>
      <c r="J1161" t="s">
        <v>1791</v>
      </c>
      <c r="N1161">
        <v>-1</v>
      </c>
    </row>
    <row r="1162" spans="1:14" x14ac:dyDescent="0.25">
      <c r="A1162">
        <v>1160</v>
      </c>
      <c r="B1162" t="s">
        <v>990</v>
      </c>
      <c r="C1162" t="s">
        <v>1656</v>
      </c>
      <c r="D1162" t="s">
        <v>1641</v>
      </c>
      <c r="E1162" t="s">
        <v>1316</v>
      </c>
      <c r="G1162" t="s">
        <v>122</v>
      </c>
      <c r="J1162" t="s">
        <v>1791</v>
      </c>
      <c r="N1162">
        <v>0</v>
      </c>
    </row>
    <row r="1163" spans="1:14" x14ac:dyDescent="0.25">
      <c r="A1163">
        <v>1161</v>
      </c>
      <c r="B1163" t="s">
        <v>990</v>
      </c>
      <c r="C1163" t="s">
        <v>1668</v>
      </c>
      <c r="D1163" t="s">
        <v>1641</v>
      </c>
      <c r="E1163" t="s">
        <v>1316</v>
      </c>
      <c r="G1163" t="s">
        <v>122</v>
      </c>
      <c r="J1163" t="s">
        <v>1791</v>
      </c>
      <c r="N1163">
        <v>0</v>
      </c>
    </row>
    <row r="1164" spans="1:14" x14ac:dyDescent="0.25">
      <c r="A1164">
        <v>1162</v>
      </c>
      <c r="B1164" t="s">
        <v>990</v>
      </c>
      <c r="C1164" t="s">
        <v>1668</v>
      </c>
      <c r="D1164" t="s">
        <v>1641</v>
      </c>
      <c r="E1164" t="s">
        <v>1316</v>
      </c>
      <c r="J1164" t="s">
        <v>1811</v>
      </c>
      <c r="N1164">
        <v>0</v>
      </c>
    </row>
    <row r="1165" spans="1:14" x14ac:dyDescent="0.25">
      <c r="A1165">
        <v>1163</v>
      </c>
      <c r="B1165" t="s">
        <v>990</v>
      </c>
      <c r="C1165" t="s">
        <v>1668</v>
      </c>
      <c r="D1165" t="s">
        <v>1641</v>
      </c>
      <c r="E1165" t="s">
        <v>1316</v>
      </c>
      <c r="J1165" t="s">
        <v>1812</v>
      </c>
      <c r="N1165">
        <v>0</v>
      </c>
    </row>
    <row r="1166" spans="1:14" x14ac:dyDescent="0.25">
      <c r="A1166">
        <v>1164</v>
      </c>
      <c r="B1166" t="s">
        <v>990</v>
      </c>
      <c r="C1166" t="s">
        <v>1668</v>
      </c>
      <c r="D1166" t="s">
        <v>1641</v>
      </c>
      <c r="E1166" t="s">
        <v>1316</v>
      </c>
      <c r="G1166" t="s">
        <v>16</v>
      </c>
      <c r="J1166" t="s">
        <v>1813</v>
      </c>
      <c r="N1166">
        <v>0</v>
      </c>
    </row>
    <row r="1167" spans="1:14" x14ac:dyDescent="0.25">
      <c r="A1167">
        <v>1165</v>
      </c>
      <c r="B1167" t="s">
        <v>990</v>
      </c>
      <c r="C1167" t="s">
        <v>1661</v>
      </c>
      <c r="D1167" t="s">
        <v>1641</v>
      </c>
      <c r="E1167" t="s">
        <v>1316</v>
      </c>
      <c r="G1167" t="s">
        <v>16</v>
      </c>
      <c r="J1167" t="s">
        <v>1814</v>
      </c>
      <c r="N1167">
        <v>0</v>
      </c>
    </row>
    <row r="1168" spans="1:14" x14ac:dyDescent="0.25">
      <c r="A1168">
        <v>1166</v>
      </c>
      <c r="B1168" t="s">
        <v>990</v>
      </c>
      <c r="C1168" t="s">
        <v>1661</v>
      </c>
      <c r="D1168" t="s">
        <v>1641</v>
      </c>
      <c r="E1168" t="s">
        <v>1316</v>
      </c>
      <c r="G1168" t="s">
        <v>16</v>
      </c>
      <c r="J1168" t="s">
        <v>1815</v>
      </c>
      <c r="N1168">
        <v>0</v>
      </c>
    </row>
    <row r="1169" spans="1:14" x14ac:dyDescent="0.25">
      <c r="A1169">
        <v>1167</v>
      </c>
      <c r="B1169" t="s">
        <v>990</v>
      </c>
      <c r="C1169" t="s">
        <v>1661</v>
      </c>
      <c r="D1169" t="s">
        <v>1641</v>
      </c>
      <c r="E1169" t="s">
        <v>1316</v>
      </c>
      <c r="J1169" t="s">
        <v>1815</v>
      </c>
      <c r="N1169">
        <v>0</v>
      </c>
    </row>
    <row r="1170" spans="1:14" x14ac:dyDescent="0.25">
      <c r="A1170">
        <v>1168</v>
      </c>
      <c r="B1170" t="s">
        <v>11</v>
      </c>
      <c r="C1170" t="s">
        <v>1661</v>
      </c>
      <c r="D1170" t="s">
        <v>1641</v>
      </c>
      <c r="E1170" t="s">
        <v>1316</v>
      </c>
      <c r="J1170" t="s">
        <v>1561</v>
      </c>
      <c r="N1170">
        <v>0</v>
      </c>
    </row>
    <row r="1171" spans="1:14" x14ac:dyDescent="0.25">
      <c r="A1171">
        <v>1169</v>
      </c>
      <c r="B1171" t="s">
        <v>11</v>
      </c>
      <c r="C1171" t="s">
        <v>1673</v>
      </c>
      <c r="D1171" t="s">
        <v>1641</v>
      </c>
      <c r="E1171" t="s">
        <v>1316</v>
      </c>
      <c r="J1171" t="s">
        <v>1557</v>
      </c>
      <c r="N1171">
        <v>0</v>
      </c>
    </row>
    <row r="1172" spans="1:14" x14ac:dyDescent="0.25">
      <c r="A1172">
        <v>1170</v>
      </c>
      <c r="B1172" t="s">
        <v>11</v>
      </c>
      <c r="C1172" t="s">
        <v>1673</v>
      </c>
      <c r="D1172" t="s">
        <v>1641</v>
      </c>
      <c r="E1172" t="s">
        <v>1316</v>
      </c>
      <c r="J1172" t="s">
        <v>1816</v>
      </c>
      <c r="N1172">
        <v>0</v>
      </c>
    </row>
    <row r="1173" spans="1:14" x14ac:dyDescent="0.25">
      <c r="A1173">
        <v>1171</v>
      </c>
      <c r="B1173" t="s">
        <v>11</v>
      </c>
      <c r="C1173" t="s">
        <v>1673</v>
      </c>
      <c r="D1173" t="s">
        <v>1641</v>
      </c>
      <c r="E1173" t="s">
        <v>1316</v>
      </c>
      <c r="J1173" t="s">
        <v>1816</v>
      </c>
      <c r="N1173">
        <v>0</v>
      </c>
    </row>
    <row r="1174" spans="1:14" x14ac:dyDescent="0.25">
      <c r="A1174">
        <v>1172</v>
      </c>
      <c r="B1174" t="s">
        <v>11</v>
      </c>
      <c r="C1174" t="s">
        <v>1673</v>
      </c>
      <c r="D1174" t="s">
        <v>1641</v>
      </c>
      <c r="E1174" t="s">
        <v>1316</v>
      </c>
      <c r="J1174" t="s">
        <v>1816</v>
      </c>
      <c r="N1174">
        <v>0</v>
      </c>
    </row>
    <row r="1175" spans="1:14" x14ac:dyDescent="0.25">
      <c r="A1175">
        <v>1173</v>
      </c>
      <c r="B1175" t="s">
        <v>11</v>
      </c>
      <c r="C1175" t="s">
        <v>1673</v>
      </c>
      <c r="D1175" t="s">
        <v>1641</v>
      </c>
      <c r="E1175" t="s">
        <v>1316</v>
      </c>
      <c r="J1175" t="s">
        <v>1555</v>
      </c>
      <c r="N1175">
        <v>0</v>
      </c>
    </row>
    <row r="1176" spans="1:14" x14ac:dyDescent="0.25">
      <c r="A1176">
        <v>1174</v>
      </c>
      <c r="B1176" t="s">
        <v>11</v>
      </c>
      <c r="C1176" t="s">
        <v>1673</v>
      </c>
      <c r="D1176" t="s">
        <v>1641</v>
      </c>
      <c r="E1176" t="s">
        <v>1316</v>
      </c>
      <c r="J1176" t="s">
        <v>1816</v>
      </c>
      <c r="N1176">
        <v>0</v>
      </c>
    </row>
    <row r="1177" spans="1:14" x14ac:dyDescent="0.25">
      <c r="A1177">
        <v>1175</v>
      </c>
      <c r="B1177" t="s">
        <v>11</v>
      </c>
      <c r="C1177" t="s">
        <v>1669</v>
      </c>
      <c r="D1177" t="s">
        <v>1641</v>
      </c>
      <c r="E1177" t="s">
        <v>1316</v>
      </c>
      <c r="J1177" t="s">
        <v>1816</v>
      </c>
      <c r="N1177">
        <v>0</v>
      </c>
    </row>
    <row r="1178" spans="1:14" x14ac:dyDescent="0.25">
      <c r="A1178">
        <v>1176</v>
      </c>
      <c r="B1178" t="s">
        <v>11</v>
      </c>
      <c r="C1178" t="s">
        <v>1670</v>
      </c>
      <c r="D1178" t="s">
        <v>1641</v>
      </c>
      <c r="E1178" t="s">
        <v>1316</v>
      </c>
      <c r="J1178" t="s">
        <v>1816</v>
      </c>
      <c r="N1178">
        <v>0</v>
      </c>
    </row>
    <row r="1179" spans="1:14" x14ac:dyDescent="0.25">
      <c r="A1179">
        <v>1177</v>
      </c>
      <c r="B1179" t="s">
        <v>11</v>
      </c>
      <c r="C1179" t="s">
        <v>1670</v>
      </c>
      <c r="D1179" t="s">
        <v>1641</v>
      </c>
      <c r="E1179" t="s">
        <v>1316</v>
      </c>
      <c r="J1179" t="s">
        <v>1816</v>
      </c>
      <c r="N1179">
        <v>0</v>
      </c>
    </row>
    <row r="1180" spans="1:14" x14ac:dyDescent="0.25">
      <c r="A1180">
        <v>1178</v>
      </c>
      <c r="B1180" t="s">
        <v>1016</v>
      </c>
      <c r="C1180" t="s">
        <v>1670</v>
      </c>
      <c r="D1180" t="s">
        <v>1641</v>
      </c>
      <c r="E1180" t="s">
        <v>1316</v>
      </c>
      <c r="J1180" t="s">
        <v>1817</v>
      </c>
      <c r="N1180">
        <v>0</v>
      </c>
    </row>
    <row r="1181" spans="1:14" x14ac:dyDescent="0.25">
      <c r="A1181">
        <v>1179</v>
      </c>
      <c r="B1181" t="s">
        <v>990</v>
      </c>
      <c r="C1181" t="s">
        <v>1661</v>
      </c>
      <c r="D1181" t="s">
        <v>1641</v>
      </c>
      <c r="E1181" t="s">
        <v>1316</v>
      </c>
      <c r="J1181" t="s">
        <v>1815</v>
      </c>
      <c r="N1181">
        <v>0</v>
      </c>
    </row>
    <row r="1182" spans="1:14" x14ac:dyDescent="0.25">
      <c r="A1182">
        <v>1180</v>
      </c>
      <c r="B1182" t="s">
        <v>1016</v>
      </c>
      <c r="C1182" t="s">
        <v>1670</v>
      </c>
      <c r="D1182" t="s">
        <v>1641</v>
      </c>
      <c r="E1182" t="s">
        <v>1316</v>
      </c>
      <c r="J1182" t="s">
        <v>1437</v>
      </c>
      <c r="N1182">
        <v>0</v>
      </c>
    </row>
    <row r="1183" spans="1:14" x14ac:dyDescent="0.25">
      <c r="A1183">
        <v>1181</v>
      </c>
      <c r="B1183" t="s">
        <v>1016</v>
      </c>
      <c r="C1183" t="s">
        <v>1670</v>
      </c>
      <c r="D1183" t="s">
        <v>1641</v>
      </c>
      <c r="E1183" t="s">
        <v>1316</v>
      </c>
      <c r="J1183" t="s">
        <v>1498</v>
      </c>
      <c r="N1183">
        <v>0</v>
      </c>
    </row>
    <row r="1184" spans="1:14" x14ac:dyDescent="0.25">
      <c r="A1184">
        <v>1182</v>
      </c>
      <c r="B1184" t="s">
        <v>1016</v>
      </c>
      <c r="C1184" t="s">
        <v>1670</v>
      </c>
      <c r="D1184" t="s">
        <v>1641</v>
      </c>
      <c r="E1184" t="s">
        <v>1316</v>
      </c>
      <c r="J1184" t="s">
        <v>1499</v>
      </c>
      <c r="N1184">
        <v>0</v>
      </c>
    </row>
    <row r="1185" spans="1:14" x14ac:dyDescent="0.25">
      <c r="A1185">
        <v>1183</v>
      </c>
      <c r="B1185" t="s">
        <v>1016</v>
      </c>
      <c r="C1185" t="s">
        <v>1670</v>
      </c>
      <c r="D1185" t="s">
        <v>1641</v>
      </c>
      <c r="E1185" t="s">
        <v>1316</v>
      </c>
      <c r="J1185" t="s">
        <v>1818</v>
      </c>
      <c r="N1185">
        <v>0</v>
      </c>
    </row>
    <row r="1186" spans="1:14" x14ac:dyDescent="0.25">
      <c r="A1186">
        <v>1184</v>
      </c>
      <c r="B1186" t="s">
        <v>1016</v>
      </c>
      <c r="C1186" t="s">
        <v>1671</v>
      </c>
      <c r="D1186" t="s">
        <v>1641</v>
      </c>
      <c r="E1186" t="s">
        <v>1316</v>
      </c>
      <c r="J1186" t="s">
        <v>1819</v>
      </c>
      <c r="N1186">
        <v>0</v>
      </c>
    </row>
    <row r="1187" spans="1:14" x14ac:dyDescent="0.25">
      <c r="A1187">
        <v>1185</v>
      </c>
      <c r="B1187" t="s">
        <v>1016</v>
      </c>
      <c r="C1187" t="s">
        <v>1671</v>
      </c>
      <c r="D1187" t="s">
        <v>1641</v>
      </c>
      <c r="E1187" t="s">
        <v>1316</v>
      </c>
      <c r="J1187" t="s">
        <v>1508</v>
      </c>
      <c r="N1187">
        <v>0</v>
      </c>
    </row>
    <row r="1188" spans="1:14" x14ac:dyDescent="0.25">
      <c r="A1188">
        <v>1186</v>
      </c>
      <c r="B1188" t="s">
        <v>1016</v>
      </c>
      <c r="C1188" t="s">
        <v>1671</v>
      </c>
      <c r="D1188" t="s">
        <v>1641</v>
      </c>
      <c r="E1188" t="s">
        <v>1316</v>
      </c>
      <c r="J1188" t="s">
        <v>1509</v>
      </c>
      <c r="N1188">
        <v>0</v>
      </c>
    </row>
    <row r="1189" spans="1:14" x14ac:dyDescent="0.25">
      <c r="A1189">
        <v>1187</v>
      </c>
      <c r="B1189" t="s">
        <v>1016</v>
      </c>
      <c r="C1189" t="s">
        <v>1671</v>
      </c>
      <c r="D1189" t="s">
        <v>1641</v>
      </c>
      <c r="E1189" t="s">
        <v>1316</v>
      </c>
      <c r="J1189" t="s">
        <v>1586</v>
      </c>
      <c r="N1189">
        <v>0</v>
      </c>
    </row>
    <row r="1190" spans="1:14" x14ac:dyDescent="0.25">
      <c r="A1190">
        <v>1188</v>
      </c>
      <c r="B1190" t="s">
        <v>1016</v>
      </c>
      <c r="C1190" t="s">
        <v>1671</v>
      </c>
      <c r="D1190" t="s">
        <v>1641</v>
      </c>
      <c r="E1190" t="s">
        <v>1316</v>
      </c>
      <c r="J1190" t="s">
        <v>1820</v>
      </c>
      <c r="N1190">
        <v>0</v>
      </c>
    </row>
    <row r="1191" spans="1:14" x14ac:dyDescent="0.25">
      <c r="A1191">
        <v>1189</v>
      </c>
      <c r="B1191" t="s">
        <v>1016</v>
      </c>
      <c r="C1191" t="s">
        <v>1671</v>
      </c>
      <c r="D1191" t="s">
        <v>1641</v>
      </c>
      <c r="E1191" t="s">
        <v>1316</v>
      </c>
      <c r="G1191" t="s">
        <v>122</v>
      </c>
      <c r="J1191" t="s">
        <v>1821</v>
      </c>
      <c r="N1191">
        <v>0</v>
      </c>
    </row>
    <row r="1192" spans="1:14" x14ac:dyDescent="0.25">
      <c r="A1192">
        <v>1190</v>
      </c>
      <c r="B1192" t="s">
        <v>1016</v>
      </c>
      <c r="C1192" t="s">
        <v>1671</v>
      </c>
      <c r="D1192" t="s">
        <v>1641</v>
      </c>
      <c r="E1192" t="s">
        <v>1316</v>
      </c>
      <c r="J1192" t="s">
        <v>1807</v>
      </c>
      <c r="N1192">
        <v>0</v>
      </c>
    </row>
    <row r="1193" spans="1:14" x14ac:dyDescent="0.25">
      <c r="A1193">
        <v>1191</v>
      </c>
      <c r="B1193" t="s">
        <v>1016</v>
      </c>
      <c r="C1193" t="s">
        <v>1671</v>
      </c>
      <c r="D1193" t="s">
        <v>1641</v>
      </c>
      <c r="E1193" t="s">
        <v>1316</v>
      </c>
      <c r="G1193" t="s">
        <v>122</v>
      </c>
      <c r="J1193" t="s">
        <v>1821</v>
      </c>
      <c r="N1193">
        <v>0</v>
      </c>
    </row>
    <row r="1194" spans="1:14" x14ac:dyDescent="0.25">
      <c r="A1194">
        <v>1192</v>
      </c>
      <c r="B1194" t="s">
        <v>1016</v>
      </c>
      <c r="C1194" t="s">
        <v>1674</v>
      </c>
      <c r="D1194" t="s">
        <v>1641</v>
      </c>
      <c r="E1194" t="s">
        <v>1316</v>
      </c>
      <c r="G1194" t="s">
        <v>16</v>
      </c>
      <c r="J1194" t="s">
        <v>1807</v>
      </c>
      <c r="N1194">
        <v>0</v>
      </c>
    </row>
    <row r="1195" spans="1:14" x14ac:dyDescent="0.25">
      <c r="A1195">
        <v>1193</v>
      </c>
      <c r="B1195" t="s">
        <v>1016</v>
      </c>
      <c r="C1195" t="s">
        <v>1671</v>
      </c>
      <c r="D1195" t="s">
        <v>1641</v>
      </c>
      <c r="E1195" t="s">
        <v>1316</v>
      </c>
      <c r="G1195" t="s">
        <v>122</v>
      </c>
      <c r="J1195" t="s">
        <v>1821</v>
      </c>
      <c r="N1195">
        <v>-1</v>
      </c>
    </row>
    <row r="1196" spans="1:14" x14ac:dyDescent="0.25">
      <c r="A1196">
        <v>1194</v>
      </c>
      <c r="B1196" t="s">
        <v>1016</v>
      </c>
      <c r="C1196" t="s">
        <v>1671</v>
      </c>
      <c r="D1196" t="s">
        <v>1641</v>
      </c>
      <c r="E1196" t="s">
        <v>1316</v>
      </c>
      <c r="G1196" t="s">
        <v>16</v>
      </c>
      <c r="J1196" t="s">
        <v>1807</v>
      </c>
      <c r="N1196">
        <v>0</v>
      </c>
    </row>
    <row r="1197" spans="1:14" x14ac:dyDescent="0.25">
      <c r="A1197">
        <v>1195</v>
      </c>
      <c r="B1197" t="s">
        <v>1016</v>
      </c>
      <c r="C1197" t="s">
        <v>1671</v>
      </c>
      <c r="D1197" t="s">
        <v>1641</v>
      </c>
      <c r="E1197" t="s">
        <v>1316</v>
      </c>
      <c r="G1197" t="s">
        <v>122</v>
      </c>
      <c r="J1197" t="s">
        <v>1821</v>
      </c>
      <c r="N1197">
        <v>0</v>
      </c>
    </row>
    <row r="1198" spans="1:14" x14ac:dyDescent="0.25">
      <c r="A1198">
        <v>1196</v>
      </c>
      <c r="B1198" t="s">
        <v>1016</v>
      </c>
      <c r="C1198" t="s">
        <v>1671</v>
      </c>
      <c r="D1198" t="s">
        <v>1641</v>
      </c>
      <c r="E1198" t="s">
        <v>1316</v>
      </c>
      <c r="J1198" t="s">
        <v>1822</v>
      </c>
      <c r="N1198">
        <v>0</v>
      </c>
    </row>
    <row r="1199" spans="1:14" x14ac:dyDescent="0.25">
      <c r="A1199">
        <v>1197</v>
      </c>
      <c r="B1199" t="s">
        <v>1016</v>
      </c>
      <c r="C1199" t="s">
        <v>1674</v>
      </c>
      <c r="D1199" t="s">
        <v>1641</v>
      </c>
      <c r="E1199" t="s">
        <v>1316</v>
      </c>
      <c r="G1199" t="s">
        <v>16</v>
      </c>
      <c r="J1199" t="s">
        <v>1807</v>
      </c>
      <c r="N1199">
        <v>0</v>
      </c>
    </row>
    <row r="1200" spans="1:14" x14ac:dyDescent="0.25">
      <c r="A1200">
        <v>1198</v>
      </c>
      <c r="B1200" t="s">
        <v>1016</v>
      </c>
      <c r="C1200" t="s">
        <v>1674</v>
      </c>
      <c r="D1200" t="s">
        <v>1641</v>
      </c>
      <c r="E1200" t="s">
        <v>1316</v>
      </c>
      <c r="G1200" t="s">
        <v>122</v>
      </c>
      <c r="J1200" t="s">
        <v>1821</v>
      </c>
      <c r="N1200">
        <v>-1</v>
      </c>
    </row>
    <row r="1201" spans="1:14" x14ac:dyDescent="0.25">
      <c r="A1201">
        <v>1199</v>
      </c>
      <c r="B1201" t="s">
        <v>1016</v>
      </c>
      <c r="C1201" t="s">
        <v>1674</v>
      </c>
      <c r="D1201" t="s">
        <v>1641</v>
      </c>
      <c r="E1201" t="s">
        <v>1316</v>
      </c>
      <c r="G1201" t="s">
        <v>16</v>
      </c>
      <c r="J1201" t="s">
        <v>1807</v>
      </c>
      <c r="N1201">
        <v>0</v>
      </c>
    </row>
    <row r="1202" spans="1:14" x14ac:dyDescent="0.25">
      <c r="A1202">
        <v>1200</v>
      </c>
      <c r="B1202" t="s">
        <v>1016</v>
      </c>
      <c r="C1202" t="s">
        <v>1674</v>
      </c>
      <c r="D1202" t="s">
        <v>1641</v>
      </c>
      <c r="E1202" t="s">
        <v>1316</v>
      </c>
      <c r="G1202" t="s">
        <v>122</v>
      </c>
      <c r="J1202" t="s">
        <v>1821</v>
      </c>
      <c r="N1202">
        <v>0</v>
      </c>
    </row>
    <row r="1203" spans="1:14" x14ac:dyDescent="0.25">
      <c r="A1203">
        <v>1201</v>
      </c>
      <c r="B1203" t="s">
        <v>653</v>
      </c>
      <c r="C1203" t="s">
        <v>1674</v>
      </c>
      <c r="D1203" t="s">
        <v>1641</v>
      </c>
      <c r="E1203" t="s">
        <v>1316</v>
      </c>
      <c r="G1203" t="s">
        <v>122</v>
      </c>
      <c r="J1203" t="s">
        <v>1821</v>
      </c>
      <c r="N1203">
        <v>-1</v>
      </c>
    </row>
    <row r="1204" spans="1:14" x14ac:dyDescent="0.25">
      <c r="A1204">
        <v>1202</v>
      </c>
      <c r="B1204" t="s">
        <v>653</v>
      </c>
      <c r="C1204" t="s">
        <v>1674</v>
      </c>
      <c r="D1204" t="s">
        <v>1641</v>
      </c>
      <c r="E1204" t="s">
        <v>1316</v>
      </c>
      <c r="J1204" t="s">
        <v>1807</v>
      </c>
      <c r="N1204">
        <v>0</v>
      </c>
    </row>
    <row r="1205" spans="1:14" x14ac:dyDescent="0.25">
      <c r="A1205">
        <v>1203</v>
      </c>
      <c r="B1205" t="s">
        <v>653</v>
      </c>
      <c r="C1205" t="s">
        <v>1674</v>
      </c>
      <c r="D1205" t="s">
        <v>1641</v>
      </c>
      <c r="E1205" t="s">
        <v>1316</v>
      </c>
      <c r="J1205" t="s">
        <v>1807</v>
      </c>
      <c r="N1205">
        <v>0</v>
      </c>
    </row>
    <row r="1206" spans="1:14" x14ac:dyDescent="0.25">
      <c r="A1206">
        <v>1204</v>
      </c>
      <c r="B1206" t="s">
        <v>653</v>
      </c>
      <c r="C1206" t="s">
        <v>1674</v>
      </c>
      <c r="D1206" t="s">
        <v>1641</v>
      </c>
      <c r="E1206" t="s">
        <v>1316</v>
      </c>
      <c r="G1206" t="s">
        <v>122</v>
      </c>
      <c r="J1206" t="s">
        <v>1821</v>
      </c>
      <c r="N1206">
        <v>0</v>
      </c>
    </row>
    <row r="1207" spans="1:14" x14ac:dyDescent="0.25">
      <c r="A1207">
        <v>1205</v>
      </c>
      <c r="B1207" t="s">
        <v>653</v>
      </c>
      <c r="C1207" t="s">
        <v>1666</v>
      </c>
      <c r="D1207" t="s">
        <v>1641</v>
      </c>
      <c r="E1207" t="s">
        <v>1316</v>
      </c>
      <c r="J1207" t="s">
        <v>1823</v>
      </c>
      <c r="N1207">
        <v>0</v>
      </c>
    </row>
    <row r="1208" spans="1:14" x14ac:dyDescent="0.25">
      <c r="A1208">
        <v>1206</v>
      </c>
      <c r="B1208" t="s">
        <v>653</v>
      </c>
      <c r="C1208" t="s">
        <v>1672</v>
      </c>
      <c r="D1208" t="s">
        <v>1641</v>
      </c>
      <c r="E1208" t="s">
        <v>1316</v>
      </c>
      <c r="J1208" t="s">
        <v>1824</v>
      </c>
      <c r="N1208">
        <v>0</v>
      </c>
    </row>
    <row r="1209" spans="1:14" x14ac:dyDescent="0.25">
      <c r="A1209">
        <v>1207</v>
      </c>
      <c r="B1209" t="s">
        <v>653</v>
      </c>
      <c r="C1209" t="s">
        <v>1672</v>
      </c>
      <c r="D1209" t="s">
        <v>1641</v>
      </c>
      <c r="E1209" t="s">
        <v>1316</v>
      </c>
      <c r="J1209" t="s">
        <v>1394</v>
      </c>
      <c r="N1209">
        <v>0</v>
      </c>
    </row>
    <row r="1210" spans="1:14" x14ac:dyDescent="0.25">
      <c r="A1210">
        <v>1208</v>
      </c>
      <c r="B1210" t="s">
        <v>653</v>
      </c>
      <c r="C1210" t="s">
        <v>1672</v>
      </c>
      <c r="D1210" t="s">
        <v>1641</v>
      </c>
      <c r="E1210" t="s">
        <v>1316</v>
      </c>
      <c r="J1210" t="s">
        <v>1387</v>
      </c>
      <c r="N1210">
        <v>0</v>
      </c>
    </row>
    <row r="1211" spans="1:14" x14ac:dyDescent="0.25">
      <c r="A1211">
        <v>1209</v>
      </c>
      <c r="B1211" t="s">
        <v>653</v>
      </c>
      <c r="C1211" t="s">
        <v>1672</v>
      </c>
      <c r="D1211" t="s">
        <v>1641</v>
      </c>
      <c r="E1211" t="s">
        <v>1316</v>
      </c>
      <c r="J1211" t="s">
        <v>1389</v>
      </c>
      <c r="N1211">
        <v>0</v>
      </c>
    </row>
    <row r="1212" spans="1:14" x14ac:dyDescent="0.25">
      <c r="A1212">
        <v>1210</v>
      </c>
      <c r="B1212" t="s">
        <v>653</v>
      </c>
      <c r="C1212" t="s">
        <v>1672</v>
      </c>
      <c r="D1212" t="s">
        <v>1641</v>
      </c>
      <c r="E1212" t="s">
        <v>1316</v>
      </c>
      <c r="J1212" t="s">
        <v>1384</v>
      </c>
      <c r="N1212">
        <v>0</v>
      </c>
    </row>
    <row r="1213" spans="1:14" x14ac:dyDescent="0.25">
      <c r="A1213">
        <v>1211</v>
      </c>
      <c r="B1213" t="s">
        <v>653</v>
      </c>
      <c r="C1213" t="s">
        <v>1672</v>
      </c>
      <c r="D1213" t="s">
        <v>1641</v>
      </c>
      <c r="E1213" t="s">
        <v>1316</v>
      </c>
      <c r="J1213" t="s">
        <v>1382</v>
      </c>
      <c r="N1213">
        <v>0</v>
      </c>
    </row>
    <row r="1214" spans="1:14" x14ac:dyDescent="0.25">
      <c r="A1214">
        <v>1212</v>
      </c>
      <c r="B1214" t="s">
        <v>990</v>
      </c>
      <c r="C1214" t="s">
        <v>1674</v>
      </c>
      <c r="D1214" t="s">
        <v>1641</v>
      </c>
      <c r="E1214" t="s">
        <v>1316</v>
      </c>
      <c r="J1214" t="s">
        <v>1399</v>
      </c>
      <c r="N1214">
        <v>0</v>
      </c>
    </row>
    <row r="1215" spans="1:14" x14ac:dyDescent="0.25">
      <c r="A1215">
        <v>1213</v>
      </c>
      <c r="B1215" t="s">
        <v>653</v>
      </c>
      <c r="C1215" t="s">
        <v>1672</v>
      </c>
      <c r="D1215" t="s">
        <v>1641</v>
      </c>
      <c r="E1215" t="s">
        <v>1316</v>
      </c>
      <c r="J1215" t="s">
        <v>1385</v>
      </c>
      <c r="N1215">
        <v>0</v>
      </c>
    </row>
    <row r="1216" spans="1:14" x14ac:dyDescent="0.25">
      <c r="A1216">
        <v>1214</v>
      </c>
      <c r="B1216" t="s">
        <v>653</v>
      </c>
      <c r="C1216" t="s">
        <v>1672</v>
      </c>
      <c r="D1216" t="s">
        <v>1641</v>
      </c>
      <c r="E1216" t="s">
        <v>1316</v>
      </c>
      <c r="J1216" t="s">
        <v>1825</v>
      </c>
      <c r="N1216">
        <v>0</v>
      </c>
    </row>
    <row r="1217" spans="1:14" x14ac:dyDescent="0.25">
      <c r="A1217">
        <v>1215</v>
      </c>
      <c r="B1217" t="s">
        <v>653</v>
      </c>
      <c r="C1217" t="s">
        <v>1672</v>
      </c>
      <c r="D1217" t="s">
        <v>1641</v>
      </c>
      <c r="E1217" t="s">
        <v>1316</v>
      </c>
      <c r="J1217" t="s">
        <v>1825</v>
      </c>
      <c r="N1217">
        <v>0</v>
      </c>
    </row>
    <row r="1218" spans="1:14" x14ac:dyDescent="0.25">
      <c r="A1218">
        <v>1216</v>
      </c>
      <c r="B1218" t="s">
        <v>653</v>
      </c>
      <c r="C1218" t="s">
        <v>1672</v>
      </c>
      <c r="D1218" t="s">
        <v>1641</v>
      </c>
      <c r="E1218" t="s">
        <v>1316</v>
      </c>
      <c r="J1218" t="s">
        <v>1389</v>
      </c>
      <c r="N1218">
        <v>0</v>
      </c>
    </row>
    <row r="1219" spans="1:14" x14ac:dyDescent="0.25">
      <c r="A1219">
        <v>1217</v>
      </c>
      <c r="B1219" t="s">
        <v>653</v>
      </c>
      <c r="C1219" t="s">
        <v>1672</v>
      </c>
      <c r="D1219" t="s">
        <v>1641</v>
      </c>
      <c r="E1219" t="s">
        <v>1316</v>
      </c>
      <c r="J1219" t="s">
        <v>1390</v>
      </c>
      <c r="N1219">
        <v>0</v>
      </c>
    </row>
    <row r="1220" spans="1:14" x14ac:dyDescent="0.25">
      <c r="A1220">
        <v>1218</v>
      </c>
      <c r="B1220" t="s">
        <v>653</v>
      </c>
      <c r="C1220" t="s">
        <v>1672</v>
      </c>
      <c r="D1220" t="s">
        <v>1641</v>
      </c>
      <c r="E1220" t="s">
        <v>1316</v>
      </c>
      <c r="J1220" t="s">
        <v>1826</v>
      </c>
      <c r="N1220">
        <v>0</v>
      </c>
    </row>
    <row r="1221" spans="1:14" x14ac:dyDescent="0.25">
      <c r="A1221">
        <v>1219</v>
      </c>
      <c r="B1221" t="s">
        <v>990</v>
      </c>
      <c r="C1221" t="s">
        <v>1672</v>
      </c>
      <c r="D1221" t="s">
        <v>1641</v>
      </c>
      <c r="E1221" t="s">
        <v>1316</v>
      </c>
      <c r="J1221" t="s">
        <v>1827</v>
      </c>
      <c r="N1221">
        <v>0</v>
      </c>
    </row>
    <row r="1222" spans="1:14" x14ac:dyDescent="0.25">
      <c r="A1222">
        <v>1220</v>
      </c>
      <c r="B1222" t="s">
        <v>653</v>
      </c>
      <c r="C1222" t="s">
        <v>1672</v>
      </c>
      <c r="D1222" t="s">
        <v>1641</v>
      </c>
      <c r="E1222" t="s">
        <v>1316</v>
      </c>
      <c r="J1222" t="s">
        <v>1413</v>
      </c>
      <c r="N1222">
        <v>0</v>
      </c>
    </row>
    <row r="1223" spans="1:14" x14ac:dyDescent="0.25">
      <c r="A1223">
        <v>1221</v>
      </c>
      <c r="B1223" t="s">
        <v>653</v>
      </c>
      <c r="C1223" t="s">
        <v>1672</v>
      </c>
      <c r="D1223" t="s">
        <v>1641</v>
      </c>
      <c r="E1223" t="s">
        <v>1316</v>
      </c>
      <c r="J1223" t="s">
        <v>1414</v>
      </c>
      <c r="N1223">
        <v>0</v>
      </c>
    </row>
    <row r="1224" spans="1:14" x14ac:dyDescent="0.25">
      <c r="A1224">
        <v>1222</v>
      </c>
      <c r="B1224" t="s">
        <v>653</v>
      </c>
      <c r="C1224" t="s">
        <v>1672</v>
      </c>
      <c r="D1224" t="s">
        <v>1641</v>
      </c>
      <c r="E1224" t="s">
        <v>1316</v>
      </c>
      <c r="J1224" t="s">
        <v>1381</v>
      </c>
      <c r="N1224">
        <v>0</v>
      </c>
    </row>
    <row r="1225" spans="1:14" x14ac:dyDescent="0.25">
      <c r="A1225">
        <v>1223</v>
      </c>
      <c r="B1225" t="s">
        <v>990</v>
      </c>
      <c r="C1225" t="s">
        <v>1675</v>
      </c>
      <c r="D1225" t="s">
        <v>1641</v>
      </c>
      <c r="E1225" t="s">
        <v>1316</v>
      </c>
      <c r="J1225" t="s">
        <v>1828</v>
      </c>
      <c r="N1225">
        <v>0</v>
      </c>
    </row>
    <row r="1226" spans="1:14" x14ac:dyDescent="0.25">
      <c r="A1226">
        <v>1224</v>
      </c>
      <c r="B1226" t="s">
        <v>990</v>
      </c>
      <c r="C1226" t="s">
        <v>1672</v>
      </c>
      <c r="D1226" t="s">
        <v>1641</v>
      </c>
      <c r="E1226" t="s">
        <v>1316</v>
      </c>
      <c r="J1226" t="s">
        <v>1829</v>
      </c>
      <c r="N1226">
        <v>0</v>
      </c>
    </row>
    <row r="1227" spans="1:14" x14ac:dyDescent="0.25">
      <c r="A1227">
        <v>1225</v>
      </c>
      <c r="B1227" t="s">
        <v>990</v>
      </c>
      <c r="C1227" t="s">
        <v>1672</v>
      </c>
      <c r="D1227" t="s">
        <v>1641</v>
      </c>
      <c r="E1227" t="s">
        <v>1316</v>
      </c>
      <c r="J1227" t="s">
        <v>1830</v>
      </c>
      <c r="N1227">
        <v>0</v>
      </c>
    </row>
    <row r="1228" spans="1:14" x14ac:dyDescent="0.25">
      <c r="A1228">
        <v>1226</v>
      </c>
      <c r="B1228" t="s">
        <v>990</v>
      </c>
      <c r="C1228" t="s">
        <v>1672</v>
      </c>
      <c r="D1228" t="s">
        <v>1641</v>
      </c>
      <c r="E1228" t="s">
        <v>1316</v>
      </c>
      <c r="J1228" t="s">
        <v>1831</v>
      </c>
      <c r="N1228">
        <v>0</v>
      </c>
    </row>
    <row r="1229" spans="1:14" x14ac:dyDescent="0.25">
      <c r="A1229">
        <v>1227</v>
      </c>
      <c r="B1229" t="s">
        <v>990</v>
      </c>
      <c r="C1229" t="s">
        <v>1672</v>
      </c>
      <c r="D1229" t="s">
        <v>1641</v>
      </c>
      <c r="E1229" t="s">
        <v>1316</v>
      </c>
      <c r="J1229" t="s">
        <v>1676</v>
      </c>
      <c r="N1229">
        <v>0</v>
      </c>
    </row>
    <row r="1230" spans="1:14" x14ac:dyDescent="0.25">
      <c r="A1230">
        <v>1228</v>
      </c>
      <c r="B1230" t="s">
        <v>990</v>
      </c>
      <c r="C1230" t="s">
        <v>1672</v>
      </c>
      <c r="D1230" t="s">
        <v>1641</v>
      </c>
      <c r="E1230" t="s">
        <v>1316</v>
      </c>
      <c r="J1230" t="s">
        <v>1418</v>
      </c>
      <c r="N1230">
        <v>0</v>
      </c>
    </row>
    <row r="1231" spans="1:14" x14ac:dyDescent="0.25">
      <c r="A1231">
        <v>1229</v>
      </c>
      <c r="B1231" t="s">
        <v>990</v>
      </c>
      <c r="C1231" t="s">
        <v>1677</v>
      </c>
      <c r="D1231" t="s">
        <v>1641</v>
      </c>
      <c r="E1231" t="s">
        <v>1316</v>
      </c>
      <c r="J1231" t="s">
        <v>1832</v>
      </c>
      <c r="N1231">
        <v>0</v>
      </c>
    </row>
    <row r="1232" spans="1:14" x14ac:dyDescent="0.25">
      <c r="A1232">
        <v>1230</v>
      </c>
      <c r="B1232" t="s">
        <v>990</v>
      </c>
      <c r="C1232" t="s">
        <v>1668</v>
      </c>
      <c r="D1232" t="s">
        <v>1641</v>
      </c>
      <c r="E1232" t="s">
        <v>1316</v>
      </c>
      <c r="G1232" t="s">
        <v>122</v>
      </c>
      <c r="J1232" t="s">
        <v>1791</v>
      </c>
      <c r="N1232">
        <v>0</v>
      </c>
    </row>
    <row r="1233" spans="1:14" x14ac:dyDescent="0.25">
      <c r="A1233">
        <v>1231</v>
      </c>
      <c r="B1233" t="s">
        <v>990</v>
      </c>
      <c r="C1233" t="s">
        <v>1677</v>
      </c>
      <c r="D1233" t="s">
        <v>1641</v>
      </c>
      <c r="E1233" t="s">
        <v>1316</v>
      </c>
      <c r="J1233" t="s">
        <v>1833</v>
      </c>
      <c r="N1233">
        <v>0</v>
      </c>
    </row>
    <row r="1234" spans="1:14" x14ac:dyDescent="0.25">
      <c r="A1234">
        <v>1232</v>
      </c>
      <c r="B1234" t="s">
        <v>990</v>
      </c>
      <c r="C1234" t="s">
        <v>1668</v>
      </c>
      <c r="D1234" t="s">
        <v>1641</v>
      </c>
      <c r="E1234" t="s">
        <v>1316</v>
      </c>
      <c r="J1234" t="s">
        <v>1834</v>
      </c>
      <c r="N1234">
        <v>0</v>
      </c>
    </row>
    <row r="1235" spans="1:14" x14ac:dyDescent="0.25">
      <c r="A1235">
        <v>1233</v>
      </c>
      <c r="B1235" t="s">
        <v>990</v>
      </c>
      <c r="C1235" t="s">
        <v>1677</v>
      </c>
      <c r="D1235" t="s">
        <v>1641</v>
      </c>
      <c r="E1235" t="s">
        <v>1316</v>
      </c>
      <c r="J1235" t="s">
        <v>1815</v>
      </c>
      <c r="N1235">
        <v>0</v>
      </c>
    </row>
    <row r="1236" spans="1:14" x14ac:dyDescent="0.25">
      <c r="A1236">
        <v>1234</v>
      </c>
      <c r="B1236" t="s">
        <v>990</v>
      </c>
      <c r="C1236" t="s">
        <v>1668</v>
      </c>
      <c r="D1236" t="s">
        <v>1641</v>
      </c>
      <c r="E1236" t="s">
        <v>1316</v>
      </c>
      <c r="J1236" t="s">
        <v>1815</v>
      </c>
      <c r="N1236">
        <v>0</v>
      </c>
    </row>
    <row r="1237" spans="1:14" x14ac:dyDescent="0.25">
      <c r="A1237">
        <v>1235</v>
      </c>
      <c r="B1237" t="s">
        <v>990</v>
      </c>
      <c r="C1237" t="s">
        <v>1661</v>
      </c>
      <c r="D1237" t="s">
        <v>1641</v>
      </c>
      <c r="E1237" t="s">
        <v>1316</v>
      </c>
      <c r="J1237" t="s">
        <v>1815</v>
      </c>
      <c r="N1237">
        <v>0</v>
      </c>
    </row>
    <row r="1238" spans="1:14" x14ac:dyDescent="0.25">
      <c r="A1238">
        <v>1236</v>
      </c>
      <c r="B1238" t="s">
        <v>990</v>
      </c>
      <c r="C1238" t="s">
        <v>1661</v>
      </c>
      <c r="D1238" t="s">
        <v>1641</v>
      </c>
      <c r="E1238" t="s">
        <v>1316</v>
      </c>
      <c r="G1238" t="s">
        <v>16</v>
      </c>
      <c r="J1238" t="s">
        <v>1815</v>
      </c>
      <c r="N1238">
        <v>0</v>
      </c>
    </row>
    <row r="1239" spans="1:14" x14ac:dyDescent="0.25">
      <c r="A1239">
        <v>1237</v>
      </c>
      <c r="B1239" t="s">
        <v>990</v>
      </c>
      <c r="C1239" t="s">
        <v>1661</v>
      </c>
      <c r="D1239" t="s">
        <v>1641</v>
      </c>
      <c r="E1239" t="s">
        <v>1316</v>
      </c>
      <c r="G1239" t="s">
        <v>16</v>
      </c>
      <c r="J1239" t="s">
        <v>1815</v>
      </c>
      <c r="N1239">
        <v>0</v>
      </c>
    </row>
    <row r="1240" spans="1:14" x14ac:dyDescent="0.25">
      <c r="A1240">
        <v>1238</v>
      </c>
      <c r="B1240" t="s">
        <v>990</v>
      </c>
      <c r="C1240" t="s">
        <v>1661</v>
      </c>
      <c r="D1240" t="s">
        <v>1641</v>
      </c>
      <c r="E1240" t="s">
        <v>1316</v>
      </c>
      <c r="G1240" t="s">
        <v>16</v>
      </c>
      <c r="J1240" t="s">
        <v>1815</v>
      </c>
      <c r="N1240">
        <v>0</v>
      </c>
    </row>
    <row r="1241" spans="1:14" x14ac:dyDescent="0.25">
      <c r="A1241">
        <v>1239</v>
      </c>
      <c r="B1241" t="s">
        <v>11</v>
      </c>
      <c r="C1241" t="s">
        <v>1661</v>
      </c>
      <c r="D1241" t="s">
        <v>1641</v>
      </c>
      <c r="E1241" t="s">
        <v>1316</v>
      </c>
      <c r="G1241" t="s">
        <v>16</v>
      </c>
      <c r="J1241" t="s">
        <v>1559</v>
      </c>
      <c r="N1241">
        <v>0</v>
      </c>
    </row>
    <row r="1242" spans="1:14" x14ac:dyDescent="0.25">
      <c r="A1242">
        <v>1240</v>
      </c>
      <c r="B1242" t="s">
        <v>11</v>
      </c>
      <c r="C1242" t="s">
        <v>1673</v>
      </c>
      <c r="D1242" t="s">
        <v>1678</v>
      </c>
      <c r="E1242" t="s">
        <v>1316</v>
      </c>
      <c r="G1242" t="s">
        <v>16</v>
      </c>
      <c r="J1242" t="s">
        <v>1585</v>
      </c>
      <c r="N1242">
        <v>0</v>
      </c>
    </row>
    <row r="1243" spans="1:14" x14ac:dyDescent="0.25">
      <c r="A1243">
        <v>1241</v>
      </c>
      <c r="B1243" t="s">
        <v>11</v>
      </c>
      <c r="C1243" t="s">
        <v>1673</v>
      </c>
      <c r="D1243" t="s">
        <v>1641</v>
      </c>
      <c r="E1243" t="s">
        <v>1316</v>
      </c>
      <c r="G1243" t="s">
        <v>16</v>
      </c>
      <c r="J1243" t="s">
        <v>1558</v>
      </c>
      <c r="N1243">
        <v>0</v>
      </c>
    </row>
    <row r="1244" spans="1:14" x14ac:dyDescent="0.25">
      <c r="A1244">
        <v>1242</v>
      </c>
      <c r="B1244" t="s">
        <v>11</v>
      </c>
      <c r="C1244" t="s">
        <v>1673</v>
      </c>
      <c r="D1244" t="s">
        <v>1641</v>
      </c>
      <c r="E1244" t="s">
        <v>1316</v>
      </c>
      <c r="G1244" t="s">
        <v>16</v>
      </c>
      <c r="J1244" t="s">
        <v>1835</v>
      </c>
      <c r="N1244">
        <v>0</v>
      </c>
    </row>
    <row r="1245" spans="1:14" x14ac:dyDescent="0.25">
      <c r="A1245">
        <v>1243</v>
      </c>
      <c r="B1245" t="s">
        <v>11</v>
      </c>
      <c r="C1245" t="s">
        <v>1673</v>
      </c>
      <c r="D1245" t="s">
        <v>1641</v>
      </c>
      <c r="E1245" t="s">
        <v>1316</v>
      </c>
      <c r="J1245" t="s">
        <v>1584</v>
      </c>
      <c r="N1245">
        <v>0</v>
      </c>
    </row>
    <row r="1246" spans="1:14" x14ac:dyDescent="0.25">
      <c r="A1246">
        <v>1244</v>
      </c>
      <c r="B1246" t="s">
        <v>11</v>
      </c>
      <c r="C1246" t="s">
        <v>1673</v>
      </c>
      <c r="D1246" t="s">
        <v>1641</v>
      </c>
      <c r="E1246" t="s">
        <v>1316</v>
      </c>
      <c r="J1246" t="s">
        <v>1836</v>
      </c>
      <c r="N1246">
        <v>0</v>
      </c>
    </row>
    <row r="1247" spans="1:14" x14ac:dyDescent="0.25">
      <c r="A1247">
        <v>1245</v>
      </c>
      <c r="B1247" t="s">
        <v>11</v>
      </c>
      <c r="C1247" t="s">
        <v>1673</v>
      </c>
      <c r="D1247" t="s">
        <v>1641</v>
      </c>
      <c r="E1247" t="s">
        <v>1316</v>
      </c>
      <c r="J1247" t="s">
        <v>1804</v>
      </c>
      <c r="N1247">
        <v>0</v>
      </c>
    </row>
    <row r="1248" spans="1:14" x14ac:dyDescent="0.25">
      <c r="A1248">
        <v>1246</v>
      </c>
      <c r="B1248" t="s">
        <v>11</v>
      </c>
      <c r="C1248" t="s">
        <v>1673</v>
      </c>
      <c r="D1248" t="s">
        <v>1641</v>
      </c>
      <c r="E1248" t="s">
        <v>1316</v>
      </c>
      <c r="G1248" t="s">
        <v>16</v>
      </c>
      <c r="J1248" t="s">
        <v>1835</v>
      </c>
      <c r="N1248">
        <v>0</v>
      </c>
    </row>
    <row r="1249" spans="1:14" x14ac:dyDescent="0.25">
      <c r="A1249">
        <v>1247</v>
      </c>
      <c r="B1249" t="s">
        <v>11</v>
      </c>
      <c r="C1249" t="s">
        <v>1670</v>
      </c>
      <c r="D1249" t="s">
        <v>1641</v>
      </c>
      <c r="E1249" t="s">
        <v>1316</v>
      </c>
      <c r="G1249" t="s">
        <v>16</v>
      </c>
      <c r="J1249" t="s">
        <v>1837</v>
      </c>
      <c r="N1249">
        <v>0</v>
      </c>
    </row>
    <row r="1250" spans="1:14" x14ac:dyDescent="0.25">
      <c r="A1250">
        <v>1248</v>
      </c>
      <c r="B1250" t="s">
        <v>11</v>
      </c>
      <c r="C1250" t="s">
        <v>1670</v>
      </c>
      <c r="D1250" t="s">
        <v>1641</v>
      </c>
      <c r="E1250" t="s">
        <v>1316</v>
      </c>
      <c r="G1250" t="s">
        <v>16</v>
      </c>
      <c r="J1250" t="s">
        <v>1816</v>
      </c>
      <c r="N1250">
        <v>0</v>
      </c>
    </row>
    <row r="1251" spans="1:14" x14ac:dyDescent="0.25">
      <c r="A1251">
        <v>1249</v>
      </c>
      <c r="B1251" t="s">
        <v>11</v>
      </c>
      <c r="C1251" t="s">
        <v>1670</v>
      </c>
      <c r="D1251" t="s">
        <v>1641</v>
      </c>
      <c r="E1251" t="s">
        <v>1316</v>
      </c>
      <c r="G1251" t="s">
        <v>16</v>
      </c>
      <c r="J1251" t="s">
        <v>1816</v>
      </c>
      <c r="N1251">
        <v>0</v>
      </c>
    </row>
    <row r="1252" spans="1:14" x14ac:dyDescent="0.25">
      <c r="A1252">
        <v>1250</v>
      </c>
      <c r="B1252" t="s">
        <v>1016</v>
      </c>
      <c r="C1252" t="s">
        <v>1670</v>
      </c>
      <c r="D1252" t="s">
        <v>1641</v>
      </c>
      <c r="E1252" t="s">
        <v>1316</v>
      </c>
      <c r="J1252" t="s">
        <v>1500</v>
      </c>
      <c r="N1252">
        <v>0</v>
      </c>
    </row>
    <row r="1253" spans="1:14" x14ac:dyDescent="0.25">
      <c r="A1253">
        <v>1251</v>
      </c>
      <c r="B1253" t="s">
        <v>1016</v>
      </c>
      <c r="C1253" t="s">
        <v>1670</v>
      </c>
      <c r="D1253" t="s">
        <v>1641</v>
      </c>
      <c r="E1253" t="s">
        <v>1316</v>
      </c>
      <c r="J1253" t="s">
        <v>1501</v>
      </c>
      <c r="N1253">
        <v>0</v>
      </c>
    </row>
    <row r="1254" spans="1:14" x14ac:dyDescent="0.25">
      <c r="A1254">
        <v>1252</v>
      </c>
      <c r="B1254" t="s">
        <v>1016</v>
      </c>
      <c r="C1254" t="s">
        <v>1671</v>
      </c>
      <c r="D1254" t="s">
        <v>1679</v>
      </c>
      <c r="E1254" t="s">
        <v>1316</v>
      </c>
      <c r="G1254" t="s">
        <v>16</v>
      </c>
      <c r="J1254" t="s">
        <v>1503</v>
      </c>
      <c r="N1254">
        <v>0</v>
      </c>
    </row>
    <row r="1255" spans="1:14" x14ac:dyDescent="0.25">
      <c r="A1255">
        <v>1253</v>
      </c>
      <c r="B1255" t="s">
        <v>1016</v>
      </c>
      <c r="C1255" t="s">
        <v>1671</v>
      </c>
      <c r="D1255" t="s">
        <v>1641</v>
      </c>
      <c r="E1255" t="s">
        <v>1316</v>
      </c>
      <c r="J1255" t="s">
        <v>1506</v>
      </c>
      <c r="N1255">
        <v>0</v>
      </c>
    </row>
    <row r="1256" spans="1:14" x14ac:dyDescent="0.25">
      <c r="A1256">
        <v>1254</v>
      </c>
      <c r="B1256" t="s">
        <v>1016</v>
      </c>
      <c r="C1256" t="s">
        <v>1671</v>
      </c>
      <c r="D1256" t="s">
        <v>1641</v>
      </c>
      <c r="E1256" t="s">
        <v>1316</v>
      </c>
      <c r="J1256" t="s">
        <v>1838</v>
      </c>
      <c r="N1256">
        <v>0</v>
      </c>
    </row>
    <row r="1257" spans="1:14" x14ac:dyDescent="0.25">
      <c r="A1257">
        <v>1255</v>
      </c>
      <c r="B1257" t="s">
        <v>1016</v>
      </c>
      <c r="C1257" t="s">
        <v>1671</v>
      </c>
      <c r="D1257" t="s">
        <v>1641</v>
      </c>
      <c r="E1257" t="s">
        <v>1316</v>
      </c>
      <c r="J1257" t="s">
        <v>1590</v>
      </c>
      <c r="N1257">
        <v>0</v>
      </c>
    </row>
    <row r="1258" spans="1:14" x14ac:dyDescent="0.25">
      <c r="A1258">
        <v>1256</v>
      </c>
      <c r="B1258" t="s">
        <v>1016</v>
      </c>
      <c r="C1258" t="s">
        <v>1671</v>
      </c>
      <c r="D1258" t="s">
        <v>1641</v>
      </c>
      <c r="E1258" t="s">
        <v>1316</v>
      </c>
      <c r="G1258" t="s">
        <v>16</v>
      </c>
      <c r="J1258" t="s">
        <v>1838</v>
      </c>
      <c r="N1258">
        <v>0</v>
      </c>
    </row>
    <row r="1259" spans="1:14" x14ac:dyDescent="0.25">
      <c r="A1259">
        <v>1257</v>
      </c>
      <c r="B1259" t="s">
        <v>1016</v>
      </c>
      <c r="C1259" t="s">
        <v>1671</v>
      </c>
      <c r="D1259" t="s">
        <v>1641</v>
      </c>
      <c r="E1259" t="s">
        <v>1316</v>
      </c>
      <c r="G1259" t="s">
        <v>16</v>
      </c>
      <c r="J1259" t="s">
        <v>1838</v>
      </c>
      <c r="N1259">
        <v>0</v>
      </c>
    </row>
    <row r="1260" spans="1:14" x14ac:dyDescent="0.25">
      <c r="A1260">
        <v>1258</v>
      </c>
      <c r="B1260" t="s">
        <v>1016</v>
      </c>
      <c r="C1260" t="s">
        <v>1671</v>
      </c>
      <c r="D1260" t="s">
        <v>1641</v>
      </c>
      <c r="E1260" t="s">
        <v>1316</v>
      </c>
      <c r="G1260" t="s">
        <v>16</v>
      </c>
      <c r="J1260" t="s">
        <v>1838</v>
      </c>
      <c r="N1260">
        <v>0</v>
      </c>
    </row>
    <row r="1261" spans="1:14" x14ac:dyDescent="0.25">
      <c r="A1261">
        <v>1259</v>
      </c>
      <c r="B1261" t="s">
        <v>1016</v>
      </c>
      <c r="C1261" t="s">
        <v>1674</v>
      </c>
      <c r="D1261" t="s">
        <v>1641</v>
      </c>
      <c r="E1261" t="s">
        <v>1316</v>
      </c>
      <c r="G1261" t="s">
        <v>16</v>
      </c>
      <c r="J1261" t="s">
        <v>1838</v>
      </c>
      <c r="N1261">
        <v>0</v>
      </c>
    </row>
    <row r="1262" spans="1:14" x14ac:dyDescent="0.25">
      <c r="A1262">
        <v>1260</v>
      </c>
      <c r="B1262" t="s">
        <v>990</v>
      </c>
      <c r="C1262" t="s">
        <v>1674</v>
      </c>
      <c r="D1262" t="s">
        <v>1641</v>
      </c>
      <c r="E1262" t="s">
        <v>1316</v>
      </c>
      <c r="J1262" t="s">
        <v>1807</v>
      </c>
      <c r="N1262">
        <v>0</v>
      </c>
    </row>
    <row r="1263" spans="1:14" x14ac:dyDescent="0.25">
      <c r="A1263">
        <v>1261</v>
      </c>
      <c r="B1263" t="s">
        <v>990</v>
      </c>
      <c r="C1263" t="s">
        <v>1674</v>
      </c>
      <c r="D1263" t="s">
        <v>1641</v>
      </c>
      <c r="E1263" t="s">
        <v>1316</v>
      </c>
      <c r="J1263" t="s">
        <v>1807</v>
      </c>
      <c r="N1263">
        <v>0</v>
      </c>
    </row>
    <row r="1264" spans="1:14" x14ac:dyDescent="0.25">
      <c r="A1264">
        <v>1262</v>
      </c>
      <c r="B1264" t="s">
        <v>990</v>
      </c>
      <c r="C1264" t="s">
        <v>1674</v>
      </c>
      <c r="D1264" t="s">
        <v>1641</v>
      </c>
      <c r="E1264" t="s">
        <v>1316</v>
      </c>
      <c r="J1264" t="s">
        <v>1807</v>
      </c>
      <c r="N1264">
        <v>0</v>
      </c>
    </row>
    <row r="1265" spans="1:14" x14ac:dyDescent="0.25">
      <c r="A1265">
        <v>1263</v>
      </c>
      <c r="B1265" t="s">
        <v>990</v>
      </c>
      <c r="C1265" t="s">
        <v>1674</v>
      </c>
      <c r="D1265" t="s">
        <v>1641</v>
      </c>
      <c r="E1265" t="s">
        <v>1316</v>
      </c>
      <c r="G1265" t="s">
        <v>122</v>
      </c>
      <c r="J1265" t="s">
        <v>1821</v>
      </c>
      <c r="N1265">
        <v>0</v>
      </c>
    </row>
    <row r="1266" spans="1:14" x14ac:dyDescent="0.25">
      <c r="A1266">
        <v>1264</v>
      </c>
      <c r="B1266" t="s">
        <v>990</v>
      </c>
      <c r="C1266" t="s">
        <v>1672</v>
      </c>
      <c r="D1266" t="s">
        <v>1641</v>
      </c>
      <c r="E1266" t="s">
        <v>1316</v>
      </c>
      <c r="J1266" t="s">
        <v>1386</v>
      </c>
      <c r="N1266">
        <v>0</v>
      </c>
    </row>
    <row r="1267" spans="1:14" x14ac:dyDescent="0.25">
      <c r="A1267">
        <v>1265</v>
      </c>
      <c r="B1267" t="s">
        <v>990</v>
      </c>
      <c r="C1267" t="s">
        <v>1674</v>
      </c>
      <c r="D1267" t="s">
        <v>1641</v>
      </c>
      <c r="E1267" t="s">
        <v>1316</v>
      </c>
      <c r="J1267" t="s">
        <v>1839</v>
      </c>
      <c r="N1267">
        <v>0</v>
      </c>
    </row>
    <row r="1268" spans="1:14" x14ac:dyDescent="0.25">
      <c r="A1268">
        <v>1266</v>
      </c>
      <c r="B1268" t="s">
        <v>990</v>
      </c>
      <c r="C1268" t="s">
        <v>1674</v>
      </c>
      <c r="D1268" t="s">
        <v>1641</v>
      </c>
      <c r="E1268" t="s">
        <v>1316</v>
      </c>
      <c r="J1268" t="s">
        <v>1400</v>
      </c>
      <c r="N1268">
        <v>0</v>
      </c>
    </row>
    <row r="1269" spans="1:14" x14ac:dyDescent="0.25">
      <c r="A1269">
        <v>1267</v>
      </c>
      <c r="B1269" t="s">
        <v>990</v>
      </c>
      <c r="C1269" t="s">
        <v>1674</v>
      </c>
      <c r="D1269" t="s">
        <v>1641</v>
      </c>
      <c r="E1269" t="s">
        <v>1316</v>
      </c>
      <c r="J1269" t="s">
        <v>1401</v>
      </c>
      <c r="N1269">
        <v>0</v>
      </c>
    </row>
    <row r="1270" spans="1:14" x14ac:dyDescent="0.25">
      <c r="A1270">
        <v>1268</v>
      </c>
      <c r="B1270" t="s">
        <v>990</v>
      </c>
      <c r="C1270" t="s">
        <v>1674</v>
      </c>
      <c r="D1270" t="s">
        <v>1641</v>
      </c>
      <c r="E1270" t="s">
        <v>1316</v>
      </c>
      <c r="J1270" t="s">
        <v>1402</v>
      </c>
      <c r="N1270">
        <v>0</v>
      </c>
    </row>
    <row r="1271" spans="1:14" x14ac:dyDescent="0.25">
      <c r="A1271">
        <v>1269</v>
      </c>
      <c r="B1271" t="s">
        <v>990</v>
      </c>
      <c r="C1271" t="s">
        <v>1674</v>
      </c>
      <c r="D1271" t="s">
        <v>1641</v>
      </c>
      <c r="E1271" t="s">
        <v>1316</v>
      </c>
      <c r="J1271" t="s">
        <v>1840</v>
      </c>
      <c r="N1271">
        <v>0</v>
      </c>
    </row>
    <row r="1272" spans="1:14" x14ac:dyDescent="0.25">
      <c r="A1272">
        <v>1270</v>
      </c>
      <c r="B1272" t="s">
        <v>990</v>
      </c>
      <c r="C1272" t="s">
        <v>1674</v>
      </c>
      <c r="D1272" t="s">
        <v>1641</v>
      </c>
      <c r="E1272" t="s">
        <v>1316</v>
      </c>
      <c r="J1272" t="s">
        <v>1403</v>
      </c>
      <c r="N1272">
        <v>0</v>
      </c>
    </row>
    <row r="1273" spans="1:14" x14ac:dyDescent="0.25">
      <c r="A1273">
        <v>1271</v>
      </c>
      <c r="B1273" t="s">
        <v>990</v>
      </c>
      <c r="C1273" t="s">
        <v>1674</v>
      </c>
      <c r="D1273" t="s">
        <v>1641</v>
      </c>
      <c r="E1273" t="s">
        <v>1316</v>
      </c>
      <c r="J1273" t="s">
        <v>1404</v>
      </c>
      <c r="N1273">
        <v>0</v>
      </c>
    </row>
    <row r="1274" spans="1:14" x14ac:dyDescent="0.25">
      <c r="A1274">
        <v>1272</v>
      </c>
      <c r="B1274" t="s">
        <v>990</v>
      </c>
      <c r="C1274" t="s">
        <v>1677</v>
      </c>
      <c r="D1274" t="s">
        <v>1641</v>
      </c>
      <c r="E1274" t="s">
        <v>1316</v>
      </c>
      <c r="J1274" t="s">
        <v>1407</v>
      </c>
      <c r="N1274">
        <v>0</v>
      </c>
    </row>
    <row r="1275" spans="1:14" x14ac:dyDescent="0.25">
      <c r="A1275">
        <v>1273</v>
      </c>
      <c r="B1275" t="s">
        <v>990</v>
      </c>
      <c r="C1275" t="s">
        <v>1677</v>
      </c>
      <c r="D1275" t="s">
        <v>1641</v>
      </c>
      <c r="E1275" t="s">
        <v>1316</v>
      </c>
      <c r="J1275" t="s">
        <v>1408</v>
      </c>
      <c r="N1275">
        <v>0</v>
      </c>
    </row>
    <row r="1276" spans="1:14" x14ac:dyDescent="0.25">
      <c r="A1276">
        <v>1274</v>
      </c>
      <c r="B1276" t="s">
        <v>990</v>
      </c>
      <c r="C1276" t="s">
        <v>1677</v>
      </c>
      <c r="D1276" t="s">
        <v>1641</v>
      </c>
      <c r="E1276" t="s">
        <v>1316</v>
      </c>
      <c r="J1276" t="s">
        <v>1409</v>
      </c>
      <c r="N1276">
        <v>0</v>
      </c>
    </row>
    <row r="1277" spans="1:14" x14ac:dyDescent="0.25">
      <c r="A1277">
        <v>1275</v>
      </c>
      <c r="B1277" t="s">
        <v>990</v>
      </c>
      <c r="C1277" t="s">
        <v>1677</v>
      </c>
      <c r="D1277" t="s">
        <v>1641</v>
      </c>
      <c r="E1277" t="s">
        <v>1316</v>
      </c>
      <c r="J1277" t="s">
        <v>1601</v>
      </c>
      <c r="N1277">
        <v>0</v>
      </c>
    </row>
    <row r="1278" spans="1:14" x14ac:dyDescent="0.25">
      <c r="A1278">
        <v>1276</v>
      </c>
      <c r="B1278" t="s">
        <v>990</v>
      </c>
      <c r="C1278" t="s">
        <v>1677</v>
      </c>
      <c r="D1278" t="s">
        <v>1641</v>
      </c>
      <c r="E1278" t="s">
        <v>1316</v>
      </c>
      <c r="J1278" t="s">
        <v>1602</v>
      </c>
      <c r="N1278">
        <v>0</v>
      </c>
    </row>
    <row r="1279" spans="1:14" x14ac:dyDescent="0.25">
      <c r="A1279">
        <v>1277</v>
      </c>
      <c r="B1279" t="s">
        <v>990</v>
      </c>
      <c r="C1279" t="s">
        <v>1677</v>
      </c>
      <c r="D1279" t="s">
        <v>1641</v>
      </c>
      <c r="E1279" t="s">
        <v>1316</v>
      </c>
      <c r="J1279" t="s">
        <v>1602</v>
      </c>
      <c r="N1279">
        <v>0</v>
      </c>
    </row>
    <row r="1280" spans="1:14" x14ac:dyDescent="0.25">
      <c r="A1280">
        <v>1278</v>
      </c>
      <c r="B1280" t="s">
        <v>990</v>
      </c>
      <c r="C1280" t="s">
        <v>1677</v>
      </c>
      <c r="D1280" t="s">
        <v>1641</v>
      </c>
      <c r="E1280" t="s">
        <v>1316</v>
      </c>
      <c r="J1280" t="s">
        <v>1841</v>
      </c>
      <c r="N1280">
        <v>0</v>
      </c>
    </row>
    <row r="1281" spans="1:14" x14ac:dyDescent="0.25">
      <c r="A1281">
        <v>1279</v>
      </c>
      <c r="B1281" t="s">
        <v>990</v>
      </c>
      <c r="C1281" t="s">
        <v>1677</v>
      </c>
      <c r="D1281" t="s">
        <v>1641</v>
      </c>
      <c r="E1281" t="s">
        <v>1316</v>
      </c>
      <c r="J1281" t="s">
        <v>1602</v>
      </c>
      <c r="N1281">
        <v>0</v>
      </c>
    </row>
    <row r="1282" spans="1:14" x14ac:dyDescent="0.25">
      <c r="A1282">
        <v>1280</v>
      </c>
      <c r="B1282" t="s">
        <v>990</v>
      </c>
      <c r="C1282" t="s">
        <v>1677</v>
      </c>
      <c r="D1282" t="s">
        <v>1641</v>
      </c>
      <c r="E1282" t="s">
        <v>1316</v>
      </c>
      <c r="J1282" t="s">
        <v>1604</v>
      </c>
      <c r="N1282">
        <v>0</v>
      </c>
    </row>
    <row r="1283" spans="1:14" x14ac:dyDescent="0.25">
      <c r="A1283">
        <v>1281</v>
      </c>
      <c r="B1283" t="s">
        <v>990</v>
      </c>
      <c r="C1283" t="s">
        <v>1677</v>
      </c>
      <c r="D1283" t="s">
        <v>1641</v>
      </c>
      <c r="E1283" t="s">
        <v>1316</v>
      </c>
      <c r="J1283" t="s">
        <v>1602</v>
      </c>
      <c r="N1283">
        <v>0</v>
      </c>
    </row>
    <row r="1284" spans="1:14" x14ac:dyDescent="0.25">
      <c r="A1284">
        <v>1282</v>
      </c>
      <c r="B1284" t="s">
        <v>990</v>
      </c>
      <c r="C1284" t="s">
        <v>1677</v>
      </c>
      <c r="D1284" t="s">
        <v>1641</v>
      </c>
      <c r="E1284" t="s">
        <v>1316</v>
      </c>
      <c r="J1284" t="s">
        <v>1815</v>
      </c>
      <c r="N1284">
        <v>0</v>
      </c>
    </row>
    <row r="1285" spans="1:14" x14ac:dyDescent="0.25">
      <c r="A1285">
        <v>1283</v>
      </c>
      <c r="B1285" t="s">
        <v>990</v>
      </c>
      <c r="C1285" t="s">
        <v>1661</v>
      </c>
      <c r="D1285" t="s">
        <v>1641</v>
      </c>
      <c r="E1285" t="s">
        <v>1316</v>
      </c>
      <c r="J1285" t="s">
        <v>1815</v>
      </c>
      <c r="N1285">
        <v>0</v>
      </c>
    </row>
    <row r="1286" spans="1:14" x14ac:dyDescent="0.25">
      <c r="A1286">
        <v>1284</v>
      </c>
      <c r="B1286" t="s">
        <v>990</v>
      </c>
      <c r="C1286" t="s">
        <v>1661</v>
      </c>
      <c r="D1286" t="s">
        <v>1641</v>
      </c>
      <c r="E1286" t="s">
        <v>1316</v>
      </c>
      <c r="J1286" t="s">
        <v>1815</v>
      </c>
      <c r="N1286">
        <v>0</v>
      </c>
    </row>
    <row r="1287" spans="1:14" x14ac:dyDescent="0.25">
      <c r="A1287">
        <v>1285</v>
      </c>
      <c r="B1287" t="s">
        <v>990</v>
      </c>
      <c r="C1287" t="s">
        <v>1661</v>
      </c>
      <c r="D1287" t="s">
        <v>1641</v>
      </c>
      <c r="E1287" t="s">
        <v>1316</v>
      </c>
      <c r="G1287" t="s">
        <v>16</v>
      </c>
      <c r="J1287" t="s">
        <v>1815</v>
      </c>
      <c r="N1287">
        <v>0</v>
      </c>
    </row>
    <row r="1288" spans="1:14" x14ac:dyDescent="0.25">
      <c r="A1288">
        <v>1286</v>
      </c>
      <c r="B1288" t="s">
        <v>990</v>
      </c>
      <c r="C1288" t="s">
        <v>1661</v>
      </c>
      <c r="D1288" t="s">
        <v>1641</v>
      </c>
      <c r="E1288" t="s">
        <v>1316</v>
      </c>
      <c r="J1288" t="s">
        <v>1815</v>
      </c>
      <c r="N1288">
        <v>0</v>
      </c>
    </row>
    <row r="1289" spans="1:14" x14ac:dyDescent="0.25">
      <c r="A1289">
        <v>1287</v>
      </c>
      <c r="B1289" t="s">
        <v>990</v>
      </c>
      <c r="C1289" t="s">
        <v>1661</v>
      </c>
      <c r="D1289" t="s">
        <v>1641</v>
      </c>
      <c r="E1289" t="s">
        <v>1316</v>
      </c>
      <c r="G1289" t="s">
        <v>16</v>
      </c>
      <c r="J1289" t="s">
        <v>1815</v>
      </c>
      <c r="N1289">
        <v>0</v>
      </c>
    </row>
    <row r="1290" spans="1:14" x14ac:dyDescent="0.25">
      <c r="A1290">
        <v>1288</v>
      </c>
      <c r="B1290" t="s">
        <v>11</v>
      </c>
      <c r="C1290" t="s">
        <v>1661</v>
      </c>
      <c r="D1290" t="s">
        <v>1641</v>
      </c>
      <c r="E1290" t="s">
        <v>1316</v>
      </c>
      <c r="G1290" t="s">
        <v>16</v>
      </c>
      <c r="J1290" t="s">
        <v>1815</v>
      </c>
      <c r="N1290">
        <v>0</v>
      </c>
    </row>
    <row r="1291" spans="1:14" x14ac:dyDescent="0.25">
      <c r="A1291">
        <v>1289</v>
      </c>
      <c r="B1291" t="s">
        <v>11</v>
      </c>
      <c r="C1291" t="s">
        <v>1673</v>
      </c>
      <c r="D1291" t="s">
        <v>1641</v>
      </c>
      <c r="E1291" t="s">
        <v>1316</v>
      </c>
      <c r="G1291" t="s">
        <v>16</v>
      </c>
      <c r="J1291" t="s">
        <v>1816</v>
      </c>
      <c r="N1291">
        <v>0</v>
      </c>
    </row>
    <row r="1292" spans="1:14" x14ac:dyDescent="0.25">
      <c r="A1292">
        <v>1290</v>
      </c>
      <c r="B1292" t="s">
        <v>11</v>
      </c>
      <c r="C1292" t="s">
        <v>1673</v>
      </c>
      <c r="D1292" t="s">
        <v>1641</v>
      </c>
      <c r="E1292" t="s">
        <v>1316</v>
      </c>
      <c r="G1292" t="s">
        <v>16</v>
      </c>
      <c r="J1292" t="s">
        <v>1816</v>
      </c>
      <c r="N1292">
        <v>0</v>
      </c>
    </row>
    <row r="1293" spans="1:14" x14ac:dyDescent="0.25">
      <c r="A1293">
        <v>1291</v>
      </c>
      <c r="B1293" t="s">
        <v>11</v>
      </c>
      <c r="C1293" t="s">
        <v>1673</v>
      </c>
      <c r="D1293" t="s">
        <v>1641</v>
      </c>
      <c r="E1293" t="s">
        <v>1316</v>
      </c>
      <c r="G1293" t="s">
        <v>16</v>
      </c>
      <c r="J1293" t="s">
        <v>1816</v>
      </c>
      <c r="N1293">
        <v>0</v>
      </c>
    </row>
    <row r="1294" spans="1:14" x14ac:dyDescent="0.25">
      <c r="A1294">
        <v>1292</v>
      </c>
      <c r="B1294" t="s">
        <v>1016</v>
      </c>
      <c r="C1294" t="s">
        <v>1670</v>
      </c>
      <c r="D1294" t="s">
        <v>1641</v>
      </c>
      <c r="E1294" t="s">
        <v>1316</v>
      </c>
      <c r="G1294" t="s">
        <v>16</v>
      </c>
      <c r="J1294" t="s">
        <v>1816</v>
      </c>
      <c r="N1294">
        <v>0</v>
      </c>
    </row>
    <row r="1295" spans="1:14" x14ac:dyDescent="0.25">
      <c r="A1295">
        <v>1293</v>
      </c>
      <c r="B1295" t="s">
        <v>1016</v>
      </c>
      <c r="C1295" t="s">
        <v>1670</v>
      </c>
      <c r="D1295" t="s">
        <v>1641</v>
      </c>
      <c r="E1295" t="s">
        <v>1316</v>
      </c>
      <c r="G1295" t="s">
        <v>16</v>
      </c>
      <c r="J1295" t="s">
        <v>1816</v>
      </c>
      <c r="N1295">
        <v>0</v>
      </c>
    </row>
    <row r="1296" spans="1:14" x14ac:dyDescent="0.25">
      <c r="A1296">
        <v>1294</v>
      </c>
      <c r="B1296" t="s">
        <v>1016</v>
      </c>
      <c r="C1296" t="s">
        <v>1670</v>
      </c>
      <c r="D1296" t="s">
        <v>1641</v>
      </c>
      <c r="E1296" t="s">
        <v>1316</v>
      </c>
      <c r="G1296" t="s">
        <v>16</v>
      </c>
      <c r="J1296" t="s">
        <v>1842</v>
      </c>
      <c r="N1296">
        <v>0</v>
      </c>
    </row>
    <row r="1297" spans="1:14" x14ac:dyDescent="0.25">
      <c r="A1297">
        <v>1295</v>
      </c>
      <c r="B1297" t="s">
        <v>1016</v>
      </c>
      <c r="C1297" t="s">
        <v>1671</v>
      </c>
      <c r="D1297" t="s">
        <v>1641</v>
      </c>
      <c r="E1297" t="s">
        <v>1316</v>
      </c>
      <c r="G1297" t="s">
        <v>16</v>
      </c>
      <c r="J1297" t="s">
        <v>1843</v>
      </c>
      <c r="N1297">
        <v>0</v>
      </c>
    </row>
    <row r="1298" spans="1:14" x14ac:dyDescent="0.25">
      <c r="A1298">
        <v>1296</v>
      </c>
      <c r="B1298" t="s">
        <v>1016</v>
      </c>
      <c r="C1298" t="s">
        <v>1671</v>
      </c>
      <c r="D1298" t="s">
        <v>1641</v>
      </c>
      <c r="E1298" t="s">
        <v>1316</v>
      </c>
      <c r="G1298" t="s">
        <v>16</v>
      </c>
      <c r="J1298" t="s">
        <v>1838</v>
      </c>
      <c r="N1298">
        <v>0</v>
      </c>
    </row>
    <row r="1299" spans="1:14" x14ac:dyDescent="0.25">
      <c r="A1299">
        <v>1297</v>
      </c>
      <c r="B1299" t="s">
        <v>1016</v>
      </c>
      <c r="C1299" t="s">
        <v>1671</v>
      </c>
      <c r="D1299" t="s">
        <v>1641</v>
      </c>
      <c r="E1299" t="s">
        <v>1316</v>
      </c>
      <c r="G1299" t="s">
        <v>16</v>
      </c>
      <c r="J1299" t="s">
        <v>1838</v>
      </c>
      <c r="N1299">
        <v>0</v>
      </c>
    </row>
    <row r="1300" spans="1:14" x14ac:dyDescent="0.25">
      <c r="A1300">
        <v>1298</v>
      </c>
      <c r="B1300" t="s">
        <v>1016</v>
      </c>
      <c r="C1300" t="s">
        <v>1671</v>
      </c>
      <c r="D1300" t="s">
        <v>1641</v>
      </c>
      <c r="E1300" t="s">
        <v>1316</v>
      </c>
      <c r="G1300" t="s">
        <v>16</v>
      </c>
      <c r="J1300" t="s">
        <v>1838</v>
      </c>
      <c r="N1300">
        <v>0</v>
      </c>
    </row>
    <row r="1301" spans="1:14" x14ac:dyDescent="0.25">
      <c r="A1301">
        <v>1299</v>
      </c>
      <c r="B1301" t="s">
        <v>1016</v>
      </c>
      <c r="C1301" t="s">
        <v>1671</v>
      </c>
      <c r="D1301" t="s">
        <v>1641</v>
      </c>
      <c r="E1301" t="s">
        <v>1316</v>
      </c>
      <c r="G1301" t="s">
        <v>16</v>
      </c>
      <c r="J1301" t="s">
        <v>1844</v>
      </c>
      <c r="N1301">
        <v>0</v>
      </c>
    </row>
    <row r="1302" spans="1:14" x14ac:dyDescent="0.25">
      <c r="A1302">
        <v>1300</v>
      </c>
      <c r="B1302" t="s">
        <v>1016</v>
      </c>
      <c r="C1302" t="s">
        <v>1674</v>
      </c>
      <c r="D1302" t="s">
        <v>1641</v>
      </c>
      <c r="E1302" t="s">
        <v>1316</v>
      </c>
      <c r="G1302" t="s">
        <v>16</v>
      </c>
      <c r="J1302" t="s">
        <v>1838</v>
      </c>
      <c r="N1302">
        <v>0</v>
      </c>
    </row>
    <row r="1303" spans="1:14" x14ac:dyDescent="0.25">
      <c r="A1303">
        <v>1301</v>
      </c>
      <c r="B1303" t="s">
        <v>1016</v>
      </c>
      <c r="C1303" t="s">
        <v>1674</v>
      </c>
      <c r="D1303" t="s">
        <v>1641</v>
      </c>
      <c r="E1303" t="s">
        <v>1316</v>
      </c>
      <c r="G1303" t="s">
        <v>16</v>
      </c>
      <c r="J1303" t="s">
        <v>1838</v>
      </c>
      <c r="N1303">
        <v>0</v>
      </c>
    </row>
    <row r="1304" spans="1:14" x14ac:dyDescent="0.25">
      <c r="A1304">
        <v>1302</v>
      </c>
      <c r="B1304" t="s">
        <v>990</v>
      </c>
      <c r="C1304" t="s">
        <v>1674</v>
      </c>
      <c r="D1304" t="s">
        <v>1641</v>
      </c>
      <c r="E1304" t="s">
        <v>1316</v>
      </c>
      <c r="G1304" t="s">
        <v>16</v>
      </c>
      <c r="J1304" t="s">
        <v>1838</v>
      </c>
      <c r="N1304">
        <v>0</v>
      </c>
    </row>
    <row r="1305" spans="1:14" x14ac:dyDescent="0.25">
      <c r="A1305">
        <v>1303</v>
      </c>
      <c r="B1305" t="s">
        <v>990</v>
      </c>
      <c r="C1305" t="s">
        <v>1674</v>
      </c>
      <c r="D1305" t="s">
        <v>1641</v>
      </c>
      <c r="E1305" t="s">
        <v>1316</v>
      </c>
      <c r="G1305" t="s">
        <v>16</v>
      </c>
      <c r="J1305" t="s">
        <v>1838</v>
      </c>
      <c r="N1305">
        <v>0</v>
      </c>
    </row>
    <row r="1306" spans="1:14" x14ac:dyDescent="0.25">
      <c r="A1306">
        <v>1304</v>
      </c>
      <c r="B1306" t="s">
        <v>990</v>
      </c>
      <c r="C1306" t="s">
        <v>1674</v>
      </c>
      <c r="D1306" t="s">
        <v>1641</v>
      </c>
      <c r="E1306" t="s">
        <v>1316</v>
      </c>
      <c r="G1306" t="s">
        <v>16</v>
      </c>
      <c r="J1306" t="s">
        <v>1838</v>
      </c>
      <c r="N1306">
        <v>0</v>
      </c>
    </row>
    <row r="1307" spans="1:14" x14ac:dyDescent="0.25">
      <c r="A1307">
        <v>1305</v>
      </c>
      <c r="B1307" t="s">
        <v>990</v>
      </c>
      <c r="C1307" t="s">
        <v>1674</v>
      </c>
      <c r="D1307" t="s">
        <v>1641</v>
      </c>
      <c r="E1307" t="s">
        <v>1316</v>
      </c>
      <c r="G1307" t="s">
        <v>16</v>
      </c>
      <c r="J1307" t="s">
        <v>1838</v>
      </c>
      <c r="N1307">
        <v>0</v>
      </c>
    </row>
    <row r="1308" spans="1:14" x14ac:dyDescent="0.25">
      <c r="A1308">
        <v>1306</v>
      </c>
      <c r="B1308" t="s">
        <v>990</v>
      </c>
      <c r="C1308" t="s">
        <v>1674</v>
      </c>
      <c r="D1308" t="s">
        <v>1641</v>
      </c>
      <c r="E1308" t="s">
        <v>1316</v>
      </c>
      <c r="G1308" t="s">
        <v>16</v>
      </c>
      <c r="J1308" t="s">
        <v>1838</v>
      </c>
      <c r="N1308">
        <v>0</v>
      </c>
    </row>
    <row r="1309" spans="1:14" x14ac:dyDescent="0.25">
      <c r="A1309">
        <v>1307</v>
      </c>
      <c r="B1309" t="s">
        <v>990</v>
      </c>
      <c r="C1309" t="s">
        <v>1674</v>
      </c>
      <c r="D1309" t="s">
        <v>1641</v>
      </c>
      <c r="E1309" t="s">
        <v>1316</v>
      </c>
      <c r="G1309" t="s">
        <v>16</v>
      </c>
      <c r="J1309" t="s">
        <v>1838</v>
      </c>
      <c r="N1309">
        <v>0</v>
      </c>
    </row>
    <row r="1310" spans="1:14" x14ac:dyDescent="0.25">
      <c r="A1310">
        <v>1308</v>
      </c>
      <c r="B1310" t="s">
        <v>990</v>
      </c>
      <c r="C1310" t="s">
        <v>1674</v>
      </c>
      <c r="D1310" t="s">
        <v>1641</v>
      </c>
      <c r="E1310" t="s">
        <v>1316</v>
      </c>
      <c r="G1310" t="s">
        <v>16</v>
      </c>
      <c r="J1310" t="s">
        <v>1838</v>
      </c>
      <c r="N1310">
        <v>0</v>
      </c>
    </row>
    <row r="1311" spans="1:14" x14ac:dyDescent="0.25">
      <c r="A1311">
        <v>1309</v>
      </c>
      <c r="B1311" t="s">
        <v>990</v>
      </c>
      <c r="C1311" t="s">
        <v>1674</v>
      </c>
      <c r="D1311" t="s">
        <v>1641</v>
      </c>
      <c r="E1311" t="s">
        <v>1316</v>
      </c>
      <c r="G1311" t="s">
        <v>16</v>
      </c>
      <c r="J1311" t="s">
        <v>1838</v>
      </c>
      <c r="N1311">
        <v>0</v>
      </c>
    </row>
    <row r="1312" spans="1:14" x14ac:dyDescent="0.25">
      <c r="A1312">
        <v>1310</v>
      </c>
      <c r="B1312" t="s">
        <v>990</v>
      </c>
      <c r="C1312" t="s">
        <v>1674</v>
      </c>
      <c r="D1312" t="s">
        <v>1641</v>
      </c>
      <c r="E1312" t="s">
        <v>1316</v>
      </c>
      <c r="G1312" t="s">
        <v>16</v>
      </c>
      <c r="J1312" t="s">
        <v>1838</v>
      </c>
      <c r="N1312">
        <v>0</v>
      </c>
    </row>
    <row r="1313" spans="1:14" x14ac:dyDescent="0.25">
      <c r="A1313">
        <v>1311</v>
      </c>
      <c r="B1313" t="s">
        <v>990</v>
      </c>
      <c r="C1313" t="s">
        <v>1674</v>
      </c>
      <c r="D1313" t="s">
        <v>1641</v>
      </c>
      <c r="E1313" t="s">
        <v>1316</v>
      </c>
      <c r="J1313" t="s">
        <v>1838</v>
      </c>
      <c r="N1313">
        <v>0</v>
      </c>
    </row>
    <row r="1314" spans="1:14" x14ac:dyDescent="0.25">
      <c r="A1314">
        <v>1312</v>
      </c>
      <c r="B1314" t="s">
        <v>990</v>
      </c>
      <c r="C1314" t="s">
        <v>1677</v>
      </c>
      <c r="D1314" t="s">
        <v>1641</v>
      </c>
      <c r="E1314" t="s">
        <v>1316</v>
      </c>
      <c r="J1314" t="s">
        <v>1845</v>
      </c>
      <c r="N1314">
        <v>0</v>
      </c>
    </row>
    <row r="1315" spans="1:14" x14ac:dyDescent="0.25">
      <c r="A1315">
        <v>1313</v>
      </c>
      <c r="B1315" t="s">
        <v>990</v>
      </c>
      <c r="C1315" t="s">
        <v>1677</v>
      </c>
      <c r="D1315" t="s">
        <v>1641</v>
      </c>
      <c r="E1315" t="s">
        <v>1316</v>
      </c>
      <c r="J1315" t="s">
        <v>1406</v>
      </c>
      <c r="N1315">
        <v>0</v>
      </c>
    </row>
    <row r="1316" spans="1:14" x14ac:dyDescent="0.25">
      <c r="A1316">
        <v>1314</v>
      </c>
      <c r="B1316" t="s">
        <v>990</v>
      </c>
      <c r="C1316" t="s">
        <v>1677</v>
      </c>
      <c r="D1316" t="s">
        <v>1641</v>
      </c>
      <c r="E1316" t="s">
        <v>1316</v>
      </c>
      <c r="J1316" t="s">
        <v>1405</v>
      </c>
      <c r="N1316">
        <v>0</v>
      </c>
    </row>
    <row r="1317" spans="1:14" x14ac:dyDescent="0.25">
      <c r="A1317">
        <v>1315</v>
      </c>
      <c r="B1317" t="s">
        <v>990</v>
      </c>
      <c r="C1317" t="s">
        <v>1677</v>
      </c>
      <c r="D1317" t="s">
        <v>1641</v>
      </c>
      <c r="E1317" t="s">
        <v>1316</v>
      </c>
      <c r="J1317" t="s">
        <v>1405</v>
      </c>
      <c r="N1317">
        <v>0</v>
      </c>
    </row>
    <row r="1318" spans="1:14" x14ac:dyDescent="0.25">
      <c r="A1318">
        <v>1316</v>
      </c>
      <c r="B1318" t="s">
        <v>990</v>
      </c>
      <c r="C1318" t="s">
        <v>1677</v>
      </c>
      <c r="D1318" t="s">
        <v>1641</v>
      </c>
      <c r="E1318" t="s">
        <v>1316</v>
      </c>
      <c r="J1318" t="s">
        <v>1405</v>
      </c>
      <c r="N1318">
        <v>0</v>
      </c>
    </row>
    <row r="1319" spans="1:14" x14ac:dyDescent="0.25">
      <c r="A1319">
        <v>1317</v>
      </c>
      <c r="B1319" t="s">
        <v>990</v>
      </c>
      <c r="C1319" t="s">
        <v>1677</v>
      </c>
      <c r="D1319" t="s">
        <v>1641</v>
      </c>
      <c r="E1319" t="s">
        <v>1316</v>
      </c>
      <c r="J1319" t="s">
        <v>1405</v>
      </c>
      <c r="N1319">
        <v>0</v>
      </c>
    </row>
    <row r="1320" spans="1:14" x14ac:dyDescent="0.25">
      <c r="A1320">
        <v>1318</v>
      </c>
      <c r="B1320" t="s">
        <v>990</v>
      </c>
      <c r="C1320" t="s">
        <v>1677</v>
      </c>
      <c r="D1320" t="s">
        <v>1641</v>
      </c>
      <c r="E1320" t="s">
        <v>1316</v>
      </c>
      <c r="J1320" t="s">
        <v>1603</v>
      </c>
      <c r="N1320">
        <v>0</v>
      </c>
    </row>
    <row r="1321" spans="1:14" x14ac:dyDescent="0.25">
      <c r="A1321">
        <v>1319</v>
      </c>
      <c r="B1321" t="s">
        <v>990</v>
      </c>
      <c r="C1321" t="s">
        <v>1677</v>
      </c>
      <c r="D1321" t="s">
        <v>1641</v>
      </c>
      <c r="E1321" t="s">
        <v>1316</v>
      </c>
      <c r="J1321" t="s">
        <v>1815</v>
      </c>
      <c r="N1321">
        <v>0</v>
      </c>
    </row>
    <row r="1322" spans="1:14" x14ac:dyDescent="0.25">
      <c r="A1322">
        <v>1320</v>
      </c>
      <c r="B1322" t="s">
        <v>990</v>
      </c>
      <c r="C1322" t="s">
        <v>1677</v>
      </c>
      <c r="D1322" t="s">
        <v>1641</v>
      </c>
      <c r="E1322" t="s">
        <v>1316</v>
      </c>
      <c r="J1322" t="s">
        <v>1815</v>
      </c>
      <c r="N1322">
        <v>0</v>
      </c>
    </row>
    <row r="1323" spans="1:14" x14ac:dyDescent="0.25">
      <c r="A1323">
        <v>1321</v>
      </c>
      <c r="B1323" t="s">
        <v>653</v>
      </c>
      <c r="C1323" t="s">
        <v>1640</v>
      </c>
      <c r="D1323" t="s">
        <v>1641</v>
      </c>
      <c r="E1323" t="s">
        <v>1316</v>
      </c>
      <c r="J1323" t="s">
        <v>1746</v>
      </c>
      <c r="N1323">
        <v>0</v>
      </c>
    </row>
    <row r="1324" spans="1:14" x14ac:dyDescent="0.25">
      <c r="A1324">
        <v>1322</v>
      </c>
      <c r="B1324" t="s">
        <v>990</v>
      </c>
      <c r="C1324" t="s">
        <v>1661</v>
      </c>
      <c r="D1324" t="s">
        <v>1641</v>
      </c>
      <c r="E1324" t="s">
        <v>1316</v>
      </c>
      <c r="J1324" t="s">
        <v>1815</v>
      </c>
      <c r="N1324">
        <v>0</v>
      </c>
    </row>
    <row r="1325" spans="1:14" x14ac:dyDescent="0.25">
      <c r="A1325">
        <v>1323</v>
      </c>
      <c r="B1325" t="s">
        <v>1016</v>
      </c>
      <c r="C1325" t="s">
        <v>1671</v>
      </c>
      <c r="D1325" t="s">
        <v>1641</v>
      </c>
      <c r="E1325" t="s">
        <v>1316</v>
      </c>
      <c r="G1325" t="s">
        <v>16</v>
      </c>
      <c r="J1325" t="s">
        <v>1591</v>
      </c>
      <c r="N1325">
        <v>0</v>
      </c>
    </row>
    <row r="1326" spans="1:14" x14ac:dyDescent="0.25">
      <c r="A1326">
        <v>1324</v>
      </c>
      <c r="B1326" t="s">
        <v>1016</v>
      </c>
      <c r="C1326" t="s">
        <v>1671</v>
      </c>
      <c r="D1326" t="s">
        <v>1641</v>
      </c>
      <c r="E1326" t="s">
        <v>1316</v>
      </c>
      <c r="J1326" t="s">
        <v>1589</v>
      </c>
      <c r="N1326">
        <v>0</v>
      </c>
    </row>
    <row r="1327" spans="1:14" x14ac:dyDescent="0.25">
      <c r="A1327">
        <v>1325</v>
      </c>
      <c r="B1327" t="s">
        <v>1016</v>
      </c>
      <c r="C1327" t="s">
        <v>1671</v>
      </c>
      <c r="D1327" t="s">
        <v>1641</v>
      </c>
      <c r="E1327" t="s">
        <v>1316</v>
      </c>
      <c r="J1327" t="s">
        <v>1588</v>
      </c>
      <c r="N1327">
        <v>0</v>
      </c>
    </row>
    <row r="1328" spans="1:14" x14ac:dyDescent="0.25">
      <c r="A1328">
        <v>1326</v>
      </c>
      <c r="B1328" t="s">
        <v>346</v>
      </c>
      <c r="C1328" t="s">
        <v>1632</v>
      </c>
      <c r="D1328" t="s">
        <v>1632</v>
      </c>
      <c r="E1328" t="s">
        <v>1633</v>
      </c>
      <c r="J1328" t="s">
        <v>1846</v>
      </c>
    </row>
    <row r="1329" spans="1:14" x14ac:dyDescent="0.25">
      <c r="A1329">
        <v>1327</v>
      </c>
      <c r="B1329" t="s">
        <v>653</v>
      </c>
      <c r="C1329" t="s">
        <v>1632</v>
      </c>
      <c r="D1329" t="s">
        <v>1632</v>
      </c>
      <c r="E1329" t="s">
        <v>1633</v>
      </c>
      <c r="J1329" t="s">
        <v>1847</v>
      </c>
    </row>
    <row r="1330" spans="1:14" x14ac:dyDescent="0.25">
      <c r="A1330">
        <v>1328</v>
      </c>
      <c r="B1330" t="s">
        <v>1016</v>
      </c>
      <c r="C1330" t="s">
        <v>1671</v>
      </c>
      <c r="D1330" t="s">
        <v>1641</v>
      </c>
      <c r="E1330" t="s">
        <v>1316</v>
      </c>
      <c r="J1330" t="s">
        <v>1504</v>
      </c>
      <c r="N1330">
        <v>0</v>
      </c>
    </row>
    <row r="1331" spans="1:14" x14ac:dyDescent="0.25">
      <c r="A1331">
        <v>1329</v>
      </c>
      <c r="B1331" t="s">
        <v>1016</v>
      </c>
      <c r="C1331" t="s">
        <v>1670</v>
      </c>
      <c r="D1331" t="s">
        <v>1641</v>
      </c>
      <c r="E1331" t="s">
        <v>1316</v>
      </c>
      <c r="J1331" t="s">
        <v>1502</v>
      </c>
      <c r="N1331">
        <v>0</v>
      </c>
    </row>
    <row r="1332" spans="1:14" x14ac:dyDescent="0.25">
      <c r="A1332">
        <v>1330</v>
      </c>
      <c r="B1332" t="s">
        <v>1016</v>
      </c>
      <c r="C1332" t="s">
        <v>1670</v>
      </c>
      <c r="D1332" t="s">
        <v>1641</v>
      </c>
      <c r="E1332" t="s">
        <v>1316</v>
      </c>
      <c r="G1332" t="s">
        <v>16</v>
      </c>
      <c r="J1332" t="s">
        <v>1835</v>
      </c>
      <c r="N1332">
        <v>0</v>
      </c>
    </row>
    <row r="1333" spans="1:14" x14ac:dyDescent="0.25">
      <c r="A1333">
        <v>1331</v>
      </c>
      <c r="B1333" t="s">
        <v>346</v>
      </c>
      <c r="C1333" t="s">
        <v>1649</v>
      </c>
      <c r="D1333" t="s">
        <v>1641</v>
      </c>
      <c r="E1333" t="s">
        <v>1316</v>
      </c>
      <c r="J1333" t="s">
        <v>1848</v>
      </c>
      <c r="N1333">
        <v>0</v>
      </c>
    </row>
    <row r="1334" spans="1:14" x14ac:dyDescent="0.25">
      <c r="A1334">
        <v>1332</v>
      </c>
      <c r="B1334" t="s">
        <v>990</v>
      </c>
      <c r="C1334" t="s">
        <v>1661</v>
      </c>
      <c r="D1334" t="s">
        <v>1641</v>
      </c>
      <c r="E1334" t="s">
        <v>1316</v>
      </c>
      <c r="G1334" t="s">
        <v>16</v>
      </c>
      <c r="J1334" t="s">
        <v>1790</v>
      </c>
      <c r="N1334">
        <v>0</v>
      </c>
    </row>
    <row r="1335" spans="1:14" x14ac:dyDescent="0.25">
      <c r="A1335">
        <v>1333</v>
      </c>
      <c r="B1335" t="s">
        <v>990</v>
      </c>
      <c r="C1335" t="s">
        <v>1661</v>
      </c>
      <c r="D1335" t="s">
        <v>1641</v>
      </c>
      <c r="E1335" t="s">
        <v>1316</v>
      </c>
      <c r="J1335" t="s">
        <v>1815</v>
      </c>
      <c r="N1335">
        <v>0</v>
      </c>
    </row>
    <row r="1336" spans="1:14" x14ac:dyDescent="0.25">
      <c r="A1336">
        <v>1334</v>
      </c>
      <c r="B1336" t="s">
        <v>11</v>
      </c>
      <c r="C1336" t="s">
        <v>1673</v>
      </c>
      <c r="D1336" t="s">
        <v>1641</v>
      </c>
      <c r="E1336" t="s">
        <v>1316</v>
      </c>
      <c r="J1336" t="s">
        <v>1816</v>
      </c>
      <c r="N1336">
        <v>0</v>
      </c>
    </row>
    <row r="1337" spans="1:14" x14ac:dyDescent="0.25">
      <c r="A1337">
        <v>1335</v>
      </c>
      <c r="B1337" t="s">
        <v>11</v>
      </c>
      <c r="C1337" t="s">
        <v>1673</v>
      </c>
      <c r="D1337" t="s">
        <v>1641</v>
      </c>
      <c r="E1337" t="s">
        <v>1316</v>
      </c>
      <c r="J1337" t="s">
        <v>1556</v>
      </c>
      <c r="N1337">
        <v>0</v>
      </c>
    </row>
    <row r="1338" spans="1:14" x14ac:dyDescent="0.25">
      <c r="A1338">
        <v>1336</v>
      </c>
      <c r="B1338" t="s">
        <v>11</v>
      </c>
      <c r="C1338" t="s">
        <v>1661</v>
      </c>
      <c r="D1338" t="s">
        <v>1641</v>
      </c>
      <c r="E1338" t="s">
        <v>1316</v>
      </c>
      <c r="G1338" t="s">
        <v>16</v>
      </c>
      <c r="J1338" t="s">
        <v>1849</v>
      </c>
      <c r="N1338">
        <v>0</v>
      </c>
    </row>
    <row r="1339" spans="1:14" x14ac:dyDescent="0.25">
      <c r="A1339">
        <v>1337</v>
      </c>
      <c r="B1339" t="s">
        <v>990</v>
      </c>
      <c r="C1339" t="s">
        <v>1672</v>
      </c>
      <c r="D1339" t="s">
        <v>1641</v>
      </c>
      <c r="E1339" t="s">
        <v>1316</v>
      </c>
      <c r="J1339" t="s">
        <v>1419</v>
      </c>
      <c r="N1339">
        <v>0</v>
      </c>
    </row>
    <row r="1340" spans="1:14" x14ac:dyDescent="0.25">
      <c r="A1340">
        <v>1338</v>
      </c>
      <c r="B1340" t="s">
        <v>990</v>
      </c>
      <c r="C1340" t="s">
        <v>1672</v>
      </c>
      <c r="D1340" t="s">
        <v>1641</v>
      </c>
      <c r="E1340" t="s">
        <v>1316</v>
      </c>
      <c r="G1340" t="s">
        <v>16</v>
      </c>
      <c r="J1340" t="s">
        <v>1410</v>
      </c>
      <c r="N1340">
        <v>0</v>
      </c>
    </row>
    <row r="1341" spans="1:14" x14ac:dyDescent="0.25">
      <c r="A1341">
        <v>1339</v>
      </c>
      <c r="B1341" t="s">
        <v>990</v>
      </c>
      <c r="C1341" t="s">
        <v>1672</v>
      </c>
      <c r="D1341" t="s">
        <v>1641</v>
      </c>
      <c r="E1341" t="s">
        <v>1316</v>
      </c>
      <c r="J1341" t="s">
        <v>1416</v>
      </c>
      <c r="N1341">
        <v>0</v>
      </c>
    </row>
    <row r="1342" spans="1:14" x14ac:dyDescent="0.25">
      <c r="A1342">
        <v>1340</v>
      </c>
      <c r="B1342" t="s">
        <v>990</v>
      </c>
      <c r="C1342" t="s">
        <v>1672</v>
      </c>
      <c r="D1342" t="s">
        <v>1641</v>
      </c>
      <c r="E1342" t="s">
        <v>1316</v>
      </c>
      <c r="J1342" t="s">
        <v>1411</v>
      </c>
      <c r="N1342">
        <v>0</v>
      </c>
    </row>
    <row r="1343" spans="1:14" x14ac:dyDescent="0.25">
      <c r="A1343">
        <v>1341</v>
      </c>
      <c r="B1343" t="s">
        <v>990</v>
      </c>
      <c r="C1343" t="s">
        <v>1672</v>
      </c>
      <c r="D1343" t="s">
        <v>1641</v>
      </c>
      <c r="E1343" t="s">
        <v>1316</v>
      </c>
      <c r="J1343" t="s">
        <v>1850</v>
      </c>
      <c r="N1343">
        <v>0</v>
      </c>
    </row>
    <row r="1344" spans="1:14" x14ac:dyDescent="0.25">
      <c r="A1344">
        <v>1342</v>
      </c>
      <c r="B1344" t="s">
        <v>990</v>
      </c>
      <c r="C1344" t="s">
        <v>1672</v>
      </c>
      <c r="D1344" t="s">
        <v>1641</v>
      </c>
      <c r="E1344" t="s">
        <v>1316</v>
      </c>
      <c r="J1344" t="s">
        <v>1851</v>
      </c>
      <c r="N1344">
        <v>0</v>
      </c>
    </row>
    <row r="1345" spans="1:14" x14ac:dyDescent="0.25">
      <c r="A1345">
        <v>1343</v>
      </c>
      <c r="B1345" t="s">
        <v>990</v>
      </c>
      <c r="C1345" t="s">
        <v>1672</v>
      </c>
      <c r="D1345" t="s">
        <v>1641</v>
      </c>
      <c r="E1345" t="s">
        <v>1316</v>
      </c>
      <c r="J1345" t="s">
        <v>1398</v>
      </c>
      <c r="N1345">
        <v>0</v>
      </c>
    </row>
    <row r="1346" spans="1:14" x14ac:dyDescent="0.25">
      <c r="A1346">
        <v>1344</v>
      </c>
      <c r="B1346" t="s">
        <v>990</v>
      </c>
      <c r="C1346" t="s">
        <v>1672</v>
      </c>
      <c r="D1346" t="s">
        <v>1641</v>
      </c>
      <c r="E1346" t="s">
        <v>1316</v>
      </c>
      <c r="J1346" t="s">
        <v>1397</v>
      </c>
      <c r="N1346">
        <v>0</v>
      </c>
    </row>
    <row r="1347" spans="1:14" x14ac:dyDescent="0.25">
      <c r="A1347">
        <v>1345</v>
      </c>
      <c r="B1347" t="s">
        <v>653</v>
      </c>
      <c r="C1347" t="s">
        <v>1672</v>
      </c>
      <c r="D1347" t="s">
        <v>1641</v>
      </c>
      <c r="E1347" t="s">
        <v>1316</v>
      </c>
      <c r="J1347" t="s">
        <v>1389</v>
      </c>
      <c r="N1347">
        <v>0</v>
      </c>
    </row>
    <row r="1348" spans="1:14" x14ac:dyDescent="0.25">
      <c r="A1348">
        <v>1346</v>
      </c>
      <c r="B1348" t="s">
        <v>653</v>
      </c>
      <c r="C1348" t="s">
        <v>1672</v>
      </c>
      <c r="D1348" t="s">
        <v>1641</v>
      </c>
      <c r="E1348" t="s">
        <v>1316</v>
      </c>
      <c r="J1348" t="s">
        <v>1852</v>
      </c>
      <c r="N1348">
        <v>0</v>
      </c>
    </row>
    <row r="1349" spans="1:14" x14ac:dyDescent="0.25">
      <c r="A1349">
        <v>1347</v>
      </c>
      <c r="B1349" t="s">
        <v>653</v>
      </c>
      <c r="C1349" t="s">
        <v>1672</v>
      </c>
      <c r="D1349" t="s">
        <v>1641</v>
      </c>
      <c r="E1349" t="s">
        <v>1316</v>
      </c>
      <c r="J1349" t="s">
        <v>1388</v>
      </c>
      <c r="N1349">
        <v>0</v>
      </c>
    </row>
    <row r="1350" spans="1:14" x14ac:dyDescent="0.25">
      <c r="A1350">
        <v>1348</v>
      </c>
      <c r="B1350" t="s">
        <v>653</v>
      </c>
      <c r="C1350" t="s">
        <v>1656</v>
      </c>
      <c r="D1350" t="s">
        <v>1641</v>
      </c>
      <c r="E1350" t="s">
        <v>1316</v>
      </c>
      <c r="J1350" t="s">
        <v>1380</v>
      </c>
      <c r="N1350">
        <v>0</v>
      </c>
    </row>
    <row r="1351" spans="1:14" x14ac:dyDescent="0.25">
      <c r="A1351">
        <v>1349</v>
      </c>
      <c r="B1351" t="s">
        <v>653</v>
      </c>
      <c r="C1351" t="s">
        <v>1656</v>
      </c>
      <c r="D1351" t="s">
        <v>1641</v>
      </c>
      <c r="E1351" t="s">
        <v>1316</v>
      </c>
      <c r="J1351" t="s">
        <v>1391</v>
      </c>
      <c r="N1351">
        <v>0</v>
      </c>
    </row>
    <row r="1352" spans="1:14" x14ac:dyDescent="0.25">
      <c r="A1352">
        <v>1350</v>
      </c>
      <c r="B1352" t="s">
        <v>653</v>
      </c>
      <c r="C1352" t="s">
        <v>1672</v>
      </c>
      <c r="D1352" t="s">
        <v>1641</v>
      </c>
      <c r="E1352" t="s">
        <v>1316</v>
      </c>
      <c r="J1352" t="s">
        <v>1392</v>
      </c>
      <c r="N1352">
        <v>0</v>
      </c>
    </row>
    <row r="1353" spans="1:14" x14ac:dyDescent="0.25">
      <c r="A1353">
        <v>1351</v>
      </c>
      <c r="B1353" t="s">
        <v>653</v>
      </c>
      <c r="C1353" t="s">
        <v>1667</v>
      </c>
      <c r="D1353" t="s">
        <v>1641</v>
      </c>
      <c r="E1353" t="s">
        <v>1316</v>
      </c>
      <c r="J1353" t="s">
        <v>1352</v>
      </c>
      <c r="N1353">
        <v>0</v>
      </c>
    </row>
    <row r="1354" spans="1:14" x14ac:dyDescent="0.25">
      <c r="A1354">
        <v>1352</v>
      </c>
      <c r="B1354" t="s">
        <v>653</v>
      </c>
      <c r="C1354" t="s">
        <v>1656</v>
      </c>
      <c r="D1354" t="s">
        <v>1641</v>
      </c>
      <c r="E1354" t="s">
        <v>1316</v>
      </c>
      <c r="J1354" t="s">
        <v>1853</v>
      </c>
      <c r="N1354">
        <v>0</v>
      </c>
    </row>
    <row r="1355" spans="1:14" x14ac:dyDescent="0.25">
      <c r="A1355">
        <v>1353</v>
      </c>
      <c r="B1355" t="s">
        <v>653</v>
      </c>
      <c r="C1355" t="s">
        <v>1672</v>
      </c>
      <c r="D1355" t="s">
        <v>1641</v>
      </c>
      <c r="E1355" t="s">
        <v>1316</v>
      </c>
      <c r="J1355" t="s">
        <v>1395</v>
      </c>
      <c r="N1355">
        <v>0</v>
      </c>
    </row>
    <row r="1356" spans="1:14" x14ac:dyDescent="0.25">
      <c r="A1356">
        <v>1354</v>
      </c>
      <c r="B1356" t="s">
        <v>653</v>
      </c>
      <c r="C1356" t="s">
        <v>1672</v>
      </c>
      <c r="D1356" t="s">
        <v>1641</v>
      </c>
      <c r="E1356" t="s">
        <v>1316</v>
      </c>
      <c r="J1356" t="s">
        <v>1396</v>
      </c>
      <c r="N1356">
        <v>0</v>
      </c>
    </row>
    <row r="1357" spans="1:14" x14ac:dyDescent="0.25">
      <c r="A1357">
        <v>1355</v>
      </c>
      <c r="B1357" t="s">
        <v>653</v>
      </c>
      <c r="C1357" t="s">
        <v>1666</v>
      </c>
      <c r="D1357" t="s">
        <v>1641</v>
      </c>
      <c r="E1357" t="s">
        <v>1316</v>
      </c>
      <c r="J1357" t="s">
        <v>1854</v>
      </c>
      <c r="N1357">
        <v>0</v>
      </c>
    </row>
    <row r="1358" spans="1:14" x14ac:dyDescent="0.25">
      <c r="A1358">
        <v>1356</v>
      </c>
      <c r="B1358" t="s">
        <v>653</v>
      </c>
      <c r="C1358" t="s">
        <v>1667</v>
      </c>
      <c r="D1358" t="s">
        <v>1641</v>
      </c>
      <c r="E1358" t="s">
        <v>1316</v>
      </c>
      <c r="J1358" t="s">
        <v>913</v>
      </c>
      <c r="N1358">
        <v>0</v>
      </c>
    </row>
    <row r="1359" spans="1:14" x14ac:dyDescent="0.25">
      <c r="A1359">
        <v>1357</v>
      </c>
      <c r="B1359" t="s">
        <v>653</v>
      </c>
      <c r="C1359" t="s">
        <v>1666</v>
      </c>
      <c r="D1359" t="s">
        <v>1641</v>
      </c>
      <c r="E1359" t="s">
        <v>1316</v>
      </c>
      <c r="J1359" t="s">
        <v>1420</v>
      </c>
      <c r="N1359">
        <v>0</v>
      </c>
    </row>
    <row r="1360" spans="1:14" x14ac:dyDescent="0.25">
      <c r="A1360">
        <v>1358</v>
      </c>
      <c r="B1360" t="s">
        <v>653</v>
      </c>
      <c r="C1360" t="s">
        <v>1666</v>
      </c>
      <c r="D1360" t="s">
        <v>1641</v>
      </c>
      <c r="E1360" t="s">
        <v>1316</v>
      </c>
      <c r="J1360" t="s">
        <v>1350</v>
      </c>
      <c r="N1360">
        <v>0</v>
      </c>
    </row>
    <row r="1361" spans="1:14" x14ac:dyDescent="0.25">
      <c r="A1361">
        <v>1359</v>
      </c>
      <c r="B1361" t="s">
        <v>653</v>
      </c>
      <c r="C1361" t="s">
        <v>1671</v>
      </c>
      <c r="D1361" t="s">
        <v>1641</v>
      </c>
      <c r="E1361" t="s">
        <v>1316</v>
      </c>
      <c r="J1361" t="s">
        <v>1855</v>
      </c>
      <c r="N1361">
        <v>0</v>
      </c>
    </row>
    <row r="1362" spans="1:14" x14ac:dyDescent="0.25">
      <c r="A1362">
        <v>1360</v>
      </c>
      <c r="B1362" t="s">
        <v>1016</v>
      </c>
      <c r="C1362" t="s">
        <v>1671</v>
      </c>
      <c r="D1362" t="s">
        <v>1641</v>
      </c>
      <c r="E1362" t="s">
        <v>1316</v>
      </c>
      <c r="J1362" t="s">
        <v>1505</v>
      </c>
      <c r="N1362">
        <v>0</v>
      </c>
    </row>
    <row r="1363" spans="1:14" x14ac:dyDescent="0.25">
      <c r="A1363">
        <v>1361</v>
      </c>
      <c r="B1363" t="s">
        <v>346</v>
      </c>
      <c r="C1363" t="s">
        <v>1632</v>
      </c>
      <c r="D1363" t="s">
        <v>1632</v>
      </c>
      <c r="E1363" t="s">
        <v>1633</v>
      </c>
      <c r="J1363" t="s">
        <v>1321</v>
      </c>
    </row>
    <row r="1364" spans="1:14" x14ac:dyDescent="0.25">
      <c r="A1364">
        <v>1362</v>
      </c>
      <c r="B1364" t="s">
        <v>346</v>
      </c>
      <c r="C1364" t="s">
        <v>1650</v>
      </c>
      <c r="D1364" t="s">
        <v>1641</v>
      </c>
      <c r="E1364" t="s">
        <v>1316</v>
      </c>
      <c r="J1364" t="s">
        <v>1325</v>
      </c>
      <c r="N1364">
        <v>0</v>
      </c>
    </row>
    <row r="1365" spans="1:14" x14ac:dyDescent="0.25">
      <c r="A1365">
        <v>1363</v>
      </c>
      <c r="B1365" t="s">
        <v>653</v>
      </c>
      <c r="C1365" t="s">
        <v>1664</v>
      </c>
      <c r="D1365" t="s">
        <v>1641</v>
      </c>
      <c r="E1365" t="s">
        <v>1316</v>
      </c>
      <c r="J1365" t="s">
        <v>1514</v>
      </c>
      <c r="N1365">
        <v>0</v>
      </c>
    </row>
    <row r="1366" spans="1:14" x14ac:dyDescent="0.25">
      <c r="A1366">
        <v>1364</v>
      </c>
      <c r="B1366" t="s">
        <v>11</v>
      </c>
      <c r="C1366" t="s">
        <v>1661</v>
      </c>
      <c r="D1366" t="s">
        <v>1641</v>
      </c>
      <c r="E1366" t="s">
        <v>1316</v>
      </c>
      <c r="J1366" t="s">
        <v>1562</v>
      </c>
      <c r="N1366">
        <v>0</v>
      </c>
    </row>
    <row r="1367" spans="1:14" x14ac:dyDescent="0.25">
      <c r="A1367">
        <v>1365</v>
      </c>
      <c r="B1367" t="s">
        <v>1016</v>
      </c>
      <c r="C1367" t="s">
        <v>1670</v>
      </c>
      <c r="D1367" t="s">
        <v>1641</v>
      </c>
      <c r="E1367" t="s">
        <v>1316</v>
      </c>
      <c r="J1367" t="s">
        <v>1495</v>
      </c>
      <c r="N1367">
        <v>0</v>
      </c>
    </row>
    <row r="1368" spans="1:14" x14ac:dyDescent="0.25">
      <c r="A1368">
        <v>1366</v>
      </c>
      <c r="B1368" t="s">
        <v>1016</v>
      </c>
      <c r="C1368" t="s">
        <v>1670</v>
      </c>
      <c r="D1368" t="s">
        <v>1641</v>
      </c>
      <c r="E1368" t="s">
        <v>1316</v>
      </c>
      <c r="J1368" t="s">
        <v>1816</v>
      </c>
      <c r="N1368">
        <v>0</v>
      </c>
    </row>
    <row r="1369" spans="1:14" x14ac:dyDescent="0.25">
      <c r="A1369">
        <v>1367</v>
      </c>
      <c r="B1369" t="s">
        <v>11</v>
      </c>
      <c r="C1369" t="s">
        <v>1673</v>
      </c>
      <c r="D1369" t="s">
        <v>1641</v>
      </c>
      <c r="E1369" t="s">
        <v>1316</v>
      </c>
      <c r="J1369" t="s">
        <v>1816</v>
      </c>
      <c r="N1369">
        <v>0</v>
      </c>
    </row>
    <row r="1370" spans="1:14" x14ac:dyDescent="0.25">
      <c r="A1370">
        <v>1368</v>
      </c>
      <c r="B1370" t="s">
        <v>1016</v>
      </c>
      <c r="C1370" t="s">
        <v>1657</v>
      </c>
      <c r="D1370" t="s">
        <v>1641</v>
      </c>
      <c r="E1370" t="s">
        <v>1316</v>
      </c>
      <c r="G1370" t="s">
        <v>122</v>
      </c>
      <c r="J1370" t="s">
        <v>1794</v>
      </c>
      <c r="N1370">
        <v>-1</v>
      </c>
    </row>
    <row r="1371" spans="1:14" x14ac:dyDescent="0.25">
      <c r="A1371">
        <v>1369</v>
      </c>
      <c r="B1371" t="s">
        <v>11</v>
      </c>
      <c r="C1371" t="s">
        <v>1632</v>
      </c>
      <c r="D1371" t="s">
        <v>1632</v>
      </c>
      <c r="E1371" t="s">
        <v>1316</v>
      </c>
      <c r="J1371" t="s">
        <v>1522</v>
      </c>
      <c r="N1371">
        <v>0</v>
      </c>
    </row>
    <row r="1372" spans="1:14" x14ac:dyDescent="0.25">
      <c r="A1372">
        <v>1370</v>
      </c>
      <c r="B1372" t="s">
        <v>11</v>
      </c>
      <c r="C1372" t="s">
        <v>1632</v>
      </c>
      <c r="D1372" t="s">
        <v>1632</v>
      </c>
      <c r="E1372" t="s">
        <v>1316</v>
      </c>
      <c r="J1372" t="s">
        <v>1523</v>
      </c>
      <c r="N1372">
        <v>0</v>
      </c>
    </row>
    <row r="1373" spans="1:14" x14ac:dyDescent="0.25">
      <c r="A1373">
        <v>1371</v>
      </c>
      <c r="B1373" t="s">
        <v>11</v>
      </c>
      <c r="C1373" t="s">
        <v>1632</v>
      </c>
      <c r="D1373" t="s">
        <v>1632</v>
      </c>
      <c r="E1373" t="s">
        <v>1316</v>
      </c>
      <c r="J1373" t="s">
        <v>1524</v>
      </c>
      <c r="N1373">
        <v>0</v>
      </c>
    </row>
    <row r="1374" spans="1:14" x14ac:dyDescent="0.25">
      <c r="A1374">
        <v>1372</v>
      </c>
      <c r="B1374" t="s">
        <v>11</v>
      </c>
      <c r="C1374" t="s">
        <v>1632</v>
      </c>
      <c r="D1374" t="s">
        <v>1632</v>
      </c>
      <c r="E1374" t="s">
        <v>1316</v>
      </c>
      <c r="J1374" t="s">
        <v>1526</v>
      </c>
      <c r="N1374">
        <v>0</v>
      </c>
    </row>
    <row r="1375" spans="1:14" x14ac:dyDescent="0.25">
      <c r="A1375">
        <v>1373</v>
      </c>
      <c r="B1375" t="s">
        <v>11</v>
      </c>
      <c r="C1375" t="s">
        <v>1653</v>
      </c>
      <c r="D1375" t="s">
        <v>1641</v>
      </c>
      <c r="E1375" t="s">
        <v>1316</v>
      </c>
      <c r="J1375" t="s">
        <v>1530</v>
      </c>
      <c r="N1375">
        <v>0</v>
      </c>
    </row>
    <row r="1376" spans="1:14" x14ac:dyDescent="0.25">
      <c r="A1376">
        <v>1374</v>
      </c>
      <c r="B1376" t="s">
        <v>11</v>
      </c>
      <c r="C1376" t="s">
        <v>1661</v>
      </c>
      <c r="D1376" t="s">
        <v>1641</v>
      </c>
      <c r="E1376" t="s">
        <v>1316</v>
      </c>
      <c r="J1376" t="s">
        <v>1560</v>
      </c>
      <c r="N1376">
        <v>0</v>
      </c>
    </row>
    <row r="1377" spans="1:14" x14ac:dyDescent="0.25">
      <c r="A1377">
        <v>1375</v>
      </c>
      <c r="B1377" t="s">
        <v>11</v>
      </c>
      <c r="C1377" t="s">
        <v>1653</v>
      </c>
      <c r="D1377" t="s">
        <v>1641</v>
      </c>
      <c r="E1377" t="s">
        <v>1316</v>
      </c>
      <c r="J1377" t="s">
        <v>1856</v>
      </c>
      <c r="N1377">
        <v>0</v>
      </c>
    </row>
    <row r="1378" spans="1:14" x14ac:dyDescent="0.25">
      <c r="A1378">
        <v>1376</v>
      </c>
      <c r="B1378" t="s">
        <v>11</v>
      </c>
      <c r="C1378" t="s">
        <v>1673</v>
      </c>
      <c r="D1378" t="s">
        <v>1641</v>
      </c>
      <c r="E1378" t="s">
        <v>1316</v>
      </c>
      <c r="J1378" t="s">
        <v>1835</v>
      </c>
      <c r="N1378">
        <v>0</v>
      </c>
    </row>
    <row r="1379" spans="1:14" x14ac:dyDescent="0.25">
      <c r="A1379">
        <v>1377</v>
      </c>
      <c r="B1379" t="s">
        <v>11</v>
      </c>
      <c r="C1379" t="s">
        <v>1673</v>
      </c>
      <c r="D1379" t="s">
        <v>1641</v>
      </c>
      <c r="E1379" t="s">
        <v>1316</v>
      </c>
      <c r="J1379" t="s">
        <v>1835</v>
      </c>
      <c r="N1379">
        <v>0</v>
      </c>
    </row>
    <row r="1380" spans="1:14" x14ac:dyDescent="0.25">
      <c r="A1380">
        <v>1378</v>
      </c>
      <c r="B1380" t="s">
        <v>11</v>
      </c>
      <c r="C1380" t="s">
        <v>1653</v>
      </c>
      <c r="D1380" t="s">
        <v>1641</v>
      </c>
      <c r="E1380" t="s">
        <v>1316</v>
      </c>
      <c r="J1380" t="s">
        <v>1857</v>
      </c>
      <c r="N1380">
        <v>0</v>
      </c>
    </row>
    <row r="1381" spans="1:14" x14ac:dyDescent="0.25">
      <c r="A1381">
        <v>1379</v>
      </c>
      <c r="E1381" t="s">
        <v>1633</v>
      </c>
      <c r="J1381" t="s">
        <v>1858</v>
      </c>
    </row>
    <row r="1382" spans="1:14" x14ac:dyDescent="0.25">
      <c r="A1382">
        <v>1380</v>
      </c>
      <c r="E1382" t="s">
        <v>1633</v>
      </c>
      <c r="J1382" t="s">
        <v>1859</v>
      </c>
    </row>
    <row r="1383" spans="1:14" x14ac:dyDescent="0.25">
      <c r="A1383">
        <v>1381</v>
      </c>
      <c r="E1383" t="s">
        <v>1633</v>
      </c>
      <c r="J1383" t="s">
        <v>1860</v>
      </c>
    </row>
    <row r="1384" spans="1:14" x14ac:dyDescent="0.25">
      <c r="A1384">
        <v>1382</v>
      </c>
      <c r="E1384" t="s">
        <v>1633</v>
      </c>
      <c r="J1384" t="s">
        <v>1861</v>
      </c>
    </row>
    <row r="1385" spans="1:14" x14ac:dyDescent="0.25">
      <c r="A1385">
        <v>1383</v>
      </c>
      <c r="E1385" t="s">
        <v>1633</v>
      </c>
      <c r="J1385" t="s">
        <v>1862</v>
      </c>
    </row>
    <row r="1386" spans="1:14" x14ac:dyDescent="0.25">
      <c r="A1386">
        <v>1384</v>
      </c>
      <c r="E1386" t="s">
        <v>1633</v>
      </c>
      <c r="J1386" t="s">
        <v>1863</v>
      </c>
    </row>
    <row r="1387" spans="1:14" x14ac:dyDescent="0.25">
      <c r="A1387">
        <v>1385</v>
      </c>
      <c r="E1387" t="s">
        <v>1633</v>
      </c>
      <c r="J1387" t="s">
        <v>1864</v>
      </c>
    </row>
    <row r="1388" spans="1:14" x14ac:dyDescent="0.25">
      <c r="A1388">
        <v>1386</v>
      </c>
      <c r="E1388" t="s">
        <v>1633</v>
      </c>
      <c r="J1388" t="s">
        <v>1865</v>
      </c>
    </row>
    <row r="1389" spans="1:14" x14ac:dyDescent="0.25">
      <c r="A1389">
        <v>1387</v>
      </c>
      <c r="E1389" t="s">
        <v>1633</v>
      </c>
      <c r="J1389" t="s">
        <v>1866</v>
      </c>
    </row>
    <row r="1390" spans="1:14" x14ac:dyDescent="0.25">
      <c r="A1390">
        <v>1388</v>
      </c>
      <c r="E1390" t="s">
        <v>1633</v>
      </c>
      <c r="J1390" t="s">
        <v>1867</v>
      </c>
    </row>
    <row r="1391" spans="1:14" x14ac:dyDescent="0.25">
      <c r="A1391">
        <v>1389</v>
      </c>
      <c r="E1391" t="s">
        <v>1633</v>
      </c>
      <c r="J1391" t="s">
        <v>1868</v>
      </c>
    </row>
    <row r="1392" spans="1:14" x14ac:dyDescent="0.25">
      <c r="A1392">
        <v>1390</v>
      </c>
      <c r="E1392" t="s">
        <v>1633</v>
      </c>
      <c r="J1392" t="s">
        <v>1869</v>
      </c>
    </row>
    <row r="1393" spans="1:14" x14ac:dyDescent="0.25">
      <c r="A1393">
        <v>1391</v>
      </c>
      <c r="E1393" t="s">
        <v>1633</v>
      </c>
      <c r="J1393" t="s">
        <v>1870</v>
      </c>
    </row>
    <row r="1394" spans="1:14" x14ac:dyDescent="0.25">
      <c r="A1394">
        <v>1392</v>
      </c>
      <c r="E1394" t="s">
        <v>1633</v>
      </c>
      <c r="J1394" t="s">
        <v>1871</v>
      </c>
    </row>
    <row r="1395" spans="1:14" x14ac:dyDescent="0.25">
      <c r="A1395">
        <v>1393</v>
      </c>
      <c r="E1395" t="s">
        <v>1633</v>
      </c>
      <c r="J1395" t="s">
        <v>1872</v>
      </c>
    </row>
    <row r="1396" spans="1:14" x14ac:dyDescent="0.25">
      <c r="A1396">
        <v>1394</v>
      </c>
      <c r="E1396" t="s">
        <v>1633</v>
      </c>
      <c r="J1396" t="s">
        <v>1873</v>
      </c>
    </row>
    <row r="1397" spans="1:14" x14ac:dyDescent="0.25">
      <c r="A1397">
        <v>1395</v>
      </c>
      <c r="E1397" t="s">
        <v>1633</v>
      </c>
      <c r="J1397" t="s">
        <v>1874</v>
      </c>
    </row>
    <row r="1398" spans="1:14" x14ac:dyDescent="0.25">
      <c r="A1398">
        <v>1396</v>
      </c>
      <c r="E1398" t="s">
        <v>1633</v>
      </c>
      <c r="J1398" t="s">
        <v>1875</v>
      </c>
    </row>
    <row r="1399" spans="1:14" x14ac:dyDescent="0.25">
      <c r="A1399">
        <v>1397</v>
      </c>
      <c r="E1399" t="s">
        <v>1633</v>
      </c>
      <c r="J1399" t="s">
        <v>1876</v>
      </c>
    </row>
    <row r="1400" spans="1:14" x14ac:dyDescent="0.25">
      <c r="A1400">
        <v>1398</v>
      </c>
      <c r="E1400" t="s">
        <v>1633</v>
      </c>
      <c r="J1400" t="s">
        <v>1877</v>
      </c>
      <c r="N1400">
        <v>0</v>
      </c>
    </row>
    <row r="1401" spans="1:14" x14ac:dyDescent="0.25">
      <c r="A1401">
        <v>1399</v>
      </c>
      <c r="E1401" t="s">
        <v>1633</v>
      </c>
      <c r="J1401" t="s">
        <v>1878</v>
      </c>
    </row>
    <row r="1402" spans="1:14" x14ac:dyDescent="0.25">
      <c r="A1402">
        <v>1400</v>
      </c>
      <c r="E1402" t="s">
        <v>1633</v>
      </c>
      <c r="J1402" t="s">
        <v>1879</v>
      </c>
      <c r="N1402">
        <v>0</v>
      </c>
    </row>
    <row r="1403" spans="1:14" x14ac:dyDescent="0.25">
      <c r="A1403">
        <v>1401</v>
      </c>
      <c r="E1403" t="s">
        <v>1633</v>
      </c>
      <c r="J1403" t="s">
        <v>1880</v>
      </c>
    </row>
    <row r="1404" spans="1:14" x14ac:dyDescent="0.25">
      <c r="A1404">
        <v>1402</v>
      </c>
      <c r="E1404" t="s">
        <v>1633</v>
      </c>
      <c r="J1404" t="s">
        <v>1881</v>
      </c>
    </row>
    <row r="1405" spans="1:14" x14ac:dyDescent="0.25">
      <c r="A1405">
        <v>1403</v>
      </c>
      <c r="E1405" t="s">
        <v>1633</v>
      </c>
      <c r="J1405" t="s">
        <v>1882</v>
      </c>
    </row>
    <row r="1406" spans="1:14" x14ac:dyDescent="0.25">
      <c r="A1406">
        <v>1404</v>
      </c>
      <c r="E1406" t="s">
        <v>1633</v>
      </c>
      <c r="J1406" t="s">
        <v>1883</v>
      </c>
    </row>
    <row r="1407" spans="1:14" x14ac:dyDescent="0.25">
      <c r="A1407">
        <v>1405</v>
      </c>
      <c r="E1407" t="s">
        <v>1633</v>
      </c>
      <c r="J1407" t="s">
        <v>1884</v>
      </c>
    </row>
    <row r="1408" spans="1:14" x14ac:dyDescent="0.25">
      <c r="A1408">
        <v>1406</v>
      </c>
      <c r="E1408" t="s">
        <v>1633</v>
      </c>
      <c r="J1408" t="s">
        <v>1885</v>
      </c>
    </row>
    <row r="1409" spans="1:14" x14ac:dyDescent="0.25">
      <c r="A1409">
        <v>1407</v>
      </c>
      <c r="E1409" t="s">
        <v>1633</v>
      </c>
      <c r="J1409" t="s">
        <v>1886</v>
      </c>
    </row>
    <row r="1410" spans="1:14" x14ac:dyDescent="0.25">
      <c r="A1410">
        <v>1408</v>
      </c>
      <c r="E1410" t="s">
        <v>1633</v>
      </c>
      <c r="J1410" t="s">
        <v>1887</v>
      </c>
    </row>
    <row r="1411" spans="1:14" x14ac:dyDescent="0.25">
      <c r="A1411">
        <v>1409</v>
      </c>
      <c r="E1411" t="s">
        <v>1633</v>
      </c>
      <c r="J1411" t="s">
        <v>1888</v>
      </c>
    </row>
    <row r="1412" spans="1:14" x14ac:dyDescent="0.25">
      <c r="A1412">
        <v>1410</v>
      </c>
      <c r="E1412" t="s">
        <v>1633</v>
      </c>
      <c r="J1412" t="s">
        <v>1889</v>
      </c>
    </row>
    <row r="1413" spans="1:14" x14ac:dyDescent="0.25">
      <c r="A1413">
        <v>1411</v>
      </c>
      <c r="E1413" t="s">
        <v>1633</v>
      </c>
      <c r="J1413" t="s">
        <v>1890</v>
      </c>
    </row>
    <row r="1414" spans="1:14" x14ac:dyDescent="0.25">
      <c r="A1414">
        <v>1412</v>
      </c>
      <c r="E1414" t="s">
        <v>1633</v>
      </c>
      <c r="J1414" t="s">
        <v>1891</v>
      </c>
    </row>
    <row r="1415" spans="1:14" x14ac:dyDescent="0.25">
      <c r="A1415">
        <v>1413</v>
      </c>
      <c r="E1415" t="s">
        <v>1633</v>
      </c>
      <c r="J1415" t="s">
        <v>1892</v>
      </c>
    </row>
    <row r="1416" spans="1:14" x14ac:dyDescent="0.25">
      <c r="A1416">
        <v>1414</v>
      </c>
      <c r="E1416" t="s">
        <v>1633</v>
      </c>
      <c r="J1416" t="s">
        <v>1893</v>
      </c>
    </row>
    <row r="1417" spans="1:14" x14ac:dyDescent="0.25">
      <c r="A1417">
        <v>1415</v>
      </c>
      <c r="E1417" t="s">
        <v>1633</v>
      </c>
      <c r="J1417" t="s">
        <v>1894</v>
      </c>
    </row>
    <row r="1418" spans="1:14" x14ac:dyDescent="0.25">
      <c r="A1418">
        <v>1416</v>
      </c>
      <c r="E1418" t="s">
        <v>1633</v>
      </c>
      <c r="J1418" t="s">
        <v>1895</v>
      </c>
    </row>
    <row r="1419" spans="1:14" x14ac:dyDescent="0.25">
      <c r="A1419">
        <v>1417</v>
      </c>
      <c r="E1419" t="s">
        <v>1633</v>
      </c>
      <c r="J1419" t="s">
        <v>1896</v>
      </c>
      <c r="N1419">
        <v>0</v>
      </c>
    </row>
    <row r="1420" spans="1:14" x14ac:dyDescent="0.25">
      <c r="A1420">
        <v>1418</v>
      </c>
      <c r="E1420" t="s">
        <v>1633</v>
      </c>
      <c r="J1420" t="s">
        <v>1897</v>
      </c>
    </row>
    <row r="1421" spans="1:14" x14ac:dyDescent="0.25">
      <c r="A1421">
        <v>1419</v>
      </c>
      <c r="E1421" t="s">
        <v>1633</v>
      </c>
      <c r="J1421" t="s">
        <v>1898</v>
      </c>
    </row>
    <row r="1422" spans="1:14" x14ac:dyDescent="0.25">
      <c r="A1422">
        <v>1420</v>
      </c>
      <c r="E1422" t="s">
        <v>1633</v>
      </c>
      <c r="J1422" t="s">
        <v>1899</v>
      </c>
    </row>
    <row r="1423" spans="1:14" x14ac:dyDescent="0.25">
      <c r="A1423">
        <v>1421</v>
      </c>
      <c r="E1423" t="s">
        <v>1633</v>
      </c>
      <c r="J1423" t="s">
        <v>1900</v>
      </c>
    </row>
    <row r="1424" spans="1:14" x14ac:dyDescent="0.25">
      <c r="A1424">
        <v>1422</v>
      </c>
      <c r="E1424" t="s">
        <v>1633</v>
      </c>
      <c r="J1424" t="s">
        <v>1901</v>
      </c>
    </row>
    <row r="1425" spans="1:10" x14ac:dyDescent="0.25">
      <c r="A1425">
        <v>1423</v>
      </c>
      <c r="E1425" t="s">
        <v>1633</v>
      </c>
      <c r="J1425" t="s">
        <v>1902</v>
      </c>
    </row>
    <row r="1426" spans="1:10" x14ac:dyDescent="0.25">
      <c r="A1426">
        <v>1424</v>
      </c>
      <c r="E1426" t="s">
        <v>1633</v>
      </c>
      <c r="J1426" t="s">
        <v>1903</v>
      </c>
    </row>
    <row r="1427" spans="1:10" x14ac:dyDescent="0.25">
      <c r="A1427">
        <v>1425</v>
      </c>
      <c r="E1427" t="s">
        <v>1633</v>
      </c>
      <c r="J1427" t="s">
        <v>1904</v>
      </c>
    </row>
    <row r="1428" spans="1:10" x14ac:dyDescent="0.25">
      <c r="A1428">
        <v>1426</v>
      </c>
      <c r="E1428" t="s">
        <v>1633</v>
      </c>
      <c r="J1428" t="s">
        <v>1905</v>
      </c>
    </row>
    <row r="1429" spans="1:10" x14ac:dyDescent="0.25">
      <c r="A1429">
        <v>1427</v>
      </c>
      <c r="E1429" t="s">
        <v>1633</v>
      </c>
      <c r="J1429" t="s">
        <v>1906</v>
      </c>
    </row>
    <row r="1430" spans="1:10" x14ac:dyDescent="0.25">
      <c r="A1430">
        <v>1428</v>
      </c>
      <c r="E1430" t="s">
        <v>1633</v>
      </c>
      <c r="J1430" t="s">
        <v>1907</v>
      </c>
    </row>
    <row r="1431" spans="1:10" x14ac:dyDescent="0.25">
      <c r="A1431">
        <v>1429</v>
      </c>
      <c r="E1431" t="s">
        <v>1633</v>
      </c>
      <c r="J1431" t="s">
        <v>1908</v>
      </c>
    </row>
    <row r="1432" spans="1:10" x14ac:dyDescent="0.25">
      <c r="A1432">
        <v>1430</v>
      </c>
      <c r="E1432" t="s">
        <v>1633</v>
      </c>
      <c r="J1432" t="s">
        <v>1909</v>
      </c>
    </row>
    <row r="1433" spans="1:10" x14ac:dyDescent="0.25">
      <c r="A1433">
        <v>1431</v>
      </c>
      <c r="E1433" t="s">
        <v>1633</v>
      </c>
      <c r="J1433" t="s">
        <v>1910</v>
      </c>
    </row>
    <row r="1434" spans="1:10" x14ac:dyDescent="0.25">
      <c r="A1434">
        <v>1432</v>
      </c>
      <c r="E1434" t="s">
        <v>1633</v>
      </c>
      <c r="J1434" t="s">
        <v>1911</v>
      </c>
    </row>
    <row r="1435" spans="1:10" x14ac:dyDescent="0.25">
      <c r="A1435">
        <v>1433</v>
      </c>
      <c r="E1435" t="s">
        <v>1633</v>
      </c>
      <c r="J1435" t="s">
        <v>1912</v>
      </c>
    </row>
    <row r="1436" spans="1:10" x14ac:dyDescent="0.25">
      <c r="A1436">
        <v>1434</v>
      </c>
      <c r="E1436" t="s">
        <v>1633</v>
      </c>
      <c r="J1436" t="s">
        <v>1913</v>
      </c>
    </row>
    <row r="1437" spans="1:10" x14ac:dyDescent="0.25">
      <c r="A1437">
        <v>1435</v>
      </c>
      <c r="E1437" t="s">
        <v>1633</v>
      </c>
      <c r="J1437" t="s">
        <v>1914</v>
      </c>
    </row>
    <row r="1438" spans="1:10" x14ac:dyDescent="0.25">
      <c r="A1438">
        <v>1436</v>
      </c>
      <c r="E1438" t="s">
        <v>1633</v>
      </c>
      <c r="J1438" t="s">
        <v>1915</v>
      </c>
    </row>
    <row r="1439" spans="1:10" x14ac:dyDescent="0.25">
      <c r="A1439">
        <v>1437</v>
      </c>
      <c r="E1439" t="s">
        <v>1633</v>
      </c>
      <c r="J1439" t="s">
        <v>1916</v>
      </c>
    </row>
    <row r="1440" spans="1:10" x14ac:dyDescent="0.25">
      <c r="A1440">
        <v>1438</v>
      </c>
      <c r="E1440" t="s">
        <v>1633</v>
      </c>
      <c r="J1440" t="s">
        <v>1917</v>
      </c>
    </row>
    <row r="1441" spans="1:10" x14ac:dyDescent="0.25">
      <c r="A1441">
        <v>1439</v>
      </c>
      <c r="E1441" t="s">
        <v>1633</v>
      </c>
      <c r="J1441" t="s">
        <v>1918</v>
      </c>
    </row>
    <row r="1442" spans="1:10" x14ac:dyDescent="0.25">
      <c r="A1442">
        <v>1440</v>
      </c>
      <c r="E1442" t="s">
        <v>1633</v>
      </c>
      <c r="J1442" t="s">
        <v>1917</v>
      </c>
    </row>
    <row r="1443" spans="1:10" x14ac:dyDescent="0.25">
      <c r="A1443">
        <v>1441</v>
      </c>
      <c r="E1443" t="s">
        <v>1633</v>
      </c>
      <c r="J1443" t="s">
        <v>1919</v>
      </c>
    </row>
    <row r="1444" spans="1:10" x14ac:dyDescent="0.25">
      <c r="A1444">
        <v>1442</v>
      </c>
      <c r="E1444" t="s">
        <v>1633</v>
      </c>
      <c r="J1444" t="s">
        <v>1920</v>
      </c>
    </row>
    <row r="1445" spans="1:10" x14ac:dyDescent="0.25">
      <c r="A1445">
        <v>1443</v>
      </c>
      <c r="E1445" t="s">
        <v>1633</v>
      </c>
      <c r="J1445" t="s">
        <v>1921</v>
      </c>
    </row>
    <row r="1446" spans="1:10" x14ac:dyDescent="0.25">
      <c r="A1446">
        <v>1444</v>
      </c>
      <c r="E1446" t="s">
        <v>1633</v>
      </c>
      <c r="J1446" t="s">
        <v>1922</v>
      </c>
    </row>
    <row r="1447" spans="1:10" x14ac:dyDescent="0.25">
      <c r="A1447">
        <v>1445</v>
      </c>
      <c r="E1447" t="s">
        <v>1633</v>
      </c>
      <c r="J1447" t="s">
        <v>1923</v>
      </c>
    </row>
    <row r="1448" spans="1:10" x14ac:dyDescent="0.25">
      <c r="A1448">
        <v>1446</v>
      </c>
      <c r="E1448" t="s">
        <v>1633</v>
      </c>
      <c r="J1448" t="s">
        <v>1924</v>
      </c>
    </row>
    <row r="1449" spans="1:10" x14ac:dyDescent="0.25">
      <c r="A1449">
        <v>1447</v>
      </c>
      <c r="E1449" t="s">
        <v>1633</v>
      </c>
      <c r="J1449" t="s">
        <v>1925</v>
      </c>
    </row>
    <row r="1450" spans="1:10" x14ac:dyDescent="0.25">
      <c r="A1450">
        <v>1448</v>
      </c>
      <c r="E1450" t="s">
        <v>1633</v>
      </c>
      <c r="J1450" t="s">
        <v>1926</v>
      </c>
    </row>
    <row r="1451" spans="1:10" x14ac:dyDescent="0.25">
      <c r="A1451">
        <v>1449</v>
      </c>
      <c r="E1451" t="s">
        <v>1633</v>
      </c>
      <c r="J1451" t="s">
        <v>1927</v>
      </c>
    </row>
    <row r="1452" spans="1:10" x14ac:dyDescent="0.25">
      <c r="A1452">
        <v>1450</v>
      </c>
      <c r="E1452" t="s">
        <v>1633</v>
      </c>
      <c r="J1452" t="s">
        <v>1928</v>
      </c>
    </row>
    <row r="1453" spans="1:10" x14ac:dyDescent="0.25">
      <c r="A1453">
        <v>1451</v>
      </c>
      <c r="E1453" t="s">
        <v>1633</v>
      </c>
      <c r="J1453" t="s">
        <v>1929</v>
      </c>
    </row>
    <row r="1454" spans="1:10" x14ac:dyDescent="0.25">
      <c r="A1454">
        <v>1452</v>
      </c>
      <c r="E1454" t="s">
        <v>1633</v>
      </c>
      <c r="J1454" t="s">
        <v>1930</v>
      </c>
    </row>
    <row r="1455" spans="1:10" x14ac:dyDescent="0.25">
      <c r="A1455">
        <v>1453</v>
      </c>
      <c r="E1455" t="s">
        <v>1633</v>
      </c>
      <c r="J1455" t="s">
        <v>1450</v>
      </c>
    </row>
    <row r="1456" spans="1:10" x14ac:dyDescent="0.25">
      <c r="A1456">
        <v>1454</v>
      </c>
      <c r="E1456" t="s">
        <v>1633</v>
      </c>
      <c r="J1456" t="s">
        <v>1931</v>
      </c>
    </row>
    <row r="1457" spans="1:14" x14ac:dyDescent="0.25">
      <c r="A1457">
        <v>1455</v>
      </c>
      <c r="E1457" t="s">
        <v>1633</v>
      </c>
      <c r="J1457" t="s">
        <v>1932</v>
      </c>
    </row>
    <row r="1458" spans="1:14" x14ac:dyDescent="0.25">
      <c r="A1458">
        <v>1456</v>
      </c>
      <c r="E1458" t="s">
        <v>1633</v>
      </c>
      <c r="J1458" t="s">
        <v>1933</v>
      </c>
    </row>
    <row r="1459" spans="1:14" x14ac:dyDescent="0.25">
      <c r="A1459">
        <v>1457</v>
      </c>
      <c r="E1459" t="s">
        <v>1633</v>
      </c>
      <c r="J1459" t="s">
        <v>1934</v>
      </c>
    </row>
    <row r="1460" spans="1:14" x14ac:dyDescent="0.25">
      <c r="A1460">
        <v>1458</v>
      </c>
      <c r="E1460" t="s">
        <v>1633</v>
      </c>
      <c r="J1460" t="s">
        <v>1634</v>
      </c>
    </row>
    <row r="1461" spans="1:14" x14ac:dyDescent="0.25">
      <c r="A1461">
        <v>1459</v>
      </c>
      <c r="E1461" t="s">
        <v>1633</v>
      </c>
      <c r="J1461" t="s">
        <v>1635</v>
      </c>
    </row>
    <row r="1462" spans="1:14" x14ac:dyDescent="0.25">
      <c r="A1462">
        <v>1460</v>
      </c>
      <c r="E1462" t="s">
        <v>1633</v>
      </c>
      <c r="J1462" t="s">
        <v>1935</v>
      </c>
    </row>
    <row r="1463" spans="1:14" x14ac:dyDescent="0.25">
      <c r="A1463">
        <v>1461</v>
      </c>
      <c r="E1463" t="s">
        <v>1633</v>
      </c>
      <c r="J1463" t="s">
        <v>1936</v>
      </c>
    </row>
    <row r="1464" spans="1:14" x14ac:dyDescent="0.25">
      <c r="A1464">
        <v>1462</v>
      </c>
      <c r="E1464" t="s">
        <v>1633</v>
      </c>
      <c r="J1464" t="s">
        <v>1937</v>
      </c>
    </row>
    <row r="1465" spans="1:14" x14ac:dyDescent="0.25">
      <c r="A1465">
        <v>1463</v>
      </c>
      <c r="E1465" t="s">
        <v>1633</v>
      </c>
      <c r="J1465" t="s">
        <v>1938</v>
      </c>
    </row>
    <row r="1466" spans="1:14" x14ac:dyDescent="0.25">
      <c r="A1466">
        <v>1464</v>
      </c>
      <c r="E1466" t="s">
        <v>1633</v>
      </c>
      <c r="J1466" t="s">
        <v>1939</v>
      </c>
    </row>
    <row r="1467" spans="1:14" x14ac:dyDescent="0.25">
      <c r="A1467">
        <v>1465</v>
      </c>
      <c r="E1467" t="s">
        <v>1633</v>
      </c>
      <c r="J1467" t="s">
        <v>1940</v>
      </c>
    </row>
    <row r="1468" spans="1:14" x14ac:dyDescent="0.25">
      <c r="A1468">
        <v>1466</v>
      </c>
      <c r="B1468" t="s">
        <v>346</v>
      </c>
      <c r="C1468" t="s">
        <v>375</v>
      </c>
      <c r="D1468" t="s">
        <v>376</v>
      </c>
      <c r="E1468" t="s">
        <v>14</v>
      </c>
      <c r="F1468" t="s">
        <v>349</v>
      </c>
      <c r="G1468" t="s">
        <v>122</v>
      </c>
      <c r="H1468" t="s">
        <v>1696</v>
      </c>
      <c r="I1468" t="s">
        <v>27</v>
      </c>
      <c r="J1468" t="s">
        <v>1163</v>
      </c>
      <c r="K1468">
        <v>0</v>
      </c>
      <c r="L1468">
        <v>1</v>
      </c>
      <c r="M1468">
        <v>1</v>
      </c>
      <c r="N1468">
        <v>0</v>
      </c>
    </row>
    <row r="1469" spans="1:14" x14ac:dyDescent="0.25">
      <c r="A1469">
        <v>1467</v>
      </c>
      <c r="B1469" t="s">
        <v>653</v>
      </c>
      <c r="C1469" t="s">
        <v>701</v>
      </c>
      <c r="D1469" t="s">
        <v>841</v>
      </c>
      <c r="E1469" t="s">
        <v>14</v>
      </c>
      <c r="F1469" t="s">
        <v>15</v>
      </c>
      <c r="G1469" t="s">
        <v>122</v>
      </c>
      <c r="H1469" t="s">
        <v>703</v>
      </c>
      <c r="I1469" t="s">
        <v>20</v>
      </c>
      <c r="J1469" t="s">
        <v>1164</v>
      </c>
      <c r="K1469">
        <v>2</v>
      </c>
      <c r="L1469">
        <v>2</v>
      </c>
      <c r="M1469">
        <v>1</v>
      </c>
      <c r="N1469">
        <v>0</v>
      </c>
    </row>
    <row r="1470" spans="1:14" x14ac:dyDescent="0.25">
      <c r="A1470">
        <v>1468</v>
      </c>
      <c r="B1470" t="s">
        <v>653</v>
      </c>
      <c r="C1470" t="s">
        <v>701</v>
      </c>
      <c r="D1470" t="s">
        <v>841</v>
      </c>
      <c r="E1470" t="s">
        <v>14</v>
      </c>
      <c r="F1470" t="s">
        <v>15</v>
      </c>
      <c r="G1470" t="s">
        <v>122</v>
      </c>
      <c r="H1470" t="s">
        <v>703</v>
      </c>
      <c r="I1470" t="s">
        <v>20</v>
      </c>
      <c r="J1470" t="s">
        <v>1165</v>
      </c>
      <c r="K1470">
        <v>2</v>
      </c>
      <c r="L1470">
        <v>2</v>
      </c>
      <c r="M1470">
        <v>1</v>
      </c>
      <c r="N1470">
        <v>0</v>
      </c>
    </row>
    <row r="1471" spans="1:14" x14ac:dyDescent="0.25">
      <c r="A1471">
        <v>1469</v>
      </c>
      <c r="B1471" t="s">
        <v>346</v>
      </c>
      <c r="C1471" t="s">
        <v>375</v>
      </c>
      <c r="D1471" t="s">
        <v>379</v>
      </c>
      <c r="E1471" t="s">
        <v>22</v>
      </c>
      <c r="F1471" t="s">
        <v>349</v>
      </c>
      <c r="G1471" t="s">
        <v>26</v>
      </c>
      <c r="H1471" t="s">
        <v>1696</v>
      </c>
      <c r="I1471" t="s">
        <v>1612</v>
      </c>
      <c r="J1471" t="s">
        <v>1636</v>
      </c>
      <c r="K1471">
        <v>0</v>
      </c>
      <c r="L1471">
        <v>3</v>
      </c>
      <c r="M1471">
        <v>1</v>
      </c>
      <c r="N1471">
        <v>0</v>
      </c>
    </row>
    <row r="1472" spans="1:14" x14ac:dyDescent="0.25">
      <c r="A1472">
        <v>1470</v>
      </c>
      <c r="B1472" t="s">
        <v>346</v>
      </c>
      <c r="C1472" t="s">
        <v>392</v>
      </c>
      <c r="D1472" t="s">
        <v>393</v>
      </c>
      <c r="E1472" t="s">
        <v>80</v>
      </c>
      <c r="F1472" t="s">
        <v>394</v>
      </c>
      <c r="G1472" t="s">
        <v>122</v>
      </c>
      <c r="H1472" t="s">
        <v>388</v>
      </c>
      <c r="I1472" t="s">
        <v>20</v>
      </c>
      <c r="J1472" t="s">
        <v>1167</v>
      </c>
      <c r="K1472">
        <v>0</v>
      </c>
      <c r="L1472">
        <v>1</v>
      </c>
      <c r="M1472">
        <v>1</v>
      </c>
      <c r="N1472">
        <v>0</v>
      </c>
    </row>
    <row r="1473" spans="1:14" x14ac:dyDescent="0.25">
      <c r="A1473">
        <v>1471</v>
      </c>
      <c r="E1473" t="s">
        <v>1633</v>
      </c>
      <c r="J1473" t="s">
        <v>1941</v>
      </c>
    </row>
    <row r="1474" spans="1:14" x14ac:dyDescent="0.25">
      <c r="A1474">
        <v>1472</v>
      </c>
      <c r="E1474" t="s">
        <v>1633</v>
      </c>
      <c r="J1474" t="s">
        <v>1942</v>
      </c>
    </row>
    <row r="1475" spans="1:14" x14ac:dyDescent="0.25">
      <c r="A1475">
        <v>1473</v>
      </c>
      <c r="B1475" t="s">
        <v>11</v>
      </c>
      <c r="C1475" t="s">
        <v>12</v>
      </c>
      <c r="D1475" t="s">
        <v>25</v>
      </c>
      <c r="E1475" t="s">
        <v>22</v>
      </c>
      <c r="F1475" t="s">
        <v>15</v>
      </c>
      <c r="G1475" t="s">
        <v>35</v>
      </c>
      <c r="H1475" t="s">
        <v>1682</v>
      </c>
      <c r="I1475" t="s">
        <v>20</v>
      </c>
      <c r="J1475" t="s">
        <v>25</v>
      </c>
      <c r="K1475">
        <v>5</v>
      </c>
      <c r="L1475">
        <v>5</v>
      </c>
      <c r="M1475">
        <v>2</v>
      </c>
      <c r="N1475">
        <v>0</v>
      </c>
    </row>
    <row r="1476" spans="1:14" x14ac:dyDescent="0.25">
      <c r="A1476">
        <v>1474</v>
      </c>
      <c r="B1476" t="s">
        <v>11</v>
      </c>
      <c r="C1476" t="s">
        <v>12</v>
      </c>
      <c r="D1476" t="s">
        <v>25</v>
      </c>
      <c r="E1476" t="s">
        <v>14</v>
      </c>
      <c r="F1476" t="s">
        <v>15</v>
      </c>
      <c r="G1476" t="s">
        <v>35</v>
      </c>
      <c r="H1476" t="s">
        <v>1682</v>
      </c>
      <c r="I1476" t="s">
        <v>43</v>
      </c>
      <c r="J1476" t="s">
        <v>1168</v>
      </c>
      <c r="K1476">
        <v>5</v>
      </c>
      <c r="L1476">
        <v>2</v>
      </c>
      <c r="M1476">
        <v>1</v>
      </c>
      <c r="N1476">
        <v>0</v>
      </c>
    </row>
    <row r="1477" spans="1:14" x14ac:dyDescent="0.25">
      <c r="A1477">
        <v>1475</v>
      </c>
      <c r="B1477" t="s">
        <v>11</v>
      </c>
      <c r="C1477" t="s">
        <v>12</v>
      </c>
      <c r="D1477" t="s">
        <v>33</v>
      </c>
      <c r="E1477" t="s">
        <v>14</v>
      </c>
      <c r="F1477" t="s">
        <v>15</v>
      </c>
      <c r="G1477" t="s">
        <v>35</v>
      </c>
      <c r="H1477" t="s">
        <v>1682</v>
      </c>
      <c r="I1477" t="s">
        <v>43</v>
      </c>
      <c r="J1477" t="s">
        <v>1169</v>
      </c>
      <c r="K1477">
        <v>5</v>
      </c>
      <c r="L1477">
        <v>2</v>
      </c>
      <c r="M1477">
        <v>1</v>
      </c>
      <c r="N1477">
        <v>0</v>
      </c>
    </row>
    <row r="1478" spans="1:14" x14ac:dyDescent="0.25">
      <c r="A1478">
        <v>1476</v>
      </c>
      <c r="B1478" t="s">
        <v>11</v>
      </c>
      <c r="C1478" t="s">
        <v>12</v>
      </c>
      <c r="D1478" t="s">
        <v>33</v>
      </c>
      <c r="E1478" t="s">
        <v>14</v>
      </c>
      <c r="F1478" t="s">
        <v>15</v>
      </c>
      <c r="G1478" t="s">
        <v>35</v>
      </c>
      <c r="H1478" t="s">
        <v>1682</v>
      </c>
      <c r="I1478" t="s">
        <v>43</v>
      </c>
      <c r="J1478" t="s">
        <v>1170</v>
      </c>
      <c r="K1478">
        <v>5</v>
      </c>
      <c r="L1478">
        <v>2</v>
      </c>
      <c r="M1478">
        <v>1</v>
      </c>
      <c r="N1478">
        <v>0</v>
      </c>
    </row>
    <row r="1479" spans="1:14" x14ac:dyDescent="0.25">
      <c r="A1479">
        <v>1477</v>
      </c>
      <c r="B1479" t="s">
        <v>11</v>
      </c>
      <c r="C1479" t="s">
        <v>12</v>
      </c>
      <c r="D1479" t="s">
        <v>51</v>
      </c>
      <c r="E1479" t="s">
        <v>52</v>
      </c>
      <c r="F1479" t="s">
        <v>15</v>
      </c>
      <c r="G1479" t="s">
        <v>47</v>
      </c>
      <c r="H1479" t="s">
        <v>1682</v>
      </c>
      <c r="I1479" t="s">
        <v>53</v>
      </c>
      <c r="J1479" t="s">
        <v>1171</v>
      </c>
      <c r="K1479">
        <v>5</v>
      </c>
      <c r="L1479">
        <v>2</v>
      </c>
      <c r="M1479">
        <v>1</v>
      </c>
      <c r="N1479">
        <v>0</v>
      </c>
    </row>
    <row r="1480" spans="1:14" x14ac:dyDescent="0.25">
      <c r="A1480">
        <v>1478</v>
      </c>
      <c r="B1480" t="s">
        <v>11</v>
      </c>
      <c r="C1480" t="s">
        <v>12</v>
      </c>
      <c r="D1480" t="s">
        <v>51</v>
      </c>
      <c r="E1480" t="s">
        <v>52</v>
      </c>
      <c r="F1480" t="s">
        <v>15</v>
      </c>
      <c r="G1480" t="s">
        <v>47</v>
      </c>
      <c r="H1480" t="s">
        <v>1682</v>
      </c>
      <c r="I1480" t="s">
        <v>53</v>
      </c>
      <c r="J1480" t="s">
        <v>1172</v>
      </c>
      <c r="K1480">
        <v>5</v>
      </c>
      <c r="L1480">
        <v>1</v>
      </c>
      <c r="M1480">
        <v>1</v>
      </c>
      <c r="N1480">
        <v>0</v>
      </c>
    </row>
    <row r="1481" spans="1:14" x14ac:dyDescent="0.25">
      <c r="A1481">
        <v>1479</v>
      </c>
      <c r="B1481" t="s">
        <v>11</v>
      </c>
      <c r="C1481" t="s">
        <v>12</v>
      </c>
      <c r="D1481" t="s">
        <v>51</v>
      </c>
      <c r="E1481" t="s">
        <v>34</v>
      </c>
      <c r="F1481" t="s">
        <v>15</v>
      </c>
      <c r="G1481" t="s">
        <v>35</v>
      </c>
      <c r="H1481" t="s">
        <v>1682</v>
      </c>
      <c r="I1481" t="s">
        <v>41</v>
      </c>
      <c r="J1481" t="s">
        <v>1173</v>
      </c>
      <c r="K1481">
        <v>5</v>
      </c>
      <c r="L1481">
        <v>3</v>
      </c>
      <c r="M1481">
        <v>1</v>
      </c>
      <c r="N1481">
        <v>0</v>
      </c>
    </row>
    <row r="1482" spans="1:14" x14ac:dyDescent="0.25">
      <c r="A1482">
        <v>1480</v>
      </c>
      <c r="B1482" t="s">
        <v>11</v>
      </c>
      <c r="C1482" t="s">
        <v>12</v>
      </c>
      <c r="D1482" t="s">
        <v>64</v>
      </c>
      <c r="E1482" t="s">
        <v>34</v>
      </c>
      <c r="F1482" t="s">
        <v>15</v>
      </c>
      <c r="G1482" t="s">
        <v>35</v>
      </c>
      <c r="H1482" t="s">
        <v>1682</v>
      </c>
      <c r="I1482" t="s">
        <v>41</v>
      </c>
      <c r="J1482" t="s">
        <v>1174</v>
      </c>
      <c r="K1482">
        <v>5</v>
      </c>
      <c r="L1482">
        <v>2</v>
      </c>
      <c r="M1482">
        <v>2</v>
      </c>
      <c r="N1482">
        <v>0</v>
      </c>
    </row>
    <row r="1483" spans="1:14" x14ac:dyDescent="0.25">
      <c r="A1483">
        <v>1481</v>
      </c>
      <c r="B1483" t="s">
        <v>11</v>
      </c>
      <c r="C1483" t="s">
        <v>12</v>
      </c>
      <c r="D1483" t="s">
        <v>100</v>
      </c>
      <c r="E1483" t="s">
        <v>34</v>
      </c>
      <c r="F1483" t="s">
        <v>15</v>
      </c>
      <c r="G1483" t="s">
        <v>26</v>
      </c>
      <c r="H1483" t="s">
        <v>1682</v>
      </c>
      <c r="I1483" t="s">
        <v>43</v>
      </c>
      <c r="J1483" t="s">
        <v>1175</v>
      </c>
      <c r="K1483">
        <v>5</v>
      </c>
      <c r="L1483">
        <v>3</v>
      </c>
      <c r="M1483">
        <v>1</v>
      </c>
      <c r="N1483">
        <v>0</v>
      </c>
    </row>
    <row r="1484" spans="1:14" x14ac:dyDescent="0.25">
      <c r="A1484">
        <v>1482</v>
      </c>
      <c r="B1484" t="s">
        <v>11</v>
      </c>
      <c r="C1484" t="s">
        <v>244</v>
      </c>
      <c r="D1484" t="s">
        <v>260</v>
      </c>
      <c r="E1484" t="s">
        <v>14</v>
      </c>
      <c r="F1484" t="s">
        <v>15</v>
      </c>
      <c r="G1484" t="s">
        <v>75</v>
      </c>
      <c r="H1484" t="s">
        <v>1691</v>
      </c>
      <c r="I1484" t="s">
        <v>41</v>
      </c>
      <c r="J1484" t="s">
        <v>1725</v>
      </c>
      <c r="K1484">
        <v>5</v>
      </c>
      <c r="L1484">
        <v>2</v>
      </c>
      <c r="M1484">
        <v>2</v>
      </c>
      <c r="N1484">
        <v>0</v>
      </c>
    </row>
    <row r="1485" spans="1:14" x14ac:dyDescent="0.25">
      <c r="A1485">
        <v>1483</v>
      </c>
      <c r="B1485" t="s">
        <v>11</v>
      </c>
      <c r="C1485" t="s">
        <v>244</v>
      </c>
      <c r="D1485" t="s">
        <v>260</v>
      </c>
      <c r="E1485" t="s">
        <v>14</v>
      </c>
      <c r="F1485" t="s">
        <v>15</v>
      </c>
      <c r="G1485" t="s">
        <v>75</v>
      </c>
      <c r="H1485" t="s">
        <v>1691</v>
      </c>
      <c r="I1485" t="s">
        <v>212</v>
      </c>
      <c r="J1485" t="s">
        <v>1177</v>
      </c>
      <c r="K1485">
        <v>5</v>
      </c>
      <c r="L1485">
        <v>2</v>
      </c>
      <c r="M1485">
        <v>1</v>
      </c>
      <c r="N1485">
        <v>0</v>
      </c>
    </row>
    <row r="1486" spans="1:14" x14ac:dyDescent="0.25">
      <c r="A1486">
        <v>1484</v>
      </c>
      <c r="B1486" t="s">
        <v>11</v>
      </c>
      <c r="C1486" t="s">
        <v>244</v>
      </c>
      <c r="D1486" t="s">
        <v>260</v>
      </c>
      <c r="E1486" t="s">
        <v>14</v>
      </c>
      <c r="F1486" t="s">
        <v>15</v>
      </c>
      <c r="G1486" t="s">
        <v>75</v>
      </c>
      <c r="H1486" t="s">
        <v>1691</v>
      </c>
      <c r="I1486" t="s">
        <v>141</v>
      </c>
      <c r="J1486" t="s">
        <v>1178</v>
      </c>
      <c r="K1486">
        <v>5</v>
      </c>
      <c r="L1486">
        <v>2</v>
      </c>
      <c r="M1486">
        <v>1</v>
      </c>
      <c r="N1486">
        <v>0</v>
      </c>
    </row>
    <row r="1487" spans="1:14" x14ac:dyDescent="0.25">
      <c r="A1487">
        <v>1485</v>
      </c>
      <c r="B1487" t="s">
        <v>11</v>
      </c>
      <c r="C1487" t="s">
        <v>244</v>
      </c>
      <c r="D1487" t="s">
        <v>323</v>
      </c>
      <c r="E1487" t="s">
        <v>34</v>
      </c>
      <c r="F1487" t="s">
        <v>15</v>
      </c>
      <c r="G1487" t="s">
        <v>35</v>
      </c>
      <c r="H1487" t="s">
        <v>1695</v>
      </c>
      <c r="I1487" t="s">
        <v>43</v>
      </c>
      <c r="J1487" t="s">
        <v>1179</v>
      </c>
      <c r="K1487">
        <v>5</v>
      </c>
      <c r="L1487">
        <v>8</v>
      </c>
      <c r="M1487">
        <v>1</v>
      </c>
      <c r="N1487">
        <v>0</v>
      </c>
    </row>
    <row r="1488" spans="1:14" x14ac:dyDescent="0.25">
      <c r="A1488">
        <v>1486</v>
      </c>
      <c r="B1488" t="s">
        <v>11</v>
      </c>
      <c r="C1488" t="s">
        <v>244</v>
      </c>
      <c r="D1488" t="s">
        <v>323</v>
      </c>
      <c r="E1488" t="s">
        <v>34</v>
      </c>
      <c r="F1488" t="s">
        <v>15</v>
      </c>
      <c r="G1488" t="s">
        <v>35</v>
      </c>
      <c r="H1488" t="s">
        <v>1695</v>
      </c>
      <c r="I1488" t="s">
        <v>43</v>
      </c>
      <c r="J1488" t="s">
        <v>1180</v>
      </c>
      <c r="K1488">
        <v>5</v>
      </c>
      <c r="L1488">
        <v>8</v>
      </c>
      <c r="M1488">
        <v>3</v>
      </c>
      <c r="N1488">
        <v>0</v>
      </c>
    </row>
    <row r="1489" spans="1:14" x14ac:dyDescent="0.25">
      <c r="A1489">
        <v>1487</v>
      </c>
      <c r="B1489" t="s">
        <v>1016</v>
      </c>
      <c r="C1489" t="s">
        <v>1093</v>
      </c>
      <c r="D1489" t="s">
        <v>1121</v>
      </c>
      <c r="E1489" t="s">
        <v>34</v>
      </c>
      <c r="F1489" t="s">
        <v>15</v>
      </c>
      <c r="G1489" t="s">
        <v>75</v>
      </c>
      <c r="H1489" t="s">
        <v>1182</v>
      </c>
      <c r="I1489" t="s">
        <v>1039</v>
      </c>
      <c r="J1489" t="s">
        <v>1181</v>
      </c>
      <c r="K1489">
        <v>9</v>
      </c>
      <c r="L1489">
        <v>2</v>
      </c>
      <c r="M1489">
        <v>2</v>
      </c>
      <c r="N1489">
        <v>0</v>
      </c>
    </row>
    <row r="1490" spans="1:14" x14ac:dyDescent="0.25">
      <c r="A1490">
        <v>1488</v>
      </c>
      <c r="B1490" t="s">
        <v>1016</v>
      </c>
      <c r="C1490" t="s">
        <v>1093</v>
      </c>
      <c r="D1490" t="s">
        <v>1115</v>
      </c>
      <c r="E1490" t="s">
        <v>34</v>
      </c>
      <c r="F1490" t="s">
        <v>15</v>
      </c>
      <c r="G1490" t="s">
        <v>75</v>
      </c>
      <c r="H1490" t="s">
        <v>1182</v>
      </c>
      <c r="I1490" t="s">
        <v>18</v>
      </c>
      <c r="J1490" t="s">
        <v>1183</v>
      </c>
      <c r="K1490">
        <v>9</v>
      </c>
      <c r="L1490">
        <v>2</v>
      </c>
      <c r="M1490">
        <v>2</v>
      </c>
      <c r="N1490">
        <v>0</v>
      </c>
    </row>
    <row r="1491" spans="1:14" x14ac:dyDescent="0.25">
      <c r="A1491">
        <v>1489</v>
      </c>
      <c r="B1491" t="s">
        <v>1016</v>
      </c>
      <c r="C1491" t="s">
        <v>1093</v>
      </c>
      <c r="D1491" t="s">
        <v>1115</v>
      </c>
      <c r="E1491" t="s">
        <v>22</v>
      </c>
      <c r="F1491" t="s">
        <v>15</v>
      </c>
      <c r="G1491" t="s">
        <v>75</v>
      </c>
      <c r="H1491" t="s">
        <v>1182</v>
      </c>
      <c r="I1491" t="s">
        <v>18</v>
      </c>
      <c r="J1491" t="s">
        <v>1638</v>
      </c>
      <c r="K1491">
        <v>9</v>
      </c>
      <c r="L1491">
        <v>2</v>
      </c>
      <c r="M1491">
        <v>2</v>
      </c>
      <c r="N1491">
        <v>0</v>
      </c>
    </row>
    <row r="1492" spans="1:14" x14ac:dyDescent="0.25">
      <c r="A1492">
        <v>1490</v>
      </c>
      <c r="B1492" t="s">
        <v>1016</v>
      </c>
      <c r="C1492" t="s">
        <v>1093</v>
      </c>
      <c r="D1492" t="s">
        <v>1185</v>
      </c>
      <c r="E1492" t="s">
        <v>22</v>
      </c>
      <c r="F1492" t="s">
        <v>609</v>
      </c>
      <c r="G1492" t="s">
        <v>75</v>
      </c>
      <c r="H1492" t="s">
        <v>1182</v>
      </c>
      <c r="I1492" t="s">
        <v>141</v>
      </c>
      <c r="J1492" t="s">
        <v>1186</v>
      </c>
      <c r="K1492">
        <v>9</v>
      </c>
      <c r="L1492">
        <v>8</v>
      </c>
      <c r="M1492">
        <v>5</v>
      </c>
      <c r="N1492">
        <v>0</v>
      </c>
    </row>
    <row r="1493" spans="1:14" x14ac:dyDescent="0.25">
      <c r="A1493">
        <v>1491</v>
      </c>
      <c r="B1493" t="s">
        <v>1016</v>
      </c>
      <c r="C1493" t="s">
        <v>1093</v>
      </c>
      <c r="D1493" t="s">
        <v>1115</v>
      </c>
      <c r="E1493" t="s">
        <v>22</v>
      </c>
      <c r="F1493" t="s">
        <v>15</v>
      </c>
      <c r="G1493" t="s">
        <v>75</v>
      </c>
      <c r="H1493" t="s">
        <v>1182</v>
      </c>
      <c r="I1493" t="s">
        <v>1039</v>
      </c>
      <c r="J1493" t="s">
        <v>1187</v>
      </c>
      <c r="K1493">
        <v>9</v>
      </c>
      <c r="L1493">
        <v>2</v>
      </c>
      <c r="M1493">
        <v>2</v>
      </c>
      <c r="N1493">
        <v>0</v>
      </c>
    </row>
    <row r="1494" spans="1:14" x14ac:dyDescent="0.25">
      <c r="A1494">
        <v>1492</v>
      </c>
      <c r="B1494" t="s">
        <v>1016</v>
      </c>
      <c r="C1494" t="s">
        <v>1093</v>
      </c>
      <c r="D1494" t="s">
        <v>1110</v>
      </c>
      <c r="E1494" t="s">
        <v>22</v>
      </c>
      <c r="F1494" t="s">
        <v>15</v>
      </c>
      <c r="G1494" t="s">
        <v>75</v>
      </c>
      <c r="H1494" t="s">
        <v>1182</v>
      </c>
      <c r="I1494" t="s">
        <v>1039</v>
      </c>
      <c r="J1494" t="s">
        <v>1188</v>
      </c>
      <c r="K1494">
        <v>9</v>
      </c>
      <c r="L1494">
        <v>2</v>
      </c>
      <c r="M1494">
        <v>2</v>
      </c>
      <c r="N1494">
        <v>0</v>
      </c>
    </row>
    <row r="1495" spans="1:14" x14ac:dyDescent="0.25">
      <c r="A1495">
        <v>1493</v>
      </c>
      <c r="B1495" t="s">
        <v>1016</v>
      </c>
      <c r="C1495" t="s">
        <v>1093</v>
      </c>
      <c r="D1495" t="s">
        <v>1110</v>
      </c>
      <c r="E1495" t="s">
        <v>22</v>
      </c>
      <c r="F1495" t="s">
        <v>15</v>
      </c>
      <c r="G1495" t="s">
        <v>75</v>
      </c>
      <c r="H1495" t="s">
        <v>1111</v>
      </c>
      <c r="I1495" t="s">
        <v>915</v>
      </c>
      <c r="J1495" t="s">
        <v>1189</v>
      </c>
      <c r="K1495">
        <v>9</v>
      </c>
      <c r="L1495">
        <v>2</v>
      </c>
      <c r="M1495">
        <v>5</v>
      </c>
      <c r="N1495">
        <v>0</v>
      </c>
    </row>
    <row r="1496" spans="1:14" x14ac:dyDescent="0.25">
      <c r="A1496">
        <v>1494</v>
      </c>
      <c r="B1496" t="s">
        <v>1016</v>
      </c>
      <c r="C1496" t="s">
        <v>1093</v>
      </c>
      <c r="D1496" t="s">
        <v>1185</v>
      </c>
      <c r="E1496" t="s">
        <v>34</v>
      </c>
      <c r="F1496" t="s">
        <v>15</v>
      </c>
      <c r="G1496" t="s">
        <v>75</v>
      </c>
      <c r="H1496" t="s">
        <v>1182</v>
      </c>
      <c r="I1496" t="s">
        <v>915</v>
      </c>
      <c r="J1496" t="s">
        <v>1639</v>
      </c>
      <c r="K1496">
        <v>9</v>
      </c>
      <c r="L1496">
        <v>8</v>
      </c>
      <c r="M1496">
        <v>5</v>
      </c>
      <c r="N1496">
        <v>0</v>
      </c>
    </row>
    <row r="1497" spans="1:14" x14ac:dyDescent="0.25">
      <c r="A1497">
        <v>1495</v>
      </c>
      <c r="B1497" t="s">
        <v>1016</v>
      </c>
      <c r="C1497" t="s">
        <v>1093</v>
      </c>
      <c r="D1497" t="s">
        <v>1185</v>
      </c>
      <c r="E1497" t="s">
        <v>34</v>
      </c>
      <c r="F1497" t="s">
        <v>609</v>
      </c>
      <c r="G1497" t="s">
        <v>75</v>
      </c>
      <c r="H1497" t="s">
        <v>1182</v>
      </c>
      <c r="I1497" t="s">
        <v>685</v>
      </c>
      <c r="J1497" t="s">
        <v>1185</v>
      </c>
      <c r="K1497">
        <v>9</v>
      </c>
      <c r="L1497">
        <v>8</v>
      </c>
      <c r="M1497">
        <v>4</v>
      </c>
      <c r="N1497">
        <v>0</v>
      </c>
    </row>
    <row r="1498" spans="1:14" x14ac:dyDescent="0.25">
      <c r="A1498">
        <v>1496</v>
      </c>
      <c r="B1498" t="s">
        <v>1016</v>
      </c>
      <c r="C1498" t="s">
        <v>1093</v>
      </c>
      <c r="D1498" t="s">
        <v>1185</v>
      </c>
      <c r="E1498" t="s">
        <v>34</v>
      </c>
      <c r="F1498" t="s">
        <v>609</v>
      </c>
      <c r="G1498" t="s">
        <v>75</v>
      </c>
      <c r="H1498" t="s">
        <v>1182</v>
      </c>
      <c r="I1498" t="s">
        <v>53</v>
      </c>
      <c r="J1498" t="s">
        <v>1192</v>
      </c>
      <c r="K1498">
        <v>9</v>
      </c>
      <c r="L1498">
        <v>8</v>
      </c>
      <c r="M1498">
        <v>5</v>
      </c>
      <c r="N1498">
        <v>0</v>
      </c>
    </row>
    <row r="1499" spans="1:14" x14ac:dyDescent="0.25">
      <c r="A1499">
        <v>1497</v>
      </c>
      <c r="B1499" t="s">
        <v>1016</v>
      </c>
      <c r="C1499" t="s">
        <v>1093</v>
      </c>
      <c r="D1499" t="s">
        <v>1185</v>
      </c>
      <c r="E1499" t="s">
        <v>34</v>
      </c>
      <c r="F1499" t="s">
        <v>15</v>
      </c>
      <c r="G1499" t="s">
        <v>75</v>
      </c>
      <c r="H1499" t="s">
        <v>1182</v>
      </c>
      <c r="I1499" t="s">
        <v>43</v>
      </c>
      <c r="J1499" t="s">
        <v>1193</v>
      </c>
      <c r="K1499">
        <v>9</v>
      </c>
      <c r="L1499">
        <v>8</v>
      </c>
      <c r="M1499">
        <v>5</v>
      </c>
      <c r="N1499">
        <v>0</v>
      </c>
    </row>
    <row r="1500" spans="1:14" x14ac:dyDescent="0.25">
      <c r="A1500">
        <v>1498</v>
      </c>
      <c r="B1500" t="s">
        <v>1016</v>
      </c>
      <c r="C1500" t="s">
        <v>1093</v>
      </c>
      <c r="D1500" t="s">
        <v>1103</v>
      </c>
      <c r="E1500" t="s">
        <v>22</v>
      </c>
      <c r="F1500" t="s">
        <v>15</v>
      </c>
      <c r="G1500" t="s">
        <v>75</v>
      </c>
      <c r="H1500" t="s">
        <v>1721</v>
      </c>
      <c r="I1500" t="s">
        <v>915</v>
      </c>
      <c r="J1500" t="s">
        <v>1194</v>
      </c>
      <c r="K1500">
        <v>9</v>
      </c>
      <c r="L1500">
        <v>3</v>
      </c>
      <c r="M1500">
        <v>3</v>
      </c>
      <c r="N1500">
        <v>0</v>
      </c>
    </row>
    <row r="1501" spans="1:14" x14ac:dyDescent="0.25">
      <c r="A1501">
        <v>1499</v>
      </c>
      <c r="B1501" t="s">
        <v>1016</v>
      </c>
      <c r="C1501" t="s">
        <v>1093</v>
      </c>
      <c r="D1501" t="s">
        <v>1103</v>
      </c>
      <c r="E1501" t="s">
        <v>22</v>
      </c>
      <c r="F1501" t="s">
        <v>609</v>
      </c>
      <c r="G1501" t="s">
        <v>75</v>
      </c>
      <c r="H1501" t="s">
        <v>1182</v>
      </c>
      <c r="I1501" t="s">
        <v>1039</v>
      </c>
      <c r="J1501" t="s">
        <v>1195</v>
      </c>
      <c r="K1501">
        <v>9</v>
      </c>
      <c r="L1501">
        <v>3</v>
      </c>
      <c r="M1501">
        <v>4</v>
      </c>
      <c r="N1501">
        <v>0</v>
      </c>
    </row>
    <row r="1502" spans="1:14" x14ac:dyDescent="0.25">
      <c r="A1502">
        <v>1500</v>
      </c>
      <c r="B1502" t="s">
        <v>1016</v>
      </c>
      <c r="C1502" t="s">
        <v>1093</v>
      </c>
      <c r="D1502" t="s">
        <v>1103</v>
      </c>
      <c r="E1502" t="s">
        <v>22</v>
      </c>
      <c r="F1502" t="s">
        <v>15</v>
      </c>
      <c r="G1502" t="s">
        <v>75</v>
      </c>
      <c r="H1502" t="s">
        <v>1104</v>
      </c>
      <c r="I1502" t="s">
        <v>43</v>
      </c>
      <c r="J1502" t="s">
        <v>1196</v>
      </c>
      <c r="K1502">
        <v>9</v>
      </c>
      <c r="L1502">
        <v>7</v>
      </c>
      <c r="M1502">
        <v>5</v>
      </c>
      <c r="N1502">
        <v>0</v>
      </c>
    </row>
    <row r="1503" spans="1:14" x14ac:dyDescent="0.25">
      <c r="A1503">
        <v>1501</v>
      </c>
      <c r="B1503" t="s">
        <v>1016</v>
      </c>
      <c r="C1503" t="s">
        <v>1093</v>
      </c>
      <c r="D1503" t="s">
        <v>1103</v>
      </c>
      <c r="E1503" t="s">
        <v>34</v>
      </c>
      <c r="F1503" t="s">
        <v>15</v>
      </c>
      <c r="G1503" t="s">
        <v>75</v>
      </c>
      <c r="H1503" t="s">
        <v>1104</v>
      </c>
      <c r="I1503" t="s">
        <v>43</v>
      </c>
      <c r="J1503" t="s">
        <v>1197</v>
      </c>
      <c r="K1503">
        <v>9</v>
      </c>
      <c r="L1503">
        <v>3</v>
      </c>
      <c r="M1503">
        <v>5</v>
      </c>
      <c r="N1503">
        <v>0</v>
      </c>
    </row>
    <row r="1504" spans="1:14" x14ac:dyDescent="0.25">
      <c r="A1504">
        <v>1502</v>
      </c>
      <c r="B1504" t="s">
        <v>1016</v>
      </c>
      <c r="C1504" t="s">
        <v>1093</v>
      </c>
      <c r="D1504" t="s">
        <v>1103</v>
      </c>
      <c r="E1504" t="s">
        <v>22</v>
      </c>
      <c r="F1504" t="s">
        <v>15</v>
      </c>
      <c r="G1504" t="s">
        <v>75</v>
      </c>
      <c r="H1504" t="s">
        <v>1104</v>
      </c>
      <c r="I1504" t="s">
        <v>43</v>
      </c>
      <c r="J1504" t="s">
        <v>1198</v>
      </c>
      <c r="K1504">
        <v>9</v>
      </c>
      <c r="L1504">
        <v>3</v>
      </c>
      <c r="M1504">
        <v>3</v>
      </c>
      <c r="N1504">
        <v>0</v>
      </c>
    </row>
    <row r="1505" spans="1:14" x14ac:dyDescent="0.25">
      <c r="A1505">
        <v>1503</v>
      </c>
      <c r="B1505" t="s">
        <v>1016</v>
      </c>
      <c r="C1505" t="s">
        <v>1093</v>
      </c>
      <c r="D1505" t="s">
        <v>1098</v>
      </c>
      <c r="E1505" t="s">
        <v>22</v>
      </c>
      <c r="F1505" t="s">
        <v>15</v>
      </c>
      <c r="G1505" t="s">
        <v>75</v>
      </c>
      <c r="H1505" t="s">
        <v>1720</v>
      </c>
      <c r="I1505" t="s">
        <v>1039</v>
      </c>
      <c r="J1505" t="s">
        <v>1199</v>
      </c>
      <c r="K1505">
        <v>5</v>
      </c>
      <c r="L1505">
        <v>3</v>
      </c>
      <c r="M1505">
        <v>4</v>
      </c>
      <c r="N1505">
        <v>0</v>
      </c>
    </row>
    <row r="1506" spans="1:14" x14ac:dyDescent="0.25">
      <c r="A1506">
        <v>1504</v>
      </c>
      <c r="B1506" t="s">
        <v>1016</v>
      </c>
      <c r="C1506" t="s">
        <v>1093</v>
      </c>
      <c r="D1506" t="s">
        <v>1098</v>
      </c>
      <c r="E1506" t="s">
        <v>80</v>
      </c>
      <c r="F1506" t="s">
        <v>15</v>
      </c>
      <c r="G1506" t="s">
        <v>75</v>
      </c>
      <c r="H1506" t="s">
        <v>1720</v>
      </c>
      <c r="I1506" t="s">
        <v>1039</v>
      </c>
      <c r="J1506" t="s">
        <v>1200</v>
      </c>
      <c r="K1506">
        <v>5</v>
      </c>
      <c r="L1506">
        <v>3</v>
      </c>
      <c r="M1506">
        <v>5</v>
      </c>
      <c r="N1506">
        <v>0</v>
      </c>
    </row>
    <row r="1507" spans="1:14" x14ac:dyDescent="0.25">
      <c r="A1507">
        <v>1505</v>
      </c>
      <c r="B1507" t="s">
        <v>1016</v>
      </c>
      <c r="C1507" t="s">
        <v>1093</v>
      </c>
      <c r="D1507" t="s">
        <v>1094</v>
      </c>
      <c r="E1507" t="s">
        <v>80</v>
      </c>
      <c r="F1507" t="s">
        <v>15</v>
      </c>
      <c r="G1507" t="s">
        <v>75</v>
      </c>
      <c r="H1507" t="s">
        <v>1720</v>
      </c>
      <c r="I1507" t="s">
        <v>1039</v>
      </c>
      <c r="J1507" t="s">
        <v>1201</v>
      </c>
      <c r="K1507">
        <v>9</v>
      </c>
      <c r="L1507">
        <v>5</v>
      </c>
      <c r="M1507">
        <v>5</v>
      </c>
      <c r="N1507">
        <v>0</v>
      </c>
    </row>
    <row r="1508" spans="1:14" x14ac:dyDescent="0.25">
      <c r="A1508">
        <v>1506</v>
      </c>
      <c r="B1508" t="s">
        <v>1016</v>
      </c>
      <c r="C1508" t="s">
        <v>1093</v>
      </c>
      <c r="D1508" t="s">
        <v>1094</v>
      </c>
      <c r="E1508" t="s">
        <v>22</v>
      </c>
      <c r="F1508" t="s">
        <v>15</v>
      </c>
      <c r="G1508" t="s">
        <v>75</v>
      </c>
      <c r="H1508" t="s">
        <v>1720</v>
      </c>
      <c r="I1508" t="s">
        <v>687</v>
      </c>
      <c r="J1508" t="s">
        <v>1094</v>
      </c>
      <c r="K1508">
        <v>9</v>
      </c>
      <c r="L1508">
        <v>5</v>
      </c>
      <c r="M1508">
        <v>5</v>
      </c>
      <c r="N1508">
        <v>0</v>
      </c>
    </row>
    <row r="1509" spans="1:14" x14ac:dyDescent="0.25">
      <c r="A1509">
        <v>1507</v>
      </c>
      <c r="B1509" t="s">
        <v>1016</v>
      </c>
      <c r="C1509" t="s">
        <v>1066</v>
      </c>
      <c r="D1509" t="s">
        <v>1202</v>
      </c>
      <c r="E1509" t="s">
        <v>34</v>
      </c>
      <c r="F1509" t="s">
        <v>15</v>
      </c>
      <c r="G1509" t="s">
        <v>75</v>
      </c>
      <c r="H1509" t="s">
        <v>1068</v>
      </c>
      <c r="I1509" t="s">
        <v>43</v>
      </c>
      <c r="J1509" t="s">
        <v>1203</v>
      </c>
      <c r="K1509">
        <v>9</v>
      </c>
      <c r="L1509">
        <v>1</v>
      </c>
      <c r="M1509">
        <v>4</v>
      </c>
      <c r="N1509">
        <v>0</v>
      </c>
    </row>
    <row r="1510" spans="1:14" x14ac:dyDescent="0.25">
      <c r="A1510">
        <v>1508</v>
      </c>
      <c r="B1510" t="s">
        <v>1016</v>
      </c>
      <c r="C1510" t="s">
        <v>1066</v>
      </c>
      <c r="D1510" t="s">
        <v>1202</v>
      </c>
      <c r="E1510" t="s">
        <v>14</v>
      </c>
      <c r="F1510" t="s">
        <v>15</v>
      </c>
      <c r="G1510" t="s">
        <v>75</v>
      </c>
      <c r="H1510" t="s">
        <v>1068</v>
      </c>
      <c r="I1510" t="s">
        <v>18</v>
      </c>
      <c r="J1510" t="s">
        <v>1202</v>
      </c>
      <c r="K1510">
        <v>9</v>
      </c>
      <c r="L1510">
        <v>4</v>
      </c>
      <c r="M1510">
        <v>4</v>
      </c>
      <c r="N1510">
        <v>0</v>
      </c>
    </row>
    <row r="1511" spans="1:14" x14ac:dyDescent="0.25">
      <c r="A1511">
        <v>1509</v>
      </c>
      <c r="B1511" t="s">
        <v>1016</v>
      </c>
      <c r="C1511" t="s">
        <v>1066</v>
      </c>
      <c r="D1511" t="s">
        <v>1202</v>
      </c>
      <c r="E1511" t="s">
        <v>80</v>
      </c>
      <c r="F1511" t="s">
        <v>15</v>
      </c>
      <c r="G1511" t="s">
        <v>75</v>
      </c>
      <c r="H1511" t="s">
        <v>1068</v>
      </c>
      <c r="I1511" t="s">
        <v>1039</v>
      </c>
      <c r="J1511" t="s">
        <v>1204</v>
      </c>
      <c r="K1511">
        <v>9</v>
      </c>
      <c r="L1511">
        <v>6</v>
      </c>
      <c r="M1511">
        <v>6</v>
      </c>
      <c r="N1511">
        <v>0</v>
      </c>
    </row>
    <row r="1512" spans="1:14" x14ac:dyDescent="0.25">
      <c r="A1512">
        <v>1510</v>
      </c>
      <c r="B1512" t="s">
        <v>1016</v>
      </c>
      <c r="C1512" t="s">
        <v>1066</v>
      </c>
      <c r="D1512" t="s">
        <v>1202</v>
      </c>
      <c r="E1512" t="s">
        <v>14</v>
      </c>
      <c r="F1512" t="s">
        <v>15</v>
      </c>
      <c r="G1512" t="s">
        <v>75</v>
      </c>
      <c r="H1512" t="s">
        <v>1068</v>
      </c>
      <c r="I1512" t="s">
        <v>18</v>
      </c>
      <c r="J1512" t="s">
        <v>1205</v>
      </c>
      <c r="K1512">
        <v>9</v>
      </c>
      <c r="L1512">
        <v>3</v>
      </c>
      <c r="M1512">
        <v>6</v>
      </c>
      <c r="N1512">
        <v>0</v>
      </c>
    </row>
    <row r="1513" spans="1:14" x14ac:dyDescent="0.25">
      <c r="A1513">
        <v>1511</v>
      </c>
      <c r="B1513" t="s">
        <v>1016</v>
      </c>
      <c r="C1513" t="s">
        <v>1066</v>
      </c>
      <c r="D1513" t="s">
        <v>1202</v>
      </c>
      <c r="E1513" t="s">
        <v>14</v>
      </c>
      <c r="F1513" t="s">
        <v>15</v>
      </c>
      <c r="G1513" t="s">
        <v>75</v>
      </c>
      <c r="H1513" t="s">
        <v>1068</v>
      </c>
      <c r="I1513" t="s">
        <v>18</v>
      </c>
      <c r="J1513" t="s">
        <v>1206</v>
      </c>
      <c r="K1513">
        <v>9</v>
      </c>
      <c r="L1513">
        <v>3</v>
      </c>
      <c r="M1513">
        <v>6</v>
      </c>
      <c r="N1513">
        <v>0</v>
      </c>
    </row>
    <row r="1514" spans="1:14" x14ac:dyDescent="0.25">
      <c r="A1514">
        <v>1512</v>
      </c>
      <c r="B1514" t="s">
        <v>1016</v>
      </c>
      <c r="C1514" t="s">
        <v>1035</v>
      </c>
      <c r="D1514" t="s">
        <v>1055</v>
      </c>
      <c r="E1514" t="s">
        <v>34</v>
      </c>
      <c r="F1514" t="s">
        <v>15</v>
      </c>
      <c r="G1514" t="s">
        <v>75</v>
      </c>
      <c r="H1514" t="s">
        <v>1056</v>
      </c>
      <c r="I1514" t="s">
        <v>141</v>
      </c>
      <c r="J1514" t="s">
        <v>1207</v>
      </c>
      <c r="K1514">
        <v>9</v>
      </c>
      <c r="L1514">
        <v>2</v>
      </c>
      <c r="M1514">
        <v>4</v>
      </c>
      <c r="N1514">
        <v>0</v>
      </c>
    </row>
    <row r="1515" spans="1:14" x14ac:dyDescent="0.25">
      <c r="A1515">
        <v>1513</v>
      </c>
      <c r="B1515" t="s">
        <v>1016</v>
      </c>
      <c r="C1515" t="s">
        <v>1035</v>
      </c>
      <c r="D1515" t="s">
        <v>1055</v>
      </c>
      <c r="E1515" t="s">
        <v>14</v>
      </c>
      <c r="F1515" t="s">
        <v>15</v>
      </c>
      <c r="G1515" t="s">
        <v>75</v>
      </c>
      <c r="H1515" t="s">
        <v>1056</v>
      </c>
      <c r="I1515" t="s">
        <v>1039</v>
      </c>
      <c r="J1515" t="s">
        <v>1208</v>
      </c>
      <c r="K1515">
        <v>9</v>
      </c>
      <c r="L1515">
        <v>1</v>
      </c>
      <c r="M1515">
        <v>4</v>
      </c>
      <c r="N1515">
        <v>0</v>
      </c>
    </row>
    <row r="1516" spans="1:14" x14ac:dyDescent="0.25">
      <c r="A1516">
        <v>1514</v>
      </c>
      <c r="B1516" t="s">
        <v>1016</v>
      </c>
      <c r="C1516" t="s">
        <v>1035</v>
      </c>
      <c r="D1516" t="s">
        <v>1055</v>
      </c>
      <c r="E1516" t="s">
        <v>14</v>
      </c>
      <c r="F1516" t="s">
        <v>15</v>
      </c>
      <c r="G1516" t="s">
        <v>75</v>
      </c>
      <c r="H1516" t="s">
        <v>1056</v>
      </c>
      <c r="I1516" t="s">
        <v>212</v>
      </c>
      <c r="J1516" t="s">
        <v>1209</v>
      </c>
      <c r="K1516">
        <v>9</v>
      </c>
      <c r="L1516">
        <v>1</v>
      </c>
      <c r="M1516">
        <v>4</v>
      </c>
      <c r="N1516">
        <v>0</v>
      </c>
    </row>
    <row r="1517" spans="1:14" x14ac:dyDescent="0.25">
      <c r="A1517">
        <v>1515</v>
      </c>
      <c r="B1517" t="s">
        <v>1016</v>
      </c>
      <c r="C1517" t="s">
        <v>1035</v>
      </c>
      <c r="D1517" t="s">
        <v>1055</v>
      </c>
      <c r="E1517" t="s">
        <v>34</v>
      </c>
      <c r="F1517" t="s">
        <v>15</v>
      </c>
      <c r="G1517" t="s">
        <v>75</v>
      </c>
      <c r="H1517" t="s">
        <v>1056</v>
      </c>
      <c r="I1517" t="s">
        <v>1039</v>
      </c>
      <c r="J1517" t="s">
        <v>1210</v>
      </c>
      <c r="K1517">
        <v>9</v>
      </c>
      <c r="L1517">
        <v>1</v>
      </c>
      <c r="M1517">
        <v>4</v>
      </c>
      <c r="N1517">
        <v>0</v>
      </c>
    </row>
    <row r="1518" spans="1:14" x14ac:dyDescent="0.25">
      <c r="A1518">
        <v>1516</v>
      </c>
      <c r="B1518" t="s">
        <v>1016</v>
      </c>
      <c r="C1518" t="s">
        <v>1035</v>
      </c>
      <c r="D1518" t="s">
        <v>1042</v>
      </c>
      <c r="E1518" t="s">
        <v>14</v>
      </c>
      <c r="F1518" t="s">
        <v>650</v>
      </c>
      <c r="G1518" t="s">
        <v>47</v>
      </c>
      <c r="H1518" t="s">
        <v>1043</v>
      </c>
      <c r="I1518" t="s">
        <v>43</v>
      </c>
      <c r="J1518" t="s">
        <v>1211</v>
      </c>
      <c r="K1518">
        <v>5</v>
      </c>
      <c r="L1518">
        <v>4</v>
      </c>
      <c r="M1518">
        <v>6</v>
      </c>
      <c r="N1518">
        <v>0</v>
      </c>
    </row>
    <row r="1519" spans="1:14" x14ac:dyDescent="0.25">
      <c r="A1519">
        <v>1517</v>
      </c>
      <c r="B1519" t="s">
        <v>1016</v>
      </c>
      <c r="C1519" t="s">
        <v>1035</v>
      </c>
      <c r="D1519" t="s">
        <v>1042</v>
      </c>
      <c r="E1519" t="s">
        <v>14</v>
      </c>
      <c r="F1519" t="s">
        <v>650</v>
      </c>
      <c r="G1519" t="s">
        <v>35</v>
      </c>
      <c r="H1519" t="s">
        <v>1043</v>
      </c>
      <c r="I1519" t="s">
        <v>685</v>
      </c>
      <c r="J1519" t="s">
        <v>1212</v>
      </c>
      <c r="K1519">
        <v>5</v>
      </c>
      <c r="L1519">
        <v>10</v>
      </c>
      <c r="M1519">
        <v>6</v>
      </c>
      <c r="N1519">
        <v>0</v>
      </c>
    </row>
    <row r="1520" spans="1:14" x14ac:dyDescent="0.25">
      <c r="A1520">
        <v>1518</v>
      </c>
      <c r="B1520" t="s">
        <v>1016</v>
      </c>
      <c r="C1520" t="s">
        <v>1035</v>
      </c>
      <c r="D1520" t="s">
        <v>1042</v>
      </c>
      <c r="E1520" t="s">
        <v>22</v>
      </c>
      <c r="F1520" t="s">
        <v>609</v>
      </c>
      <c r="G1520" t="s">
        <v>47</v>
      </c>
      <c r="H1520" t="s">
        <v>1043</v>
      </c>
      <c r="I1520" t="s">
        <v>43</v>
      </c>
      <c r="J1520" t="s">
        <v>1213</v>
      </c>
      <c r="K1520">
        <v>5</v>
      </c>
      <c r="L1520">
        <v>2</v>
      </c>
      <c r="M1520">
        <v>1</v>
      </c>
      <c r="N1520">
        <v>0</v>
      </c>
    </row>
    <row r="1521" spans="1:14" x14ac:dyDescent="0.25">
      <c r="A1521">
        <v>1519</v>
      </c>
      <c r="B1521" t="s">
        <v>1016</v>
      </c>
      <c r="C1521" t="s">
        <v>1035</v>
      </c>
      <c r="D1521" t="s">
        <v>1042</v>
      </c>
      <c r="E1521" t="s">
        <v>34</v>
      </c>
      <c r="F1521" t="s">
        <v>609</v>
      </c>
      <c r="G1521" t="s">
        <v>47</v>
      </c>
      <c r="H1521" t="s">
        <v>1043</v>
      </c>
      <c r="I1521" t="s">
        <v>43</v>
      </c>
      <c r="J1521" t="s">
        <v>1214</v>
      </c>
      <c r="K1521">
        <v>5</v>
      </c>
      <c r="L1521">
        <v>2</v>
      </c>
      <c r="M1521">
        <v>1</v>
      </c>
      <c r="N1521">
        <v>0</v>
      </c>
    </row>
    <row r="1522" spans="1:14" x14ac:dyDescent="0.25">
      <c r="A1522">
        <v>1520</v>
      </c>
      <c r="B1522" t="s">
        <v>653</v>
      </c>
      <c r="C1522" t="s">
        <v>740</v>
      </c>
      <c r="D1522" t="s">
        <v>747</v>
      </c>
      <c r="E1522" t="s">
        <v>34</v>
      </c>
      <c r="F1522" t="s">
        <v>748</v>
      </c>
      <c r="G1522" t="s">
        <v>122</v>
      </c>
      <c r="H1522" t="s">
        <v>1215</v>
      </c>
      <c r="I1522" t="s">
        <v>352</v>
      </c>
      <c r="J1522" t="s">
        <v>1216</v>
      </c>
      <c r="K1522">
        <v>5</v>
      </c>
      <c r="L1522">
        <v>1</v>
      </c>
      <c r="M1522">
        <v>3</v>
      </c>
      <c r="N1522">
        <v>0</v>
      </c>
    </row>
    <row r="1523" spans="1:14" x14ac:dyDescent="0.25">
      <c r="A1523">
        <v>1521</v>
      </c>
      <c r="B1523" t="s">
        <v>653</v>
      </c>
      <c r="C1523" t="s">
        <v>740</v>
      </c>
      <c r="D1523" t="s">
        <v>747</v>
      </c>
      <c r="E1523" t="s">
        <v>34</v>
      </c>
      <c r="F1523" t="s">
        <v>748</v>
      </c>
      <c r="G1523" t="s">
        <v>122</v>
      </c>
      <c r="H1523" t="s">
        <v>1215</v>
      </c>
      <c r="I1523" t="s">
        <v>352</v>
      </c>
      <c r="J1523" t="s">
        <v>1217</v>
      </c>
      <c r="K1523">
        <v>5</v>
      </c>
      <c r="L1523">
        <v>2</v>
      </c>
      <c r="M1523">
        <v>4</v>
      </c>
      <c r="N1523">
        <v>0</v>
      </c>
    </row>
    <row r="1524" spans="1:14" x14ac:dyDescent="0.25">
      <c r="A1524">
        <v>1522</v>
      </c>
      <c r="B1524" t="s">
        <v>653</v>
      </c>
      <c r="C1524" t="s">
        <v>740</v>
      </c>
      <c r="D1524" t="s">
        <v>747</v>
      </c>
      <c r="E1524" t="s">
        <v>52</v>
      </c>
      <c r="F1524" t="s">
        <v>748</v>
      </c>
      <c r="G1524" t="s">
        <v>75</v>
      </c>
      <c r="H1524" t="s">
        <v>749</v>
      </c>
      <c r="I1524" t="s">
        <v>43</v>
      </c>
      <c r="J1524" t="s">
        <v>1218</v>
      </c>
      <c r="K1524">
        <v>5</v>
      </c>
      <c r="L1524">
        <v>7</v>
      </c>
      <c r="M1524">
        <v>6</v>
      </c>
      <c r="N1524">
        <v>0</v>
      </c>
    </row>
    <row r="1525" spans="1:14" x14ac:dyDescent="0.25">
      <c r="A1525">
        <v>1523</v>
      </c>
      <c r="B1525" t="s">
        <v>653</v>
      </c>
      <c r="C1525" t="s">
        <v>740</v>
      </c>
      <c r="D1525" t="s">
        <v>741</v>
      </c>
      <c r="E1525" t="s">
        <v>52</v>
      </c>
      <c r="F1525" t="s">
        <v>609</v>
      </c>
      <c r="G1525" t="s">
        <v>75</v>
      </c>
      <c r="H1525" t="s">
        <v>1726</v>
      </c>
      <c r="I1525" t="s">
        <v>41</v>
      </c>
      <c r="J1525" t="s">
        <v>1220</v>
      </c>
      <c r="K1525">
        <v>5</v>
      </c>
      <c r="L1525">
        <v>3</v>
      </c>
      <c r="M1525">
        <v>3</v>
      </c>
      <c r="N1525">
        <v>0</v>
      </c>
    </row>
    <row r="1526" spans="1:14" x14ac:dyDescent="0.25">
      <c r="A1526">
        <v>1524</v>
      </c>
      <c r="B1526" t="s">
        <v>653</v>
      </c>
      <c r="C1526" t="s">
        <v>672</v>
      </c>
      <c r="D1526" t="s">
        <v>1221</v>
      </c>
      <c r="E1526" t="s">
        <v>14</v>
      </c>
      <c r="F1526" t="s">
        <v>609</v>
      </c>
      <c r="G1526" t="s">
        <v>75</v>
      </c>
      <c r="H1526" t="s">
        <v>1726</v>
      </c>
      <c r="I1526" t="s">
        <v>43</v>
      </c>
      <c r="J1526" t="s">
        <v>1222</v>
      </c>
      <c r="K1526">
        <v>5</v>
      </c>
      <c r="L1526">
        <v>3</v>
      </c>
      <c r="M1526">
        <v>4</v>
      </c>
      <c r="N1526">
        <v>0</v>
      </c>
    </row>
    <row r="1527" spans="1:14" x14ac:dyDescent="0.25">
      <c r="A1527">
        <v>1525</v>
      </c>
      <c r="B1527" t="s">
        <v>653</v>
      </c>
      <c r="C1527" t="s">
        <v>672</v>
      </c>
      <c r="D1527" t="s">
        <v>1221</v>
      </c>
      <c r="E1527" t="s">
        <v>14</v>
      </c>
      <c r="F1527" t="s">
        <v>609</v>
      </c>
      <c r="G1527" t="s">
        <v>75</v>
      </c>
      <c r="H1527" t="s">
        <v>1726</v>
      </c>
      <c r="I1527" t="s">
        <v>41</v>
      </c>
      <c r="J1527" t="s">
        <v>1223</v>
      </c>
      <c r="K1527">
        <v>5</v>
      </c>
      <c r="L1527">
        <v>3</v>
      </c>
      <c r="M1527">
        <v>5</v>
      </c>
      <c r="N1527">
        <v>0</v>
      </c>
    </row>
    <row r="1528" spans="1:14" x14ac:dyDescent="0.25">
      <c r="A1528">
        <v>1526</v>
      </c>
      <c r="B1528" t="s">
        <v>653</v>
      </c>
      <c r="C1528" t="s">
        <v>672</v>
      </c>
      <c r="D1528" t="s">
        <v>735</v>
      </c>
      <c r="E1528" t="s">
        <v>14</v>
      </c>
      <c r="F1528" t="s">
        <v>609</v>
      </c>
      <c r="G1528" t="s">
        <v>75</v>
      </c>
      <c r="H1528" t="s">
        <v>736</v>
      </c>
      <c r="I1528" t="s">
        <v>41</v>
      </c>
      <c r="J1528" t="s">
        <v>1224</v>
      </c>
      <c r="K1528">
        <v>5</v>
      </c>
      <c r="L1528">
        <v>2</v>
      </c>
      <c r="M1528">
        <v>3</v>
      </c>
      <c r="N1528">
        <v>0</v>
      </c>
    </row>
    <row r="1529" spans="1:14" x14ac:dyDescent="0.25">
      <c r="A1529">
        <v>1527</v>
      </c>
      <c r="B1529" t="s">
        <v>653</v>
      </c>
      <c r="C1529" t="s">
        <v>672</v>
      </c>
      <c r="D1529" t="s">
        <v>1221</v>
      </c>
      <c r="E1529" t="s">
        <v>14</v>
      </c>
      <c r="F1529" t="s">
        <v>609</v>
      </c>
      <c r="G1529" t="s">
        <v>122</v>
      </c>
      <c r="H1529" t="s">
        <v>1726</v>
      </c>
      <c r="I1529" t="s">
        <v>41</v>
      </c>
      <c r="J1529" t="s">
        <v>1225</v>
      </c>
      <c r="K1529">
        <v>5</v>
      </c>
      <c r="L1529">
        <v>8</v>
      </c>
      <c r="M1529">
        <v>8</v>
      </c>
      <c r="N1529">
        <v>0</v>
      </c>
    </row>
    <row r="1530" spans="1:14" x14ac:dyDescent="0.25">
      <c r="A1530">
        <v>1528</v>
      </c>
      <c r="B1530" t="s">
        <v>653</v>
      </c>
      <c r="C1530" t="s">
        <v>672</v>
      </c>
      <c r="D1530" t="s">
        <v>1221</v>
      </c>
      <c r="E1530" t="s">
        <v>52</v>
      </c>
      <c r="F1530" t="s">
        <v>609</v>
      </c>
      <c r="G1530" t="s">
        <v>35</v>
      </c>
      <c r="H1530" t="s">
        <v>1726</v>
      </c>
      <c r="I1530" t="s">
        <v>53</v>
      </c>
      <c r="J1530" t="s">
        <v>1226</v>
      </c>
      <c r="K1530">
        <v>5</v>
      </c>
      <c r="L1530">
        <v>2</v>
      </c>
      <c r="M1530">
        <v>4</v>
      </c>
      <c r="N1530">
        <v>0</v>
      </c>
    </row>
    <row r="1531" spans="1:14" x14ac:dyDescent="0.25">
      <c r="A1531">
        <v>1529</v>
      </c>
      <c r="B1531" t="s">
        <v>653</v>
      </c>
      <c r="C1531" t="s">
        <v>672</v>
      </c>
      <c r="D1531" t="s">
        <v>673</v>
      </c>
      <c r="E1531" t="s">
        <v>14</v>
      </c>
      <c r="F1531" t="s">
        <v>609</v>
      </c>
      <c r="G1531" t="s">
        <v>35</v>
      </c>
      <c r="H1531" t="s">
        <v>719</v>
      </c>
      <c r="I1531" t="s">
        <v>41</v>
      </c>
      <c r="J1531" t="s">
        <v>1227</v>
      </c>
      <c r="K1531">
        <v>5</v>
      </c>
      <c r="L1531">
        <v>3</v>
      </c>
      <c r="M1531">
        <v>2</v>
      </c>
      <c r="N1531">
        <v>0</v>
      </c>
    </row>
    <row r="1532" spans="1:14" x14ac:dyDescent="0.25">
      <c r="A1532">
        <v>1530</v>
      </c>
      <c r="B1532" t="s">
        <v>653</v>
      </c>
      <c r="C1532" t="s">
        <v>672</v>
      </c>
      <c r="D1532" t="s">
        <v>673</v>
      </c>
      <c r="E1532" t="s">
        <v>14</v>
      </c>
      <c r="F1532" t="s">
        <v>609</v>
      </c>
      <c r="G1532" t="s">
        <v>35</v>
      </c>
      <c r="H1532" t="s">
        <v>719</v>
      </c>
      <c r="I1532" t="s">
        <v>43</v>
      </c>
      <c r="J1532" t="s">
        <v>1228</v>
      </c>
      <c r="K1532">
        <v>5</v>
      </c>
      <c r="L1532">
        <v>4</v>
      </c>
      <c r="M1532">
        <v>2</v>
      </c>
      <c r="N1532">
        <v>0</v>
      </c>
    </row>
    <row r="1533" spans="1:14" x14ac:dyDescent="0.25">
      <c r="A1533">
        <v>1531</v>
      </c>
      <c r="B1533" t="s">
        <v>653</v>
      </c>
      <c r="C1533" t="s">
        <v>672</v>
      </c>
      <c r="D1533" t="s">
        <v>1221</v>
      </c>
      <c r="E1533" t="s">
        <v>34</v>
      </c>
      <c r="F1533" t="s">
        <v>609</v>
      </c>
      <c r="G1533" t="s">
        <v>35</v>
      </c>
      <c r="H1533" t="s">
        <v>719</v>
      </c>
      <c r="I1533" t="s">
        <v>685</v>
      </c>
      <c r="J1533" t="s">
        <v>1229</v>
      </c>
      <c r="K1533">
        <v>5</v>
      </c>
      <c r="L1533">
        <v>11</v>
      </c>
      <c r="M1533">
        <v>6</v>
      </c>
      <c r="N1533">
        <v>0</v>
      </c>
    </row>
    <row r="1534" spans="1:14" x14ac:dyDescent="0.25">
      <c r="A1534">
        <v>1532</v>
      </c>
      <c r="B1534" t="s">
        <v>653</v>
      </c>
      <c r="C1534" t="s">
        <v>672</v>
      </c>
      <c r="D1534" t="s">
        <v>711</v>
      </c>
      <c r="E1534" t="s">
        <v>52</v>
      </c>
      <c r="F1534" t="s">
        <v>609</v>
      </c>
      <c r="G1534" t="s">
        <v>35</v>
      </c>
      <c r="H1534" t="s">
        <v>1712</v>
      </c>
      <c r="I1534" t="s">
        <v>37</v>
      </c>
      <c r="J1534" t="s">
        <v>1230</v>
      </c>
      <c r="K1534">
        <v>5</v>
      </c>
      <c r="L1534">
        <v>12</v>
      </c>
      <c r="M1534">
        <v>5</v>
      </c>
      <c r="N1534">
        <v>0</v>
      </c>
    </row>
    <row r="1535" spans="1:14" x14ac:dyDescent="0.25">
      <c r="A1535">
        <v>1533</v>
      </c>
      <c r="B1535" t="s">
        <v>653</v>
      </c>
      <c r="C1535" t="s">
        <v>672</v>
      </c>
      <c r="D1535" t="s">
        <v>711</v>
      </c>
      <c r="E1535" t="s">
        <v>52</v>
      </c>
      <c r="F1535" t="s">
        <v>609</v>
      </c>
      <c r="G1535" t="s">
        <v>35</v>
      </c>
      <c r="H1535" t="s">
        <v>1712</v>
      </c>
      <c r="I1535" t="s">
        <v>1039</v>
      </c>
      <c r="J1535" t="s">
        <v>1231</v>
      </c>
      <c r="K1535">
        <v>5</v>
      </c>
      <c r="L1535">
        <v>7</v>
      </c>
      <c r="M1535">
        <v>3</v>
      </c>
      <c r="N1535">
        <v>0</v>
      </c>
    </row>
    <row r="1536" spans="1:14" x14ac:dyDescent="0.25">
      <c r="A1536">
        <v>1534</v>
      </c>
      <c r="B1536" t="s">
        <v>653</v>
      </c>
      <c r="C1536" t="s">
        <v>672</v>
      </c>
      <c r="D1536" t="s">
        <v>711</v>
      </c>
      <c r="E1536" t="s">
        <v>34</v>
      </c>
      <c r="F1536" t="s">
        <v>609</v>
      </c>
      <c r="G1536" t="s">
        <v>47</v>
      </c>
      <c r="H1536" t="s">
        <v>620</v>
      </c>
      <c r="I1536" t="s">
        <v>53</v>
      </c>
      <c r="J1536" t="s">
        <v>1232</v>
      </c>
      <c r="K1536">
        <v>5</v>
      </c>
      <c r="L1536">
        <v>5</v>
      </c>
      <c r="M1536">
        <v>2</v>
      </c>
      <c r="N1536">
        <v>0</v>
      </c>
    </row>
    <row r="1537" spans="1:14" x14ac:dyDescent="0.25">
      <c r="A1537">
        <v>1535</v>
      </c>
      <c r="B1537" t="s">
        <v>653</v>
      </c>
      <c r="C1537" t="s">
        <v>672</v>
      </c>
      <c r="D1537" t="s">
        <v>711</v>
      </c>
      <c r="E1537" t="s">
        <v>34</v>
      </c>
      <c r="F1537" t="s">
        <v>609</v>
      </c>
      <c r="G1537" t="s">
        <v>47</v>
      </c>
      <c r="H1537" t="s">
        <v>620</v>
      </c>
      <c r="I1537" t="s">
        <v>41</v>
      </c>
      <c r="J1537" t="s">
        <v>1233</v>
      </c>
      <c r="K1537">
        <v>5</v>
      </c>
      <c r="L1537">
        <v>5</v>
      </c>
      <c r="M1537">
        <v>4</v>
      </c>
      <c r="N1537">
        <v>0</v>
      </c>
    </row>
    <row r="1538" spans="1:14" x14ac:dyDescent="0.25">
      <c r="A1538">
        <v>1536</v>
      </c>
      <c r="B1538" t="s">
        <v>653</v>
      </c>
      <c r="C1538" t="s">
        <v>701</v>
      </c>
      <c r="D1538" t="s">
        <v>803</v>
      </c>
      <c r="E1538" t="s">
        <v>34</v>
      </c>
      <c r="F1538" t="s">
        <v>609</v>
      </c>
      <c r="G1538" t="s">
        <v>35</v>
      </c>
      <c r="H1538" t="s">
        <v>620</v>
      </c>
      <c r="I1538" t="s">
        <v>41</v>
      </c>
      <c r="J1538" t="s">
        <v>1234</v>
      </c>
      <c r="K1538">
        <v>5</v>
      </c>
      <c r="L1538">
        <v>4</v>
      </c>
      <c r="M1538">
        <v>3</v>
      </c>
      <c r="N1538">
        <v>0</v>
      </c>
    </row>
    <row r="1539" spans="1:14" x14ac:dyDescent="0.25">
      <c r="A1539">
        <v>1537</v>
      </c>
      <c r="B1539" t="s">
        <v>11</v>
      </c>
      <c r="C1539" t="s">
        <v>12</v>
      </c>
      <c r="D1539" t="s">
        <v>1235</v>
      </c>
      <c r="E1539" t="s">
        <v>34</v>
      </c>
      <c r="F1539" t="s">
        <v>15</v>
      </c>
      <c r="G1539" t="s">
        <v>16</v>
      </c>
      <c r="H1539" t="s">
        <v>1696</v>
      </c>
      <c r="I1539" t="s">
        <v>27</v>
      </c>
      <c r="J1539" t="s">
        <v>1236</v>
      </c>
      <c r="K1539">
        <v>3</v>
      </c>
      <c r="L1539">
        <v>1</v>
      </c>
      <c r="M1539">
        <v>1</v>
      </c>
      <c r="N1539">
        <v>0</v>
      </c>
    </row>
    <row r="1540" spans="1:14" x14ac:dyDescent="0.25">
      <c r="A1540">
        <v>1538</v>
      </c>
      <c r="B1540" t="s">
        <v>11</v>
      </c>
      <c r="C1540" t="s">
        <v>12</v>
      </c>
      <c r="D1540" t="s">
        <v>1235</v>
      </c>
      <c r="E1540" t="s">
        <v>34</v>
      </c>
      <c r="F1540" t="s">
        <v>15</v>
      </c>
      <c r="G1540" t="s">
        <v>16</v>
      </c>
      <c r="H1540" t="s">
        <v>1696</v>
      </c>
      <c r="I1540" t="s">
        <v>27</v>
      </c>
      <c r="J1540" t="s">
        <v>1237</v>
      </c>
      <c r="K1540">
        <v>3</v>
      </c>
      <c r="L1540">
        <v>1</v>
      </c>
      <c r="M1540">
        <v>1</v>
      </c>
      <c r="N1540">
        <v>0</v>
      </c>
    </row>
    <row r="1541" spans="1:14" x14ac:dyDescent="0.25">
      <c r="A1541">
        <v>1539</v>
      </c>
      <c r="B1541" t="s">
        <v>653</v>
      </c>
      <c r="C1541" t="s">
        <v>868</v>
      </c>
      <c r="D1541" t="s">
        <v>1238</v>
      </c>
      <c r="E1541" t="s">
        <v>14</v>
      </c>
      <c r="F1541" t="s">
        <v>748</v>
      </c>
      <c r="G1541" t="s">
        <v>16</v>
      </c>
      <c r="H1541" t="s">
        <v>768</v>
      </c>
      <c r="I1541" t="s">
        <v>41</v>
      </c>
      <c r="J1541" t="s">
        <v>1239</v>
      </c>
      <c r="K1541">
        <v>5</v>
      </c>
      <c r="L1541">
        <v>2</v>
      </c>
      <c r="M1541">
        <v>1</v>
      </c>
      <c r="N1541">
        <v>0</v>
      </c>
    </row>
    <row r="1542" spans="1:14" x14ac:dyDescent="0.25">
      <c r="A1542">
        <v>1540</v>
      </c>
      <c r="B1542" t="s">
        <v>653</v>
      </c>
      <c r="C1542" t="s">
        <v>868</v>
      </c>
      <c r="D1542" t="s">
        <v>1238</v>
      </c>
      <c r="E1542" t="s">
        <v>14</v>
      </c>
      <c r="F1542" t="s">
        <v>799</v>
      </c>
      <c r="G1542" t="s">
        <v>16</v>
      </c>
      <c r="H1542" t="s">
        <v>1240</v>
      </c>
      <c r="I1542" t="s">
        <v>41</v>
      </c>
      <c r="J1542" t="s">
        <v>1241</v>
      </c>
      <c r="K1542">
        <v>5</v>
      </c>
      <c r="L1542">
        <v>1</v>
      </c>
      <c r="M1542">
        <v>1</v>
      </c>
      <c r="N1542">
        <v>0</v>
      </c>
    </row>
    <row r="1543" spans="1:14" x14ac:dyDescent="0.25">
      <c r="A1543">
        <v>1541</v>
      </c>
      <c r="B1543" t="s">
        <v>653</v>
      </c>
      <c r="C1543" t="s">
        <v>868</v>
      </c>
      <c r="D1543" t="s">
        <v>1238</v>
      </c>
      <c r="E1543" t="s">
        <v>14</v>
      </c>
      <c r="F1543" t="s">
        <v>799</v>
      </c>
      <c r="G1543" t="s">
        <v>16</v>
      </c>
      <c r="H1543" t="s">
        <v>1240</v>
      </c>
      <c r="I1543" t="s">
        <v>41</v>
      </c>
      <c r="J1543" t="s">
        <v>1242</v>
      </c>
      <c r="K1543">
        <v>5</v>
      </c>
      <c r="L1543">
        <v>1</v>
      </c>
      <c r="M1543">
        <v>1</v>
      </c>
      <c r="N1543">
        <v>0</v>
      </c>
    </row>
    <row r="1544" spans="1:14" x14ac:dyDescent="0.25">
      <c r="A1544">
        <v>1542</v>
      </c>
      <c r="B1544" t="s">
        <v>653</v>
      </c>
      <c r="C1544" t="s">
        <v>868</v>
      </c>
      <c r="D1544" t="s">
        <v>1238</v>
      </c>
      <c r="E1544" t="s">
        <v>14</v>
      </c>
      <c r="F1544" t="s">
        <v>799</v>
      </c>
      <c r="G1544" t="s">
        <v>16</v>
      </c>
      <c r="H1544" t="s">
        <v>1240</v>
      </c>
      <c r="I1544" t="s">
        <v>41</v>
      </c>
      <c r="J1544" t="s">
        <v>1243</v>
      </c>
      <c r="K1544">
        <v>5</v>
      </c>
      <c r="L1544">
        <v>1</v>
      </c>
      <c r="M1544">
        <v>1</v>
      </c>
      <c r="N1544">
        <v>0</v>
      </c>
    </row>
    <row r="1545" spans="1:14" x14ac:dyDescent="0.25">
      <c r="A1545">
        <v>1543</v>
      </c>
      <c r="B1545" t="s">
        <v>653</v>
      </c>
      <c r="C1545" t="s">
        <v>868</v>
      </c>
      <c r="D1545" t="s">
        <v>1238</v>
      </c>
      <c r="E1545" t="s">
        <v>14</v>
      </c>
      <c r="F1545" t="s">
        <v>799</v>
      </c>
      <c r="G1545" t="s">
        <v>16</v>
      </c>
      <c r="H1545" t="s">
        <v>1240</v>
      </c>
      <c r="I1545" t="s">
        <v>41</v>
      </c>
      <c r="J1545" t="s">
        <v>1244</v>
      </c>
      <c r="K1545">
        <v>5</v>
      </c>
      <c r="L1545">
        <v>2</v>
      </c>
      <c r="M1545">
        <v>2</v>
      </c>
      <c r="N1545">
        <v>0</v>
      </c>
    </row>
    <row r="1546" spans="1:14" x14ac:dyDescent="0.25">
      <c r="A1546">
        <v>1544</v>
      </c>
      <c r="B1546" t="s">
        <v>653</v>
      </c>
      <c r="C1546" t="s">
        <v>868</v>
      </c>
      <c r="D1546" t="s">
        <v>1245</v>
      </c>
      <c r="E1546" t="s">
        <v>14</v>
      </c>
      <c r="F1546" t="s">
        <v>799</v>
      </c>
      <c r="G1546" t="s">
        <v>16</v>
      </c>
      <c r="H1546" t="s">
        <v>1240</v>
      </c>
      <c r="I1546" t="s">
        <v>41</v>
      </c>
      <c r="J1546" t="s">
        <v>1246</v>
      </c>
      <c r="K1546">
        <v>5</v>
      </c>
      <c r="L1546">
        <v>1</v>
      </c>
      <c r="M1546">
        <v>1</v>
      </c>
      <c r="N1546">
        <v>0</v>
      </c>
    </row>
    <row r="1547" spans="1:14" x14ac:dyDescent="0.25">
      <c r="A1547">
        <v>1545</v>
      </c>
      <c r="B1547" t="s">
        <v>653</v>
      </c>
      <c r="C1547" t="s">
        <v>868</v>
      </c>
      <c r="D1547" t="s">
        <v>1245</v>
      </c>
      <c r="E1547" t="s">
        <v>14</v>
      </c>
      <c r="F1547" t="s">
        <v>15</v>
      </c>
      <c r="G1547" t="s">
        <v>75</v>
      </c>
      <c r="H1547" t="s">
        <v>1727</v>
      </c>
      <c r="I1547" t="s">
        <v>141</v>
      </c>
      <c r="J1547" t="s">
        <v>1247</v>
      </c>
      <c r="K1547">
        <v>5</v>
      </c>
      <c r="L1547">
        <v>5</v>
      </c>
      <c r="M1547">
        <v>2</v>
      </c>
      <c r="N1547">
        <v>0</v>
      </c>
    </row>
    <row r="1548" spans="1:14" x14ac:dyDescent="0.25">
      <c r="A1548">
        <v>1546</v>
      </c>
      <c r="B1548" t="s">
        <v>653</v>
      </c>
      <c r="C1548" t="s">
        <v>904</v>
      </c>
      <c r="D1548" t="s">
        <v>921</v>
      </c>
      <c r="E1548" t="s">
        <v>14</v>
      </c>
      <c r="F1548" t="s">
        <v>799</v>
      </c>
      <c r="G1548" t="s">
        <v>75</v>
      </c>
      <c r="H1548" t="s">
        <v>922</v>
      </c>
      <c r="I1548" t="s">
        <v>352</v>
      </c>
      <c r="J1548" t="s">
        <v>921</v>
      </c>
      <c r="K1548">
        <v>5</v>
      </c>
      <c r="L1548">
        <v>5</v>
      </c>
      <c r="M1548">
        <v>5</v>
      </c>
      <c r="N1548">
        <v>0</v>
      </c>
    </row>
    <row r="1549" spans="1:14" x14ac:dyDescent="0.25">
      <c r="A1549">
        <v>1547</v>
      </c>
      <c r="B1549" t="s">
        <v>653</v>
      </c>
      <c r="C1549" t="s">
        <v>904</v>
      </c>
      <c r="D1549" t="s">
        <v>924</v>
      </c>
      <c r="E1549" t="s">
        <v>22</v>
      </c>
      <c r="F1549" t="s">
        <v>799</v>
      </c>
      <c r="G1549" t="s">
        <v>75</v>
      </c>
      <c r="H1549" t="s">
        <v>922</v>
      </c>
      <c r="I1549" t="s">
        <v>43</v>
      </c>
      <c r="J1549" t="s">
        <v>1248</v>
      </c>
      <c r="K1549">
        <v>5</v>
      </c>
      <c r="L1549">
        <v>6</v>
      </c>
      <c r="M1549">
        <v>6</v>
      </c>
      <c r="N1549">
        <v>0</v>
      </c>
    </row>
    <row r="1550" spans="1:14" x14ac:dyDescent="0.25">
      <c r="A1550">
        <v>1548</v>
      </c>
      <c r="B1550" t="s">
        <v>653</v>
      </c>
      <c r="C1550" t="s">
        <v>904</v>
      </c>
      <c r="D1550" t="s">
        <v>924</v>
      </c>
      <c r="E1550" t="s">
        <v>14</v>
      </c>
      <c r="F1550" t="s">
        <v>799</v>
      </c>
      <c r="G1550" t="s">
        <v>75</v>
      </c>
      <c r="H1550" t="s">
        <v>1715</v>
      </c>
      <c r="I1550" t="s">
        <v>18</v>
      </c>
      <c r="J1550" t="s">
        <v>1249</v>
      </c>
      <c r="K1550">
        <v>5</v>
      </c>
      <c r="L1550">
        <v>5</v>
      </c>
      <c r="M1550">
        <v>3</v>
      </c>
      <c r="N1550">
        <v>0</v>
      </c>
    </row>
    <row r="1551" spans="1:14" x14ac:dyDescent="0.25">
      <c r="A1551">
        <v>1549</v>
      </c>
      <c r="B1551" t="s">
        <v>653</v>
      </c>
      <c r="C1551" t="s">
        <v>904</v>
      </c>
      <c r="D1551" t="s">
        <v>924</v>
      </c>
      <c r="E1551" t="s">
        <v>14</v>
      </c>
      <c r="F1551" t="s">
        <v>799</v>
      </c>
      <c r="G1551" t="s">
        <v>75</v>
      </c>
      <c r="H1551" t="s">
        <v>1715</v>
      </c>
      <c r="I1551" t="s">
        <v>43</v>
      </c>
      <c r="J1551" t="s">
        <v>1250</v>
      </c>
      <c r="K1551">
        <v>5</v>
      </c>
      <c r="L1551">
        <v>6</v>
      </c>
      <c r="M1551">
        <v>3</v>
      </c>
      <c r="N1551">
        <v>0</v>
      </c>
    </row>
    <row r="1552" spans="1:14" x14ac:dyDescent="0.25">
      <c r="A1552">
        <v>1550</v>
      </c>
      <c r="B1552" t="s">
        <v>653</v>
      </c>
      <c r="C1552" t="s">
        <v>904</v>
      </c>
      <c r="D1552" t="s">
        <v>914</v>
      </c>
      <c r="E1552" t="s">
        <v>14</v>
      </c>
      <c r="F1552" t="s">
        <v>799</v>
      </c>
      <c r="G1552" t="s">
        <v>75</v>
      </c>
      <c r="H1552" t="s">
        <v>1715</v>
      </c>
      <c r="I1552" t="s">
        <v>43</v>
      </c>
      <c r="J1552" t="s">
        <v>1251</v>
      </c>
      <c r="K1552">
        <v>5</v>
      </c>
      <c r="L1552">
        <v>5</v>
      </c>
      <c r="M1552">
        <v>2</v>
      </c>
      <c r="N1552">
        <v>0</v>
      </c>
    </row>
    <row r="1553" spans="1:14" x14ac:dyDescent="0.25">
      <c r="A1553">
        <v>1551</v>
      </c>
      <c r="B1553" t="s">
        <v>653</v>
      </c>
      <c r="C1553" t="s">
        <v>904</v>
      </c>
      <c r="D1553" t="s">
        <v>914</v>
      </c>
      <c r="E1553" t="s">
        <v>22</v>
      </c>
      <c r="F1553" t="s">
        <v>799</v>
      </c>
      <c r="G1553" t="s">
        <v>75</v>
      </c>
      <c r="H1553" t="s">
        <v>1715</v>
      </c>
      <c r="I1553" t="s">
        <v>43</v>
      </c>
      <c r="J1553" t="s">
        <v>1252</v>
      </c>
      <c r="K1553">
        <v>5</v>
      </c>
      <c r="L1553">
        <v>5</v>
      </c>
      <c r="M1553">
        <v>2</v>
      </c>
      <c r="N1553">
        <v>0</v>
      </c>
    </row>
    <row r="1554" spans="1:14" x14ac:dyDescent="0.25">
      <c r="A1554">
        <v>1552</v>
      </c>
      <c r="B1554" t="s">
        <v>653</v>
      </c>
      <c r="C1554" t="s">
        <v>904</v>
      </c>
      <c r="D1554" t="s">
        <v>905</v>
      </c>
      <c r="E1554" t="s">
        <v>14</v>
      </c>
      <c r="F1554" t="s">
        <v>799</v>
      </c>
      <c r="G1554" t="s">
        <v>75</v>
      </c>
      <c r="H1554" t="s">
        <v>1715</v>
      </c>
      <c r="I1554" t="s">
        <v>43</v>
      </c>
      <c r="J1554" t="s">
        <v>1253</v>
      </c>
      <c r="K1554">
        <v>5</v>
      </c>
      <c r="L1554">
        <v>5</v>
      </c>
      <c r="M1554">
        <v>3</v>
      </c>
      <c r="N1554">
        <v>0</v>
      </c>
    </row>
    <row r="1555" spans="1:14" x14ac:dyDescent="0.25">
      <c r="A1555">
        <v>1553</v>
      </c>
      <c r="B1555" t="s">
        <v>653</v>
      </c>
      <c r="C1555" t="s">
        <v>868</v>
      </c>
      <c r="D1555" t="s">
        <v>1254</v>
      </c>
      <c r="E1555" t="s">
        <v>14</v>
      </c>
      <c r="F1555" t="s">
        <v>15</v>
      </c>
      <c r="G1555" t="s">
        <v>75</v>
      </c>
      <c r="H1555" t="s">
        <v>1727</v>
      </c>
      <c r="I1555" t="s">
        <v>18</v>
      </c>
      <c r="J1555" t="s">
        <v>1254</v>
      </c>
      <c r="K1555">
        <v>5</v>
      </c>
      <c r="L1555">
        <v>9</v>
      </c>
      <c r="M1555">
        <v>3</v>
      </c>
      <c r="N1555">
        <v>0</v>
      </c>
    </row>
    <row r="1556" spans="1:14" x14ac:dyDescent="0.25">
      <c r="A1556">
        <v>1554</v>
      </c>
      <c r="B1556" t="s">
        <v>653</v>
      </c>
      <c r="C1556" t="s">
        <v>904</v>
      </c>
      <c r="D1556" t="s">
        <v>905</v>
      </c>
      <c r="E1556" t="s">
        <v>14</v>
      </c>
      <c r="F1556" t="s">
        <v>858</v>
      </c>
      <c r="G1556" t="s">
        <v>75</v>
      </c>
      <c r="H1556" t="s">
        <v>1715</v>
      </c>
      <c r="I1556" t="s">
        <v>776</v>
      </c>
      <c r="J1556" t="s">
        <v>1255</v>
      </c>
      <c r="K1556">
        <v>5</v>
      </c>
      <c r="L1556">
        <v>6</v>
      </c>
      <c r="M1556">
        <v>4</v>
      </c>
      <c r="N1556">
        <v>0</v>
      </c>
    </row>
    <row r="1557" spans="1:14" x14ac:dyDescent="0.25">
      <c r="A1557">
        <v>1555</v>
      </c>
      <c r="B1557" t="s">
        <v>653</v>
      </c>
      <c r="C1557" t="s">
        <v>868</v>
      </c>
      <c r="D1557" t="s">
        <v>896</v>
      </c>
      <c r="E1557" t="s">
        <v>14</v>
      </c>
      <c r="F1557" t="s">
        <v>858</v>
      </c>
      <c r="G1557" t="s">
        <v>75</v>
      </c>
      <c r="H1557" t="s">
        <v>898</v>
      </c>
      <c r="I1557" t="s">
        <v>776</v>
      </c>
      <c r="J1557" t="s">
        <v>1256</v>
      </c>
      <c r="K1557">
        <v>5</v>
      </c>
      <c r="L1557">
        <v>8</v>
      </c>
      <c r="M1557">
        <v>3</v>
      </c>
      <c r="N1557">
        <v>0</v>
      </c>
    </row>
    <row r="1558" spans="1:14" x14ac:dyDescent="0.25">
      <c r="A1558">
        <v>1556</v>
      </c>
      <c r="B1558" t="s">
        <v>653</v>
      </c>
      <c r="C1558" t="s">
        <v>868</v>
      </c>
      <c r="D1558" t="s">
        <v>1254</v>
      </c>
      <c r="E1558" t="s">
        <v>14</v>
      </c>
      <c r="F1558" t="s">
        <v>858</v>
      </c>
      <c r="G1558" t="s">
        <v>35</v>
      </c>
      <c r="H1558" t="s">
        <v>886</v>
      </c>
      <c r="I1558" t="s">
        <v>43</v>
      </c>
      <c r="J1558" t="s">
        <v>1257</v>
      </c>
      <c r="K1558">
        <v>5</v>
      </c>
      <c r="L1558">
        <v>12</v>
      </c>
      <c r="M1558">
        <v>4</v>
      </c>
      <c r="N1558">
        <v>0</v>
      </c>
    </row>
    <row r="1559" spans="1:14" x14ac:dyDescent="0.25">
      <c r="A1559">
        <v>1557</v>
      </c>
      <c r="B1559" t="s">
        <v>653</v>
      </c>
      <c r="C1559" t="s">
        <v>868</v>
      </c>
      <c r="D1559" t="s">
        <v>1245</v>
      </c>
      <c r="E1559" t="s">
        <v>14</v>
      </c>
      <c r="F1559" t="s">
        <v>15</v>
      </c>
      <c r="G1559" t="s">
        <v>75</v>
      </c>
      <c r="H1559" t="s">
        <v>1727</v>
      </c>
      <c r="I1559" t="s">
        <v>776</v>
      </c>
      <c r="J1559" t="s">
        <v>1258</v>
      </c>
      <c r="K1559">
        <v>5</v>
      </c>
      <c r="L1559">
        <v>10</v>
      </c>
      <c r="M1559">
        <v>3</v>
      </c>
      <c r="N1559">
        <v>0</v>
      </c>
    </row>
    <row r="1560" spans="1:14" x14ac:dyDescent="0.25">
      <c r="A1560">
        <v>1558</v>
      </c>
      <c r="B1560" t="s">
        <v>653</v>
      </c>
      <c r="C1560" t="s">
        <v>868</v>
      </c>
      <c r="D1560" t="s">
        <v>1259</v>
      </c>
      <c r="E1560" t="s">
        <v>14</v>
      </c>
      <c r="F1560" t="s">
        <v>858</v>
      </c>
      <c r="G1560" t="s">
        <v>35</v>
      </c>
      <c r="H1560" t="s">
        <v>886</v>
      </c>
      <c r="I1560" t="s">
        <v>18</v>
      </c>
      <c r="J1560" t="s">
        <v>1260</v>
      </c>
      <c r="K1560">
        <v>5</v>
      </c>
      <c r="L1560">
        <v>4</v>
      </c>
      <c r="M1560">
        <v>3</v>
      </c>
      <c r="N1560">
        <v>0</v>
      </c>
    </row>
    <row r="1561" spans="1:14" x14ac:dyDescent="0.25">
      <c r="A1561">
        <v>1559</v>
      </c>
      <c r="B1561" t="s">
        <v>653</v>
      </c>
      <c r="C1561" t="s">
        <v>868</v>
      </c>
      <c r="D1561" t="s">
        <v>1259</v>
      </c>
      <c r="E1561" t="s">
        <v>52</v>
      </c>
      <c r="F1561" t="s">
        <v>609</v>
      </c>
      <c r="G1561" t="s">
        <v>35</v>
      </c>
      <c r="H1561" t="s">
        <v>886</v>
      </c>
      <c r="I1561" t="s">
        <v>53</v>
      </c>
      <c r="J1561" t="s">
        <v>1261</v>
      </c>
      <c r="K1561">
        <v>5</v>
      </c>
      <c r="L1561">
        <v>4</v>
      </c>
      <c r="M1561">
        <v>4</v>
      </c>
      <c r="N1561">
        <v>0</v>
      </c>
    </row>
    <row r="1562" spans="1:14" x14ac:dyDescent="0.25">
      <c r="A1562">
        <v>1560</v>
      </c>
      <c r="B1562" t="s">
        <v>653</v>
      </c>
      <c r="C1562" t="s">
        <v>868</v>
      </c>
      <c r="D1562" t="s">
        <v>1259</v>
      </c>
      <c r="E1562" t="s">
        <v>52</v>
      </c>
      <c r="F1562" t="s">
        <v>858</v>
      </c>
      <c r="G1562" t="s">
        <v>35</v>
      </c>
      <c r="H1562" t="s">
        <v>886</v>
      </c>
      <c r="I1562" t="s">
        <v>212</v>
      </c>
      <c r="J1562" t="s">
        <v>1262</v>
      </c>
      <c r="K1562">
        <v>5</v>
      </c>
      <c r="L1562">
        <v>4</v>
      </c>
      <c r="M1562">
        <v>4</v>
      </c>
      <c r="N1562">
        <v>0</v>
      </c>
    </row>
    <row r="1563" spans="1:14" x14ac:dyDescent="0.25">
      <c r="A1563">
        <v>1561</v>
      </c>
      <c r="B1563" t="s">
        <v>653</v>
      </c>
      <c r="C1563" t="s">
        <v>868</v>
      </c>
      <c r="D1563" t="s">
        <v>885</v>
      </c>
      <c r="E1563" t="s">
        <v>14</v>
      </c>
      <c r="F1563" t="s">
        <v>858</v>
      </c>
      <c r="G1563" t="s">
        <v>35</v>
      </c>
      <c r="H1563" t="s">
        <v>886</v>
      </c>
      <c r="I1563" t="s">
        <v>41</v>
      </c>
      <c r="J1563" t="s">
        <v>1263</v>
      </c>
      <c r="K1563">
        <v>5</v>
      </c>
      <c r="L1563">
        <v>2</v>
      </c>
      <c r="M1563">
        <v>3</v>
      </c>
      <c r="N1563">
        <v>0</v>
      </c>
    </row>
    <row r="1564" spans="1:14" x14ac:dyDescent="0.25">
      <c r="A1564">
        <v>1562</v>
      </c>
      <c r="B1564" t="s">
        <v>653</v>
      </c>
      <c r="C1564" t="s">
        <v>868</v>
      </c>
      <c r="D1564" t="s">
        <v>885</v>
      </c>
      <c r="E1564" t="s">
        <v>14</v>
      </c>
      <c r="F1564" t="s">
        <v>858</v>
      </c>
      <c r="G1564" t="s">
        <v>35</v>
      </c>
      <c r="H1564" t="s">
        <v>886</v>
      </c>
      <c r="I1564" t="s">
        <v>43</v>
      </c>
      <c r="J1564" t="s">
        <v>1264</v>
      </c>
      <c r="K1564">
        <v>5</v>
      </c>
      <c r="L1564">
        <v>10</v>
      </c>
      <c r="M1564">
        <v>7</v>
      </c>
      <c r="N1564">
        <v>0</v>
      </c>
    </row>
    <row r="1565" spans="1:14" x14ac:dyDescent="0.25">
      <c r="A1565">
        <v>1563</v>
      </c>
      <c r="B1565" t="s">
        <v>653</v>
      </c>
      <c r="C1565" t="s">
        <v>868</v>
      </c>
      <c r="D1565" t="s">
        <v>1259</v>
      </c>
      <c r="E1565" t="s">
        <v>14</v>
      </c>
      <c r="F1565" t="s">
        <v>858</v>
      </c>
      <c r="G1565" t="s">
        <v>35</v>
      </c>
      <c r="H1565" t="s">
        <v>886</v>
      </c>
      <c r="I1565" t="s">
        <v>1612</v>
      </c>
      <c r="J1565" t="s">
        <v>1265</v>
      </c>
      <c r="K1565">
        <v>5</v>
      </c>
      <c r="L1565">
        <v>11</v>
      </c>
      <c r="M1565">
        <v>8</v>
      </c>
      <c r="N1565">
        <v>0</v>
      </c>
    </row>
    <row r="1566" spans="1:14" x14ac:dyDescent="0.25">
      <c r="A1566">
        <v>1564</v>
      </c>
      <c r="B1566" t="s">
        <v>653</v>
      </c>
      <c r="C1566" t="s">
        <v>868</v>
      </c>
      <c r="D1566" t="s">
        <v>885</v>
      </c>
      <c r="E1566" t="s">
        <v>34</v>
      </c>
      <c r="F1566" t="s">
        <v>858</v>
      </c>
      <c r="G1566" t="s">
        <v>35</v>
      </c>
      <c r="H1566" t="s">
        <v>886</v>
      </c>
      <c r="I1566" t="s">
        <v>352</v>
      </c>
      <c r="J1566" t="s">
        <v>1266</v>
      </c>
      <c r="K1566">
        <v>5</v>
      </c>
      <c r="L1566">
        <v>9</v>
      </c>
      <c r="M1566">
        <v>8</v>
      </c>
      <c r="N1566">
        <v>0</v>
      </c>
    </row>
    <row r="1567" spans="1:14" x14ac:dyDescent="0.25">
      <c r="A1567">
        <v>1565</v>
      </c>
      <c r="B1567" t="s">
        <v>653</v>
      </c>
      <c r="C1567" t="s">
        <v>868</v>
      </c>
      <c r="D1567" t="s">
        <v>892</v>
      </c>
      <c r="E1567" t="s">
        <v>34</v>
      </c>
      <c r="F1567" t="s">
        <v>858</v>
      </c>
      <c r="G1567" t="s">
        <v>35</v>
      </c>
      <c r="H1567" t="s">
        <v>886</v>
      </c>
      <c r="I1567" t="s">
        <v>352</v>
      </c>
      <c r="J1567" t="s">
        <v>1267</v>
      </c>
      <c r="K1567">
        <v>5</v>
      </c>
      <c r="L1567">
        <v>15</v>
      </c>
      <c r="M1567">
        <v>6</v>
      </c>
      <c r="N1567">
        <v>0</v>
      </c>
    </row>
    <row r="1568" spans="1:14" x14ac:dyDescent="0.25">
      <c r="A1568">
        <v>1566</v>
      </c>
      <c r="B1568" t="s">
        <v>653</v>
      </c>
      <c r="C1568" t="s">
        <v>868</v>
      </c>
      <c r="D1568" t="s">
        <v>896</v>
      </c>
      <c r="E1568" t="s">
        <v>14</v>
      </c>
      <c r="F1568" t="s">
        <v>858</v>
      </c>
      <c r="G1568" t="s">
        <v>35</v>
      </c>
      <c r="H1568" t="s">
        <v>886</v>
      </c>
      <c r="I1568" t="s">
        <v>141</v>
      </c>
      <c r="J1568" t="s">
        <v>1268</v>
      </c>
      <c r="K1568">
        <v>5</v>
      </c>
      <c r="L1568">
        <v>13</v>
      </c>
      <c r="M1568">
        <v>4</v>
      </c>
      <c r="N1568">
        <v>0</v>
      </c>
    </row>
    <row r="1569" spans="1:14" x14ac:dyDescent="0.25">
      <c r="A1569">
        <v>1567</v>
      </c>
      <c r="B1569" t="s">
        <v>653</v>
      </c>
      <c r="C1569" t="s">
        <v>868</v>
      </c>
      <c r="D1569" t="s">
        <v>892</v>
      </c>
      <c r="E1569" t="s">
        <v>34</v>
      </c>
      <c r="F1569" t="s">
        <v>858</v>
      </c>
      <c r="G1569" t="s">
        <v>35</v>
      </c>
      <c r="H1569" t="s">
        <v>886</v>
      </c>
      <c r="I1569" t="s">
        <v>776</v>
      </c>
      <c r="J1569" t="s">
        <v>1269</v>
      </c>
      <c r="K1569">
        <v>5</v>
      </c>
      <c r="L1569">
        <v>12</v>
      </c>
      <c r="M1569">
        <v>8</v>
      </c>
      <c r="N1569">
        <v>0</v>
      </c>
    </row>
    <row r="1570" spans="1:14" x14ac:dyDescent="0.25">
      <c r="A1570">
        <v>1568</v>
      </c>
      <c r="B1570" t="s">
        <v>11</v>
      </c>
      <c r="C1570" t="s">
        <v>12</v>
      </c>
      <c r="D1570" t="s">
        <v>1270</v>
      </c>
      <c r="E1570" t="s">
        <v>34</v>
      </c>
      <c r="F1570" t="s">
        <v>15</v>
      </c>
      <c r="G1570" t="s">
        <v>75</v>
      </c>
      <c r="H1570" t="s">
        <v>1689</v>
      </c>
      <c r="I1570" t="s">
        <v>1612</v>
      </c>
      <c r="J1570" t="s">
        <v>1270</v>
      </c>
      <c r="K1570">
        <v>4</v>
      </c>
      <c r="L1570">
        <v>2</v>
      </c>
      <c r="M1570">
        <v>1</v>
      </c>
      <c r="N1570">
        <v>0</v>
      </c>
    </row>
    <row r="1571" spans="1:14" x14ac:dyDescent="0.25">
      <c r="A1571">
        <v>1569</v>
      </c>
      <c r="B1571" t="s">
        <v>11</v>
      </c>
      <c r="C1571" t="s">
        <v>12</v>
      </c>
      <c r="D1571" t="s">
        <v>1270</v>
      </c>
      <c r="E1571" t="s">
        <v>34</v>
      </c>
      <c r="F1571" t="s">
        <v>15</v>
      </c>
      <c r="G1571" t="s">
        <v>35</v>
      </c>
      <c r="H1571" t="s">
        <v>1689</v>
      </c>
      <c r="I1571" t="s">
        <v>53</v>
      </c>
      <c r="J1571" t="s">
        <v>1271</v>
      </c>
      <c r="K1571">
        <v>4</v>
      </c>
      <c r="L1571">
        <v>2</v>
      </c>
      <c r="M1571">
        <v>1</v>
      </c>
      <c r="N1571">
        <v>0</v>
      </c>
    </row>
    <row r="1572" spans="1:14" x14ac:dyDescent="0.25">
      <c r="A1572">
        <v>1570</v>
      </c>
      <c r="B1572" t="s">
        <v>653</v>
      </c>
      <c r="C1572" t="s">
        <v>701</v>
      </c>
      <c r="D1572" t="s">
        <v>812</v>
      </c>
      <c r="E1572" t="s">
        <v>80</v>
      </c>
      <c r="F1572" t="s">
        <v>15</v>
      </c>
      <c r="G1572" t="s">
        <v>122</v>
      </c>
      <c r="H1572" t="s">
        <v>620</v>
      </c>
      <c r="I1572" t="s">
        <v>20</v>
      </c>
      <c r="J1572" t="s">
        <v>1272</v>
      </c>
      <c r="K1572">
        <v>5</v>
      </c>
      <c r="L1572">
        <v>2</v>
      </c>
      <c r="M1572">
        <v>1</v>
      </c>
      <c r="N1572">
        <v>0</v>
      </c>
    </row>
    <row r="1573" spans="1:14" x14ac:dyDescent="0.25">
      <c r="A1573">
        <v>1571</v>
      </c>
      <c r="B1573" t="s">
        <v>653</v>
      </c>
      <c r="C1573" t="s">
        <v>701</v>
      </c>
      <c r="D1573" t="s">
        <v>812</v>
      </c>
      <c r="E1573" t="s">
        <v>80</v>
      </c>
      <c r="F1573" t="s">
        <v>15</v>
      </c>
      <c r="G1573" t="s">
        <v>122</v>
      </c>
      <c r="H1573" t="s">
        <v>620</v>
      </c>
      <c r="I1573" t="s">
        <v>20</v>
      </c>
      <c r="J1573" t="s">
        <v>1273</v>
      </c>
      <c r="K1573">
        <v>5</v>
      </c>
      <c r="L1573">
        <v>2</v>
      </c>
      <c r="M1573">
        <v>1</v>
      </c>
      <c r="N1573">
        <v>0</v>
      </c>
    </row>
    <row r="1574" spans="1:14" x14ac:dyDescent="0.25">
      <c r="A1574">
        <v>1572</v>
      </c>
      <c r="B1574" t="s">
        <v>653</v>
      </c>
      <c r="C1574" t="s">
        <v>701</v>
      </c>
      <c r="D1574" t="s">
        <v>812</v>
      </c>
      <c r="E1574" t="s">
        <v>80</v>
      </c>
      <c r="F1574" t="s">
        <v>15</v>
      </c>
      <c r="G1574" t="s">
        <v>122</v>
      </c>
      <c r="H1574" t="s">
        <v>703</v>
      </c>
      <c r="I1574" t="s">
        <v>20</v>
      </c>
      <c r="J1574" t="s">
        <v>1274</v>
      </c>
      <c r="K1574">
        <v>5</v>
      </c>
      <c r="L1574">
        <v>1</v>
      </c>
      <c r="M1574">
        <v>1</v>
      </c>
      <c r="N1574">
        <v>0</v>
      </c>
    </row>
    <row r="1575" spans="1:14" x14ac:dyDescent="0.25">
      <c r="A1575">
        <v>1573</v>
      </c>
      <c r="B1575" t="s">
        <v>653</v>
      </c>
      <c r="C1575" t="s">
        <v>701</v>
      </c>
      <c r="D1575" t="s">
        <v>812</v>
      </c>
      <c r="E1575" t="s">
        <v>80</v>
      </c>
      <c r="F1575" t="s">
        <v>15</v>
      </c>
      <c r="G1575" t="s">
        <v>122</v>
      </c>
      <c r="H1575" t="s">
        <v>620</v>
      </c>
      <c r="I1575" t="s">
        <v>1612</v>
      </c>
      <c r="J1575" t="s">
        <v>1275</v>
      </c>
      <c r="K1575">
        <v>5</v>
      </c>
      <c r="L1575">
        <v>1</v>
      </c>
      <c r="M1575">
        <v>1</v>
      </c>
      <c r="N1575">
        <v>0</v>
      </c>
    </row>
    <row r="1576" spans="1:14" x14ac:dyDescent="0.25">
      <c r="A1576">
        <v>1574</v>
      </c>
      <c r="B1576" t="s">
        <v>653</v>
      </c>
      <c r="C1576" t="s">
        <v>701</v>
      </c>
      <c r="D1576" t="s">
        <v>812</v>
      </c>
      <c r="E1576" t="s">
        <v>34</v>
      </c>
      <c r="F1576" t="s">
        <v>15</v>
      </c>
      <c r="G1576" t="s">
        <v>122</v>
      </c>
      <c r="H1576" t="s">
        <v>703</v>
      </c>
      <c r="I1576" t="s">
        <v>43</v>
      </c>
      <c r="J1576" t="s">
        <v>1276</v>
      </c>
      <c r="K1576">
        <v>5</v>
      </c>
      <c r="L1576">
        <v>1</v>
      </c>
      <c r="M1576">
        <v>1</v>
      </c>
      <c r="N1576">
        <v>0</v>
      </c>
    </row>
    <row r="1577" spans="1:14" x14ac:dyDescent="0.25">
      <c r="A1577">
        <v>1575</v>
      </c>
      <c r="B1577" t="s">
        <v>653</v>
      </c>
      <c r="C1577" t="s">
        <v>701</v>
      </c>
      <c r="D1577" t="s">
        <v>812</v>
      </c>
      <c r="E1577" t="s">
        <v>80</v>
      </c>
      <c r="F1577" t="s">
        <v>15</v>
      </c>
      <c r="G1577" t="s">
        <v>122</v>
      </c>
      <c r="H1577" t="s">
        <v>703</v>
      </c>
      <c r="I1577" t="s">
        <v>53</v>
      </c>
      <c r="J1577" t="s">
        <v>1278</v>
      </c>
      <c r="K1577">
        <v>5</v>
      </c>
      <c r="L1577">
        <v>1</v>
      </c>
      <c r="M1577">
        <v>1</v>
      </c>
      <c r="N1577">
        <v>0</v>
      </c>
    </row>
    <row r="1578" spans="1:14" x14ac:dyDescent="0.25">
      <c r="A1578">
        <v>1576</v>
      </c>
      <c r="B1578" t="s">
        <v>653</v>
      </c>
      <c r="C1578" t="s">
        <v>701</v>
      </c>
      <c r="D1578" t="s">
        <v>812</v>
      </c>
      <c r="E1578" t="s">
        <v>80</v>
      </c>
      <c r="F1578" t="s">
        <v>15</v>
      </c>
      <c r="G1578" t="s">
        <v>122</v>
      </c>
      <c r="H1578" t="s">
        <v>703</v>
      </c>
      <c r="I1578" t="s">
        <v>43</v>
      </c>
      <c r="J1578" t="s">
        <v>1728</v>
      </c>
      <c r="K1578">
        <v>5</v>
      </c>
      <c r="L1578">
        <v>1</v>
      </c>
      <c r="M1578">
        <v>1</v>
      </c>
      <c r="N1578">
        <v>0</v>
      </c>
    </row>
    <row r="1579" spans="1:14" x14ac:dyDescent="0.25">
      <c r="A1579">
        <v>1577</v>
      </c>
      <c r="B1579" t="s">
        <v>653</v>
      </c>
      <c r="C1579" t="s">
        <v>701</v>
      </c>
      <c r="D1579" t="s">
        <v>812</v>
      </c>
      <c r="E1579" t="s">
        <v>80</v>
      </c>
      <c r="F1579" t="s">
        <v>15</v>
      </c>
      <c r="G1579" t="s">
        <v>122</v>
      </c>
      <c r="H1579" t="s">
        <v>703</v>
      </c>
      <c r="I1579" t="s">
        <v>43</v>
      </c>
      <c r="J1579" t="s">
        <v>1280</v>
      </c>
      <c r="K1579">
        <v>5</v>
      </c>
      <c r="L1579">
        <v>1</v>
      </c>
      <c r="M1579">
        <v>1</v>
      </c>
      <c r="N1579">
        <v>0</v>
      </c>
    </row>
    <row r="1580" spans="1:14" x14ac:dyDescent="0.25">
      <c r="A1580">
        <v>1578</v>
      </c>
      <c r="B1580" t="s">
        <v>653</v>
      </c>
      <c r="C1580" t="s">
        <v>701</v>
      </c>
      <c r="D1580" t="s">
        <v>812</v>
      </c>
      <c r="E1580" t="s">
        <v>80</v>
      </c>
      <c r="F1580" t="s">
        <v>15</v>
      </c>
      <c r="G1580" t="s">
        <v>122</v>
      </c>
      <c r="H1580" t="s">
        <v>703</v>
      </c>
      <c r="I1580" t="s">
        <v>53</v>
      </c>
      <c r="J1580" t="s">
        <v>1281</v>
      </c>
      <c r="K1580">
        <v>5</v>
      </c>
      <c r="L1580">
        <v>1</v>
      </c>
      <c r="M1580">
        <v>1</v>
      </c>
      <c r="N1580">
        <v>0</v>
      </c>
    </row>
    <row r="1581" spans="1:14" x14ac:dyDescent="0.25">
      <c r="A1581">
        <v>1579</v>
      </c>
      <c r="B1581" t="s">
        <v>653</v>
      </c>
      <c r="C1581" t="s">
        <v>701</v>
      </c>
      <c r="D1581" t="s">
        <v>812</v>
      </c>
      <c r="E1581" t="s">
        <v>80</v>
      </c>
      <c r="F1581" t="s">
        <v>15</v>
      </c>
      <c r="G1581" t="s">
        <v>122</v>
      </c>
      <c r="H1581" t="s">
        <v>703</v>
      </c>
      <c r="I1581" t="s">
        <v>53</v>
      </c>
      <c r="J1581" t="s">
        <v>1282</v>
      </c>
      <c r="K1581">
        <v>5</v>
      </c>
      <c r="L1581">
        <v>1</v>
      </c>
      <c r="M1581">
        <v>1</v>
      </c>
      <c r="N1581">
        <v>0</v>
      </c>
    </row>
    <row r="1582" spans="1:14" x14ac:dyDescent="0.25">
      <c r="A1582">
        <v>1580</v>
      </c>
      <c r="B1582" t="s">
        <v>653</v>
      </c>
      <c r="C1582" t="s">
        <v>701</v>
      </c>
      <c r="D1582" t="s">
        <v>812</v>
      </c>
      <c r="E1582" t="s">
        <v>80</v>
      </c>
      <c r="F1582" t="s">
        <v>15</v>
      </c>
      <c r="G1582" t="s">
        <v>122</v>
      </c>
      <c r="H1582" t="s">
        <v>703</v>
      </c>
      <c r="I1582" t="s">
        <v>212</v>
      </c>
      <c r="J1582" t="s">
        <v>1283</v>
      </c>
      <c r="K1582">
        <v>5</v>
      </c>
      <c r="L1582">
        <v>1</v>
      </c>
      <c r="M1582">
        <v>1</v>
      </c>
      <c r="N1582">
        <v>0</v>
      </c>
    </row>
    <row r="1583" spans="1:14" x14ac:dyDescent="0.25">
      <c r="A1583">
        <v>1581</v>
      </c>
      <c r="B1583" t="s">
        <v>653</v>
      </c>
      <c r="C1583" t="s">
        <v>701</v>
      </c>
      <c r="D1583" t="s">
        <v>812</v>
      </c>
      <c r="E1583" t="s">
        <v>80</v>
      </c>
      <c r="F1583" t="s">
        <v>15</v>
      </c>
      <c r="G1583" t="s">
        <v>122</v>
      </c>
      <c r="H1583" t="s">
        <v>703</v>
      </c>
      <c r="I1583" t="s">
        <v>141</v>
      </c>
      <c r="J1583" t="s">
        <v>1284</v>
      </c>
      <c r="K1583">
        <v>5</v>
      </c>
      <c r="L1583">
        <v>1</v>
      </c>
      <c r="M1583">
        <v>1</v>
      </c>
      <c r="N1583">
        <v>0</v>
      </c>
    </row>
    <row r="1584" spans="1:14" x14ac:dyDescent="0.25">
      <c r="A1584">
        <v>1582</v>
      </c>
      <c r="B1584" t="s">
        <v>653</v>
      </c>
      <c r="C1584" t="s">
        <v>701</v>
      </c>
      <c r="D1584" t="s">
        <v>812</v>
      </c>
      <c r="E1584" t="s">
        <v>34</v>
      </c>
      <c r="F1584" t="s">
        <v>15</v>
      </c>
      <c r="G1584" t="s">
        <v>122</v>
      </c>
      <c r="H1584" t="s">
        <v>703</v>
      </c>
      <c r="I1584" t="s">
        <v>20</v>
      </c>
      <c r="J1584" t="s">
        <v>1285</v>
      </c>
      <c r="K1584">
        <v>5</v>
      </c>
      <c r="L1584">
        <v>1</v>
      </c>
      <c r="M1584">
        <v>1</v>
      </c>
      <c r="N1584">
        <v>0</v>
      </c>
    </row>
    <row r="1585" spans="1:14" x14ac:dyDescent="0.25">
      <c r="A1585">
        <v>1583</v>
      </c>
      <c r="B1585" t="s">
        <v>653</v>
      </c>
      <c r="C1585" t="s">
        <v>701</v>
      </c>
      <c r="D1585" t="s">
        <v>812</v>
      </c>
      <c r="E1585" t="s">
        <v>80</v>
      </c>
      <c r="F1585" t="s">
        <v>15</v>
      </c>
      <c r="G1585" t="s">
        <v>122</v>
      </c>
      <c r="H1585" t="s">
        <v>703</v>
      </c>
      <c r="I1585" t="s">
        <v>141</v>
      </c>
      <c r="J1585" t="s">
        <v>1286</v>
      </c>
      <c r="K1585">
        <v>5</v>
      </c>
      <c r="L1585">
        <v>1</v>
      </c>
      <c r="M1585">
        <v>1</v>
      </c>
      <c r="N1585">
        <v>0</v>
      </c>
    </row>
    <row r="1586" spans="1:14" x14ac:dyDescent="0.25">
      <c r="A1586">
        <v>1584</v>
      </c>
      <c r="B1586" t="s">
        <v>653</v>
      </c>
      <c r="C1586" t="s">
        <v>701</v>
      </c>
      <c r="D1586" t="s">
        <v>812</v>
      </c>
      <c r="E1586" t="s">
        <v>80</v>
      </c>
      <c r="F1586" t="s">
        <v>15</v>
      </c>
      <c r="G1586" t="s">
        <v>122</v>
      </c>
      <c r="H1586" t="s">
        <v>703</v>
      </c>
      <c r="I1586" t="s">
        <v>20</v>
      </c>
      <c r="J1586" t="s">
        <v>1287</v>
      </c>
      <c r="K1586">
        <v>5</v>
      </c>
      <c r="L1586">
        <v>1</v>
      </c>
      <c r="M1586">
        <v>1</v>
      </c>
      <c r="N1586">
        <v>0</v>
      </c>
    </row>
    <row r="1587" spans="1:14" x14ac:dyDescent="0.25">
      <c r="A1587">
        <v>1585</v>
      </c>
      <c r="E1587" t="s">
        <v>1633</v>
      </c>
      <c r="J1587" t="s">
        <v>1943</v>
      </c>
    </row>
    <row r="1588" spans="1:14" x14ac:dyDescent="0.25">
      <c r="A1588">
        <v>1586</v>
      </c>
      <c r="B1588" t="s">
        <v>653</v>
      </c>
      <c r="C1588" t="s">
        <v>701</v>
      </c>
      <c r="D1588" t="s">
        <v>847</v>
      </c>
      <c r="E1588" t="s">
        <v>14</v>
      </c>
      <c r="F1588" t="s">
        <v>15</v>
      </c>
      <c r="G1588" t="s">
        <v>16</v>
      </c>
      <c r="H1588" t="s">
        <v>703</v>
      </c>
      <c r="I1588" t="s">
        <v>27</v>
      </c>
      <c r="J1588" t="s">
        <v>1288</v>
      </c>
      <c r="K1588">
        <v>7</v>
      </c>
      <c r="L1588">
        <v>1</v>
      </c>
      <c r="M1588">
        <v>1</v>
      </c>
      <c r="N1588">
        <v>0</v>
      </c>
    </row>
    <row r="1589" spans="1:14" x14ac:dyDescent="0.25">
      <c r="A1589">
        <v>1587</v>
      </c>
      <c r="B1589" t="s">
        <v>653</v>
      </c>
      <c r="C1589" t="s">
        <v>701</v>
      </c>
      <c r="D1589" t="s">
        <v>847</v>
      </c>
      <c r="E1589" t="s">
        <v>14</v>
      </c>
      <c r="F1589" t="s">
        <v>15</v>
      </c>
      <c r="G1589" t="s">
        <v>16</v>
      </c>
      <c r="H1589" t="s">
        <v>703</v>
      </c>
      <c r="I1589" t="s">
        <v>20</v>
      </c>
      <c r="J1589" t="s">
        <v>1289</v>
      </c>
      <c r="K1589">
        <v>7</v>
      </c>
      <c r="L1589">
        <v>1</v>
      </c>
      <c r="M1589">
        <v>1</v>
      </c>
      <c r="N1589">
        <v>0</v>
      </c>
    </row>
    <row r="1590" spans="1:14" x14ac:dyDescent="0.25">
      <c r="A1590">
        <v>1588</v>
      </c>
      <c r="B1590" t="s">
        <v>1016</v>
      </c>
      <c r="C1590" t="s">
        <v>1035</v>
      </c>
      <c r="D1590" t="s">
        <v>1042</v>
      </c>
      <c r="E1590" t="s">
        <v>34</v>
      </c>
      <c r="F1590" t="s">
        <v>650</v>
      </c>
      <c r="G1590" t="s">
        <v>35</v>
      </c>
      <c r="H1590" t="s">
        <v>1043</v>
      </c>
      <c r="I1590" t="s">
        <v>84</v>
      </c>
      <c r="J1590" t="s">
        <v>1290</v>
      </c>
      <c r="K1590">
        <v>5</v>
      </c>
      <c r="L1590">
        <v>2</v>
      </c>
      <c r="M1590">
        <v>1</v>
      </c>
      <c r="N1590">
        <v>0</v>
      </c>
    </row>
    <row r="1591" spans="1:14" x14ac:dyDescent="0.25">
      <c r="A1591">
        <v>1589</v>
      </c>
      <c r="B1591" t="s">
        <v>1016</v>
      </c>
      <c r="C1591" t="s">
        <v>1035</v>
      </c>
      <c r="D1591" t="s">
        <v>1042</v>
      </c>
      <c r="E1591" t="s">
        <v>14</v>
      </c>
      <c r="F1591" t="s">
        <v>650</v>
      </c>
      <c r="G1591" t="s">
        <v>35</v>
      </c>
      <c r="H1591" t="s">
        <v>1043</v>
      </c>
      <c r="I1591" t="s">
        <v>84</v>
      </c>
      <c r="J1591" t="s">
        <v>1291</v>
      </c>
      <c r="K1591">
        <v>5</v>
      </c>
      <c r="L1591">
        <v>3</v>
      </c>
      <c r="M1591">
        <v>6</v>
      </c>
      <c r="N1591">
        <v>0</v>
      </c>
    </row>
    <row r="1592" spans="1:14" x14ac:dyDescent="0.25">
      <c r="A1592">
        <v>1590</v>
      </c>
      <c r="B1592" t="s">
        <v>1016</v>
      </c>
      <c r="C1592" t="s">
        <v>1035</v>
      </c>
      <c r="D1592" t="s">
        <v>1042</v>
      </c>
      <c r="E1592" t="s">
        <v>14</v>
      </c>
      <c r="F1592" t="s">
        <v>650</v>
      </c>
      <c r="G1592" t="s">
        <v>47</v>
      </c>
      <c r="H1592" t="s">
        <v>1043</v>
      </c>
      <c r="I1592" t="s">
        <v>43</v>
      </c>
      <c r="J1592" t="s">
        <v>1292</v>
      </c>
      <c r="K1592">
        <v>5</v>
      </c>
      <c r="L1592">
        <v>2</v>
      </c>
      <c r="M1592">
        <v>2</v>
      </c>
      <c r="N1592">
        <v>0</v>
      </c>
    </row>
    <row r="1593" spans="1:14" x14ac:dyDescent="0.25">
      <c r="A1593">
        <v>1591</v>
      </c>
      <c r="B1593" t="s">
        <v>653</v>
      </c>
      <c r="C1593" t="s">
        <v>672</v>
      </c>
      <c r="D1593" t="s">
        <v>1221</v>
      </c>
      <c r="E1593" t="s">
        <v>14</v>
      </c>
      <c r="F1593" t="s">
        <v>609</v>
      </c>
      <c r="G1593" t="s">
        <v>122</v>
      </c>
      <c r="H1593" t="s">
        <v>1726</v>
      </c>
      <c r="I1593" t="s">
        <v>41</v>
      </c>
      <c r="J1593" t="s">
        <v>1293</v>
      </c>
      <c r="K1593">
        <v>5</v>
      </c>
      <c r="L1593">
        <v>2</v>
      </c>
      <c r="M1593">
        <v>5</v>
      </c>
      <c r="N1593">
        <v>0</v>
      </c>
    </row>
    <row r="1594" spans="1:14" x14ac:dyDescent="0.25">
      <c r="A1594">
        <v>1592</v>
      </c>
      <c r="B1594" t="s">
        <v>653</v>
      </c>
      <c r="C1594" t="s">
        <v>672</v>
      </c>
      <c r="D1594" t="s">
        <v>711</v>
      </c>
      <c r="E1594" t="s">
        <v>34</v>
      </c>
      <c r="F1594" t="s">
        <v>609</v>
      </c>
      <c r="G1594" t="s">
        <v>35</v>
      </c>
      <c r="H1594" t="s">
        <v>1712</v>
      </c>
      <c r="I1594" t="s">
        <v>685</v>
      </c>
      <c r="J1594" t="s">
        <v>1294</v>
      </c>
      <c r="K1594">
        <v>5</v>
      </c>
      <c r="L1594">
        <v>11</v>
      </c>
      <c r="M1594">
        <v>8</v>
      </c>
      <c r="N1594">
        <v>0</v>
      </c>
    </row>
    <row r="1595" spans="1:14" x14ac:dyDescent="0.25">
      <c r="A1595">
        <v>1593</v>
      </c>
      <c r="E1595" t="s">
        <v>1633</v>
      </c>
      <c r="J1595" t="s">
        <v>1479</v>
      </c>
    </row>
    <row r="1596" spans="1:14" x14ac:dyDescent="0.25">
      <c r="A1596">
        <v>1594</v>
      </c>
      <c r="B1596" t="s">
        <v>653</v>
      </c>
      <c r="C1596" t="s">
        <v>672</v>
      </c>
      <c r="D1596" t="s">
        <v>711</v>
      </c>
      <c r="E1596" t="s">
        <v>34</v>
      </c>
      <c r="F1596" t="s">
        <v>609</v>
      </c>
      <c r="G1596" t="s">
        <v>35</v>
      </c>
      <c r="H1596" t="s">
        <v>1712</v>
      </c>
      <c r="I1596" t="s">
        <v>43</v>
      </c>
      <c r="J1596" t="s">
        <v>1295</v>
      </c>
      <c r="K1596">
        <v>5</v>
      </c>
      <c r="L1596">
        <v>6</v>
      </c>
      <c r="M1596">
        <v>6</v>
      </c>
      <c r="N1596">
        <v>0</v>
      </c>
    </row>
    <row r="1597" spans="1:14" x14ac:dyDescent="0.25">
      <c r="A1597">
        <v>1595</v>
      </c>
      <c r="B1597" t="s">
        <v>1016</v>
      </c>
      <c r="C1597" t="s">
        <v>1093</v>
      </c>
      <c r="D1597" t="s">
        <v>1121</v>
      </c>
      <c r="E1597" t="s">
        <v>52</v>
      </c>
      <c r="F1597" t="s">
        <v>609</v>
      </c>
      <c r="G1597" t="s">
        <v>35</v>
      </c>
      <c r="H1597" t="s">
        <v>616</v>
      </c>
      <c r="I1597" t="s">
        <v>212</v>
      </c>
      <c r="J1597" t="s">
        <v>1296</v>
      </c>
      <c r="K1597">
        <v>7</v>
      </c>
      <c r="L1597">
        <v>3</v>
      </c>
      <c r="M1597">
        <v>1</v>
      </c>
      <c r="N1597">
        <v>0</v>
      </c>
    </row>
    <row r="1598" spans="1:14" x14ac:dyDescent="0.25">
      <c r="A1598">
        <v>1596</v>
      </c>
      <c r="B1598" t="s">
        <v>1016</v>
      </c>
      <c r="C1598" t="s">
        <v>1093</v>
      </c>
      <c r="D1598" t="s">
        <v>1121</v>
      </c>
      <c r="E1598" t="s">
        <v>14</v>
      </c>
      <c r="F1598" t="s">
        <v>609</v>
      </c>
      <c r="G1598" t="s">
        <v>35</v>
      </c>
      <c r="H1598" t="s">
        <v>616</v>
      </c>
      <c r="I1598" t="s">
        <v>53</v>
      </c>
      <c r="J1598" t="s">
        <v>1297</v>
      </c>
      <c r="K1598">
        <v>7</v>
      </c>
      <c r="L1598">
        <v>1</v>
      </c>
      <c r="M1598">
        <v>1</v>
      </c>
      <c r="N1598">
        <v>0</v>
      </c>
    </row>
    <row r="1599" spans="1:14" x14ac:dyDescent="0.25">
      <c r="A1599">
        <v>1597</v>
      </c>
      <c r="B1599" t="s">
        <v>1016</v>
      </c>
      <c r="C1599" t="s">
        <v>1093</v>
      </c>
      <c r="D1599" t="s">
        <v>1121</v>
      </c>
      <c r="E1599" t="s">
        <v>14</v>
      </c>
      <c r="F1599" t="s">
        <v>609</v>
      </c>
      <c r="G1599" t="s">
        <v>35</v>
      </c>
      <c r="H1599" t="s">
        <v>616</v>
      </c>
      <c r="I1599" t="s">
        <v>53</v>
      </c>
      <c r="J1599" t="s">
        <v>1298</v>
      </c>
      <c r="K1599">
        <v>7</v>
      </c>
      <c r="L1599">
        <v>1</v>
      </c>
      <c r="M1599">
        <v>1</v>
      </c>
      <c r="N1599">
        <v>0</v>
      </c>
    </row>
    <row r="1600" spans="1:14" x14ac:dyDescent="0.25">
      <c r="A1600">
        <v>1598</v>
      </c>
      <c r="B1600" t="s">
        <v>653</v>
      </c>
      <c r="C1600" t="s">
        <v>672</v>
      </c>
      <c r="D1600" t="s">
        <v>711</v>
      </c>
      <c r="E1600" t="s">
        <v>14</v>
      </c>
      <c r="F1600" t="s">
        <v>609</v>
      </c>
      <c r="G1600" t="s">
        <v>35</v>
      </c>
      <c r="H1600" t="s">
        <v>1729</v>
      </c>
      <c r="I1600" t="s">
        <v>37</v>
      </c>
      <c r="J1600" t="s">
        <v>1299</v>
      </c>
      <c r="K1600">
        <v>7</v>
      </c>
      <c r="L1600">
        <v>4</v>
      </c>
      <c r="M1600">
        <v>3</v>
      </c>
      <c r="N1600">
        <v>0</v>
      </c>
    </row>
    <row r="1601" spans="1:14" x14ac:dyDescent="0.25">
      <c r="A1601">
        <v>1599</v>
      </c>
      <c r="B1601" t="s">
        <v>653</v>
      </c>
      <c r="C1601" t="s">
        <v>672</v>
      </c>
      <c r="D1601" t="s">
        <v>711</v>
      </c>
      <c r="E1601" t="s">
        <v>14</v>
      </c>
      <c r="F1601" t="s">
        <v>609</v>
      </c>
      <c r="G1601" t="s">
        <v>35</v>
      </c>
      <c r="H1601" t="s">
        <v>1729</v>
      </c>
      <c r="I1601" t="s">
        <v>41</v>
      </c>
      <c r="J1601" t="s">
        <v>1300</v>
      </c>
      <c r="K1601">
        <v>7</v>
      </c>
      <c r="L1601">
        <v>2</v>
      </c>
      <c r="M1601">
        <v>2</v>
      </c>
      <c r="N1601">
        <v>0</v>
      </c>
    </row>
    <row r="1602" spans="1:14" x14ac:dyDescent="0.25">
      <c r="A1602">
        <v>1600</v>
      </c>
      <c r="B1602" t="s">
        <v>653</v>
      </c>
      <c r="C1602" t="s">
        <v>672</v>
      </c>
      <c r="D1602" t="s">
        <v>1301</v>
      </c>
      <c r="E1602" t="s">
        <v>52</v>
      </c>
      <c r="F1602" t="s">
        <v>609</v>
      </c>
      <c r="G1602" t="s">
        <v>35</v>
      </c>
      <c r="H1602" t="s">
        <v>1729</v>
      </c>
      <c r="I1602" t="s">
        <v>41</v>
      </c>
      <c r="J1602" t="s">
        <v>1303</v>
      </c>
      <c r="K1602">
        <v>7</v>
      </c>
      <c r="L1602">
        <v>2</v>
      </c>
      <c r="M1602">
        <v>2</v>
      </c>
      <c r="N1602">
        <v>0</v>
      </c>
    </row>
    <row r="1603" spans="1:14" x14ac:dyDescent="0.25">
      <c r="A1603">
        <v>1601</v>
      </c>
      <c r="B1603" t="s">
        <v>653</v>
      </c>
      <c r="C1603" t="s">
        <v>672</v>
      </c>
      <c r="D1603" t="s">
        <v>1301</v>
      </c>
      <c r="E1603" t="s">
        <v>52</v>
      </c>
      <c r="F1603" t="s">
        <v>609</v>
      </c>
      <c r="G1603" t="s">
        <v>35</v>
      </c>
      <c r="H1603" t="s">
        <v>1729</v>
      </c>
      <c r="I1603" t="s">
        <v>41</v>
      </c>
      <c r="J1603" t="s">
        <v>1304</v>
      </c>
      <c r="K1603">
        <v>7</v>
      </c>
      <c r="L1603">
        <v>4</v>
      </c>
      <c r="M1603">
        <v>2</v>
      </c>
      <c r="N1603">
        <v>0</v>
      </c>
    </row>
    <row r="1604" spans="1:14" x14ac:dyDescent="0.25">
      <c r="A1604">
        <v>1602</v>
      </c>
      <c r="B1604" t="s">
        <v>653</v>
      </c>
      <c r="C1604" t="s">
        <v>672</v>
      </c>
      <c r="D1604" t="s">
        <v>1301</v>
      </c>
      <c r="E1604" t="s">
        <v>52</v>
      </c>
      <c r="F1604" t="s">
        <v>609</v>
      </c>
      <c r="G1604" t="s">
        <v>35</v>
      </c>
      <c r="H1604" t="s">
        <v>1729</v>
      </c>
      <c r="I1604" t="s">
        <v>41</v>
      </c>
      <c r="J1604" t="s">
        <v>1305</v>
      </c>
      <c r="K1604">
        <v>7</v>
      </c>
      <c r="L1604">
        <v>3</v>
      </c>
      <c r="M1604">
        <v>3</v>
      </c>
      <c r="N1604">
        <v>0</v>
      </c>
    </row>
    <row r="1605" spans="1:14" x14ac:dyDescent="0.25">
      <c r="A1605">
        <v>1603</v>
      </c>
      <c r="B1605" t="s">
        <v>653</v>
      </c>
      <c r="C1605" t="s">
        <v>672</v>
      </c>
      <c r="D1605" t="s">
        <v>1301</v>
      </c>
      <c r="E1605" t="s">
        <v>52</v>
      </c>
      <c r="F1605" t="s">
        <v>609</v>
      </c>
      <c r="G1605" t="s">
        <v>35</v>
      </c>
      <c r="H1605" t="s">
        <v>1729</v>
      </c>
      <c r="I1605" t="s">
        <v>41</v>
      </c>
      <c r="J1605" t="s">
        <v>1306</v>
      </c>
      <c r="K1605">
        <v>7</v>
      </c>
      <c r="L1605">
        <v>3</v>
      </c>
      <c r="M1605">
        <v>4</v>
      </c>
      <c r="N1605">
        <v>0</v>
      </c>
    </row>
    <row r="1606" spans="1:14" x14ac:dyDescent="0.25">
      <c r="A1606">
        <v>1604</v>
      </c>
      <c r="B1606" t="s">
        <v>653</v>
      </c>
      <c r="C1606" t="s">
        <v>672</v>
      </c>
      <c r="D1606" t="s">
        <v>1301</v>
      </c>
      <c r="E1606" t="s">
        <v>52</v>
      </c>
      <c r="F1606" t="s">
        <v>609</v>
      </c>
      <c r="G1606" t="s">
        <v>35</v>
      </c>
      <c r="H1606" t="s">
        <v>1729</v>
      </c>
      <c r="I1606" t="s">
        <v>43</v>
      </c>
      <c r="J1606" t="s">
        <v>1307</v>
      </c>
      <c r="K1606">
        <v>7</v>
      </c>
      <c r="L1606">
        <v>3</v>
      </c>
      <c r="M1606">
        <v>3</v>
      </c>
      <c r="N1606">
        <v>0</v>
      </c>
    </row>
    <row r="1607" spans="1:14" x14ac:dyDescent="0.25">
      <c r="A1607">
        <v>1605</v>
      </c>
      <c r="B1607" t="s">
        <v>653</v>
      </c>
      <c r="C1607" t="s">
        <v>672</v>
      </c>
      <c r="D1607" t="s">
        <v>1301</v>
      </c>
      <c r="E1607" t="s">
        <v>14</v>
      </c>
      <c r="F1607" t="s">
        <v>799</v>
      </c>
      <c r="G1607" t="s">
        <v>16</v>
      </c>
      <c r="H1607" t="s">
        <v>1240</v>
      </c>
      <c r="I1607" t="s">
        <v>43</v>
      </c>
      <c r="J1607" t="s">
        <v>1308</v>
      </c>
      <c r="K1607">
        <v>7</v>
      </c>
      <c r="L1607">
        <v>3</v>
      </c>
      <c r="M1607">
        <v>1</v>
      </c>
      <c r="N1607">
        <v>0</v>
      </c>
    </row>
    <row r="1608" spans="1:14" x14ac:dyDescent="0.25">
      <c r="A1608">
        <v>1606</v>
      </c>
      <c r="B1608" t="s">
        <v>653</v>
      </c>
      <c r="C1608" t="s">
        <v>672</v>
      </c>
      <c r="D1608" t="s">
        <v>1301</v>
      </c>
      <c r="E1608" t="s">
        <v>52</v>
      </c>
      <c r="F1608" t="s">
        <v>858</v>
      </c>
      <c r="G1608" t="s">
        <v>35</v>
      </c>
      <c r="H1608" t="s">
        <v>886</v>
      </c>
      <c r="I1608" t="s">
        <v>43</v>
      </c>
      <c r="J1608" t="s">
        <v>1309</v>
      </c>
      <c r="K1608">
        <v>7</v>
      </c>
      <c r="L1608">
        <v>3</v>
      </c>
      <c r="M1608">
        <v>1</v>
      </c>
      <c r="N1608">
        <v>0</v>
      </c>
    </row>
    <row r="1609" spans="1:14" x14ac:dyDescent="0.25">
      <c r="A1609">
        <v>1607</v>
      </c>
      <c r="B1609" t="s">
        <v>653</v>
      </c>
      <c r="C1609" t="s">
        <v>672</v>
      </c>
      <c r="D1609" t="s">
        <v>1301</v>
      </c>
      <c r="E1609" t="s">
        <v>14</v>
      </c>
      <c r="F1609" t="s">
        <v>799</v>
      </c>
      <c r="G1609" t="s">
        <v>35</v>
      </c>
      <c r="H1609" t="s">
        <v>1240</v>
      </c>
      <c r="I1609" t="s">
        <v>43</v>
      </c>
      <c r="J1609" t="s">
        <v>1310</v>
      </c>
      <c r="K1609">
        <v>7</v>
      </c>
      <c r="L1609">
        <v>2</v>
      </c>
      <c r="M1609">
        <v>1</v>
      </c>
      <c r="N1609">
        <v>0</v>
      </c>
    </row>
    <row r="1610" spans="1:14" x14ac:dyDescent="0.25">
      <c r="A1610">
        <v>1608</v>
      </c>
      <c r="B1610" t="s">
        <v>653</v>
      </c>
      <c r="C1610" t="s">
        <v>672</v>
      </c>
      <c r="D1610" t="s">
        <v>1301</v>
      </c>
      <c r="E1610" t="s">
        <v>52</v>
      </c>
      <c r="F1610" t="s">
        <v>858</v>
      </c>
      <c r="G1610" t="s">
        <v>35</v>
      </c>
      <c r="H1610" t="s">
        <v>886</v>
      </c>
      <c r="I1610" t="s">
        <v>43</v>
      </c>
      <c r="J1610" t="s">
        <v>1311</v>
      </c>
      <c r="K1610">
        <v>7</v>
      </c>
      <c r="L1610">
        <v>3</v>
      </c>
      <c r="M1610">
        <v>1</v>
      </c>
      <c r="N1610">
        <v>0</v>
      </c>
    </row>
    <row r="1611" spans="1:14" x14ac:dyDescent="0.25">
      <c r="A1611">
        <v>1609</v>
      </c>
      <c r="B1611" t="s">
        <v>653</v>
      </c>
      <c r="C1611" t="s">
        <v>654</v>
      </c>
      <c r="D1611" t="s">
        <v>658</v>
      </c>
      <c r="E1611" t="s">
        <v>14</v>
      </c>
      <c r="F1611" t="s">
        <v>609</v>
      </c>
      <c r="G1611" t="s">
        <v>35</v>
      </c>
      <c r="H1611" t="s">
        <v>648</v>
      </c>
      <c r="I1611" t="s">
        <v>212</v>
      </c>
      <c r="J1611" t="s">
        <v>1312</v>
      </c>
      <c r="K1611">
        <v>0</v>
      </c>
      <c r="L1611">
        <v>4</v>
      </c>
      <c r="M1611">
        <v>3</v>
      </c>
      <c r="N1611">
        <v>0</v>
      </c>
    </row>
    <row r="1612" spans="1:14" x14ac:dyDescent="0.25">
      <c r="A1612">
        <v>1610</v>
      </c>
      <c r="B1612" t="s">
        <v>653</v>
      </c>
      <c r="C1612" t="s">
        <v>654</v>
      </c>
      <c r="D1612" t="s">
        <v>658</v>
      </c>
      <c r="E1612" t="s">
        <v>14</v>
      </c>
      <c r="F1612" t="s">
        <v>609</v>
      </c>
      <c r="G1612" t="s">
        <v>26</v>
      </c>
      <c r="H1612" t="s">
        <v>648</v>
      </c>
      <c r="I1612" t="s">
        <v>27</v>
      </c>
      <c r="J1612" t="s">
        <v>1313</v>
      </c>
      <c r="K1612">
        <v>0</v>
      </c>
      <c r="L1612">
        <v>3</v>
      </c>
      <c r="M1612">
        <v>3</v>
      </c>
      <c r="N1612">
        <v>0</v>
      </c>
    </row>
    <row r="1613" spans="1:14" x14ac:dyDescent="0.25">
      <c r="A1613">
        <v>1611</v>
      </c>
      <c r="B1613" t="s">
        <v>653</v>
      </c>
      <c r="C1613" t="s">
        <v>654</v>
      </c>
      <c r="D1613" t="s">
        <v>658</v>
      </c>
      <c r="E1613" t="s">
        <v>14</v>
      </c>
      <c r="F1613" t="s">
        <v>609</v>
      </c>
      <c r="G1613" t="s">
        <v>26</v>
      </c>
      <c r="H1613" t="s">
        <v>648</v>
      </c>
      <c r="I1613" t="s">
        <v>43</v>
      </c>
      <c r="J1613" t="s">
        <v>1314</v>
      </c>
      <c r="K1613">
        <v>0</v>
      </c>
      <c r="L1613">
        <v>5</v>
      </c>
      <c r="M1613">
        <v>3</v>
      </c>
      <c r="N1613">
        <v>0</v>
      </c>
    </row>
    <row r="1614" spans="1:14" x14ac:dyDescent="0.25">
      <c r="A1614">
        <v>1612</v>
      </c>
      <c r="B1614" t="s">
        <v>346</v>
      </c>
      <c r="C1614" t="s">
        <v>447</v>
      </c>
      <c r="D1614" t="s">
        <v>553</v>
      </c>
      <c r="E1614" t="s">
        <v>14</v>
      </c>
      <c r="F1614" t="s">
        <v>349</v>
      </c>
      <c r="G1614" t="s">
        <v>122</v>
      </c>
      <c r="H1614" t="s">
        <v>554</v>
      </c>
      <c r="I1614" t="s">
        <v>141</v>
      </c>
      <c r="J1614" t="s">
        <v>1315</v>
      </c>
      <c r="K1614">
        <v>0</v>
      </c>
      <c r="L1614">
        <v>7</v>
      </c>
      <c r="M1614">
        <v>3</v>
      </c>
      <c r="N1614">
        <v>0</v>
      </c>
    </row>
    <row r="1615" spans="1:14" x14ac:dyDescent="0.25">
      <c r="A1615">
        <v>1613</v>
      </c>
      <c r="B1615" t="s">
        <v>346</v>
      </c>
      <c r="C1615" t="s">
        <v>1660</v>
      </c>
      <c r="D1615" t="s">
        <v>1641</v>
      </c>
      <c r="E1615" t="s">
        <v>1316</v>
      </c>
      <c r="J1615" t="s">
        <v>1944</v>
      </c>
      <c r="N1615">
        <v>0</v>
      </c>
    </row>
    <row r="1616" spans="1:14" x14ac:dyDescent="0.25">
      <c r="A1616">
        <v>1614</v>
      </c>
      <c r="B1616" t="s">
        <v>346</v>
      </c>
      <c r="C1616" t="s">
        <v>392</v>
      </c>
      <c r="D1616" t="s">
        <v>658</v>
      </c>
      <c r="E1616" t="s">
        <v>14</v>
      </c>
      <c r="G1616" t="s">
        <v>16</v>
      </c>
      <c r="I1616" t="s">
        <v>1152</v>
      </c>
      <c r="K1616">
        <v>0</v>
      </c>
      <c r="L1616">
        <v>0</v>
      </c>
      <c r="M1616">
        <v>0</v>
      </c>
      <c r="N16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moje</vt:lpstr>
      <vt:lpstr>provsorg</vt:lpstr>
      <vt:lpstr>Trans</vt:lpstr>
      <vt:lpstr>prov_color</vt:lpstr>
      <vt:lpstr>provsagcp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Błądkowski</dc:creator>
  <cp:lastModifiedBy>Tomasz Błądkowski</cp:lastModifiedBy>
  <dcterms:created xsi:type="dcterms:W3CDTF">2025-01-19T19:44:28Z</dcterms:created>
  <dcterms:modified xsi:type="dcterms:W3CDTF">2025-01-22T09:09:12Z</dcterms:modified>
</cp:coreProperties>
</file>